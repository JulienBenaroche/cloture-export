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3" codeName="{00000000-0000-0000-0000-000000000000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igiplace.sharepoint.com/sites/WOP-CTO-CDM/Shared Documents/Performance CTO/Clôture/25-06/"/>
    </mc:Choice>
  </mc:AlternateContent>
  <xr:revisionPtr revIDLastSave="10104" documentId="8_{47141BCF-8598-4F7A-9511-9A4786BC4473}" xr6:coauthVersionLast="47" xr6:coauthVersionMax="47" xr10:uidLastSave="{B976E959-2E99-4410-A712-FC71A542E1E3}"/>
  <bookViews>
    <workbookView xWindow="28680" yWindow="-120" windowWidth="29040" windowHeight="15840" firstSheet="2" activeTab="1" xr2:uid="{00000000-000D-0000-FFFF-FFFF00000000}"/>
  </bookViews>
  <sheets>
    <sheet name="Feuil4" sheetId="33" state="hidden" r:id="rId1"/>
    <sheet name="Checks" sheetId="9" r:id="rId2"/>
    <sheet name="TCD delta prod days" sheetId="29" r:id="rId3"/>
    <sheet name="Feuil1" sheetId="39" state="hidden" r:id="rId4"/>
    <sheet name="INPUT Intention" sheetId="14" r:id="rId5"/>
    <sheet name="INPUT PXX" sheetId="26" r:id="rId6"/>
    <sheet name="INPUT brut WK" sheetId="27" r:id="rId7"/>
    <sheet name="INPUT WK par collab" sheetId="28" r:id="rId8"/>
    <sheet name="PE gratuites" sheetId="36" state="hidden" r:id="rId9"/>
    <sheet name="Parametres" sheetId="5" r:id="rId10"/>
    <sheet name="Feuil5" sheetId="42" r:id="rId11"/>
    <sheet name="Delta prod nov. déc. janv. fév." sheetId="38" state="hidden" r:id="rId12"/>
  </sheets>
  <externalReferences>
    <externalReference r:id="rId13"/>
    <externalReference r:id="rId14"/>
  </externalReferences>
  <definedNames>
    <definedName name="_xlnm._FilterDatabase" localSheetId="1" hidden="1">Checks!$C$1:$D$3</definedName>
    <definedName name="_xlnm._FilterDatabase" localSheetId="11" hidden="1">'Delta prod nov. déc. janv. fév.'!$K$4:$Q$14</definedName>
    <definedName name="_xlnm._FilterDatabase" localSheetId="9" hidden="1">Parametres!$B$2:$C$98</definedName>
    <definedName name="_xlnm._FilterDatabase" localSheetId="2" hidden="1">'TCD delta prod days'!$A$3:$B$109</definedName>
    <definedName name="_palopasteviewstyle" hidden="1">"White"</definedName>
    <definedName name="_xlcn.WorksheetConnection_FCDTDMR03UtilisationRateV0.6.xlsmOverrunExport1" localSheetId="9" hidden="1">#REF!</definedName>
    <definedName name="_xlcn.WorksheetConnection_FCDTDMR03UtilisationRateV0.6.xlsmOverrunExport1" hidden="1">#REF!</definedName>
    <definedName name="_xlcn.WorksheetConnection_FCDTDMR03UtilisationRateV0.6.xlsmOverrunManual" localSheetId="9" hidden="1">#REF!</definedName>
    <definedName name="_xlcn.WorksheetConnection_FCDTDMR03UtilisationRateV0.6.xlsmOverrunManual" hidden="1">#REF!</definedName>
    <definedName name="Budget_Step_1">#REF!</definedName>
    <definedName name="Date_Export">#REF!</definedName>
    <definedName name="Days_CurMonth" localSheetId="9">#REF!</definedName>
    <definedName name="Days_CurMonth">#REF!</definedName>
    <definedName name="Days_prevMonth" localSheetId="9">#REF!</definedName>
    <definedName name="Days_prevMonth">#REF!</definedName>
    <definedName name="DMR">#REF!</definedName>
    <definedName name="DMR_Month">#REF!</definedName>
    <definedName name="DMR_Month1">#REF!</definedName>
    <definedName name="Employee_FilePath">#REF!</definedName>
    <definedName name="EmployeeExport">#REF!</definedName>
    <definedName name="Heure_Export" localSheetId="9">#REF!</definedName>
    <definedName name="Heure_Export">#REF!</definedName>
    <definedName name="Jours_feries">#REF!</definedName>
    <definedName name="joursouvrés">#REF!</definedName>
    <definedName name="joursouvrés_Standard">#REF!</definedName>
    <definedName name="LCY_Exch_Rate">#REF!</definedName>
    <definedName name="mois" localSheetId="9">#REF!</definedName>
    <definedName name="mois">#REF!</definedName>
    <definedName name="month" localSheetId="9">#REF!</definedName>
    <definedName name="month">#REF!</definedName>
    <definedName name="MonthTS">#REF!</definedName>
    <definedName name="N_DMR">#REF!</definedName>
    <definedName name="P6Eff" hidden="1">#REF!</definedName>
    <definedName name="practice" localSheetId="9">#REF!</definedName>
    <definedName name="practice">#REF!</definedName>
    <definedName name="Q1_average">#REF!</definedName>
    <definedName name="Q2_average">#REF!</definedName>
    <definedName name="Q3_average">#REF!</definedName>
    <definedName name="Q4_average">#REF!</definedName>
    <definedName name="Rate_MSE">#REF!</definedName>
    <definedName name="Revenue_DailyRate">#REF!</definedName>
    <definedName name="Revenue_DR_Forecast">#REF!</definedName>
    <definedName name="Revenue_FilePath">#REF!</definedName>
    <definedName name="Set_Practice" localSheetId="9">#REF!</definedName>
    <definedName name="Set_Practice">#REF!</definedName>
    <definedName name="TS_FilePath">#REF!</definedName>
    <definedName name="Tx_Ch_03">#REF!</definedName>
    <definedName name="Tx_Ch_06">#REF!</definedName>
    <definedName name="Tx_Ch_09">#REF!</definedName>
    <definedName name="Tx_Ch_12">#REF!</definedName>
    <definedName name="Tx_Ch_BUD">#REF!</definedName>
    <definedName name="version" localSheetId="9">#REF!</definedName>
    <definedName name="version">#REF!</definedName>
  </definedNames>
  <calcPr calcId="191028"/>
  <pivotCaches>
    <pivotCache cacheId="1197" r:id="rId15"/>
    <pivotCache cacheId="1198" r:id="rId16"/>
    <pivotCache cacheId="1199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729" i="9" l="1"/>
  <c r="W729" i="9"/>
  <c r="V729" i="9"/>
  <c r="R729" i="9"/>
  <c r="Q729" i="9"/>
  <c r="P729" i="9"/>
  <c r="X729" i="9" s="1"/>
  <c r="O729" i="9"/>
  <c r="N729" i="9"/>
  <c r="M729" i="9"/>
  <c r="L729" i="9"/>
  <c r="K729" i="9"/>
  <c r="J729" i="9"/>
  <c r="I729" i="9"/>
  <c r="H729" i="9"/>
  <c r="G729" i="9"/>
  <c r="F729" i="9"/>
  <c r="E729" i="9"/>
  <c r="A727" i="9"/>
  <c r="A728" i="9"/>
  <c r="Z21" i="9"/>
  <c r="Z323" i="9"/>
  <c r="W21" i="9"/>
  <c r="W323" i="9"/>
  <c r="V21" i="9"/>
  <c r="V323" i="9"/>
  <c r="R21" i="9"/>
  <c r="R323" i="9"/>
  <c r="Q21" i="9"/>
  <c r="Q323" i="9"/>
  <c r="P21" i="9"/>
  <c r="P323" i="9"/>
  <c r="O21" i="9"/>
  <c r="O323" i="9"/>
  <c r="N21" i="9"/>
  <c r="N323" i="9"/>
  <c r="M21" i="9"/>
  <c r="M323" i="9"/>
  <c r="L21" i="9"/>
  <c r="L323" i="9"/>
  <c r="H21" i="9"/>
  <c r="H323" i="9"/>
  <c r="F21" i="9"/>
  <c r="F323" i="9"/>
  <c r="E21" i="9"/>
  <c r="E323" i="9"/>
  <c r="G724" i="28"/>
  <c r="K21" i="9" s="1"/>
  <c r="G725" i="28"/>
  <c r="K323" i="9" s="1"/>
  <c r="F724" i="28"/>
  <c r="J21" i="9" s="1"/>
  <c r="F725" i="28"/>
  <c r="J323" i="9" s="1"/>
  <c r="E724" i="28"/>
  <c r="I21" i="9" s="1"/>
  <c r="E725" i="28"/>
  <c r="I323" i="9" s="1"/>
  <c r="D724" i="28"/>
  <c r="D725" i="28"/>
  <c r="D2" i="28"/>
  <c r="D3" i="28"/>
  <c r="D4" i="28"/>
  <c r="D5" i="28"/>
  <c r="D6" i="28"/>
  <c r="G390" i="9" s="1"/>
  <c r="D7" i="28"/>
  <c r="D8" i="28"/>
  <c r="D9" i="28"/>
  <c r="D10" i="28"/>
  <c r="D11" i="28"/>
  <c r="D12" i="28"/>
  <c r="D13" i="28"/>
  <c r="D14" i="28"/>
  <c r="D15" i="28"/>
  <c r="D16" i="28"/>
  <c r="D17" i="28"/>
  <c r="D18" i="28"/>
  <c r="H18" i="28" s="1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H33" i="28" s="1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H51" i="28" s="1"/>
  <c r="D52" i="28"/>
  <c r="G101" i="9" s="1"/>
  <c r="D53" i="28"/>
  <c r="D54" i="28"/>
  <c r="D55" i="28"/>
  <c r="D56" i="28"/>
  <c r="D57" i="28"/>
  <c r="D58" i="28"/>
  <c r="D59" i="28"/>
  <c r="D60" i="28"/>
  <c r="D61" i="28"/>
  <c r="G125" i="9" s="1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H92" i="28" s="1"/>
  <c r="D93" i="28"/>
  <c r="D94" i="28"/>
  <c r="D95" i="28"/>
  <c r="D96" i="28"/>
  <c r="D97" i="28"/>
  <c r="D98" i="28"/>
  <c r="D99" i="28"/>
  <c r="D100" i="28"/>
  <c r="D101" i="28"/>
  <c r="D102" i="28"/>
  <c r="H102" i="28" s="1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G157" i="9" s="1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G245" i="9" s="1"/>
  <c r="D157" i="28"/>
  <c r="D158" i="28"/>
  <c r="D159" i="28"/>
  <c r="D160" i="28"/>
  <c r="D161" i="28"/>
  <c r="D162" i="28"/>
  <c r="H162" i="28" s="1"/>
  <c r="D163" i="28"/>
  <c r="D164" i="28"/>
  <c r="D165" i="28"/>
  <c r="D166" i="28"/>
  <c r="D167" i="28"/>
  <c r="D168" i="28"/>
  <c r="D169" i="28"/>
  <c r="D170" i="28"/>
  <c r="D171" i="28"/>
  <c r="D172" i="28"/>
  <c r="G485" i="9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H186" i="28" s="1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G75" i="9" s="1"/>
  <c r="D203" i="28"/>
  <c r="D204" i="28"/>
  <c r="D205" i="28"/>
  <c r="D206" i="28"/>
  <c r="G556" i="9" s="1"/>
  <c r="D207" i="28"/>
  <c r="G168" i="9"/>
  <c r="D208" i="28"/>
  <c r="D209" i="28"/>
  <c r="D210" i="28"/>
  <c r="D211" i="28"/>
  <c r="D212" i="28"/>
  <c r="D213" i="28"/>
  <c r="D214" i="28"/>
  <c r="D215" i="28"/>
  <c r="H215" i="28" s="1"/>
  <c r="D216" i="28"/>
  <c r="D217" i="28"/>
  <c r="D218" i="28"/>
  <c r="G242" i="9" s="1"/>
  <c r="D219" i="28"/>
  <c r="D220" i="28"/>
  <c r="D221" i="28"/>
  <c r="G107" i="9" s="1"/>
  <c r="D222" i="28"/>
  <c r="D223" i="28"/>
  <c r="D224" i="28"/>
  <c r="D225" i="28"/>
  <c r="D226" i="28"/>
  <c r="D227" i="28"/>
  <c r="D228" i="28"/>
  <c r="D229" i="28"/>
  <c r="D230" i="28"/>
  <c r="D231" i="28"/>
  <c r="G108" i="9" s="1"/>
  <c r="D232" i="28"/>
  <c r="D233" i="28"/>
  <c r="D234" i="28"/>
  <c r="D235" i="28"/>
  <c r="D236" i="28"/>
  <c r="D237" i="28"/>
  <c r="D238" i="28"/>
  <c r="D239" i="28"/>
  <c r="D240" i="28"/>
  <c r="D241" i="28"/>
  <c r="D242" i="28"/>
  <c r="D243" i="28"/>
  <c r="D244" i="28"/>
  <c r="H244" i="28" s="1"/>
  <c r="D245" i="28"/>
  <c r="H245" i="28" s="1"/>
  <c r="D246" i="28"/>
  <c r="D247" i="28"/>
  <c r="D248" i="28"/>
  <c r="D249" i="28"/>
  <c r="D250" i="28"/>
  <c r="D251" i="28"/>
  <c r="D252" i="28"/>
  <c r="D253" i="28"/>
  <c r="D254" i="28"/>
  <c r="H254" i="28" s="1"/>
  <c r="D255" i="28"/>
  <c r="G174" i="9"/>
  <c r="D256" i="28"/>
  <c r="G48" i="9" s="1"/>
  <c r="D257" i="28"/>
  <c r="G27" i="9" s="1"/>
  <c r="D258" i="28"/>
  <c r="D259" i="28"/>
  <c r="D260" i="28"/>
  <c r="G354" i="9" s="1"/>
  <c r="D261" i="28"/>
  <c r="D262" i="28"/>
  <c r="G521" i="9" s="1"/>
  <c r="D263" i="28"/>
  <c r="D264" i="28"/>
  <c r="D265" i="28"/>
  <c r="D266" i="28"/>
  <c r="D267" i="28"/>
  <c r="D268" i="28"/>
  <c r="H268" i="28" s="1"/>
  <c r="D269" i="28"/>
  <c r="D270" i="28"/>
  <c r="G181" i="9" s="1"/>
  <c r="D271" i="28"/>
  <c r="D272" i="28"/>
  <c r="H272" i="28" s="1"/>
  <c r="D273" i="28"/>
  <c r="D274" i="28"/>
  <c r="D275" i="28"/>
  <c r="D276" i="28"/>
  <c r="D277" i="28"/>
  <c r="D278" i="28"/>
  <c r="D279" i="28"/>
  <c r="D280" i="28"/>
  <c r="D281" i="28"/>
  <c r="D282" i="28"/>
  <c r="D283" i="28"/>
  <c r="D284" i="28"/>
  <c r="D285" i="28"/>
  <c r="H285" i="28" s="1"/>
  <c r="D286" i="28"/>
  <c r="D287" i="28"/>
  <c r="D288" i="28"/>
  <c r="D289" i="28"/>
  <c r="G590" i="9" s="1"/>
  <c r="D290" i="28"/>
  <c r="D291" i="28"/>
  <c r="D292" i="28"/>
  <c r="D293" i="28"/>
  <c r="D294" i="28"/>
  <c r="D295" i="28"/>
  <c r="D296" i="28"/>
  <c r="G707" i="9" s="1"/>
  <c r="D297" i="28"/>
  <c r="G588" i="9" s="1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D339" i="28"/>
  <c r="D340" i="28"/>
  <c r="D341" i="28"/>
  <c r="H341" i="28" s="1"/>
  <c r="D342" i="28"/>
  <c r="D343" i="28"/>
  <c r="D344" i="28"/>
  <c r="D345" i="28"/>
  <c r="D346" i="28"/>
  <c r="D347" i="28"/>
  <c r="D348" i="28"/>
  <c r="D349" i="28"/>
  <c r="D350" i="28"/>
  <c r="D351" i="28"/>
  <c r="D352" i="28"/>
  <c r="D353" i="28"/>
  <c r="D354" i="28"/>
  <c r="D355" i="28"/>
  <c r="D356" i="28"/>
  <c r="D357" i="28"/>
  <c r="D358" i="28"/>
  <c r="D359" i="28"/>
  <c r="G533" i="9" s="1"/>
  <c r="D360" i="28"/>
  <c r="D361" i="28"/>
  <c r="D362" i="28"/>
  <c r="D363" i="28"/>
  <c r="D364" i="28"/>
  <c r="D365" i="28"/>
  <c r="D366" i="28"/>
  <c r="D367" i="28"/>
  <c r="G98" i="9"/>
  <c r="D368" i="28"/>
  <c r="D369" i="28"/>
  <c r="D370" i="28"/>
  <c r="D371" i="28"/>
  <c r="D372" i="28"/>
  <c r="D373" i="28"/>
  <c r="D374" i="28"/>
  <c r="D375" i="28"/>
  <c r="D376" i="28"/>
  <c r="D377" i="28"/>
  <c r="D378" i="28"/>
  <c r="D379" i="28"/>
  <c r="G562" i="9" s="1"/>
  <c r="D380" i="28"/>
  <c r="D381" i="28"/>
  <c r="D382" i="28"/>
  <c r="D383" i="28"/>
  <c r="D384" i="28"/>
  <c r="D385" i="28"/>
  <c r="D386" i="28"/>
  <c r="D387" i="28"/>
  <c r="D388" i="28"/>
  <c r="D389" i="28"/>
  <c r="D390" i="28"/>
  <c r="D391" i="28"/>
  <c r="D392" i="28"/>
  <c r="D393" i="28"/>
  <c r="D394" i="28"/>
  <c r="D395" i="28"/>
  <c r="D396" i="28"/>
  <c r="D397" i="28"/>
  <c r="D398" i="28"/>
  <c r="D399" i="28"/>
  <c r="G690" i="9"/>
  <c r="D400" i="28"/>
  <c r="D401" i="28"/>
  <c r="D402" i="28"/>
  <c r="D403" i="28"/>
  <c r="D404" i="28"/>
  <c r="D405" i="28"/>
  <c r="D406" i="28"/>
  <c r="D407" i="28"/>
  <c r="D408" i="28"/>
  <c r="D409" i="28"/>
  <c r="D410" i="28"/>
  <c r="D411" i="28"/>
  <c r="D412" i="28"/>
  <c r="D413" i="28"/>
  <c r="D414" i="28"/>
  <c r="D415" i="28"/>
  <c r="D416" i="28"/>
  <c r="D417" i="28"/>
  <c r="D418" i="28"/>
  <c r="D419" i="28"/>
  <c r="D420" i="28"/>
  <c r="D421" i="28"/>
  <c r="D422" i="28"/>
  <c r="G598" i="9" s="1"/>
  <c r="D423" i="28"/>
  <c r="D424" i="28"/>
  <c r="D425" i="28"/>
  <c r="D426" i="28"/>
  <c r="D427" i="28"/>
  <c r="D428" i="28"/>
  <c r="D429" i="28"/>
  <c r="D430" i="28"/>
  <c r="D431" i="28"/>
  <c r="G318" i="9" s="1"/>
  <c r="D432" i="28"/>
  <c r="D433" i="28"/>
  <c r="D434" i="28"/>
  <c r="D435" i="28"/>
  <c r="G702" i="9" s="1"/>
  <c r="D436" i="28"/>
  <c r="D437" i="28"/>
  <c r="D438" i="28"/>
  <c r="D439" i="28"/>
  <c r="D440" i="28"/>
  <c r="D441" i="28"/>
  <c r="D442" i="28"/>
  <c r="D443" i="28"/>
  <c r="D444" i="28"/>
  <c r="D445" i="28"/>
  <c r="H445" i="28" s="1"/>
  <c r="D446" i="28"/>
  <c r="G243" i="9" s="1"/>
  <c r="D447" i="28"/>
  <c r="D448" i="28"/>
  <c r="D449" i="28"/>
  <c r="D450" i="28"/>
  <c r="D451" i="28"/>
  <c r="D452" i="28"/>
  <c r="D453" i="28"/>
  <c r="D454" i="28"/>
  <c r="D455" i="28"/>
  <c r="D456" i="28"/>
  <c r="D457" i="28"/>
  <c r="D458" i="28"/>
  <c r="D459" i="28"/>
  <c r="D460" i="28"/>
  <c r="D461" i="28"/>
  <c r="D462" i="28"/>
  <c r="H462" i="28" s="1"/>
  <c r="D463" i="28"/>
  <c r="D464" i="28"/>
  <c r="D465" i="28"/>
  <c r="D466" i="28"/>
  <c r="D467" i="28"/>
  <c r="D468" i="28"/>
  <c r="D469" i="28"/>
  <c r="D470" i="28"/>
  <c r="D471" i="28"/>
  <c r="D472" i="28"/>
  <c r="D473" i="28"/>
  <c r="D474" i="28"/>
  <c r="D475" i="28"/>
  <c r="D476" i="28"/>
  <c r="D477" i="28"/>
  <c r="H477" i="28" s="1"/>
  <c r="D478" i="28"/>
  <c r="G334" i="9" s="1"/>
  <c r="D479" i="28"/>
  <c r="D480" i="28"/>
  <c r="D481" i="28"/>
  <c r="D482" i="28"/>
  <c r="D483" i="28"/>
  <c r="G165" i="9"/>
  <c r="D484" i="28"/>
  <c r="D485" i="28"/>
  <c r="D486" i="28"/>
  <c r="D487" i="28"/>
  <c r="D488" i="28"/>
  <c r="D489" i="28"/>
  <c r="H489" i="28" s="1"/>
  <c r="D490" i="28"/>
  <c r="D491" i="28"/>
  <c r="D492" i="28"/>
  <c r="D493" i="28"/>
  <c r="D494" i="28"/>
  <c r="D495" i="28"/>
  <c r="D496" i="28"/>
  <c r="D497" i="28"/>
  <c r="D498" i="28"/>
  <c r="D499" i="28"/>
  <c r="G409" i="9" s="1"/>
  <c r="D500" i="28"/>
  <c r="H500" i="28" s="1"/>
  <c r="D501" i="28"/>
  <c r="D502" i="28"/>
  <c r="D503" i="28"/>
  <c r="D504" i="28"/>
  <c r="D505" i="28"/>
  <c r="D506" i="28"/>
  <c r="D507" i="28"/>
  <c r="D508" i="28"/>
  <c r="D509" i="28"/>
  <c r="D510" i="28"/>
  <c r="D511" i="28"/>
  <c r="D512" i="28"/>
  <c r="D513" i="28"/>
  <c r="D514" i="28"/>
  <c r="D515" i="28"/>
  <c r="D516" i="28"/>
  <c r="D517" i="28"/>
  <c r="D518" i="28"/>
  <c r="D519" i="28"/>
  <c r="D520" i="28"/>
  <c r="D521" i="28"/>
  <c r="D522" i="28"/>
  <c r="D523" i="28"/>
  <c r="D524" i="28"/>
  <c r="D525" i="28"/>
  <c r="D526" i="28"/>
  <c r="G69" i="9" s="1"/>
  <c r="D527" i="28"/>
  <c r="D528" i="28"/>
  <c r="D529" i="28"/>
  <c r="D530" i="28"/>
  <c r="D531" i="28"/>
  <c r="D532" i="28"/>
  <c r="D533" i="28"/>
  <c r="D534" i="28"/>
  <c r="D535" i="28"/>
  <c r="D536" i="28"/>
  <c r="D537" i="28"/>
  <c r="G653" i="9" s="1"/>
  <c r="D538" i="28"/>
  <c r="D539" i="28"/>
  <c r="D540" i="28"/>
  <c r="D541" i="28"/>
  <c r="H541" i="28" s="1"/>
  <c r="D542" i="28"/>
  <c r="D543" i="28"/>
  <c r="D544" i="28"/>
  <c r="D545" i="28"/>
  <c r="D546" i="28"/>
  <c r="H546" i="28" s="1"/>
  <c r="D547" i="28"/>
  <c r="D548" i="28"/>
  <c r="D549" i="28"/>
  <c r="D550" i="28"/>
  <c r="D551" i="28"/>
  <c r="D552" i="28"/>
  <c r="D553" i="28"/>
  <c r="D554" i="28"/>
  <c r="D555" i="28"/>
  <c r="D556" i="28"/>
  <c r="D557" i="28"/>
  <c r="H557" i="28" s="1"/>
  <c r="D558" i="28"/>
  <c r="D559" i="28"/>
  <c r="G339" i="9" s="1"/>
  <c r="D560" i="28"/>
  <c r="G142" i="9" s="1"/>
  <c r="D561" i="28"/>
  <c r="D562" i="28"/>
  <c r="D563" i="28"/>
  <c r="D564" i="28"/>
  <c r="D565" i="28"/>
  <c r="D566" i="28"/>
  <c r="D567" i="28"/>
  <c r="D568" i="28"/>
  <c r="D569" i="28"/>
  <c r="H569" i="28" s="1"/>
  <c r="D570" i="28"/>
  <c r="D571" i="28"/>
  <c r="D572" i="28"/>
  <c r="D573" i="28"/>
  <c r="D574" i="28"/>
  <c r="D575" i="28"/>
  <c r="D576" i="28"/>
  <c r="D577" i="28"/>
  <c r="D578" i="28"/>
  <c r="D579" i="28"/>
  <c r="D580" i="28"/>
  <c r="D581" i="28"/>
  <c r="D582" i="28"/>
  <c r="D583" i="28"/>
  <c r="D584" i="28"/>
  <c r="H584" i="28" s="1"/>
  <c r="D585" i="28"/>
  <c r="D586" i="28"/>
  <c r="D587" i="28"/>
  <c r="D588" i="28"/>
  <c r="D589" i="28"/>
  <c r="D590" i="28"/>
  <c r="D591" i="28"/>
  <c r="D592" i="28"/>
  <c r="D593" i="28"/>
  <c r="D594" i="28"/>
  <c r="D595" i="28"/>
  <c r="D596" i="28"/>
  <c r="D597" i="28"/>
  <c r="D598" i="28"/>
  <c r="D599" i="28"/>
  <c r="D600" i="28"/>
  <c r="D601" i="28"/>
  <c r="G312" i="9" s="1"/>
  <c r="D602" i="28"/>
  <c r="D603" i="28"/>
  <c r="G163" i="9"/>
  <c r="D604" i="28"/>
  <c r="D605" i="28"/>
  <c r="D606" i="28"/>
  <c r="D607" i="28"/>
  <c r="D608" i="28"/>
  <c r="D609" i="28"/>
  <c r="D610" i="28"/>
  <c r="D611" i="28"/>
  <c r="D612" i="28"/>
  <c r="D613" i="28"/>
  <c r="D614" i="28"/>
  <c r="D615" i="28"/>
  <c r="G203" i="9"/>
  <c r="D616" i="28"/>
  <c r="D617" i="28"/>
  <c r="D618" i="28"/>
  <c r="D619" i="28"/>
  <c r="D620" i="28"/>
  <c r="D621" i="28"/>
  <c r="D622" i="28"/>
  <c r="D623" i="28"/>
  <c r="D624" i="28"/>
  <c r="H624" i="28" s="1"/>
  <c r="D625" i="28"/>
  <c r="D626" i="28"/>
  <c r="D627" i="28"/>
  <c r="D628" i="28"/>
  <c r="D629" i="28"/>
  <c r="D630" i="28"/>
  <c r="D631" i="28"/>
  <c r="D632" i="28"/>
  <c r="D633" i="28"/>
  <c r="D634" i="28"/>
  <c r="D635" i="28"/>
  <c r="D636" i="28"/>
  <c r="D637" i="28"/>
  <c r="D638" i="28"/>
  <c r="D639" i="28"/>
  <c r="D640" i="28"/>
  <c r="D641" i="28"/>
  <c r="G367" i="9" s="1"/>
  <c r="D642" i="28"/>
  <c r="D643" i="28"/>
  <c r="D644" i="28"/>
  <c r="D645" i="28"/>
  <c r="D646" i="28"/>
  <c r="D647" i="28"/>
  <c r="D648" i="28"/>
  <c r="D649" i="28"/>
  <c r="D650" i="28"/>
  <c r="D651" i="28"/>
  <c r="D652" i="28"/>
  <c r="D653" i="28"/>
  <c r="D654" i="28"/>
  <c r="D655" i="28"/>
  <c r="D656" i="28"/>
  <c r="D657" i="28"/>
  <c r="D658" i="28"/>
  <c r="D659" i="28"/>
  <c r="D660" i="28"/>
  <c r="D661" i="28"/>
  <c r="D662" i="28"/>
  <c r="D663" i="28"/>
  <c r="G33" i="9"/>
  <c r="D664" i="28"/>
  <c r="D665" i="28"/>
  <c r="D666" i="28"/>
  <c r="D667" i="28"/>
  <c r="D668" i="28"/>
  <c r="D669" i="28"/>
  <c r="D670" i="28"/>
  <c r="D671" i="28"/>
  <c r="D672" i="28"/>
  <c r="D673" i="28"/>
  <c r="D674" i="28"/>
  <c r="D675" i="28"/>
  <c r="G565" i="9"/>
  <c r="D676" i="28"/>
  <c r="D677" i="28"/>
  <c r="D678" i="28"/>
  <c r="H678" i="28" s="1"/>
  <c r="D679" i="28"/>
  <c r="H679" i="28" s="1"/>
  <c r="D680" i="28"/>
  <c r="H680" i="28" s="1"/>
  <c r="D681" i="28"/>
  <c r="D682" i="28"/>
  <c r="D683" i="28"/>
  <c r="D684" i="28"/>
  <c r="D685" i="28"/>
  <c r="D686" i="28"/>
  <c r="D687" i="28"/>
  <c r="G178" i="9"/>
  <c r="D688" i="28"/>
  <c r="D689" i="28"/>
  <c r="D690" i="28"/>
  <c r="D691" i="28"/>
  <c r="D692" i="28"/>
  <c r="D693" i="28"/>
  <c r="H693" i="28" s="1"/>
  <c r="D694" i="28"/>
  <c r="D695" i="28"/>
  <c r="D696" i="28"/>
  <c r="D697" i="28"/>
  <c r="D698" i="28"/>
  <c r="D699" i="28"/>
  <c r="G293" i="9"/>
  <c r="D700" i="28"/>
  <c r="D701" i="28"/>
  <c r="H701" i="28" s="1"/>
  <c r="D702" i="28"/>
  <c r="D703" i="28"/>
  <c r="H703" i="28" s="1"/>
  <c r="D704" i="28"/>
  <c r="D705" i="28"/>
  <c r="D706" i="28"/>
  <c r="D707" i="28"/>
  <c r="D708" i="28"/>
  <c r="D709" i="28"/>
  <c r="D710" i="28"/>
  <c r="D711" i="28"/>
  <c r="D712" i="28"/>
  <c r="D713" i="28"/>
  <c r="D714" i="28"/>
  <c r="D715" i="28"/>
  <c r="H715" i="28" s="1"/>
  <c r="D716" i="28"/>
  <c r="D717" i="28"/>
  <c r="D718" i="28"/>
  <c r="D719" i="28"/>
  <c r="D720" i="28"/>
  <c r="D721" i="28"/>
  <c r="D722" i="28"/>
  <c r="D723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I569" i="9" s="1"/>
  <c r="E36" i="28"/>
  <c r="E37" i="28"/>
  <c r="E38" i="28"/>
  <c r="H38" i="28" s="1"/>
  <c r="E39" i="28"/>
  <c r="H39" i="28" s="1"/>
  <c r="E40" i="28"/>
  <c r="E41" i="28"/>
  <c r="E42" i="28"/>
  <c r="E43" i="28"/>
  <c r="E44" i="28"/>
  <c r="I370" i="9" s="1"/>
  <c r="E45" i="28"/>
  <c r="E46" i="28"/>
  <c r="E47" i="28"/>
  <c r="E48" i="28"/>
  <c r="E49" i="28"/>
  <c r="E50" i="28"/>
  <c r="E51" i="28"/>
  <c r="E52" i="28"/>
  <c r="I101" i="9" s="1"/>
  <c r="E53" i="28"/>
  <c r="E54" i="28"/>
  <c r="E55" i="28"/>
  <c r="E56" i="28"/>
  <c r="E57" i="28"/>
  <c r="E58" i="28"/>
  <c r="E59" i="28"/>
  <c r="E60" i="28"/>
  <c r="E61" i="28"/>
  <c r="I125" i="9" s="1"/>
  <c r="I661" i="9"/>
  <c r="E62" i="28"/>
  <c r="E63" i="28"/>
  <c r="I530" i="9" s="1"/>
  <c r="E64" i="28"/>
  <c r="E65" i="28"/>
  <c r="E66" i="28"/>
  <c r="E67" i="28"/>
  <c r="E68" i="28"/>
  <c r="E69" i="28"/>
  <c r="E70" i="28"/>
  <c r="E71" i="28"/>
  <c r="E72" i="28"/>
  <c r="E73" i="28"/>
  <c r="E74" i="28"/>
  <c r="I94" i="9" s="1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I531" i="9" s="1"/>
  <c r="E94" i="28"/>
  <c r="E95" i="28"/>
  <c r="E96" i="28"/>
  <c r="E97" i="28"/>
  <c r="I548" i="9" s="1"/>
  <c r="E98" i="28"/>
  <c r="E99" i="28"/>
  <c r="E100" i="28"/>
  <c r="E101" i="28"/>
  <c r="E102" i="28"/>
  <c r="E103" i="28"/>
  <c r="E104" i="28"/>
  <c r="E105" i="28"/>
  <c r="E106" i="28"/>
  <c r="E107" i="28"/>
  <c r="I54" i="9" s="1"/>
  <c r="E108" i="28"/>
  <c r="E109" i="28"/>
  <c r="E110" i="28"/>
  <c r="E111" i="28"/>
  <c r="E112" i="28"/>
  <c r="E113" i="28"/>
  <c r="E114" i="28"/>
  <c r="E115" i="28"/>
  <c r="E116" i="28"/>
  <c r="E117" i="28"/>
  <c r="I510" i="9" s="1"/>
  <c r="E118" i="28"/>
  <c r="E119" i="28"/>
  <c r="E120" i="28"/>
  <c r="E121" i="28"/>
  <c r="E122" i="28"/>
  <c r="E123" i="28"/>
  <c r="E124" i="28"/>
  <c r="E125" i="28"/>
  <c r="E126" i="28"/>
  <c r="I719" i="9" s="1"/>
  <c r="E127" i="28"/>
  <c r="E128" i="28"/>
  <c r="I418" i="9" s="1"/>
  <c r="E129" i="28"/>
  <c r="E130" i="28"/>
  <c r="E131" i="28"/>
  <c r="E132" i="28"/>
  <c r="E133" i="28"/>
  <c r="E134" i="28"/>
  <c r="E135" i="28"/>
  <c r="I135" i="9" s="1"/>
  <c r="E136" i="28"/>
  <c r="E137" i="28"/>
  <c r="E138" i="28"/>
  <c r="I157" i="9" s="1"/>
  <c r="E139" i="28"/>
  <c r="I195" i="9" s="1"/>
  <c r="E140" i="28"/>
  <c r="E141" i="28"/>
  <c r="E142" i="28"/>
  <c r="E143" i="28"/>
  <c r="E144" i="28"/>
  <c r="E145" i="28"/>
  <c r="E146" i="28"/>
  <c r="E147" i="28"/>
  <c r="I98" i="9" s="1"/>
  <c r="E148" i="28"/>
  <c r="E149" i="28"/>
  <c r="E150" i="28"/>
  <c r="E151" i="28"/>
  <c r="E152" i="28"/>
  <c r="E153" i="28"/>
  <c r="E154" i="28"/>
  <c r="E155" i="28"/>
  <c r="I278" i="9" s="1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I363" i="9" s="1"/>
  <c r="E182" i="28"/>
  <c r="E183" i="28"/>
  <c r="E184" i="28"/>
  <c r="I7" i="9" s="1"/>
  <c r="E185" i="28"/>
  <c r="E186" i="28"/>
  <c r="E187" i="28"/>
  <c r="I73" i="9" s="1"/>
  <c r="E188" i="28"/>
  <c r="I654" i="9" s="1"/>
  <c r="E189" i="28"/>
  <c r="E190" i="28"/>
  <c r="E191" i="28"/>
  <c r="E192" i="28"/>
  <c r="E193" i="28"/>
  <c r="E194" i="28"/>
  <c r="I706" i="9" s="1"/>
  <c r="E195" i="28"/>
  <c r="E196" i="28"/>
  <c r="E197" i="28"/>
  <c r="E198" i="28"/>
  <c r="E199" i="28"/>
  <c r="I276" i="9" s="1"/>
  <c r="E200" i="28"/>
  <c r="E201" i="28"/>
  <c r="E202" i="28"/>
  <c r="I75" i="9" s="1"/>
  <c r="E203" i="28"/>
  <c r="E204" i="28"/>
  <c r="I519" i="9" s="1"/>
  <c r="E205" i="28"/>
  <c r="E206" i="28"/>
  <c r="E207" i="28"/>
  <c r="E208" i="28"/>
  <c r="E209" i="28"/>
  <c r="I352" i="9" s="1"/>
  <c r="E210" i="28"/>
  <c r="E211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H230" i="28" s="1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I27" i="9" s="1"/>
  <c r="E258" i="28"/>
  <c r="E259" i="28"/>
  <c r="E260" i="28"/>
  <c r="I354" i="9" s="1"/>
  <c r="E261" i="28"/>
  <c r="E262" i="28"/>
  <c r="E263" i="28"/>
  <c r="E264" i="28"/>
  <c r="E265" i="28"/>
  <c r="E266" i="28"/>
  <c r="H266" i="28" s="1"/>
  <c r="E267" i="28"/>
  <c r="E268" i="28"/>
  <c r="I10" i="9" s="1"/>
  <c r="E269" i="28"/>
  <c r="E270" i="28"/>
  <c r="E271" i="28"/>
  <c r="E272" i="28"/>
  <c r="E273" i="28"/>
  <c r="E274" i="28"/>
  <c r="E275" i="28"/>
  <c r="I307" i="9" s="1"/>
  <c r="E276" i="28"/>
  <c r="E277" i="28"/>
  <c r="E278" i="28"/>
  <c r="E279" i="28"/>
  <c r="E280" i="28"/>
  <c r="E281" i="28"/>
  <c r="E282" i="28"/>
  <c r="E283" i="28"/>
  <c r="E284" i="28"/>
  <c r="E285" i="28"/>
  <c r="I686" i="9" s="1"/>
  <c r="E286" i="28"/>
  <c r="I657" i="9" s="1"/>
  <c r="E287" i="28"/>
  <c r="I78" i="9" s="1"/>
  <c r="E288" i="28"/>
  <c r="E289" i="28"/>
  <c r="E290" i="28"/>
  <c r="E291" i="28"/>
  <c r="E292" i="28"/>
  <c r="E293" i="28"/>
  <c r="H293" i="28" s="1"/>
  <c r="E294" i="28"/>
  <c r="E295" i="28"/>
  <c r="I573" i="9" s="1"/>
  <c r="E296" i="28"/>
  <c r="E297" i="28"/>
  <c r="E298" i="28"/>
  <c r="E299" i="28"/>
  <c r="E300" i="28"/>
  <c r="E301" i="28"/>
  <c r="E302" i="28"/>
  <c r="E303" i="28"/>
  <c r="E304" i="28"/>
  <c r="E305" i="28"/>
  <c r="E306" i="28"/>
  <c r="I37" i="9" s="1"/>
  <c r="E307" i="28"/>
  <c r="E308" i="28"/>
  <c r="H308" i="28" s="1"/>
  <c r="E309" i="28"/>
  <c r="E310" i="28"/>
  <c r="E311" i="28"/>
  <c r="E312" i="28"/>
  <c r="E313" i="28"/>
  <c r="E314" i="28"/>
  <c r="E315" i="28"/>
  <c r="E316" i="28"/>
  <c r="E317" i="28"/>
  <c r="E318" i="28"/>
  <c r="E319" i="28"/>
  <c r="E320" i="28"/>
  <c r="E321" i="28"/>
  <c r="E322" i="28"/>
  <c r="E323" i="28"/>
  <c r="I532" i="9"/>
  <c r="E324" i="28"/>
  <c r="E325" i="28"/>
  <c r="E326" i="28"/>
  <c r="E327" i="28"/>
  <c r="E328" i="28"/>
  <c r="E329" i="28"/>
  <c r="E330" i="28"/>
  <c r="E331" i="28"/>
  <c r="E332" i="28"/>
  <c r="E333" i="28"/>
  <c r="H333" i="28" s="1"/>
  <c r="E334" i="28"/>
  <c r="E335" i="28"/>
  <c r="I59" i="9"/>
  <c r="E336" i="28"/>
  <c r="E337" i="28"/>
  <c r="E338" i="28"/>
  <c r="E339" i="28"/>
  <c r="E340" i="28"/>
  <c r="E341" i="28"/>
  <c r="E342" i="28"/>
  <c r="E343" i="28"/>
  <c r="E344" i="28"/>
  <c r="E345" i="28"/>
  <c r="E346" i="28"/>
  <c r="I200" i="9" s="1"/>
  <c r="E347" i="28"/>
  <c r="E348" i="28"/>
  <c r="E349" i="28"/>
  <c r="E350" i="28"/>
  <c r="H350" i="28" s="1"/>
  <c r="E351" i="28"/>
  <c r="E352" i="28"/>
  <c r="E353" i="28"/>
  <c r="E354" i="28"/>
  <c r="E355" i="28"/>
  <c r="E356" i="28"/>
  <c r="E357" i="28"/>
  <c r="I249" i="9" s="1"/>
  <c r="E358" i="28"/>
  <c r="I58" i="9" s="1"/>
  <c r="E359" i="28"/>
  <c r="E360" i="28"/>
  <c r="I40" i="9" s="1"/>
  <c r="E361" i="28"/>
  <c r="E362" i="28"/>
  <c r="E363" i="28"/>
  <c r="E364" i="28"/>
  <c r="I317" i="9" s="1"/>
  <c r="E365" i="28"/>
  <c r="E366" i="28"/>
  <c r="E367" i="28"/>
  <c r="I222" i="9" s="1"/>
  <c r="E368" i="28"/>
  <c r="E369" i="28"/>
  <c r="E370" i="28"/>
  <c r="E371" i="28"/>
  <c r="E372" i="28"/>
  <c r="I511" i="9"/>
  <c r="E373" i="28"/>
  <c r="E374" i="28"/>
  <c r="H374" i="28" s="1"/>
  <c r="E375" i="28"/>
  <c r="E376" i="28"/>
  <c r="E377" i="28"/>
  <c r="I470" i="9" s="1"/>
  <c r="E378" i="28"/>
  <c r="E379" i="28"/>
  <c r="I562" i="9" s="1"/>
  <c r="E380" i="28"/>
  <c r="E381" i="28"/>
  <c r="E382" i="28"/>
  <c r="E383" i="28"/>
  <c r="E384" i="28"/>
  <c r="E385" i="28"/>
  <c r="E386" i="28"/>
  <c r="E387" i="28"/>
  <c r="E388" i="28"/>
  <c r="E389" i="28"/>
  <c r="E390" i="28"/>
  <c r="H390" i="28" s="1"/>
  <c r="E391" i="28"/>
  <c r="E392" i="28"/>
  <c r="E393" i="28"/>
  <c r="E394" i="28"/>
  <c r="E395" i="28"/>
  <c r="E396" i="28"/>
  <c r="E397" i="28"/>
  <c r="E398" i="28"/>
  <c r="E399" i="28"/>
  <c r="I715" i="9" s="1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H416" i="28" s="1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I309" i="9" s="1"/>
  <c r="E431" i="28"/>
  <c r="I118" i="9"/>
  <c r="E432" i="28"/>
  <c r="E433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H446" i="28" s="1"/>
  <c r="E447" i="28"/>
  <c r="E448" i="28"/>
  <c r="E449" i="28"/>
  <c r="I224" i="9" s="1"/>
  <c r="E450" i="28"/>
  <c r="E451" i="28"/>
  <c r="E452" i="28"/>
  <c r="E453" i="28"/>
  <c r="E454" i="28"/>
  <c r="E455" i="28"/>
  <c r="E456" i="28"/>
  <c r="E457" i="28"/>
  <c r="H457" i="28" s="1"/>
  <c r="E458" i="28"/>
  <c r="H458" i="28" s="1"/>
  <c r="E459" i="28"/>
  <c r="I720" i="9" s="1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I61" i="9" s="1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H498" i="28" s="1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I193" i="9" s="1"/>
  <c r="E515" i="28"/>
  <c r="E516" i="28"/>
  <c r="E517" i="28"/>
  <c r="E518" i="28"/>
  <c r="E519" i="28"/>
  <c r="I682" i="9" s="1"/>
  <c r="E520" i="28"/>
  <c r="E521" i="28"/>
  <c r="E522" i="28"/>
  <c r="E523" i="28"/>
  <c r="E524" i="28"/>
  <c r="H524" i="28" s="1"/>
  <c r="E525" i="28"/>
  <c r="I643" i="9" s="1"/>
  <c r="E526" i="28"/>
  <c r="I69" i="9" s="1"/>
  <c r="E527" i="28"/>
  <c r="I508" i="9"/>
  <c r="E528" i="28"/>
  <c r="E529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I147" i="9"/>
  <c r="E546" i="28"/>
  <c r="E547" i="28"/>
  <c r="E548" i="28"/>
  <c r="E549" i="28"/>
  <c r="E550" i="28"/>
  <c r="E551" i="28"/>
  <c r="E552" i="28"/>
  <c r="E553" i="28"/>
  <c r="E554" i="28"/>
  <c r="E555" i="28"/>
  <c r="E556" i="28"/>
  <c r="I52" i="9"/>
  <c r="E557" i="28"/>
  <c r="E558" i="28"/>
  <c r="E559" i="28"/>
  <c r="E560" i="28"/>
  <c r="I142" i="9" s="1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H581" i="28" s="1"/>
  <c r="E582" i="28"/>
  <c r="E583" i="28"/>
  <c r="E584" i="28"/>
  <c r="E585" i="28"/>
  <c r="E586" i="28"/>
  <c r="E587" i="28"/>
  <c r="E588" i="28"/>
  <c r="E589" i="28"/>
  <c r="E590" i="28"/>
  <c r="E591" i="28"/>
  <c r="I294" i="9" s="1"/>
  <c r="E592" i="28"/>
  <c r="E593" i="28"/>
  <c r="E594" i="28"/>
  <c r="E595" i="28"/>
  <c r="E596" i="28"/>
  <c r="E597" i="28"/>
  <c r="E598" i="28"/>
  <c r="E599" i="28"/>
  <c r="E600" i="28"/>
  <c r="I49" i="9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I617" i="9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I267" i="9"/>
  <c r="E646" i="28"/>
  <c r="I516" i="9" s="1"/>
  <c r="I431" i="9"/>
  <c r="E647" i="28"/>
  <c r="E648" i="28"/>
  <c r="H648" i="28" s="1"/>
  <c r="E649" i="28"/>
  <c r="E650" i="28"/>
  <c r="E651" i="28"/>
  <c r="E652" i="28"/>
  <c r="E653" i="28"/>
  <c r="E654" i="28"/>
  <c r="E655" i="28"/>
  <c r="E656" i="28"/>
  <c r="E657" i="28"/>
  <c r="I702" i="9"/>
  <c r="E658" i="28"/>
  <c r="I338" i="9"/>
  <c r="E659" i="28"/>
  <c r="H659" i="28" s="1"/>
  <c r="E660" i="28"/>
  <c r="E661" i="28"/>
  <c r="E662" i="28"/>
  <c r="E663" i="28"/>
  <c r="E664" i="28"/>
  <c r="E665" i="28"/>
  <c r="E666" i="28"/>
  <c r="E667" i="28"/>
  <c r="E668" i="28"/>
  <c r="E669" i="28"/>
  <c r="H669" i="28" s="1"/>
  <c r="E670" i="28"/>
  <c r="I586" i="9"/>
  <c r="E671" i="28"/>
  <c r="E672" i="28"/>
  <c r="E673" i="28"/>
  <c r="E674" i="28"/>
  <c r="E675" i="28"/>
  <c r="E676" i="28"/>
  <c r="E677" i="28"/>
  <c r="E678" i="28"/>
  <c r="E679" i="28"/>
  <c r="E680" i="28"/>
  <c r="E681" i="28"/>
  <c r="I263" i="9"/>
  <c r="E682" i="28"/>
  <c r="I48" i="9"/>
  <c r="E683" i="28"/>
  <c r="H683" i="28" s="1"/>
  <c r="E684" i="28"/>
  <c r="E685" i="28"/>
  <c r="E686" i="28"/>
  <c r="E687" i="28"/>
  <c r="E688" i="28"/>
  <c r="E689" i="28"/>
  <c r="E690" i="28"/>
  <c r="E691" i="28"/>
  <c r="E692" i="28"/>
  <c r="I15" i="9" s="1"/>
  <c r="E693" i="28"/>
  <c r="E694" i="28"/>
  <c r="E695" i="28"/>
  <c r="H695" i="28" s="1"/>
  <c r="E696" i="28"/>
  <c r="E697" i="28"/>
  <c r="E698" i="28"/>
  <c r="E699" i="28"/>
  <c r="E700" i="28"/>
  <c r="E701" i="28"/>
  <c r="E702" i="28"/>
  <c r="I664" i="9" s="1"/>
  <c r="E703" i="28"/>
  <c r="E704" i="28"/>
  <c r="I359" i="9"/>
  <c r="E705" i="28"/>
  <c r="E706" i="28"/>
  <c r="E707" i="28"/>
  <c r="E708" i="28"/>
  <c r="E709" i="28"/>
  <c r="E710" i="28"/>
  <c r="H710" i="28" s="1"/>
  <c r="E711" i="28"/>
  <c r="E712" i="28"/>
  <c r="E713" i="28"/>
  <c r="E714" i="28"/>
  <c r="E715" i="28"/>
  <c r="E716" i="28"/>
  <c r="E717" i="28"/>
  <c r="I465" i="9"/>
  <c r="E718" i="28"/>
  <c r="E719" i="28"/>
  <c r="E720" i="28"/>
  <c r="E721" i="28"/>
  <c r="E722" i="28"/>
  <c r="E723" i="28"/>
  <c r="F2" i="28"/>
  <c r="J622" i="9" s="1"/>
  <c r="F3" i="28"/>
  <c r="F4" i="28"/>
  <c r="F5" i="28"/>
  <c r="F6" i="28"/>
  <c r="F7" i="28"/>
  <c r="J22" i="9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J493" i="9" s="1"/>
  <c r="F26" i="28"/>
  <c r="H26" i="28" s="1"/>
  <c r="F27" i="28"/>
  <c r="F28" i="28"/>
  <c r="F29" i="28"/>
  <c r="F30" i="28"/>
  <c r="H30" i="28" s="1"/>
  <c r="F31" i="28"/>
  <c r="F32" i="28"/>
  <c r="F33" i="28"/>
  <c r="F34" i="28"/>
  <c r="F35" i="28"/>
  <c r="J569" i="9" s="1"/>
  <c r="F36" i="28"/>
  <c r="F37" i="28"/>
  <c r="F38" i="28"/>
  <c r="F39" i="28"/>
  <c r="F40" i="28"/>
  <c r="F41" i="28"/>
  <c r="F42" i="28"/>
  <c r="F43" i="28"/>
  <c r="F44" i="28"/>
  <c r="F45" i="28"/>
  <c r="J405" i="9" s="1"/>
  <c r="F46" i="28"/>
  <c r="F47" i="28"/>
  <c r="F48" i="28"/>
  <c r="F49" i="28"/>
  <c r="F50" i="28"/>
  <c r="F51" i="28"/>
  <c r="F52" i="28"/>
  <c r="J101" i="9" s="1"/>
  <c r="F53" i="28"/>
  <c r="J332" i="9"/>
  <c r="F54" i="28"/>
  <c r="F55" i="28"/>
  <c r="F56" i="28"/>
  <c r="F57" i="28"/>
  <c r="F58" i="28"/>
  <c r="F59" i="28"/>
  <c r="F60" i="28"/>
  <c r="F61" i="28"/>
  <c r="J125" i="9" s="1"/>
  <c r="F62" i="28"/>
  <c r="F63" i="28"/>
  <c r="F64" i="28"/>
  <c r="F65" i="28"/>
  <c r="F66" i="28"/>
  <c r="F67" i="28"/>
  <c r="F68" i="28"/>
  <c r="F69" i="28"/>
  <c r="F70" i="28"/>
  <c r="F71" i="28"/>
  <c r="J591" i="9" s="1"/>
  <c r="F72" i="28"/>
  <c r="F73" i="28"/>
  <c r="F74" i="28"/>
  <c r="F75" i="28"/>
  <c r="F76" i="28"/>
  <c r="F77" i="28"/>
  <c r="H77" i="28" s="1"/>
  <c r="F78" i="28"/>
  <c r="F79" i="28"/>
  <c r="J116" i="9"/>
  <c r="F80" i="28"/>
  <c r="F81" i="28"/>
  <c r="F82" i="28"/>
  <c r="F83" i="28"/>
  <c r="F84" i="28"/>
  <c r="F85" i="28"/>
  <c r="F86" i="28"/>
  <c r="F87" i="28"/>
  <c r="J5" i="9" s="1"/>
  <c r="F88" i="28"/>
  <c r="J65" i="9" s="1"/>
  <c r="F89" i="28"/>
  <c r="H89" i="28" s="1"/>
  <c r="F90" i="28"/>
  <c r="F91" i="28"/>
  <c r="J45" i="9" s="1"/>
  <c r="J53" i="9"/>
  <c r="F92" i="28"/>
  <c r="F93" i="28"/>
  <c r="F94" i="28"/>
  <c r="F95" i="28"/>
  <c r="F96" i="28"/>
  <c r="F97" i="28"/>
  <c r="F98" i="28"/>
  <c r="F99" i="28"/>
  <c r="F100" i="28"/>
  <c r="H100" i="28" s="1"/>
  <c r="F101" i="28"/>
  <c r="J122" i="9" s="1"/>
  <c r="F102" i="28"/>
  <c r="F103" i="28"/>
  <c r="F104" i="28"/>
  <c r="F105" i="28"/>
  <c r="F106" i="28"/>
  <c r="F107" i="28"/>
  <c r="F108" i="28"/>
  <c r="F109" i="28"/>
  <c r="F110" i="28"/>
  <c r="F111" i="28"/>
  <c r="J184" i="9" s="1"/>
  <c r="F112" i="28"/>
  <c r="F113" i="28"/>
  <c r="F114" i="28"/>
  <c r="F115" i="28"/>
  <c r="F116" i="28"/>
  <c r="H116" i="28" s="1"/>
  <c r="F117" i="28"/>
  <c r="J510" i="9" s="1"/>
  <c r="F118" i="28"/>
  <c r="J362" i="9" s="1"/>
  <c r="F119" i="28"/>
  <c r="F120" i="28"/>
  <c r="F121" i="28"/>
  <c r="F122" i="28"/>
  <c r="F123" i="28"/>
  <c r="F124" i="28"/>
  <c r="J469" i="9" s="1"/>
  <c r="F125" i="28"/>
  <c r="F126" i="28"/>
  <c r="J719" i="9" s="1"/>
  <c r="F127" i="28"/>
  <c r="F128" i="28"/>
  <c r="F129" i="28"/>
  <c r="F130" i="28"/>
  <c r="F131" i="28"/>
  <c r="F132" i="28"/>
  <c r="F133" i="28"/>
  <c r="F134" i="28"/>
  <c r="J43" i="9" s="1"/>
  <c r="F135" i="28"/>
  <c r="F136" i="28"/>
  <c r="F137" i="28"/>
  <c r="F138" i="28"/>
  <c r="J157" i="9" s="1"/>
  <c r="F139" i="28"/>
  <c r="F140" i="28"/>
  <c r="F141" i="28"/>
  <c r="J560" i="9" s="1"/>
  <c r="F142" i="28"/>
  <c r="F143" i="28"/>
  <c r="H143" i="28" s="1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J257" i="9" s="1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J252" i="9" s="1"/>
  <c r="F178" i="28"/>
  <c r="F179" i="28"/>
  <c r="F180" i="28"/>
  <c r="F181" i="28"/>
  <c r="J363" i="9" s="1"/>
  <c r="F182" i="28"/>
  <c r="F183" i="28"/>
  <c r="F184" i="28"/>
  <c r="F185" i="28"/>
  <c r="F186" i="28"/>
  <c r="J265" i="9" s="1"/>
  <c r="F187" i="28"/>
  <c r="J73" i="9" s="1"/>
  <c r="F188" i="28"/>
  <c r="J654" i="9" s="1"/>
  <c r="F189" i="28"/>
  <c r="F190" i="28"/>
  <c r="F191" i="28"/>
  <c r="F192" i="28"/>
  <c r="J451" i="9"/>
  <c r="F193" i="28"/>
  <c r="F194" i="28"/>
  <c r="F195" i="28"/>
  <c r="J64" i="9" s="1"/>
  <c r="F196" i="28"/>
  <c r="F197" i="28"/>
  <c r="F198" i="28"/>
  <c r="J538" i="9" s="1"/>
  <c r="F199" i="28"/>
  <c r="J276" i="9" s="1"/>
  <c r="F200" i="28"/>
  <c r="H200" i="28" s="1"/>
  <c r="F201" i="28"/>
  <c r="F202" i="28"/>
  <c r="J75" i="9" s="1"/>
  <c r="F203" i="28"/>
  <c r="J86" i="9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J8" i="9" s="1"/>
  <c r="F223" i="28"/>
  <c r="F224" i="28"/>
  <c r="F225" i="28"/>
  <c r="H225" i="28" s="1"/>
  <c r="F226" i="28"/>
  <c r="F227" i="28"/>
  <c r="F228" i="28"/>
  <c r="F229" i="28"/>
  <c r="F230" i="28"/>
  <c r="F231" i="28"/>
  <c r="F232" i="28"/>
  <c r="J532" i="9" s="1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H252" i="28" s="1"/>
  <c r="F253" i="28"/>
  <c r="F254" i="28"/>
  <c r="F255" i="28"/>
  <c r="F256" i="28"/>
  <c r="F257" i="28"/>
  <c r="F258" i="28"/>
  <c r="F259" i="28"/>
  <c r="F260" i="28"/>
  <c r="J354" i="9" s="1"/>
  <c r="F261" i="28"/>
  <c r="F262" i="28"/>
  <c r="J521" i="9" s="1"/>
  <c r="F263" i="28"/>
  <c r="J176" i="9" s="1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J307" i="9" s="1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J352" i="9"/>
  <c r="F290" i="28"/>
  <c r="F291" i="28"/>
  <c r="F292" i="28"/>
  <c r="F293" i="28"/>
  <c r="F294" i="28"/>
  <c r="F295" i="28"/>
  <c r="F296" i="28"/>
  <c r="F297" i="28"/>
  <c r="F298" i="28"/>
  <c r="F299" i="28"/>
  <c r="J573" i="9"/>
  <c r="F300" i="28"/>
  <c r="F301" i="28"/>
  <c r="F302" i="28"/>
  <c r="F303" i="28"/>
  <c r="F304" i="28"/>
  <c r="H304" i="28" s="1"/>
  <c r="F305" i="28"/>
  <c r="F306" i="28"/>
  <c r="J37" i="9" s="1"/>
  <c r="F307" i="28"/>
  <c r="F308" i="28"/>
  <c r="F309" i="28"/>
  <c r="F310" i="28"/>
  <c r="F311" i="28"/>
  <c r="F312" i="28"/>
  <c r="F313" i="28"/>
  <c r="F314" i="28"/>
  <c r="F315" i="28"/>
  <c r="F316" i="28"/>
  <c r="J681" i="9" s="1"/>
  <c r="F317" i="28"/>
  <c r="H317" i="28" s="1"/>
  <c r="F318" i="28"/>
  <c r="F319" i="28"/>
  <c r="F320" i="28"/>
  <c r="F321" i="28"/>
  <c r="F322" i="28"/>
  <c r="F323" i="28"/>
  <c r="F324" i="28"/>
  <c r="F325" i="28"/>
  <c r="J196" i="9"/>
  <c r="F326" i="28"/>
  <c r="F327" i="28"/>
  <c r="F328" i="28"/>
  <c r="H328" i="28" s="1"/>
  <c r="F329" i="28"/>
  <c r="F330" i="28"/>
  <c r="F331" i="28"/>
  <c r="F332" i="28"/>
  <c r="F333" i="28"/>
  <c r="F334" i="28"/>
  <c r="F335" i="28"/>
  <c r="F336" i="28"/>
  <c r="J364" i="9"/>
  <c r="F337" i="28"/>
  <c r="F338" i="28"/>
  <c r="F339" i="28"/>
  <c r="F340" i="28"/>
  <c r="F341" i="28"/>
  <c r="F342" i="28"/>
  <c r="F343" i="28"/>
  <c r="F344" i="28"/>
  <c r="F345" i="28"/>
  <c r="F346" i="28"/>
  <c r="F347" i="28"/>
  <c r="J615" i="9" s="1"/>
  <c r="F348" i="28"/>
  <c r="F349" i="28"/>
  <c r="F350" i="28"/>
  <c r="F351" i="28"/>
  <c r="F352" i="28"/>
  <c r="J462" i="9" s="1"/>
  <c r="F353" i="28"/>
  <c r="F354" i="28"/>
  <c r="H354" i="28" s="1"/>
  <c r="F355" i="28"/>
  <c r="F356" i="28"/>
  <c r="F357" i="28"/>
  <c r="F358" i="28"/>
  <c r="F359" i="28"/>
  <c r="F360" i="28"/>
  <c r="F361" i="28"/>
  <c r="F362" i="28"/>
  <c r="F363" i="28"/>
  <c r="J455" i="9" s="1"/>
  <c r="F364" i="28"/>
  <c r="F365" i="28"/>
  <c r="F366" i="28"/>
  <c r="F367" i="28"/>
  <c r="J222" i="9" s="1"/>
  <c r="J98" i="9"/>
  <c r="F368" i="28"/>
  <c r="F369" i="28"/>
  <c r="F370" i="28"/>
  <c r="F371" i="28"/>
  <c r="F372" i="28"/>
  <c r="F373" i="28"/>
  <c r="F374" i="28"/>
  <c r="F375" i="28"/>
  <c r="F376" i="28"/>
  <c r="F377" i="28"/>
  <c r="J470" i="9" s="1"/>
  <c r="F378" i="28"/>
  <c r="F379" i="28"/>
  <c r="J562" i="9" s="1"/>
  <c r="F380" i="28"/>
  <c r="F381" i="28"/>
  <c r="F382" i="28"/>
  <c r="F383" i="28"/>
  <c r="J164" i="9" s="1"/>
  <c r="F384" i="28"/>
  <c r="F385" i="28"/>
  <c r="F386" i="28"/>
  <c r="J171" i="9" s="1"/>
  <c r="F387" i="28"/>
  <c r="F388" i="28"/>
  <c r="F389" i="28"/>
  <c r="F390" i="28"/>
  <c r="J304" i="9" s="1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J396" i="9" s="1"/>
  <c r="F404" i="28"/>
  <c r="F405" i="28"/>
  <c r="J247" i="9" s="1"/>
  <c r="F406" i="28"/>
  <c r="F407" i="28"/>
  <c r="F408" i="28"/>
  <c r="J50" i="9" s="1"/>
  <c r="F409" i="28"/>
  <c r="F410" i="28"/>
  <c r="F411" i="28"/>
  <c r="F412" i="28"/>
  <c r="F413" i="28"/>
  <c r="F414" i="28"/>
  <c r="F415" i="28"/>
  <c r="J269" i="9" s="1"/>
  <c r="F416" i="28"/>
  <c r="F417" i="28"/>
  <c r="F418" i="28"/>
  <c r="F419" i="28"/>
  <c r="F420" i="28"/>
  <c r="F421" i="28"/>
  <c r="F422" i="28"/>
  <c r="J598" i="9" s="1"/>
  <c r="F423" i="28"/>
  <c r="F424" i="28"/>
  <c r="F425" i="28"/>
  <c r="H425" i="28" s="1"/>
  <c r="F426" i="28"/>
  <c r="F427" i="28"/>
  <c r="J85" i="9"/>
  <c r="F428" i="28"/>
  <c r="F429" i="28"/>
  <c r="F430" i="28"/>
  <c r="J309" i="9" s="1"/>
  <c r="F431" i="28"/>
  <c r="J118" i="9"/>
  <c r="F432" i="28"/>
  <c r="F433" i="28"/>
  <c r="J167" i="9" s="1"/>
  <c r="F434" i="28"/>
  <c r="F435" i="28"/>
  <c r="J702" i="9" s="1"/>
  <c r="F436" i="28"/>
  <c r="F437" i="28"/>
  <c r="F438" i="28"/>
  <c r="F439" i="28"/>
  <c r="J632" i="9"/>
  <c r="F440" i="28"/>
  <c r="F441" i="28"/>
  <c r="F442" i="28"/>
  <c r="F443" i="28"/>
  <c r="F444" i="28"/>
  <c r="F445" i="28"/>
  <c r="F446" i="28"/>
  <c r="F447" i="28"/>
  <c r="F448" i="28"/>
  <c r="J611" i="9" s="1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J152" i="9"/>
  <c r="F465" i="28"/>
  <c r="F466" i="28"/>
  <c r="F467" i="28"/>
  <c r="F468" i="28"/>
  <c r="F469" i="28"/>
  <c r="F470" i="28"/>
  <c r="J713" i="9" s="1"/>
  <c r="F471" i="28"/>
  <c r="F472" i="28"/>
  <c r="F473" i="28"/>
  <c r="F474" i="28"/>
  <c r="F475" i="28"/>
  <c r="J170" i="9"/>
  <c r="F476" i="28"/>
  <c r="J189" i="9"/>
  <c r="F477" i="28"/>
  <c r="F478" i="28"/>
  <c r="J334" i="9" s="1"/>
  <c r="F479" i="28"/>
  <c r="F480" i="28"/>
  <c r="J549" i="9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J200" i="9"/>
  <c r="F504" i="28"/>
  <c r="J179" i="9" s="1"/>
  <c r="F505" i="28"/>
  <c r="F506" i="28"/>
  <c r="J437" i="9" s="1"/>
  <c r="F507" i="28"/>
  <c r="F508" i="28"/>
  <c r="F509" i="28"/>
  <c r="F510" i="28"/>
  <c r="F511" i="28"/>
  <c r="F512" i="28"/>
  <c r="F513" i="28"/>
  <c r="F514" i="28"/>
  <c r="J193" i="9" s="1"/>
  <c r="F515" i="28"/>
  <c r="J249" i="9"/>
  <c r="F516" i="28"/>
  <c r="F517" i="28"/>
  <c r="F518" i="28"/>
  <c r="J616" i="9" s="1"/>
  <c r="F519" i="28"/>
  <c r="F520" i="28"/>
  <c r="F521" i="28"/>
  <c r="F522" i="28"/>
  <c r="J100" i="9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H536" i="28" s="1"/>
  <c r="F537" i="28"/>
  <c r="J653" i="9" s="1"/>
  <c r="F538" i="28"/>
  <c r="F539" i="28"/>
  <c r="F540" i="28"/>
  <c r="F541" i="28"/>
  <c r="F542" i="28"/>
  <c r="F543" i="28"/>
  <c r="F544" i="28"/>
  <c r="F545" i="28"/>
  <c r="F546" i="28"/>
  <c r="J574" i="9"/>
  <c r="F547" i="28"/>
  <c r="J104" i="9"/>
  <c r="F548" i="28"/>
  <c r="H548" i="28" s="1"/>
  <c r="F549" i="28"/>
  <c r="H549" i="28" s="1"/>
  <c r="F550" i="28"/>
  <c r="F551" i="28"/>
  <c r="F552" i="28"/>
  <c r="J151" i="9" s="1"/>
  <c r="F553" i="28"/>
  <c r="F554" i="28"/>
  <c r="J369" i="9"/>
  <c r="F555" i="28"/>
  <c r="F556" i="28"/>
  <c r="F557" i="28"/>
  <c r="F558" i="28"/>
  <c r="F559" i="28"/>
  <c r="J339" i="9" s="1"/>
  <c r="F560" i="28"/>
  <c r="F561" i="28"/>
  <c r="H561" i="28" s="1"/>
  <c r="F562" i="28"/>
  <c r="F563" i="28"/>
  <c r="F564" i="28"/>
  <c r="F565" i="28"/>
  <c r="F566" i="28"/>
  <c r="F567" i="28"/>
  <c r="F568" i="28"/>
  <c r="F569" i="28"/>
  <c r="F570" i="28"/>
  <c r="F571" i="28"/>
  <c r="F572" i="28"/>
  <c r="H572" i="28" s="1"/>
  <c r="F573" i="28"/>
  <c r="F574" i="28"/>
  <c r="F575" i="28"/>
  <c r="F576" i="28"/>
  <c r="F577" i="28"/>
  <c r="F578" i="28"/>
  <c r="F579" i="28"/>
  <c r="F580" i="28"/>
  <c r="F581" i="28"/>
  <c r="F582" i="28"/>
  <c r="F583" i="28"/>
  <c r="J546" i="9" s="1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J715" i="9"/>
  <c r="F600" i="28"/>
  <c r="F601" i="28"/>
  <c r="J312" i="9" s="1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H613" i="28" s="1"/>
  <c r="F614" i="28"/>
  <c r="F615" i="28"/>
  <c r="F616" i="28"/>
  <c r="F617" i="28"/>
  <c r="F618" i="28"/>
  <c r="F619" i="28"/>
  <c r="F620" i="28"/>
  <c r="F621" i="28"/>
  <c r="F622" i="28"/>
  <c r="F623" i="28"/>
  <c r="J199" i="9" s="1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J436" i="9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J79" i="9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J522" i="9"/>
  <c r="F672" i="28"/>
  <c r="J251" i="9" s="1"/>
  <c r="F673" i="28"/>
  <c r="F674" i="28"/>
  <c r="J544" i="9"/>
  <c r="F675" i="28"/>
  <c r="F676" i="28"/>
  <c r="F677" i="28"/>
  <c r="F678" i="28"/>
  <c r="J423" i="9"/>
  <c r="F679" i="28"/>
  <c r="F680" i="28"/>
  <c r="F681" i="28"/>
  <c r="F682" i="28"/>
  <c r="F683" i="28"/>
  <c r="F684" i="28"/>
  <c r="F685" i="28"/>
  <c r="J27" i="9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J664" i="9" s="1"/>
  <c r="F703" i="28"/>
  <c r="F704" i="28"/>
  <c r="F705" i="28"/>
  <c r="F706" i="28"/>
  <c r="F707" i="28"/>
  <c r="F708" i="28"/>
  <c r="J426" i="9"/>
  <c r="F709" i="28"/>
  <c r="F710" i="28"/>
  <c r="F711" i="28"/>
  <c r="F712" i="28"/>
  <c r="J459" i="9"/>
  <c r="F713" i="28"/>
  <c r="F714" i="28"/>
  <c r="F715" i="28"/>
  <c r="F716" i="28"/>
  <c r="F717" i="28"/>
  <c r="F718" i="28"/>
  <c r="F719" i="28"/>
  <c r="F720" i="28"/>
  <c r="F721" i="28"/>
  <c r="F722" i="28"/>
  <c r="F723" i="28"/>
  <c r="J289" i="9" s="1"/>
  <c r="G2" i="28"/>
  <c r="H2" i="28" s="1"/>
  <c r="G3" i="28"/>
  <c r="G4" i="28"/>
  <c r="G5" i="28"/>
  <c r="G6" i="28"/>
  <c r="K390" i="9" s="1"/>
  <c r="G7" i="28"/>
  <c r="G8" i="28"/>
  <c r="K60" i="9" s="1"/>
  <c r="G9" i="28"/>
  <c r="G10" i="28"/>
  <c r="G11" i="28"/>
  <c r="G12" i="28"/>
  <c r="G13" i="28"/>
  <c r="K602" i="9"/>
  <c r="G14" i="28"/>
  <c r="H14" i="28" s="1"/>
  <c r="G15" i="28"/>
  <c r="G16" i="28"/>
  <c r="G17" i="28"/>
  <c r="G18" i="28"/>
  <c r="G19" i="28"/>
  <c r="G20" i="28"/>
  <c r="G21" i="28"/>
  <c r="G22" i="28"/>
  <c r="K466" i="9" s="1"/>
  <c r="G23" i="28"/>
  <c r="K467" i="9" s="1"/>
  <c r="G24" i="28"/>
  <c r="H24" i="28"/>
  <c r="G25" i="28"/>
  <c r="K493" i="9" s="1"/>
  <c r="G26" i="28"/>
  <c r="G27" i="28"/>
  <c r="H27" i="28" s="1"/>
  <c r="G28" i="28"/>
  <c r="G29" i="28"/>
  <c r="G30" i="28"/>
  <c r="K451" i="9" s="1"/>
  <c r="G31" i="28"/>
  <c r="G32" i="28"/>
  <c r="G33" i="28"/>
  <c r="G34" i="28"/>
  <c r="G35" i="28"/>
  <c r="K569" i="9" s="1"/>
  <c r="G36" i="28"/>
  <c r="G37" i="28"/>
  <c r="G38" i="28"/>
  <c r="G39" i="28"/>
  <c r="G40" i="28"/>
  <c r="G41" i="28"/>
  <c r="G42" i="28"/>
  <c r="K478" i="9" s="1"/>
  <c r="G43" i="28"/>
  <c r="G44" i="28"/>
  <c r="G45" i="28"/>
  <c r="K405" i="9" s="1"/>
  <c r="G46" i="28"/>
  <c r="K697" i="9" s="1"/>
  <c r="G47" i="28"/>
  <c r="H47" i="28" s="1"/>
  <c r="G48" i="28"/>
  <c r="K494" i="9" s="1"/>
  <c r="G49" i="28"/>
  <c r="K370" i="9"/>
  <c r="G50" i="28"/>
  <c r="G51" i="28"/>
  <c r="G52" i="28"/>
  <c r="G53" i="28"/>
  <c r="G54" i="28"/>
  <c r="G55" i="28"/>
  <c r="G56" i="28"/>
  <c r="G57" i="28"/>
  <c r="H57" i="28" s="1"/>
  <c r="G58" i="28"/>
  <c r="G59" i="28"/>
  <c r="K220" i="9" s="1"/>
  <c r="H59" i="28"/>
  <c r="G60" i="28"/>
  <c r="G61" i="28"/>
  <c r="K125" i="9" s="1"/>
  <c r="G62" i="28"/>
  <c r="G63" i="28"/>
  <c r="G64" i="28"/>
  <c r="G65" i="28"/>
  <c r="G66" i="28"/>
  <c r="G67" i="28"/>
  <c r="K501" i="9" s="1"/>
  <c r="G68" i="28"/>
  <c r="G69" i="28"/>
  <c r="H69" i="28"/>
  <c r="G70" i="28"/>
  <c r="G71" i="28"/>
  <c r="G72" i="28"/>
  <c r="G73" i="28"/>
  <c r="G74" i="28"/>
  <c r="G75" i="28"/>
  <c r="G76" i="28"/>
  <c r="G77" i="28"/>
  <c r="G78" i="28"/>
  <c r="G79" i="28"/>
  <c r="G80" i="28"/>
  <c r="K444" i="9" s="1"/>
  <c r="G81" i="28"/>
  <c r="G82" i="28"/>
  <c r="G83" i="28"/>
  <c r="G84" i="28"/>
  <c r="G85" i="28"/>
  <c r="G86" i="28"/>
  <c r="K639" i="9" s="1"/>
  <c r="G87" i="28"/>
  <c r="G88" i="28"/>
  <c r="G89" i="28"/>
  <c r="G90" i="28"/>
  <c r="G91" i="28"/>
  <c r="G92" i="28"/>
  <c r="G93" i="28"/>
  <c r="G94" i="28"/>
  <c r="G95" i="28"/>
  <c r="G96" i="28"/>
  <c r="H96" i="28" s="1"/>
  <c r="G97" i="28"/>
  <c r="G98" i="28"/>
  <c r="G99" i="28"/>
  <c r="G100" i="28"/>
  <c r="G101" i="28"/>
  <c r="G102" i="28"/>
  <c r="G103" i="28"/>
  <c r="G104" i="28"/>
  <c r="G105" i="28"/>
  <c r="G106" i="28"/>
  <c r="G107" i="28"/>
  <c r="G108" i="28"/>
  <c r="G109" i="28"/>
  <c r="K531" i="9"/>
  <c r="G110" i="28"/>
  <c r="G111" i="28"/>
  <c r="G112" i="28"/>
  <c r="K626" i="9" s="1"/>
  <c r="H112" i="28"/>
  <c r="G113" i="28"/>
  <c r="G114" i="28"/>
  <c r="G115" i="28"/>
  <c r="G116" i="28"/>
  <c r="G117" i="28"/>
  <c r="K510" i="9" s="1"/>
  <c r="G118" i="28"/>
  <c r="K362" i="9" s="1"/>
  <c r="G119" i="28"/>
  <c r="G120" i="28"/>
  <c r="G121" i="28"/>
  <c r="G122" i="28"/>
  <c r="G123" i="28"/>
  <c r="H123" i="28" s="1"/>
  <c r="G124" i="28"/>
  <c r="G125" i="28"/>
  <c r="G126" i="28"/>
  <c r="G127" i="28"/>
  <c r="G128" i="28"/>
  <c r="K418" i="9" s="1"/>
  <c r="G129" i="28"/>
  <c r="G130" i="28"/>
  <c r="G131" i="28"/>
  <c r="K689" i="9" s="1"/>
  <c r="G132" i="28"/>
  <c r="G133" i="28"/>
  <c r="G134" i="28"/>
  <c r="K43" i="9"/>
  <c r="G135" i="28"/>
  <c r="G136" i="28"/>
  <c r="G137" i="28"/>
  <c r="G138" i="28"/>
  <c r="G139" i="28"/>
  <c r="G140" i="28"/>
  <c r="G141" i="28"/>
  <c r="G142" i="28"/>
  <c r="G143" i="28"/>
  <c r="G144" i="28"/>
  <c r="G145" i="28"/>
  <c r="G146" i="28"/>
  <c r="K314" i="9" s="1"/>
  <c r="K469" i="9"/>
  <c r="G147" i="28"/>
  <c r="K98" i="9" s="1"/>
  <c r="G148" i="28"/>
  <c r="K158" i="9" s="1"/>
  <c r="G149" i="28"/>
  <c r="G150" i="28"/>
  <c r="G151" i="28"/>
  <c r="G152" i="28"/>
  <c r="G153" i="28"/>
  <c r="G154" i="28"/>
  <c r="G155" i="28"/>
  <c r="G156" i="28"/>
  <c r="G157" i="28"/>
  <c r="G158" i="28"/>
  <c r="H158" i="28"/>
  <c r="G159" i="28"/>
  <c r="K315" i="9" s="1"/>
  <c r="G160" i="28"/>
  <c r="G161" i="28"/>
  <c r="G162" i="28"/>
  <c r="G163" i="28"/>
  <c r="G164" i="28"/>
  <c r="G165" i="28"/>
  <c r="G166" i="28"/>
  <c r="K86" i="9" s="1"/>
  <c r="G167" i="28"/>
  <c r="G168" i="28"/>
  <c r="G169" i="28"/>
  <c r="G170" i="28"/>
  <c r="G171" i="28"/>
  <c r="G172" i="28"/>
  <c r="G173" i="28"/>
  <c r="G174" i="28"/>
  <c r="G175" i="28"/>
  <c r="G176" i="28"/>
  <c r="G177" i="28"/>
  <c r="G178" i="28"/>
  <c r="G179" i="28"/>
  <c r="G180" i="28"/>
  <c r="G181" i="28"/>
  <c r="G182" i="28"/>
  <c r="G183" i="28"/>
  <c r="K709" i="9"/>
  <c r="G184" i="28"/>
  <c r="K7" i="9" s="1"/>
  <c r="G185" i="28"/>
  <c r="G186" i="28"/>
  <c r="K265" i="9" s="1"/>
  <c r="G187" i="28"/>
  <c r="G188" i="28"/>
  <c r="G189" i="28"/>
  <c r="G190" i="28"/>
  <c r="G191" i="28"/>
  <c r="G192" i="28"/>
  <c r="G193" i="28"/>
  <c r="G194" i="28"/>
  <c r="G195" i="28"/>
  <c r="K64" i="9" s="1"/>
  <c r="K245" i="9"/>
  <c r="G196" i="28"/>
  <c r="H196" i="28"/>
  <c r="G197" i="28"/>
  <c r="G198" i="28"/>
  <c r="G199" i="28"/>
  <c r="G200" i="28"/>
  <c r="G201" i="28"/>
  <c r="G202" i="28"/>
  <c r="G203" i="28"/>
  <c r="G204" i="28"/>
  <c r="G205" i="28"/>
  <c r="G206" i="28"/>
  <c r="G207" i="28"/>
  <c r="K168" i="9"/>
  <c r="G208" i="28"/>
  <c r="H208" i="28" s="1"/>
  <c r="G209" i="28"/>
  <c r="G210" i="28"/>
  <c r="G211" i="28"/>
  <c r="G212" i="28"/>
  <c r="G213" i="28"/>
  <c r="G214" i="28"/>
  <c r="G215" i="28"/>
  <c r="G216" i="28"/>
  <c r="G217" i="28"/>
  <c r="G218" i="28"/>
  <c r="G219" i="28"/>
  <c r="G220" i="28"/>
  <c r="H220" i="28" s="1"/>
  <c r="G221" i="28"/>
  <c r="G222" i="28"/>
  <c r="K8" i="9" s="1"/>
  <c r="G223" i="28"/>
  <c r="G224" i="28"/>
  <c r="G225" i="28"/>
  <c r="G226" i="28"/>
  <c r="K140" i="9" s="1"/>
  <c r="G227" i="28"/>
  <c r="G228" i="28"/>
  <c r="G229" i="28"/>
  <c r="G230" i="28"/>
  <c r="G231" i="28"/>
  <c r="G232" i="28"/>
  <c r="G233" i="28"/>
  <c r="K196" i="9" s="1"/>
  <c r="G234" i="28"/>
  <c r="G235" i="28"/>
  <c r="K141" i="9" s="1"/>
  <c r="G236" i="28"/>
  <c r="G237" i="28"/>
  <c r="G238" i="28"/>
  <c r="G239" i="28"/>
  <c r="G240" i="28"/>
  <c r="G241" i="28"/>
  <c r="G242" i="28"/>
  <c r="G243" i="28"/>
  <c r="G244" i="28"/>
  <c r="G245" i="28"/>
  <c r="G246" i="28"/>
  <c r="G247" i="28"/>
  <c r="G248" i="28"/>
  <c r="K175" i="9" s="1"/>
  <c r="G249" i="28"/>
  <c r="K442" i="9"/>
  <c r="G250" i="28"/>
  <c r="G251" i="28"/>
  <c r="K486" i="9" s="1"/>
  <c r="G252" i="28"/>
  <c r="G253" i="28"/>
  <c r="G254" i="28"/>
  <c r="G255" i="28"/>
  <c r="G256" i="28"/>
  <c r="G257" i="28"/>
  <c r="G258" i="28"/>
  <c r="G259" i="28"/>
  <c r="G260" i="28"/>
  <c r="K354" i="9" s="1"/>
  <c r="G261" i="28"/>
  <c r="G262" i="28"/>
  <c r="K521" i="9" s="1"/>
  <c r="G263" i="28"/>
  <c r="K176" i="9" s="1"/>
  <c r="G264" i="28"/>
  <c r="G265" i="28"/>
  <c r="G266" i="28"/>
  <c r="G267" i="28"/>
  <c r="G268" i="28"/>
  <c r="G269" i="28"/>
  <c r="K173" i="9" s="1"/>
  <c r="G270" i="28"/>
  <c r="G271" i="28"/>
  <c r="G272" i="28"/>
  <c r="G273" i="28"/>
  <c r="G274" i="28"/>
  <c r="G275" i="28"/>
  <c r="K307" i="9" s="1"/>
  <c r="G276" i="28"/>
  <c r="G277" i="28"/>
  <c r="G278" i="28"/>
  <c r="G279" i="28"/>
  <c r="K690" i="9" s="1"/>
  <c r="G280" i="28"/>
  <c r="G281" i="28"/>
  <c r="G282" i="28"/>
  <c r="G283" i="28"/>
  <c r="G284" i="28"/>
  <c r="G285" i="28"/>
  <c r="G286" i="28"/>
  <c r="K657" i="9" s="1"/>
  <c r="G287" i="28"/>
  <c r="K78" i="9" s="1"/>
  <c r="G288" i="28"/>
  <c r="G289" i="28"/>
  <c r="K352" i="9"/>
  <c r="G290" i="28"/>
  <c r="G291" i="28"/>
  <c r="G292" i="28"/>
  <c r="G293" i="28"/>
  <c r="G294" i="28"/>
  <c r="G295" i="28"/>
  <c r="G296" i="28"/>
  <c r="G297" i="28"/>
  <c r="G298" i="28"/>
  <c r="G299" i="28"/>
  <c r="G300" i="28"/>
  <c r="G301" i="28"/>
  <c r="G302" i="28"/>
  <c r="G303" i="28"/>
  <c r="G304" i="28"/>
  <c r="G305" i="28"/>
  <c r="K443" i="9" s="1"/>
  <c r="G306" i="28"/>
  <c r="G307" i="28"/>
  <c r="G308" i="28"/>
  <c r="K595" i="9" s="1"/>
  <c r="G309" i="28"/>
  <c r="G310" i="28"/>
  <c r="G311" i="28"/>
  <c r="G312" i="28"/>
  <c r="G313" i="28"/>
  <c r="K182" i="9" s="1"/>
  <c r="G314" i="28"/>
  <c r="G315" i="28"/>
  <c r="G316" i="28"/>
  <c r="G317" i="28"/>
  <c r="G318" i="28"/>
  <c r="H318" i="28" s="1"/>
  <c r="G319" i="28"/>
  <c r="G320" i="28"/>
  <c r="G321" i="28"/>
  <c r="G322" i="28"/>
  <c r="G323" i="28"/>
  <c r="G324" i="28"/>
  <c r="G325" i="28"/>
  <c r="G326" i="28"/>
  <c r="G327" i="28"/>
  <c r="G328" i="28"/>
  <c r="G329" i="28"/>
  <c r="G330" i="28"/>
  <c r="G331" i="28"/>
  <c r="G332" i="28"/>
  <c r="G333" i="28"/>
  <c r="G334" i="28"/>
  <c r="G335" i="28"/>
  <c r="G336" i="28"/>
  <c r="G337" i="28"/>
  <c r="K703" i="9"/>
  <c r="G338" i="28"/>
  <c r="G339" i="28"/>
  <c r="G340" i="28"/>
  <c r="G341" i="28"/>
  <c r="G342" i="28"/>
  <c r="G343" i="28"/>
  <c r="G344" i="28"/>
  <c r="G345" i="28"/>
  <c r="H345" i="28"/>
  <c r="G346" i="28"/>
  <c r="G347" i="28"/>
  <c r="K615" i="9"/>
  <c r="G348" i="28"/>
  <c r="G349" i="28"/>
  <c r="G350" i="28"/>
  <c r="K666" i="9" s="1"/>
  <c r="G351" i="28"/>
  <c r="G352" i="28"/>
  <c r="G353" i="28"/>
  <c r="G354" i="28"/>
  <c r="G355" i="28"/>
  <c r="G356" i="28"/>
  <c r="G357" i="28"/>
  <c r="G358" i="28"/>
  <c r="G359" i="28"/>
  <c r="G360" i="28"/>
  <c r="G361" i="28"/>
  <c r="G362" i="28"/>
  <c r="G363" i="28"/>
  <c r="G364" i="28"/>
  <c r="K317" i="9" s="1"/>
  <c r="G365" i="28"/>
  <c r="G366" i="28"/>
  <c r="G367" i="28"/>
  <c r="G368" i="28"/>
  <c r="G369" i="28"/>
  <c r="G370" i="28"/>
  <c r="G371" i="28"/>
  <c r="G372" i="28"/>
  <c r="G373" i="28"/>
  <c r="G374" i="28"/>
  <c r="G375" i="28"/>
  <c r="G376" i="28"/>
  <c r="G377" i="28"/>
  <c r="G378" i="28"/>
  <c r="G379" i="28"/>
  <c r="K562" i="9" s="1"/>
  <c r="G380" i="28"/>
  <c r="G381" i="28"/>
  <c r="G382" i="28"/>
  <c r="K572" i="9" s="1"/>
  <c r="G383" i="28"/>
  <c r="K164" i="9" s="1"/>
  <c r="G384" i="28"/>
  <c r="G385" i="28"/>
  <c r="G386" i="28"/>
  <c r="G387" i="28"/>
  <c r="K181" i="9"/>
  <c r="G388" i="28"/>
  <c r="G389" i="28"/>
  <c r="K261" i="9" s="1"/>
  <c r="G390" i="28"/>
  <c r="G391" i="28"/>
  <c r="G392" i="28"/>
  <c r="G393" i="28"/>
  <c r="G394" i="28"/>
  <c r="G395" i="28"/>
  <c r="K589" i="9" s="1"/>
  <c r="G396" i="28"/>
  <c r="G397" i="28"/>
  <c r="G398" i="28"/>
  <c r="K633" i="9" s="1"/>
  <c r="G399" i="28"/>
  <c r="K715" i="9" s="1"/>
  <c r="G400" i="28"/>
  <c r="K49" i="9" s="1"/>
  <c r="G401" i="28"/>
  <c r="G402" i="28"/>
  <c r="G403" i="28"/>
  <c r="G404" i="28"/>
  <c r="G405" i="28"/>
  <c r="G406" i="28"/>
  <c r="G407" i="28"/>
  <c r="K329" i="9" s="1"/>
  <c r="G408" i="28"/>
  <c r="G409" i="28"/>
  <c r="G410" i="28"/>
  <c r="K725" i="9" s="1"/>
  <c r="H410" i="28"/>
  <c r="G411" i="28"/>
  <c r="G412" i="28"/>
  <c r="H412" i="28" s="1"/>
  <c r="G413" i="28"/>
  <c r="G414" i="28"/>
  <c r="G415" i="28"/>
  <c r="K269" i="9" s="1"/>
  <c r="G416" i="28"/>
  <c r="G417" i="28"/>
  <c r="G418" i="28"/>
  <c r="G419" i="28"/>
  <c r="K337" i="9" s="1"/>
  <c r="G420" i="28"/>
  <c r="G421" i="28"/>
  <c r="G422" i="28"/>
  <c r="K598" i="9" s="1"/>
  <c r="G423" i="28"/>
  <c r="G424" i="28"/>
  <c r="G425" i="28"/>
  <c r="K436" i="9" s="1"/>
  <c r="G426" i="28"/>
  <c r="G427" i="28"/>
  <c r="G428" i="28"/>
  <c r="G429" i="28"/>
  <c r="G430" i="28"/>
  <c r="G431" i="28"/>
  <c r="G432" i="28"/>
  <c r="G433" i="28"/>
  <c r="K167" i="9" s="1"/>
  <c r="G434" i="28"/>
  <c r="G435" i="28"/>
  <c r="K702" i="9" s="1"/>
  <c r="G436" i="28"/>
  <c r="G437" i="28"/>
  <c r="G438" i="28"/>
  <c r="G439" i="28"/>
  <c r="H439" i="28" s="1"/>
  <c r="G440" i="28"/>
  <c r="G441" i="28"/>
  <c r="G442" i="28"/>
  <c r="G443" i="28"/>
  <c r="G444" i="28"/>
  <c r="G445" i="28"/>
  <c r="G446" i="28"/>
  <c r="G447" i="28"/>
  <c r="G448" i="28"/>
  <c r="G449" i="28"/>
  <c r="G450" i="28"/>
  <c r="G451" i="28"/>
  <c r="G452" i="28"/>
  <c r="G453" i="28"/>
  <c r="G454" i="28"/>
  <c r="G455" i="28"/>
  <c r="K464" i="9" s="1"/>
  <c r="G456" i="28"/>
  <c r="G457" i="28"/>
  <c r="K293" i="9" s="1"/>
  <c r="G458" i="28"/>
  <c r="G459" i="28"/>
  <c r="G460" i="28"/>
  <c r="G461" i="28"/>
  <c r="G462" i="28"/>
  <c r="K99" i="9" s="1"/>
  <c r="G463" i="28"/>
  <c r="G464" i="28"/>
  <c r="G465" i="28"/>
  <c r="K20" i="9" s="1"/>
  <c r="G466" i="28"/>
  <c r="K256" i="9"/>
  <c r="G467" i="28"/>
  <c r="G468" i="28"/>
  <c r="G469" i="28"/>
  <c r="G470" i="28"/>
  <c r="G471" i="28"/>
  <c r="G472" i="28"/>
  <c r="G473" i="28"/>
  <c r="G474" i="28"/>
  <c r="G475" i="28"/>
  <c r="G476" i="28"/>
  <c r="G477" i="28"/>
  <c r="G478" i="28"/>
  <c r="K334" i="9" s="1"/>
  <c r="G479" i="28"/>
  <c r="G480" i="28"/>
  <c r="G481" i="28"/>
  <c r="K61" i="9" s="1"/>
  <c r="G482" i="28"/>
  <c r="G483" i="28"/>
  <c r="G484" i="28"/>
  <c r="G485" i="28"/>
  <c r="G486" i="28"/>
  <c r="G487" i="28"/>
  <c r="G488" i="28"/>
  <c r="G489" i="28"/>
  <c r="G490" i="28"/>
  <c r="G491" i="28"/>
  <c r="G492" i="28"/>
  <c r="G493" i="28"/>
  <c r="G494" i="28"/>
  <c r="G495" i="28"/>
  <c r="G496" i="28"/>
  <c r="G497" i="28"/>
  <c r="G498" i="28"/>
  <c r="G499" i="28"/>
  <c r="G500" i="28"/>
  <c r="G501" i="28"/>
  <c r="G502" i="28"/>
  <c r="K159" i="9"/>
  <c r="G503" i="28"/>
  <c r="G504" i="28"/>
  <c r="K179" i="9" s="1"/>
  <c r="G505" i="28"/>
  <c r="G506" i="28"/>
  <c r="G507" i="28"/>
  <c r="G508" i="28"/>
  <c r="G509" i="28"/>
  <c r="K68" i="9" s="1"/>
  <c r="G510" i="28"/>
  <c r="G511" i="28"/>
  <c r="G512" i="28"/>
  <c r="G513" i="28"/>
  <c r="G514" i="28"/>
  <c r="K193" i="9" s="1"/>
  <c r="G515" i="28"/>
  <c r="G516" i="28"/>
  <c r="G517" i="28"/>
  <c r="G518" i="28"/>
  <c r="K616" i="9" s="1"/>
  <c r="G519" i="28"/>
  <c r="K682" i="9" s="1"/>
  <c r="K533" i="9"/>
  <c r="G520" i="28"/>
  <c r="G521" i="28"/>
  <c r="G522" i="28"/>
  <c r="G523" i="28"/>
  <c r="G524" i="28"/>
  <c r="G525" i="28"/>
  <c r="G526" i="28"/>
  <c r="G527" i="28"/>
  <c r="G528" i="28"/>
  <c r="G529" i="28"/>
  <c r="G530" i="28"/>
  <c r="G531" i="28"/>
  <c r="G532" i="28"/>
  <c r="G533" i="28"/>
  <c r="G534" i="28"/>
  <c r="G535" i="28"/>
  <c r="G536" i="28"/>
  <c r="G537" i="28"/>
  <c r="G538" i="28"/>
  <c r="G539" i="28"/>
  <c r="G540" i="28"/>
  <c r="G541" i="28"/>
  <c r="G542" i="28"/>
  <c r="G543" i="28"/>
  <c r="G544" i="28"/>
  <c r="G545" i="28"/>
  <c r="G546" i="28"/>
  <c r="G547" i="28"/>
  <c r="G548" i="28"/>
  <c r="G549" i="28"/>
  <c r="G550" i="28"/>
  <c r="G551" i="28"/>
  <c r="G552" i="28"/>
  <c r="G553" i="28"/>
  <c r="G554" i="28"/>
  <c r="K369" i="9"/>
  <c r="G555" i="28"/>
  <c r="K400" i="9" s="1"/>
  <c r="K470" i="9"/>
  <c r="G556" i="28"/>
  <c r="G557" i="28"/>
  <c r="G558" i="28"/>
  <c r="G559" i="28"/>
  <c r="G560" i="28"/>
  <c r="G561" i="28"/>
  <c r="G562" i="28"/>
  <c r="G563" i="28"/>
  <c r="G564" i="28"/>
  <c r="G565" i="28"/>
  <c r="K37" i="9"/>
  <c r="G566" i="28"/>
  <c r="G567" i="28"/>
  <c r="G568" i="28"/>
  <c r="G569" i="28"/>
  <c r="G570" i="28"/>
  <c r="G571" i="28"/>
  <c r="G572" i="28"/>
  <c r="G573" i="28"/>
  <c r="G574" i="28"/>
  <c r="G575" i="28"/>
  <c r="G576" i="28"/>
  <c r="K482" i="9" s="1"/>
  <c r="G577" i="28"/>
  <c r="G578" i="28"/>
  <c r="G579" i="28"/>
  <c r="G580" i="28"/>
  <c r="K66" i="9"/>
  <c r="G581" i="28"/>
  <c r="G582" i="28"/>
  <c r="G583" i="28"/>
  <c r="G584" i="28"/>
  <c r="G585" i="28"/>
  <c r="G586" i="28"/>
  <c r="G587" i="28"/>
  <c r="G588" i="28"/>
  <c r="G589" i="28"/>
  <c r="G590" i="28"/>
  <c r="H590" i="28" s="1"/>
  <c r="G591" i="28"/>
  <c r="K409" i="9"/>
  <c r="G592" i="28"/>
  <c r="G593" i="28"/>
  <c r="G594" i="28"/>
  <c r="G595" i="28"/>
  <c r="G596" i="28"/>
  <c r="G597" i="28"/>
  <c r="G598" i="28"/>
  <c r="G599" i="28"/>
  <c r="G600" i="28"/>
  <c r="G601" i="28"/>
  <c r="K312" i="9" s="1"/>
  <c r="G602" i="28"/>
  <c r="G603" i="28"/>
  <c r="G604" i="28"/>
  <c r="G605" i="28"/>
  <c r="G606" i="28"/>
  <c r="G607" i="28"/>
  <c r="G608" i="28"/>
  <c r="G609" i="28"/>
  <c r="G610" i="28"/>
  <c r="G611" i="28"/>
  <c r="G612" i="28"/>
  <c r="G613" i="28"/>
  <c r="G614" i="28"/>
  <c r="G615" i="28"/>
  <c r="G616" i="28"/>
  <c r="G617" i="28"/>
  <c r="G618" i="28"/>
  <c r="G619" i="28"/>
  <c r="G620" i="28"/>
  <c r="G621" i="28"/>
  <c r="G622" i="28"/>
  <c r="G623" i="28"/>
  <c r="K199" i="9" s="1"/>
  <c r="G624" i="28"/>
  <c r="G625" i="28"/>
  <c r="G626" i="28"/>
  <c r="G627" i="28"/>
  <c r="G628" i="28"/>
  <c r="G629" i="28"/>
  <c r="H629" i="28" s="1"/>
  <c r="G630" i="28"/>
  <c r="H630" i="28"/>
  <c r="G631" i="28"/>
  <c r="G632" i="28"/>
  <c r="G633" i="28"/>
  <c r="G634" i="28"/>
  <c r="G635" i="28"/>
  <c r="G636" i="28"/>
  <c r="G637" i="28"/>
  <c r="G638" i="28"/>
  <c r="G639" i="28"/>
  <c r="G640" i="28"/>
  <c r="K553" i="9"/>
  <c r="G641" i="28"/>
  <c r="H641" i="28" s="1"/>
  <c r="G642" i="28"/>
  <c r="G643" i="28"/>
  <c r="G644" i="28"/>
  <c r="K94" i="9"/>
  <c r="G645" i="28"/>
  <c r="G646" i="28"/>
  <c r="G647" i="28"/>
  <c r="G648" i="28"/>
  <c r="G649" i="28"/>
  <c r="G650" i="28"/>
  <c r="G651" i="28"/>
  <c r="G652" i="28"/>
  <c r="K586" i="9" s="1"/>
  <c r="G653" i="28"/>
  <c r="G654" i="28"/>
  <c r="K263" i="9" s="1"/>
  <c r="G655" i="28"/>
  <c r="G656" i="28"/>
  <c r="G657" i="28"/>
  <c r="G658" i="28"/>
  <c r="K357" i="9" s="1"/>
  <c r="G659" i="28"/>
  <c r="G660" i="28"/>
  <c r="G661" i="28"/>
  <c r="G662" i="28"/>
  <c r="G663" i="28"/>
  <c r="G664" i="28"/>
  <c r="G665" i="28"/>
  <c r="K89" i="9"/>
  <c r="G666" i="28"/>
  <c r="G667" i="28"/>
  <c r="G668" i="28"/>
  <c r="G669" i="28"/>
  <c r="G670" i="28"/>
  <c r="G671" i="28"/>
  <c r="G672" i="28"/>
  <c r="G673" i="28"/>
  <c r="G674" i="28"/>
  <c r="G675" i="28"/>
  <c r="G676" i="28"/>
  <c r="G677" i="28"/>
  <c r="K224" i="9"/>
  <c r="G678" i="28"/>
  <c r="G679" i="28"/>
  <c r="G680" i="28"/>
  <c r="G681" i="28"/>
  <c r="G682" i="28"/>
  <c r="G683" i="28"/>
  <c r="G684" i="28"/>
  <c r="G685" i="28"/>
  <c r="G686" i="28"/>
  <c r="G687" i="28"/>
  <c r="G688" i="28"/>
  <c r="G689" i="28"/>
  <c r="G690" i="28"/>
  <c r="G691" i="28"/>
  <c r="G692" i="28"/>
  <c r="G693" i="28"/>
  <c r="G694" i="28"/>
  <c r="G695" i="28"/>
  <c r="G696" i="28"/>
  <c r="K637" i="9"/>
  <c r="G697" i="28"/>
  <c r="G698" i="28"/>
  <c r="G699" i="28"/>
  <c r="G700" i="28"/>
  <c r="G701" i="28"/>
  <c r="K157" i="9"/>
  <c r="G702" i="28"/>
  <c r="K535" i="9"/>
  <c r="K142" i="9"/>
  <c r="G703" i="28"/>
  <c r="G704" i="28"/>
  <c r="G705" i="28"/>
  <c r="G706" i="28"/>
  <c r="G707" i="28"/>
  <c r="G708" i="28"/>
  <c r="G709" i="28"/>
  <c r="H709" i="28" s="1"/>
  <c r="K719" i="9"/>
  <c r="G710" i="28"/>
  <c r="G711" i="28"/>
  <c r="G712" i="28"/>
  <c r="G713" i="28"/>
  <c r="G714" i="28"/>
  <c r="G715" i="28"/>
  <c r="G716" i="28"/>
  <c r="K101" i="9"/>
  <c r="G717" i="28"/>
  <c r="G718" i="28"/>
  <c r="G719" i="28"/>
  <c r="G720" i="28"/>
  <c r="G721" i="28"/>
  <c r="G722" i="28"/>
  <c r="G723" i="28"/>
  <c r="H124" i="28"/>
  <c r="H125" i="28"/>
  <c r="H142" i="28"/>
  <c r="H156" i="28"/>
  <c r="H209" i="28"/>
  <c r="H214" i="28"/>
  <c r="H226" i="28"/>
  <c r="H564" i="28"/>
  <c r="H617" i="28"/>
  <c r="H621" i="28"/>
  <c r="H653" i="28"/>
  <c r="P662" i="9"/>
  <c r="P145" i="9"/>
  <c r="P104" i="9"/>
  <c r="P112" i="9"/>
  <c r="P569" i="9"/>
  <c r="I199" i="9"/>
  <c r="I312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Z312" i="9"/>
  <c r="Z354" i="9"/>
  <c r="Z431" i="9"/>
  <c r="Z615" i="9"/>
  <c r="Z518" i="9"/>
  <c r="Z251" i="9"/>
  <c r="Z334" i="9"/>
  <c r="Z562" i="9"/>
  <c r="Z98" i="9"/>
  <c r="Z470" i="9"/>
  <c r="Z7" i="9"/>
  <c r="Z49" i="9"/>
  <c r="Z193" i="9"/>
  <c r="Z707" i="9"/>
  <c r="Z294" i="9"/>
  <c r="Z367" i="9"/>
  <c r="Z176" i="9"/>
  <c r="Z37" i="9"/>
  <c r="Z15" i="9"/>
  <c r="Z601" i="9"/>
  <c r="Z368" i="9"/>
  <c r="Z48" i="9"/>
  <c r="Z436" i="9"/>
  <c r="Z101" i="9"/>
  <c r="Z27" i="9"/>
  <c r="Z75" i="9"/>
  <c r="Z339" i="9"/>
  <c r="Z199" i="9"/>
  <c r="Z574" i="9"/>
  <c r="Z405" i="9"/>
  <c r="Z69" i="9"/>
  <c r="Z157" i="9"/>
  <c r="Z142" i="9"/>
  <c r="Z616" i="9"/>
  <c r="Z418" i="9"/>
  <c r="Z702" i="9"/>
  <c r="Z719" i="9"/>
  <c r="Z289" i="9"/>
  <c r="Z125" i="9"/>
  <c r="Z261" i="9"/>
  <c r="W312" i="9"/>
  <c r="W354" i="9"/>
  <c r="W431" i="9"/>
  <c r="W615" i="9"/>
  <c r="W518" i="9"/>
  <c r="W251" i="9"/>
  <c r="W334" i="9"/>
  <c r="W562" i="9"/>
  <c r="W98" i="9"/>
  <c r="W470" i="9"/>
  <c r="W7" i="9"/>
  <c r="W49" i="9"/>
  <c r="W193" i="9"/>
  <c r="W707" i="9"/>
  <c r="W294" i="9"/>
  <c r="W367" i="9"/>
  <c r="W176" i="9"/>
  <c r="W37" i="9"/>
  <c r="W15" i="9"/>
  <c r="W601" i="9"/>
  <c r="W368" i="9"/>
  <c r="W48" i="9"/>
  <c r="W436" i="9"/>
  <c r="W101" i="9"/>
  <c r="W27" i="9"/>
  <c r="W75" i="9"/>
  <c r="W339" i="9"/>
  <c r="W199" i="9"/>
  <c r="W574" i="9"/>
  <c r="W405" i="9"/>
  <c r="W69" i="9"/>
  <c r="W157" i="9"/>
  <c r="W142" i="9"/>
  <c r="W616" i="9"/>
  <c r="W418" i="9"/>
  <c r="W702" i="9"/>
  <c r="W719" i="9"/>
  <c r="W289" i="9"/>
  <c r="W125" i="9"/>
  <c r="W261" i="9"/>
  <c r="V312" i="9"/>
  <c r="V354" i="9"/>
  <c r="V431" i="9"/>
  <c r="V615" i="9"/>
  <c r="V518" i="9"/>
  <c r="V251" i="9"/>
  <c r="V334" i="9"/>
  <c r="V562" i="9"/>
  <c r="V98" i="9"/>
  <c r="V470" i="9"/>
  <c r="V7" i="9"/>
  <c r="V49" i="9"/>
  <c r="V193" i="9"/>
  <c r="V707" i="9"/>
  <c r="V294" i="9"/>
  <c r="V367" i="9"/>
  <c r="V176" i="9"/>
  <c r="V37" i="9"/>
  <c r="V15" i="9"/>
  <c r="V601" i="9"/>
  <c r="V368" i="9"/>
  <c r="V48" i="9"/>
  <c r="V436" i="9"/>
  <c r="V101" i="9"/>
  <c r="V27" i="9"/>
  <c r="V75" i="9"/>
  <c r="V339" i="9"/>
  <c r="V199" i="9"/>
  <c r="V574" i="9"/>
  <c r="V405" i="9"/>
  <c r="V69" i="9"/>
  <c r="V157" i="9"/>
  <c r="V142" i="9"/>
  <c r="V616" i="9"/>
  <c r="V418" i="9"/>
  <c r="V702" i="9"/>
  <c r="V719" i="9"/>
  <c r="V289" i="9"/>
  <c r="V125" i="9"/>
  <c r="V261" i="9"/>
  <c r="R312" i="9"/>
  <c r="R354" i="9"/>
  <c r="R431" i="9"/>
  <c r="R615" i="9"/>
  <c r="R518" i="9"/>
  <c r="R251" i="9"/>
  <c r="R334" i="9"/>
  <c r="R562" i="9"/>
  <c r="R98" i="9"/>
  <c r="R470" i="9"/>
  <c r="R7" i="9"/>
  <c r="R49" i="9"/>
  <c r="R193" i="9"/>
  <c r="R707" i="9"/>
  <c r="R294" i="9"/>
  <c r="R367" i="9"/>
  <c r="R176" i="9"/>
  <c r="R37" i="9"/>
  <c r="R15" i="9"/>
  <c r="R601" i="9"/>
  <c r="R368" i="9"/>
  <c r="R48" i="9"/>
  <c r="R436" i="9"/>
  <c r="R101" i="9"/>
  <c r="R27" i="9"/>
  <c r="R75" i="9"/>
  <c r="R339" i="9"/>
  <c r="R199" i="9"/>
  <c r="R574" i="9"/>
  <c r="R405" i="9"/>
  <c r="R69" i="9"/>
  <c r="R157" i="9"/>
  <c r="R142" i="9"/>
  <c r="R616" i="9"/>
  <c r="R418" i="9"/>
  <c r="R702" i="9"/>
  <c r="R719" i="9"/>
  <c r="R289" i="9"/>
  <c r="R125" i="9"/>
  <c r="R261" i="9"/>
  <c r="Q312" i="9"/>
  <c r="Q354" i="9"/>
  <c r="Q431" i="9"/>
  <c r="Q615" i="9"/>
  <c r="Q518" i="9"/>
  <c r="Q251" i="9"/>
  <c r="Q334" i="9"/>
  <c r="Q562" i="9"/>
  <c r="Q98" i="9"/>
  <c r="Q470" i="9"/>
  <c r="Q7" i="9"/>
  <c r="Q49" i="9"/>
  <c r="Q193" i="9"/>
  <c r="Q707" i="9"/>
  <c r="Q294" i="9"/>
  <c r="Q367" i="9"/>
  <c r="Q176" i="9"/>
  <c r="Q37" i="9"/>
  <c r="Q15" i="9"/>
  <c r="Q601" i="9"/>
  <c r="Q368" i="9"/>
  <c r="Q48" i="9"/>
  <c r="Q436" i="9"/>
  <c r="Q101" i="9"/>
  <c r="Q27" i="9"/>
  <c r="Q75" i="9"/>
  <c r="Q339" i="9"/>
  <c r="Q199" i="9"/>
  <c r="Q574" i="9"/>
  <c r="Q405" i="9"/>
  <c r="Q69" i="9"/>
  <c r="Q157" i="9"/>
  <c r="Q142" i="9"/>
  <c r="Q616" i="9"/>
  <c r="Q418" i="9"/>
  <c r="Q702" i="9"/>
  <c r="T702" i="9" s="1"/>
  <c r="Q719" i="9"/>
  <c r="Q289" i="9"/>
  <c r="Q125" i="9"/>
  <c r="Q261" i="9"/>
  <c r="P312" i="9"/>
  <c r="P354" i="9"/>
  <c r="P431" i="9"/>
  <c r="P615" i="9"/>
  <c r="P518" i="9"/>
  <c r="P251" i="9"/>
  <c r="P334" i="9"/>
  <c r="P562" i="9"/>
  <c r="P98" i="9"/>
  <c r="P470" i="9"/>
  <c r="P7" i="9"/>
  <c r="P49" i="9"/>
  <c r="P193" i="9"/>
  <c r="P707" i="9"/>
  <c r="P294" i="9"/>
  <c r="P367" i="9"/>
  <c r="P176" i="9"/>
  <c r="P37" i="9"/>
  <c r="P15" i="9"/>
  <c r="P601" i="9"/>
  <c r="P368" i="9"/>
  <c r="P48" i="9"/>
  <c r="P436" i="9"/>
  <c r="P101" i="9"/>
  <c r="P27" i="9"/>
  <c r="P75" i="9"/>
  <c r="P339" i="9"/>
  <c r="P199" i="9"/>
  <c r="P574" i="9"/>
  <c r="P405" i="9"/>
  <c r="P69" i="9"/>
  <c r="P157" i="9"/>
  <c r="P142" i="9"/>
  <c r="P616" i="9"/>
  <c r="P418" i="9"/>
  <c r="P702" i="9"/>
  <c r="P719" i="9"/>
  <c r="P289" i="9"/>
  <c r="P125" i="9"/>
  <c r="P261" i="9"/>
  <c r="O312" i="9"/>
  <c r="O354" i="9"/>
  <c r="O431" i="9"/>
  <c r="O615" i="9"/>
  <c r="O518" i="9"/>
  <c r="O251" i="9"/>
  <c r="O334" i="9"/>
  <c r="O562" i="9"/>
  <c r="O98" i="9"/>
  <c r="O470" i="9"/>
  <c r="O7" i="9"/>
  <c r="O49" i="9"/>
  <c r="O193" i="9"/>
  <c r="O707" i="9"/>
  <c r="O294" i="9"/>
  <c r="O367" i="9"/>
  <c r="O176" i="9"/>
  <c r="O37" i="9"/>
  <c r="O15" i="9"/>
  <c r="O601" i="9"/>
  <c r="O368" i="9"/>
  <c r="O48" i="9"/>
  <c r="O436" i="9"/>
  <c r="O101" i="9"/>
  <c r="O27" i="9"/>
  <c r="O75" i="9"/>
  <c r="O339" i="9"/>
  <c r="O199" i="9"/>
  <c r="O574" i="9"/>
  <c r="O405" i="9"/>
  <c r="O69" i="9"/>
  <c r="O157" i="9"/>
  <c r="O142" i="9"/>
  <c r="O616" i="9"/>
  <c r="O418" i="9"/>
  <c r="O702" i="9"/>
  <c r="O719" i="9"/>
  <c r="O289" i="9"/>
  <c r="O125" i="9"/>
  <c r="O261" i="9"/>
  <c r="N312" i="9"/>
  <c r="N354" i="9"/>
  <c r="N431" i="9"/>
  <c r="N615" i="9"/>
  <c r="N518" i="9"/>
  <c r="N251" i="9"/>
  <c r="N334" i="9"/>
  <c r="N562" i="9"/>
  <c r="N98" i="9"/>
  <c r="N470" i="9"/>
  <c r="N7" i="9"/>
  <c r="N49" i="9"/>
  <c r="N193" i="9"/>
  <c r="N707" i="9"/>
  <c r="N294" i="9"/>
  <c r="N367" i="9"/>
  <c r="N176" i="9"/>
  <c r="N37" i="9"/>
  <c r="N15" i="9"/>
  <c r="N601" i="9"/>
  <c r="N368" i="9"/>
  <c r="N48" i="9"/>
  <c r="N436" i="9"/>
  <c r="N101" i="9"/>
  <c r="N27" i="9"/>
  <c r="N75" i="9"/>
  <c r="N339" i="9"/>
  <c r="N199" i="9"/>
  <c r="N574" i="9"/>
  <c r="N405" i="9"/>
  <c r="N69" i="9"/>
  <c r="N157" i="9"/>
  <c r="N142" i="9"/>
  <c r="N616" i="9"/>
  <c r="N418" i="9"/>
  <c r="N702" i="9"/>
  <c r="N719" i="9"/>
  <c r="N289" i="9"/>
  <c r="N125" i="9"/>
  <c r="N261" i="9"/>
  <c r="M312" i="9"/>
  <c r="M354" i="9"/>
  <c r="M431" i="9"/>
  <c r="M615" i="9"/>
  <c r="M518" i="9"/>
  <c r="M251" i="9"/>
  <c r="M334" i="9"/>
  <c r="M562" i="9"/>
  <c r="M98" i="9"/>
  <c r="M470" i="9"/>
  <c r="M7" i="9"/>
  <c r="M49" i="9"/>
  <c r="M193" i="9"/>
  <c r="M707" i="9"/>
  <c r="M294" i="9"/>
  <c r="M367" i="9"/>
  <c r="M176" i="9"/>
  <c r="M37" i="9"/>
  <c r="M15" i="9"/>
  <c r="M601" i="9"/>
  <c r="M368" i="9"/>
  <c r="M48" i="9"/>
  <c r="M436" i="9"/>
  <c r="M101" i="9"/>
  <c r="M27" i="9"/>
  <c r="M75" i="9"/>
  <c r="M339" i="9"/>
  <c r="M199" i="9"/>
  <c r="M574" i="9"/>
  <c r="M405" i="9"/>
  <c r="M69" i="9"/>
  <c r="M157" i="9"/>
  <c r="M142" i="9"/>
  <c r="M616" i="9"/>
  <c r="M418" i="9"/>
  <c r="M702" i="9"/>
  <c r="M719" i="9"/>
  <c r="M289" i="9"/>
  <c r="M125" i="9"/>
  <c r="M261" i="9"/>
  <c r="L312" i="9"/>
  <c r="L354" i="9"/>
  <c r="L431" i="9"/>
  <c r="L615" i="9"/>
  <c r="L518" i="9"/>
  <c r="L251" i="9"/>
  <c r="L334" i="9"/>
  <c r="L562" i="9"/>
  <c r="L98" i="9"/>
  <c r="L470" i="9"/>
  <c r="L7" i="9"/>
  <c r="L49" i="9"/>
  <c r="L193" i="9"/>
  <c r="L707" i="9"/>
  <c r="L294" i="9"/>
  <c r="L367" i="9"/>
  <c r="L176" i="9"/>
  <c r="L37" i="9"/>
  <c r="L15" i="9"/>
  <c r="L601" i="9"/>
  <c r="L368" i="9"/>
  <c r="L48" i="9"/>
  <c r="L436" i="9"/>
  <c r="L101" i="9"/>
  <c r="L27" i="9"/>
  <c r="L75" i="9"/>
  <c r="L339" i="9"/>
  <c r="L199" i="9"/>
  <c r="L574" i="9"/>
  <c r="L405" i="9"/>
  <c r="L69" i="9"/>
  <c r="L157" i="9"/>
  <c r="L142" i="9"/>
  <c r="L616" i="9"/>
  <c r="L418" i="9"/>
  <c r="L702" i="9"/>
  <c r="L719" i="9"/>
  <c r="L289" i="9"/>
  <c r="L125" i="9"/>
  <c r="L261" i="9"/>
  <c r="H312" i="9"/>
  <c r="H354" i="9"/>
  <c r="H431" i="9"/>
  <c r="H615" i="9"/>
  <c r="H518" i="9"/>
  <c r="H251" i="9"/>
  <c r="H334" i="9"/>
  <c r="H562" i="9"/>
  <c r="H98" i="9"/>
  <c r="H470" i="9"/>
  <c r="H7" i="9"/>
  <c r="H49" i="9"/>
  <c r="H193" i="9"/>
  <c r="H707" i="9"/>
  <c r="H294" i="9"/>
  <c r="H367" i="9"/>
  <c r="H176" i="9"/>
  <c r="H37" i="9"/>
  <c r="H15" i="9"/>
  <c r="H601" i="9"/>
  <c r="H368" i="9"/>
  <c r="H48" i="9"/>
  <c r="H436" i="9"/>
  <c r="H101" i="9"/>
  <c r="H27" i="9"/>
  <c r="H75" i="9"/>
  <c r="H339" i="9"/>
  <c r="H199" i="9"/>
  <c r="H574" i="9"/>
  <c r="H405" i="9"/>
  <c r="H69" i="9"/>
  <c r="H157" i="9"/>
  <c r="H142" i="9"/>
  <c r="H616" i="9"/>
  <c r="H418" i="9"/>
  <c r="H702" i="9"/>
  <c r="H719" i="9"/>
  <c r="H289" i="9"/>
  <c r="H125" i="9"/>
  <c r="H261" i="9"/>
  <c r="F312" i="9"/>
  <c r="F354" i="9"/>
  <c r="F431" i="9"/>
  <c r="F615" i="9"/>
  <c r="F518" i="9"/>
  <c r="F251" i="9"/>
  <c r="F334" i="9"/>
  <c r="F562" i="9"/>
  <c r="F98" i="9"/>
  <c r="F470" i="9"/>
  <c r="F7" i="9"/>
  <c r="F49" i="9"/>
  <c r="F193" i="9"/>
  <c r="F707" i="9"/>
  <c r="F294" i="9"/>
  <c r="F367" i="9"/>
  <c r="F176" i="9"/>
  <c r="F37" i="9"/>
  <c r="F15" i="9"/>
  <c r="F601" i="9"/>
  <c r="F368" i="9"/>
  <c r="F48" i="9"/>
  <c r="F436" i="9"/>
  <c r="F101" i="9"/>
  <c r="F27" i="9"/>
  <c r="F75" i="9"/>
  <c r="F339" i="9"/>
  <c r="F199" i="9"/>
  <c r="F574" i="9"/>
  <c r="F405" i="9"/>
  <c r="F69" i="9"/>
  <c r="F157" i="9"/>
  <c r="F142" i="9"/>
  <c r="F616" i="9"/>
  <c r="F418" i="9"/>
  <c r="F702" i="9"/>
  <c r="F719" i="9"/>
  <c r="F289" i="9"/>
  <c r="F125" i="9"/>
  <c r="F261" i="9"/>
  <c r="E312" i="9"/>
  <c r="E354" i="9"/>
  <c r="E431" i="9"/>
  <c r="E615" i="9"/>
  <c r="E518" i="9"/>
  <c r="E251" i="9"/>
  <c r="E334" i="9"/>
  <c r="E562" i="9"/>
  <c r="E98" i="9"/>
  <c r="E470" i="9"/>
  <c r="E7" i="9"/>
  <c r="E49" i="9"/>
  <c r="E193" i="9"/>
  <c r="E707" i="9"/>
  <c r="E294" i="9"/>
  <c r="E367" i="9"/>
  <c r="E176" i="9"/>
  <c r="E37" i="9"/>
  <c r="E15" i="9"/>
  <c r="E601" i="9"/>
  <c r="E368" i="9"/>
  <c r="E48" i="9"/>
  <c r="E436" i="9"/>
  <c r="E101" i="9"/>
  <c r="E27" i="9"/>
  <c r="E75" i="9"/>
  <c r="E339" i="9"/>
  <c r="E199" i="9"/>
  <c r="E574" i="9"/>
  <c r="E405" i="9"/>
  <c r="E69" i="9"/>
  <c r="E157" i="9"/>
  <c r="E142" i="9"/>
  <c r="E616" i="9"/>
  <c r="E418" i="9"/>
  <c r="E702" i="9"/>
  <c r="E719" i="9"/>
  <c r="E289" i="9"/>
  <c r="E125" i="9"/>
  <c r="E261" i="9"/>
  <c r="E410" i="9"/>
  <c r="E639" i="9"/>
  <c r="I158" i="9"/>
  <c r="G431" i="9"/>
  <c r="J431" i="9"/>
  <c r="I107" i="9"/>
  <c r="J49" i="9"/>
  <c r="G15" i="9"/>
  <c r="I601" i="9"/>
  <c r="G368" i="9"/>
  <c r="I368" i="9"/>
  <c r="J48" i="9"/>
  <c r="I436" i="9"/>
  <c r="K75" i="9"/>
  <c r="G176" i="9"/>
  <c r="I176" i="9"/>
  <c r="G199" i="9"/>
  <c r="G574" i="9"/>
  <c r="I574" i="9"/>
  <c r="I405" i="9"/>
  <c r="G616" i="9"/>
  <c r="I616" i="9"/>
  <c r="G418" i="9"/>
  <c r="J418" i="9"/>
  <c r="G289" i="9"/>
  <c r="I289" i="9"/>
  <c r="G261" i="9"/>
  <c r="J261" i="9"/>
  <c r="G7" i="9"/>
  <c r="J7" i="9"/>
  <c r="E107" i="9"/>
  <c r="E664" i="9"/>
  <c r="E598" i="9"/>
  <c r="F107" i="9"/>
  <c r="F664" i="9"/>
  <c r="F598" i="9"/>
  <c r="H107" i="9"/>
  <c r="H664" i="9"/>
  <c r="H598" i="9"/>
  <c r="L107" i="9"/>
  <c r="L664" i="9"/>
  <c r="L598" i="9"/>
  <c r="M107" i="9"/>
  <c r="M664" i="9"/>
  <c r="M598" i="9"/>
  <c r="N107" i="9"/>
  <c r="N664" i="9"/>
  <c r="N598" i="9"/>
  <c r="O107" i="9"/>
  <c r="O664" i="9"/>
  <c r="O598" i="9"/>
  <c r="P107" i="9"/>
  <c r="P664" i="9"/>
  <c r="P598" i="9"/>
  <c r="Q107" i="9"/>
  <c r="Q664" i="9"/>
  <c r="Q598" i="9"/>
  <c r="R107" i="9"/>
  <c r="R664" i="9"/>
  <c r="R598" i="9"/>
  <c r="V107" i="9"/>
  <c r="V664" i="9"/>
  <c r="V598" i="9"/>
  <c r="W107" i="9"/>
  <c r="W664" i="9"/>
  <c r="W598" i="9"/>
  <c r="Z107" i="9"/>
  <c r="Z664" i="9"/>
  <c r="Z598" i="9"/>
  <c r="E309" i="9"/>
  <c r="E158" i="9"/>
  <c r="E662" i="9"/>
  <c r="E510" i="9"/>
  <c r="F309" i="9"/>
  <c r="F158" i="9"/>
  <c r="F662" i="9"/>
  <c r="F510" i="9"/>
  <c r="H309" i="9"/>
  <c r="H158" i="9"/>
  <c r="H662" i="9"/>
  <c r="H510" i="9"/>
  <c r="L309" i="9"/>
  <c r="L158" i="9"/>
  <c r="L662" i="9"/>
  <c r="L510" i="9"/>
  <c r="M309" i="9"/>
  <c r="M158" i="9"/>
  <c r="M662" i="9"/>
  <c r="M510" i="9"/>
  <c r="N309" i="9"/>
  <c r="N158" i="9"/>
  <c r="N662" i="9"/>
  <c r="N510" i="9"/>
  <c r="O309" i="9"/>
  <c r="O158" i="9"/>
  <c r="O662" i="9"/>
  <c r="O510" i="9"/>
  <c r="P309" i="9"/>
  <c r="P158" i="9"/>
  <c r="P510" i="9"/>
  <c r="Q309" i="9"/>
  <c r="Q158" i="9"/>
  <c r="Q662" i="9"/>
  <c r="Q510" i="9"/>
  <c r="R309" i="9"/>
  <c r="R158" i="9"/>
  <c r="R662" i="9"/>
  <c r="R510" i="9"/>
  <c r="V309" i="9"/>
  <c r="V158" i="9"/>
  <c r="V662" i="9"/>
  <c r="V510" i="9"/>
  <c r="W309" i="9"/>
  <c r="W158" i="9"/>
  <c r="W662" i="9"/>
  <c r="W510" i="9"/>
  <c r="Z309" i="9"/>
  <c r="Z158" i="9"/>
  <c r="Z662" i="9"/>
  <c r="Z510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H520" i="28"/>
  <c r="H508" i="28"/>
  <c r="H376" i="28"/>
  <c r="K431" i="9"/>
  <c r="G405" i="9"/>
  <c r="G436" i="9"/>
  <c r="G601" i="9"/>
  <c r="G294" i="9"/>
  <c r="G193" i="9"/>
  <c r="G158" i="9"/>
  <c r="G518" i="9"/>
  <c r="G37" i="9"/>
  <c r="J294" i="9"/>
  <c r="J707" i="9"/>
  <c r="I598" i="9"/>
  <c r="J367" i="9"/>
  <c r="I367" i="9"/>
  <c r="K662" i="9"/>
  <c r="G510" i="9"/>
  <c r="I339" i="9"/>
  <c r="I615" i="9"/>
  <c r="G615" i="9"/>
  <c r="K309" i="9"/>
  <c r="I707" i="9"/>
  <c r="G251" i="9"/>
  <c r="I334" i="9"/>
  <c r="G309" i="9"/>
  <c r="J107" i="9"/>
  <c r="K107" i="9"/>
  <c r="G664" i="9"/>
  <c r="G662" i="9"/>
  <c r="G10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1" i="38"/>
  <c r="G52" i="38"/>
  <c r="G54" i="38"/>
  <c r="G56" i="38"/>
  <c r="G57" i="38"/>
  <c r="G58" i="38"/>
  <c r="G59" i="38"/>
  <c r="G60" i="38"/>
  <c r="G61" i="38"/>
  <c r="G62" i="38"/>
  <c r="G50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53" i="38"/>
  <c r="G81" i="38"/>
  <c r="G63" i="38"/>
  <c r="G82" i="38"/>
  <c r="G101" i="38"/>
  <c r="G83" i="38"/>
  <c r="G84" i="38"/>
  <c r="G85" i="38"/>
  <c r="G55" i="38"/>
  <c r="G86" i="38"/>
  <c r="G89" i="38"/>
  <c r="G87" i="38"/>
  <c r="G88" i="38"/>
  <c r="G90" i="38"/>
  <c r="G91" i="38"/>
  <c r="G92" i="38"/>
  <c r="G93" i="38"/>
  <c r="G94" i="38"/>
  <c r="G95" i="38"/>
  <c r="G96" i="38"/>
  <c r="G97" i="38"/>
  <c r="G98" i="38"/>
  <c r="G99" i="38"/>
  <c r="G100" i="38"/>
  <c r="G102" i="38"/>
  <c r="G103" i="38"/>
  <c r="G104" i="38"/>
  <c r="G105" i="38"/>
  <c r="G106" i="38"/>
  <c r="G107" i="38"/>
  <c r="G108" i="38"/>
  <c r="G109" i="38"/>
  <c r="G110" i="38"/>
  <c r="G3" i="38"/>
  <c r="G4" i="38"/>
  <c r="G5" i="38"/>
  <c r="G6" i="38"/>
  <c r="G7" i="38"/>
  <c r="G8" i="38"/>
  <c r="G9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2" i="38"/>
  <c r="F10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6" i="38"/>
  <c r="F47" i="38"/>
  <c r="F48" i="38"/>
  <c r="F49" i="38"/>
  <c r="F51" i="38"/>
  <c r="F52" i="38"/>
  <c r="F54" i="38"/>
  <c r="F56" i="38"/>
  <c r="F57" i="38"/>
  <c r="F58" i="38"/>
  <c r="F59" i="38"/>
  <c r="F60" i="38"/>
  <c r="F61" i="38"/>
  <c r="H61" i="38" s="1"/>
  <c r="F62" i="38"/>
  <c r="F50" i="38"/>
  <c r="F64" i="38"/>
  <c r="F65" i="38"/>
  <c r="F66" i="38"/>
  <c r="F67" i="38"/>
  <c r="F68" i="38"/>
  <c r="F69" i="38"/>
  <c r="F70" i="38"/>
  <c r="F71" i="38"/>
  <c r="F72" i="38"/>
  <c r="F73" i="38"/>
  <c r="F74" i="38"/>
  <c r="F75" i="38"/>
  <c r="F76" i="38"/>
  <c r="F77" i="38"/>
  <c r="F78" i="38"/>
  <c r="F79" i="38"/>
  <c r="F80" i="38"/>
  <c r="F53" i="38"/>
  <c r="F81" i="38"/>
  <c r="F63" i="38"/>
  <c r="F82" i="38"/>
  <c r="F101" i="38"/>
  <c r="F83" i="38"/>
  <c r="F84" i="38"/>
  <c r="F85" i="38"/>
  <c r="F55" i="38"/>
  <c r="F86" i="38"/>
  <c r="F89" i="38"/>
  <c r="F87" i="38"/>
  <c r="F88" i="38"/>
  <c r="F90" i="38"/>
  <c r="F91" i="38"/>
  <c r="F92" i="38"/>
  <c r="F93" i="38"/>
  <c r="F94" i="38"/>
  <c r="F95" i="38"/>
  <c r="F96" i="38"/>
  <c r="F97" i="38"/>
  <c r="F98" i="38"/>
  <c r="F99" i="38"/>
  <c r="F100" i="38"/>
  <c r="F102" i="38"/>
  <c r="F103" i="38"/>
  <c r="F104" i="38"/>
  <c r="F105" i="38"/>
  <c r="F106" i="38"/>
  <c r="F107" i="38"/>
  <c r="F108" i="38"/>
  <c r="F109" i="38"/>
  <c r="F110" i="38"/>
  <c r="F3" i="38"/>
  <c r="F4" i="38"/>
  <c r="F5" i="38"/>
  <c r="F6" i="38"/>
  <c r="F7" i="38"/>
  <c r="F8" i="38"/>
  <c r="F9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F31" i="38"/>
  <c r="F2" i="38"/>
  <c r="B3" i="38"/>
  <c r="B4" i="38"/>
  <c r="B5" i="38"/>
  <c r="B6" i="38"/>
  <c r="B7" i="38"/>
  <c r="B8" i="38"/>
  <c r="B9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10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B46" i="38"/>
  <c r="B47" i="38"/>
  <c r="B48" i="38"/>
  <c r="B49" i="38"/>
  <c r="B51" i="38"/>
  <c r="B52" i="38"/>
  <c r="B54" i="38"/>
  <c r="B56" i="38"/>
  <c r="B57" i="38"/>
  <c r="B58" i="38"/>
  <c r="B59" i="38"/>
  <c r="B60" i="38"/>
  <c r="B61" i="38"/>
  <c r="B62" i="38"/>
  <c r="B50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53" i="38"/>
  <c r="B81" i="38"/>
  <c r="B63" i="38"/>
  <c r="B82" i="38"/>
  <c r="B101" i="38"/>
  <c r="B83" i="38"/>
  <c r="B84" i="38"/>
  <c r="B85" i="38"/>
  <c r="B55" i="38"/>
  <c r="B86" i="38"/>
  <c r="B89" i="38"/>
  <c r="B87" i="38"/>
  <c r="B88" i="38"/>
  <c r="B90" i="38"/>
  <c r="B91" i="38"/>
  <c r="B92" i="38"/>
  <c r="B93" i="38"/>
  <c r="B94" i="38"/>
  <c r="B95" i="38"/>
  <c r="B96" i="38"/>
  <c r="B97" i="38"/>
  <c r="B98" i="38"/>
  <c r="B99" i="38"/>
  <c r="B100" i="38"/>
  <c r="B102" i="38"/>
  <c r="B103" i="38"/>
  <c r="B104" i="38"/>
  <c r="B105" i="38"/>
  <c r="B106" i="38"/>
  <c r="B107" i="38"/>
  <c r="B108" i="38"/>
  <c r="B109" i="38"/>
  <c r="B110" i="38"/>
  <c r="D10" i="38"/>
  <c r="D58" i="38"/>
  <c r="D50" i="38"/>
  <c r="D66" i="38"/>
  <c r="D67" i="38"/>
  <c r="H67" i="38" s="1"/>
  <c r="D79" i="38"/>
  <c r="D80" i="38"/>
  <c r="D53" i="38"/>
  <c r="D81" i="38"/>
  <c r="D63" i="38"/>
  <c r="D82" i="38"/>
  <c r="H82" i="38" s="1"/>
  <c r="D101" i="38"/>
  <c r="D83" i="38"/>
  <c r="D84" i="38"/>
  <c r="D85" i="38"/>
  <c r="D55" i="38"/>
  <c r="D86" i="38"/>
  <c r="D89" i="38"/>
  <c r="D88" i="38"/>
  <c r="D3" i="38"/>
  <c r="D4" i="38"/>
  <c r="D5" i="38"/>
  <c r="D6" i="38"/>
  <c r="D7" i="38"/>
  <c r="D8" i="38"/>
  <c r="D9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H34" i="38" s="1"/>
  <c r="D35" i="38"/>
  <c r="H35" i="38" s="1"/>
  <c r="D36" i="38"/>
  <c r="D37" i="38"/>
  <c r="D38" i="38"/>
  <c r="D39" i="38"/>
  <c r="D40" i="38"/>
  <c r="H40" i="38" s="1"/>
  <c r="D41" i="38"/>
  <c r="D42" i="38"/>
  <c r="D43" i="38"/>
  <c r="D44" i="38"/>
  <c r="D45" i="38"/>
  <c r="D46" i="38"/>
  <c r="H46" i="38" s="1"/>
  <c r="D47" i="38"/>
  <c r="D48" i="38"/>
  <c r="D49" i="38"/>
  <c r="D51" i="38"/>
  <c r="D52" i="38"/>
  <c r="D54" i="38"/>
  <c r="H54" i="38" s="1"/>
  <c r="D56" i="38"/>
  <c r="H56" i="38" s="1"/>
  <c r="D57" i="38"/>
  <c r="D59" i="38"/>
  <c r="D60" i="38"/>
  <c r="D61" i="38"/>
  <c r="D62" i="38"/>
  <c r="H62" i="38" s="1"/>
  <c r="D64" i="38"/>
  <c r="D65" i="38"/>
  <c r="D68" i="38"/>
  <c r="D69" i="38"/>
  <c r="D70" i="38"/>
  <c r="D71" i="38"/>
  <c r="D72" i="38"/>
  <c r="D73" i="38"/>
  <c r="H73" i="38" s="1"/>
  <c r="D74" i="38"/>
  <c r="D75" i="38"/>
  <c r="D76" i="38"/>
  <c r="D77" i="38"/>
  <c r="D78" i="38"/>
  <c r="D87" i="38"/>
  <c r="D90" i="38"/>
  <c r="D91" i="38"/>
  <c r="D92" i="38"/>
  <c r="D93" i="38"/>
  <c r="D94" i="38"/>
  <c r="D95" i="38"/>
  <c r="D96" i="38"/>
  <c r="D97" i="38"/>
  <c r="D98" i="38"/>
  <c r="D99" i="38"/>
  <c r="D100" i="38"/>
  <c r="D102" i="38"/>
  <c r="D103" i="38"/>
  <c r="D104" i="38"/>
  <c r="D105" i="38"/>
  <c r="D106" i="38"/>
  <c r="D107" i="38"/>
  <c r="D108" i="38"/>
  <c r="D109" i="38"/>
  <c r="D110" i="38"/>
  <c r="D2" i="38"/>
  <c r="B2" i="38"/>
  <c r="P89" i="9"/>
  <c r="Q89" i="9"/>
  <c r="R89" i="9"/>
  <c r="P394" i="9"/>
  <c r="Q394" i="9"/>
  <c r="R394" i="9"/>
  <c r="P32" i="9"/>
  <c r="Q32" i="9"/>
  <c r="R32" i="9"/>
  <c r="P424" i="9"/>
  <c r="Q424" i="9"/>
  <c r="R424" i="9"/>
  <c r="P609" i="9"/>
  <c r="Q609" i="9"/>
  <c r="R609" i="9"/>
  <c r="P694" i="9"/>
  <c r="Q694" i="9"/>
  <c r="R694" i="9"/>
  <c r="P190" i="9"/>
  <c r="Q190" i="9"/>
  <c r="R190" i="9"/>
  <c r="P218" i="9"/>
  <c r="Q218" i="9"/>
  <c r="R218" i="9"/>
  <c r="P329" i="9"/>
  <c r="Q329" i="9"/>
  <c r="R329" i="9"/>
  <c r="P401" i="9"/>
  <c r="P136" i="9"/>
  <c r="Q136" i="9"/>
  <c r="R136" i="9"/>
  <c r="P432" i="9"/>
  <c r="Q432" i="9"/>
  <c r="R432" i="9"/>
  <c r="P287" i="9"/>
  <c r="Q287" i="9"/>
  <c r="R287" i="9"/>
  <c r="P288" i="9"/>
  <c r="Q288" i="9"/>
  <c r="R288" i="9"/>
  <c r="P625" i="9"/>
  <c r="Q625" i="9"/>
  <c r="R625" i="9"/>
  <c r="P319" i="9"/>
  <c r="Q319" i="9"/>
  <c r="R319" i="9"/>
  <c r="P406" i="9"/>
  <c r="Q406" i="9"/>
  <c r="R406" i="9"/>
  <c r="P526" i="9"/>
  <c r="Q526" i="9"/>
  <c r="R526" i="9"/>
  <c r="P388" i="9"/>
  <c r="Q388" i="9"/>
  <c r="R388" i="9"/>
  <c r="P111" i="9"/>
  <c r="Q111" i="9"/>
  <c r="R111" i="9"/>
  <c r="P260" i="9"/>
  <c r="Q260" i="9"/>
  <c r="R260" i="9"/>
  <c r="P44" i="9"/>
  <c r="Q44" i="9"/>
  <c r="R44" i="9"/>
  <c r="P377" i="9"/>
  <c r="Q377" i="9"/>
  <c r="R377" i="9"/>
  <c r="P99" i="9"/>
  <c r="Q99" i="9"/>
  <c r="R99" i="9"/>
  <c r="P154" i="9"/>
  <c r="Q154" i="9"/>
  <c r="R154" i="9"/>
  <c r="P263" i="9"/>
  <c r="Q263" i="9"/>
  <c r="R263" i="9"/>
  <c r="P464" i="9"/>
  <c r="Q464" i="9"/>
  <c r="R464" i="9"/>
  <c r="P74" i="9"/>
  <c r="Q74" i="9"/>
  <c r="R74" i="9"/>
  <c r="Q152" i="9"/>
  <c r="R152" i="9"/>
  <c r="P267" i="9"/>
  <c r="Q267" i="9"/>
  <c r="R267" i="9"/>
  <c r="Z280" i="9"/>
  <c r="E591" i="9"/>
  <c r="F591" i="9"/>
  <c r="G591" i="9"/>
  <c r="H591" i="9"/>
  <c r="V591" i="9"/>
  <c r="W591" i="9"/>
  <c r="Z591" i="9"/>
  <c r="L280" i="9"/>
  <c r="M280" i="9"/>
  <c r="N280" i="9"/>
  <c r="O280" i="9"/>
  <c r="P280" i="9"/>
  <c r="Q280" i="9"/>
  <c r="R280" i="9"/>
  <c r="I591" i="9"/>
  <c r="K591" i="9"/>
  <c r="L591" i="9"/>
  <c r="M591" i="9"/>
  <c r="N591" i="9"/>
  <c r="O591" i="9"/>
  <c r="P591" i="9"/>
  <c r="Q591" i="9"/>
  <c r="R591" i="9"/>
  <c r="G147" i="9"/>
  <c r="G68" i="9"/>
  <c r="G172" i="9"/>
  <c r="G507" i="9"/>
  <c r="G401" i="9"/>
  <c r="Z154" i="9"/>
  <c r="Z263" i="9"/>
  <c r="Z464" i="9"/>
  <c r="Z267" i="9"/>
  <c r="Z196" i="9"/>
  <c r="W154" i="9"/>
  <c r="W263" i="9"/>
  <c r="W464" i="9"/>
  <c r="W267" i="9"/>
  <c r="W196" i="9"/>
  <c r="V154" i="9"/>
  <c r="V263" i="9"/>
  <c r="V464" i="9"/>
  <c r="V267" i="9"/>
  <c r="V196" i="9"/>
  <c r="R196" i="9"/>
  <c r="Q196" i="9"/>
  <c r="P196" i="9"/>
  <c r="O154" i="9"/>
  <c r="O263" i="9"/>
  <c r="O464" i="9"/>
  <c r="O267" i="9"/>
  <c r="O196" i="9"/>
  <c r="N154" i="9"/>
  <c r="N263" i="9"/>
  <c r="N464" i="9"/>
  <c r="N267" i="9"/>
  <c r="N196" i="9"/>
  <c r="M154" i="9"/>
  <c r="M263" i="9"/>
  <c r="M464" i="9"/>
  <c r="M267" i="9"/>
  <c r="M196" i="9"/>
  <c r="L154" i="9"/>
  <c r="L263" i="9"/>
  <c r="L464" i="9"/>
  <c r="L267" i="9"/>
  <c r="L196" i="9"/>
  <c r="H154" i="9"/>
  <c r="H263" i="9"/>
  <c r="H464" i="9"/>
  <c r="H267" i="9"/>
  <c r="H196" i="9"/>
  <c r="F154" i="9"/>
  <c r="F263" i="9"/>
  <c r="F464" i="9"/>
  <c r="F267" i="9"/>
  <c r="F196" i="9"/>
  <c r="E154" i="9"/>
  <c r="E263" i="9"/>
  <c r="E464" i="9"/>
  <c r="E267" i="9"/>
  <c r="E196" i="9"/>
  <c r="K280" i="9"/>
  <c r="J280" i="9"/>
  <c r="J154" i="9"/>
  <c r="J263" i="9"/>
  <c r="J464" i="9"/>
  <c r="J267" i="9"/>
  <c r="I280" i="9"/>
  <c r="I154" i="9"/>
  <c r="G280" i="9"/>
  <c r="G154" i="9"/>
  <c r="G263" i="9"/>
  <c r="G464" i="9"/>
  <c r="G267" i="9"/>
  <c r="G196" i="9"/>
  <c r="G611" i="9"/>
  <c r="G404" i="9"/>
  <c r="G544" i="9"/>
  <c r="G372" i="9"/>
  <c r="G328" i="9"/>
  <c r="G728" i="9"/>
  <c r="G322" i="9"/>
  <c r="G536" i="9"/>
  <c r="G254" i="9"/>
  <c r="G278" i="9"/>
  <c r="G412" i="9"/>
  <c r="G714" i="9"/>
  <c r="G153" i="9"/>
  <c r="G500" i="9"/>
  <c r="G331" i="9"/>
  <c r="G587" i="9"/>
  <c r="G589" i="9"/>
  <c r="G74" i="9"/>
  <c r="G462" i="9"/>
  <c r="G530" i="9"/>
  <c r="G370" i="9"/>
  <c r="G723" i="9"/>
  <c r="G467" i="9"/>
  <c r="G115" i="9"/>
  <c r="G228" i="9"/>
  <c r="G220" i="9"/>
  <c r="G352" i="9"/>
  <c r="G440" i="9"/>
  <c r="G679" i="9"/>
  <c r="G573" i="9"/>
  <c r="G326" i="9"/>
  <c r="G161" i="9"/>
  <c r="G542" i="9"/>
  <c r="G90" i="9"/>
  <c r="G214" i="9"/>
  <c r="G102" i="9"/>
  <c r="G139" i="9"/>
  <c r="G700" i="9"/>
  <c r="G499" i="9"/>
  <c r="G660" i="9"/>
  <c r="G66" i="9"/>
  <c r="G430" i="9"/>
  <c r="G299" i="9"/>
  <c r="G41" i="9"/>
  <c r="G249" i="9"/>
  <c r="G266" i="9"/>
  <c r="G85" i="9"/>
  <c r="G169" i="9"/>
  <c r="G479" i="9"/>
  <c r="G551" i="9"/>
  <c r="G691" i="9"/>
  <c r="G285" i="9"/>
  <c r="G94" i="9"/>
  <c r="G657" i="9"/>
  <c r="G726" i="9"/>
  <c r="G79" i="9"/>
  <c r="G197" i="9"/>
  <c r="G686" i="9"/>
  <c r="G643" i="9"/>
  <c r="G6" i="9"/>
  <c r="G87" i="9"/>
  <c r="G335" i="9"/>
  <c r="G382" i="9"/>
  <c r="G22" i="9"/>
  <c r="G459" i="9"/>
  <c r="G244" i="9"/>
  <c r="G131" i="9"/>
  <c r="G410" i="9"/>
  <c r="G347" i="9"/>
  <c r="G469" i="9"/>
  <c r="G356" i="9"/>
  <c r="G314" i="9"/>
  <c r="G476" i="9"/>
  <c r="G575" i="9"/>
  <c r="G60" i="9"/>
  <c r="G195" i="9"/>
  <c r="G555" i="9"/>
  <c r="G593" i="9"/>
  <c r="G50" i="9"/>
  <c r="G571" i="9"/>
  <c r="G547" i="9"/>
  <c r="G104" i="9"/>
  <c r="G715" i="9"/>
  <c r="G240" i="9"/>
  <c r="G180" i="9"/>
  <c r="G325" i="9"/>
  <c r="G297" i="9"/>
  <c r="G62" i="9"/>
  <c r="G477" i="9"/>
  <c r="G10" i="9"/>
  <c r="G628" i="9"/>
  <c r="G687" i="9"/>
  <c r="G128" i="9"/>
  <c r="G408" i="9"/>
  <c r="G512" i="9"/>
  <c r="G672" i="9"/>
  <c r="G272" i="9"/>
  <c r="G527" i="9"/>
  <c r="G632" i="9"/>
  <c r="G281" i="9"/>
  <c r="G200" i="9"/>
  <c r="G291" i="9"/>
  <c r="G668" i="9"/>
  <c r="G284" i="9"/>
  <c r="G100" i="9"/>
  <c r="G123" i="9"/>
  <c r="G474" i="9"/>
  <c r="G38" i="9"/>
  <c r="G92" i="9"/>
  <c r="G425" i="9"/>
  <c r="G490" i="9"/>
  <c r="G315" i="9"/>
  <c r="G184" i="9"/>
  <c r="G138" i="9"/>
  <c r="G655" i="9"/>
  <c r="G645" i="9"/>
  <c r="G133" i="9"/>
  <c r="G366" i="9"/>
  <c r="G271" i="9"/>
  <c r="G348" i="9"/>
  <c r="G481" i="9"/>
  <c r="G627" i="9"/>
  <c r="G452" i="9"/>
  <c r="G494" i="9"/>
  <c r="G561" i="9"/>
  <c r="G550" i="9"/>
  <c r="G586" i="9"/>
  <c r="G508" i="9"/>
  <c r="G342" i="9"/>
  <c r="G40" i="9"/>
  <c r="G506" i="9"/>
  <c r="G227" i="9"/>
  <c r="G302" i="9"/>
  <c r="G455" i="9"/>
  <c r="G422" i="9"/>
  <c r="G570" i="9"/>
  <c r="G207" i="9"/>
  <c r="G340" i="9"/>
  <c r="G140" i="9"/>
  <c r="G362" i="9"/>
  <c r="G43" i="9"/>
  <c r="G411" i="9"/>
  <c r="G549" i="9"/>
  <c r="G122" i="9"/>
  <c r="G482" i="9"/>
  <c r="G226" i="9"/>
  <c r="G545" i="9"/>
  <c r="G636" i="9"/>
  <c r="G638" i="9"/>
  <c r="G649" i="9"/>
  <c r="G384" i="9"/>
  <c r="G517" i="9"/>
  <c r="G492" i="9"/>
  <c r="G121" i="9"/>
  <c r="G259" i="9"/>
  <c r="G274" i="9"/>
  <c r="G381" i="9"/>
  <c r="G581" i="9"/>
  <c r="G164" i="9"/>
  <c r="G371" i="9"/>
  <c r="G343" i="9"/>
  <c r="G217" i="9"/>
  <c r="G617" i="9"/>
  <c r="G423" i="9"/>
  <c r="G437" i="9"/>
  <c r="G96" i="9"/>
  <c r="G670" i="9"/>
  <c r="G463" i="9"/>
  <c r="G703" i="9"/>
  <c r="G553" i="9"/>
  <c r="G501" i="9"/>
  <c r="G363" i="9"/>
  <c r="G488" i="9"/>
  <c r="G419" i="9"/>
  <c r="G35" i="9"/>
  <c r="G681" i="9"/>
  <c r="G712" i="9"/>
  <c r="G375" i="9"/>
  <c r="G579" i="9"/>
  <c r="G73" i="9"/>
  <c r="G110" i="9"/>
  <c r="G303" i="9"/>
  <c r="G584" i="9"/>
  <c r="G684" i="9"/>
  <c r="G585" i="9"/>
  <c r="G647" i="9"/>
  <c r="G11" i="9"/>
  <c r="G414" i="9"/>
  <c r="G171" i="9"/>
  <c r="G642" i="9"/>
  <c r="G206" i="9"/>
  <c r="G65" i="9"/>
  <c r="G711" i="9"/>
  <c r="G103" i="9"/>
  <c r="G186" i="9"/>
  <c r="G192" i="9"/>
  <c r="G475" i="9"/>
  <c r="G569" i="9"/>
  <c r="G71" i="9"/>
  <c r="G648" i="9"/>
  <c r="G308" i="9"/>
  <c r="G248" i="9"/>
  <c r="G177" i="9"/>
  <c r="G644" i="9"/>
  <c r="G29" i="9"/>
  <c r="G614" i="9"/>
  <c r="G338" i="9"/>
  <c r="G97" i="9"/>
  <c r="G511" i="9"/>
  <c r="G389" i="9"/>
  <c r="G361" i="9"/>
  <c r="G472" i="9"/>
  <c r="G623" i="9"/>
  <c r="G252" i="9"/>
  <c r="G663" i="9"/>
  <c r="G24" i="9"/>
  <c r="G83" i="9"/>
  <c r="G680" i="9"/>
  <c r="G224" i="9"/>
  <c r="G223" i="9"/>
  <c r="G426" i="9"/>
  <c r="G116" i="9"/>
  <c r="G650" i="9"/>
  <c r="G374" i="9"/>
  <c r="G86" i="9"/>
  <c r="G134" i="9"/>
  <c r="G698" i="9"/>
  <c r="G5" i="9"/>
  <c r="G420" i="9"/>
  <c r="G229" i="9"/>
  <c r="G528" i="9"/>
  <c r="G626" i="9"/>
  <c r="G141" i="9"/>
  <c r="G654" i="9"/>
  <c r="G693" i="9"/>
  <c r="G215" i="9"/>
  <c r="G621" i="9"/>
  <c r="G273" i="9"/>
  <c r="G84" i="9"/>
  <c r="G461" i="9"/>
  <c r="G434" i="9"/>
  <c r="G520" i="9"/>
  <c r="G421" i="9"/>
  <c r="G306" i="9"/>
  <c r="G484" i="9"/>
  <c r="G296" i="9"/>
  <c r="G166" i="9"/>
  <c r="G478" i="9"/>
  <c r="G265" i="9"/>
  <c r="G460" i="9"/>
  <c r="G189" i="9"/>
  <c r="G313" i="9"/>
  <c r="G447" i="9"/>
  <c r="G173" i="9"/>
  <c r="G633" i="9"/>
  <c r="G629" i="9"/>
  <c r="G682" i="9"/>
  <c r="G491" i="9"/>
  <c r="G232" i="9"/>
  <c r="G612" i="9"/>
  <c r="G596" i="9"/>
  <c r="G57" i="9"/>
  <c r="G233" i="9"/>
  <c r="G191" i="9"/>
  <c r="G458" i="9"/>
  <c r="G13" i="9"/>
  <c r="G504" i="9"/>
  <c r="G185" i="9"/>
  <c r="G82" i="9"/>
  <c r="G9" i="9"/>
  <c r="G701" i="9"/>
  <c r="G505" i="9"/>
  <c r="G52" i="9"/>
  <c r="G222" i="9"/>
  <c r="G346" i="9"/>
  <c r="G327" i="9"/>
  <c r="G713" i="9"/>
  <c r="G568" i="9"/>
  <c r="G76" i="9"/>
  <c r="G697" i="9"/>
  <c r="G305" i="9"/>
  <c r="G182" i="9"/>
  <c r="G188" i="9"/>
  <c r="G427" i="9"/>
  <c r="G364" i="9"/>
  <c r="G34" i="9"/>
  <c r="G64" i="9"/>
  <c r="G429" i="9"/>
  <c r="G45" i="9"/>
  <c r="G137" i="9"/>
  <c r="G716" i="9"/>
  <c r="G300" i="9"/>
  <c r="G468" i="9"/>
  <c r="G559" i="9"/>
  <c r="G471" i="9"/>
  <c r="G283" i="9"/>
  <c r="G580" i="9"/>
  <c r="G473" i="9"/>
  <c r="G699" i="9"/>
  <c r="G31" i="9"/>
  <c r="G279" i="9"/>
  <c r="G46" i="9"/>
  <c r="G256" i="9"/>
  <c r="G631" i="9"/>
  <c r="G28" i="9"/>
  <c r="G170" i="9"/>
  <c r="G276" i="9"/>
  <c r="G317" i="9"/>
  <c r="G393" i="9"/>
  <c r="G582" i="9"/>
  <c r="G451" i="9"/>
  <c r="G721" i="9"/>
  <c r="G658" i="9"/>
  <c r="G146" i="9"/>
  <c r="G212" i="9"/>
  <c r="G578" i="9"/>
  <c r="G651" i="9"/>
  <c r="G689" i="9"/>
  <c r="G324" i="9"/>
  <c r="G198" i="9"/>
  <c r="G383" i="9"/>
  <c r="G391" i="9"/>
  <c r="G17" i="9"/>
  <c r="G483" i="9"/>
  <c r="G301" i="9"/>
  <c r="G446" i="9"/>
  <c r="G554" i="9"/>
  <c r="G600" i="9"/>
  <c r="G234" i="9"/>
  <c r="G640" i="9"/>
  <c r="G688" i="9"/>
  <c r="G524" i="9"/>
  <c r="G722" i="9"/>
  <c r="G546" i="9"/>
  <c r="G39" i="9"/>
  <c r="G253" i="9"/>
  <c r="G438" i="9"/>
  <c r="G20" i="9"/>
  <c r="G441" i="9"/>
  <c r="G119" i="9"/>
  <c r="G59" i="9"/>
  <c r="G126" i="9"/>
  <c r="G385" i="9"/>
  <c r="G516" i="9"/>
  <c r="G330" i="9"/>
  <c r="G187" i="9"/>
  <c r="G630" i="9"/>
  <c r="G258" i="9"/>
  <c r="G495" i="9"/>
  <c r="G416" i="9"/>
  <c r="G489" i="9"/>
  <c r="G705" i="9"/>
  <c r="G637" i="9"/>
  <c r="G148" i="9"/>
  <c r="G595" i="9"/>
  <c r="G532" i="9"/>
  <c r="G635" i="9"/>
  <c r="G72" i="9"/>
  <c r="G350" i="9"/>
  <c r="G91" i="9"/>
  <c r="G345" i="9"/>
  <c r="G428" i="9"/>
  <c r="G709" i="9"/>
  <c r="G417" i="9"/>
  <c r="G53" i="9"/>
  <c r="G594" i="9"/>
  <c r="G444" i="9"/>
  <c r="G387" i="9"/>
  <c r="G149" i="9"/>
  <c r="G332" i="9"/>
  <c r="G618" i="9"/>
  <c r="G109" i="9"/>
  <c r="G179" i="9"/>
  <c r="G566" i="9"/>
  <c r="G376" i="9"/>
  <c r="G646" i="9"/>
  <c r="G239" i="9"/>
  <c r="G344" i="9"/>
  <c r="G403" i="9"/>
  <c r="G415" i="9"/>
  <c r="G307" i="9"/>
  <c r="G456" i="9"/>
  <c r="G466" i="9"/>
  <c r="G255" i="9"/>
  <c r="G525" i="9"/>
  <c r="G685" i="9"/>
  <c r="G543" i="9"/>
  <c r="G498" i="9"/>
  <c r="G535" i="9"/>
  <c r="G219" i="9"/>
  <c r="G676" i="9"/>
  <c r="G634" i="9"/>
  <c r="G678" i="9"/>
  <c r="G225" i="9"/>
  <c r="G132" i="9"/>
  <c r="G221" i="9"/>
  <c r="G665" i="9"/>
  <c r="G669" i="9"/>
  <c r="G379" i="9"/>
  <c r="G257" i="9"/>
  <c r="G465" i="9"/>
  <c r="G124" i="9"/>
  <c r="G135" i="9"/>
  <c r="G683" i="9"/>
  <c r="G677" i="9"/>
  <c r="G357" i="9"/>
  <c r="G369" i="9"/>
  <c r="G443" i="9"/>
  <c r="G230" i="9"/>
  <c r="G439" i="9"/>
  <c r="G26" i="9"/>
  <c r="G395" i="9"/>
  <c r="G706" i="9"/>
  <c r="G8" i="9"/>
  <c r="G673" i="9"/>
  <c r="G496" i="9"/>
  <c r="G514" i="9"/>
  <c r="G531" i="9"/>
  <c r="G235" i="9"/>
  <c r="G310" i="9"/>
  <c r="G448" i="9"/>
  <c r="G155" i="9"/>
  <c r="G130" i="9"/>
  <c r="G538" i="9"/>
  <c r="G608" i="9"/>
  <c r="G560" i="9"/>
  <c r="G358" i="9"/>
  <c r="G674" i="9"/>
  <c r="G127" i="9"/>
  <c r="G502" i="9"/>
  <c r="G175" i="9"/>
  <c r="G113" i="9"/>
  <c r="G624" i="9"/>
  <c r="G572" i="9"/>
  <c r="G718" i="9"/>
  <c r="G620" i="9"/>
  <c r="G360" i="9"/>
  <c r="G150" i="9"/>
  <c r="G269" i="9"/>
  <c r="G351" i="9"/>
  <c r="G435" i="9"/>
  <c r="G144" i="9"/>
  <c r="G725" i="9"/>
  <c r="G88" i="9"/>
  <c r="G95" i="9"/>
  <c r="G80" i="9"/>
  <c r="G696" i="9"/>
  <c r="G567" i="9"/>
  <c r="G268" i="9"/>
  <c r="G659" i="9"/>
  <c r="G333" i="9"/>
  <c r="G58" i="9"/>
  <c r="G282" i="9"/>
  <c r="G51" i="9"/>
  <c r="G513" i="9"/>
  <c r="G61" i="9"/>
  <c r="G105" i="9"/>
  <c r="G160" i="9"/>
  <c r="G592" i="9"/>
  <c r="G667" i="9"/>
  <c r="G641" i="9"/>
  <c r="G19" i="9"/>
  <c r="G509" i="9"/>
  <c r="G652" i="9"/>
  <c r="G613" i="9"/>
  <c r="G353" i="9"/>
  <c r="G442" i="9"/>
  <c r="G450" i="9"/>
  <c r="G336" i="9"/>
  <c r="G143" i="9"/>
  <c r="G209" i="9"/>
  <c r="G304" i="9"/>
  <c r="G402" i="9"/>
  <c r="G275" i="9"/>
  <c r="G449" i="9"/>
  <c r="G619" i="9"/>
  <c r="G480" i="9"/>
  <c r="G162" i="9"/>
  <c r="G194" i="9"/>
  <c r="G250" i="9"/>
  <c r="G541" i="9"/>
  <c r="G576" i="9"/>
  <c r="G577" i="9"/>
  <c r="G365" i="9"/>
  <c r="G523" i="9"/>
  <c r="G117" i="9"/>
  <c r="G202" i="9"/>
  <c r="G359" i="9"/>
  <c r="G341" i="9"/>
  <c r="G724" i="9"/>
  <c r="G118" i="9"/>
  <c r="G392" i="9"/>
  <c r="G407" i="9"/>
  <c r="G205" i="9"/>
  <c r="G457" i="9"/>
  <c r="G159" i="9"/>
  <c r="G70" i="9"/>
  <c r="G622" i="9"/>
  <c r="G515" i="9"/>
  <c r="G231" i="9"/>
  <c r="G399" i="9"/>
  <c r="G396" i="9"/>
  <c r="G120" i="9"/>
  <c r="G599" i="9"/>
  <c r="G552" i="9"/>
  <c r="G487" i="9"/>
  <c r="G262" i="9"/>
  <c r="G25" i="9"/>
  <c r="G270" i="9"/>
  <c r="G692" i="9"/>
  <c r="G93" i="9"/>
  <c r="G36" i="9"/>
  <c r="G204" i="9"/>
  <c r="G380" i="9"/>
  <c r="G539" i="9"/>
  <c r="G558" i="9"/>
  <c r="G493" i="9"/>
  <c r="G18" i="9"/>
  <c r="G30" i="9"/>
  <c r="G704" i="9"/>
  <c r="G537" i="9"/>
  <c r="G23" i="9"/>
  <c r="G557" i="9"/>
  <c r="G298" i="9"/>
  <c r="G145" i="9"/>
  <c r="G112" i="9"/>
  <c r="G394" i="9"/>
  <c r="G32" i="9"/>
  <c r="G286" i="9"/>
  <c r="G424" i="9"/>
  <c r="G12" i="9"/>
  <c r="G609" i="9"/>
  <c r="G694" i="9"/>
  <c r="G190" i="9"/>
  <c r="G218" i="9"/>
  <c r="G329" i="9"/>
  <c r="G264" i="9"/>
  <c r="G349" i="9"/>
  <c r="G445" i="9"/>
  <c r="G67" i="9"/>
  <c r="G519" i="9"/>
  <c r="G295" i="9"/>
  <c r="G604" i="9"/>
  <c r="G56" i="9"/>
  <c r="G114" i="9"/>
  <c r="G151" i="9"/>
  <c r="G378" i="9"/>
  <c r="G55" i="9"/>
  <c r="G238" i="9"/>
  <c r="G720" i="9"/>
  <c r="G717" i="9"/>
  <c r="G563" i="9"/>
  <c r="G534" i="9"/>
  <c r="G639" i="9"/>
  <c r="G503" i="9"/>
  <c r="G246" i="9"/>
  <c r="G236" i="9"/>
  <c r="G607" i="9"/>
  <c r="G237" i="9"/>
  <c r="G129" i="9"/>
  <c r="G292" i="9"/>
  <c r="G454" i="9"/>
  <c r="G413" i="9"/>
  <c r="G710" i="9"/>
  <c r="G675" i="9"/>
  <c r="G167" i="9"/>
  <c r="G398" i="9"/>
  <c r="G106" i="9"/>
  <c r="G337" i="9"/>
  <c r="G247" i="9"/>
  <c r="G548" i="9"/>
  <c r="G78" i="9"/>
  <c r="G529" i="9"/>
  <c r="G605" i="9"/>
  <c r="G213" i="9"/>
  <c r="G540" i="9"/>
  <c r="G136" i="9"/>
  <c r="G522" i="9"/>
  <c r="G311" i="9"/>
  <c r="G287" i="9"/>
  <c r="G321" i="9"/>
  <c r="G288" i="9"/>
  <c r="G625" i="9"/>
  <c r="G319" i="9"/>
  <c r="G210" i="9"/>
  <c r="G583" i="9"/>
  <c r="G597" i="9"/>
  <c r="G16" i="9"/>
  <c r="G661" i="9"/>
  <c r="G397" i="9"/>
  <c r="G526" i="9"/>
  <c r="G656" i="9"/>
  <c r="G388" i="9"/>
  <c r="G111" i="9"/>
  <c r="G81" i="9"/>
  <c r="G727" i="9"/>
  <c r="G290" i="9"/>
  <c r="G14" i="9"/>
  <c r="G564" i="9"/>
  <c r="G183" i="9"/>
  <c r="G603" i="9"/>
  <c r="G453" i="9"/>
  <c r="G201" i="9"/>
  <c r="G433" i="9"/>
  <c r="G211" i="9"/>
  <c r="G152" i="9"/>
  <c r="G260" i="9"/>
  <c r="G44" i="9"/>
  <c r="G377" i="9"/>
  <c r="G99" i="9"/>
  <c r="G373" i="9"/>
  <c r="G671" i="9"/>
  <c r="G316" i="9"/>
  <c r="A5" i="9"/>
  <c r="Z81" i="9"/>
  <c r="Z515" i="9"/>
  <c r="Z588" i="9"/>
  <c r="Z706" i="9"/>
  <c r="Z376" i="9"/>
  <c r="E394" i="9"/>
  <c r="E32" i="9"/>
  <c r="E286" i="9"/>
  <c r="E661" i="9"/>
  <c r="E424" i="9"/>
  <c r="E12" i="9"/>
  <c r="E315" i="9"/>
  <c r="E694" i="9"/>
  <c r="E319" i="9"/>
  <c r="E190" i="9"/>
  <c r="E134" i="9"/>
  <c r="E111" i="9"/>
  <c r="E89" i="9"/>
  <c r="E329" i="9"/>
  <c r="E526" i="9"/>
  <c r="E260" i="9"/>
  <c r="E264" i="9"/>
  <c r="F394" i="9"/>
  <c r="F32" i="9"/>
  <c r="F286" i="9"/>
  <c r="F661" i="9"/>
  <c r="F424" i="9"/>
  <c r="F12" i="9"/>
  <c r="F315" i="9"/>
  <c r="F694" i="9"/>
  <c r="F319" i="9"/>
  <c r="F190" i="9"/>
  <c r="F134" i="9"/>
  <c r="F111" i="9"/>
  <c r="F89" i="9"/>
  <c r="F329" i="9"/>
  <c r="F526" i="9"/>
  <c r="F260" i="9"/>
  <c r="F264" i="9"/>
  <c r="H394" i="9"/>
  <c r="H32" i="9"/>
  <c r="H286" i="9"/>
  <c r="H661" i="9"/>
  <c r="H424" i="9"/>
  <c r="H12" i="9"/>
  <c r="H315" i="9"/>
  <c r="H694" i="9"/>
  <c r="H319" i="9"/>
  <c r="H190" i="9"/>
  <c r="H134" i="9"/>
  <c r="H111" i="9"/>
  <c r="H89" i="9"/>
  <c r="H329" i="9"/>
  <c r="H526" i="9"/>
  <c r="H260" i="9"/>
  <c r="H264" i="9"/>
  <c r="L394" i="9"/>
  <c r="L32" i="9"/>
  <c r="L286" i="9"/>
  <c r="L661" i="9"/>
  <c r="L424" i="9"/>
  <c r="L12" i="9"/>
  <c r="L315" i="9"/>
  <c r="L694" i="9"/>
  <c r="L319" i="9"/>
  <c r="L190" i="9"/>
  <c r="L134" i="9"/>
  <c r="L111" i="9"/>
  <c r="L89" i="9"/>
  <c r="L329" i="9"/>
  <c r="L526" i="9"/>
  <c r="L260" i="9"/>
  <c r="L264" i="9"/>
  <c r="M394" i="9"/>
  <c r="M32" i="9"/>
  <c r="M286" i="9"/>
  <c r="M661" i="9"/>
  <c r="M424" i="9"/>
  <c r="M12" i="9"/>
  <c r="M315" i="9"/>
  <c r="M694" i="9"/>
  <c r="M319" i="9"/>
  <c r="M190" i="9"/>
  <c r="M134" i="9"/>
  <c r="M111" i="9"/>
  <c r="M89" i="9"/>
  <c r="M329" i="9"/>
  <c r="M526" i="9"/>
  <c r="M260" i="9"/>
  <c r="M264" i="9"/>
  <c r="N394" i="9"/>
  <c r="N32" i="9"/>
  <c r="N286" i="9"/>
  <c r="N661" i="9"/>
  <c r="N424" i="9"/>
  <c r="N12" i="9"/>
  <c r="N315" i="9"/>
  <c r="N694" i="9"/>
  <c r="N319" i="9"/>
  <c r="N190" i="9"/>
  <c r="N134" i="9"/>
  <c r="N111" i="9"/>
  <c r="N89" i="9"/>
  <c r="N329" i="9"/>
  <c r="N526" i="9"/>
  <c r="N260" i="9"/>
  <c r="N264" i="9"/>
  <c r="O394" i="9"/>
  <c r="O32" i="9"/>
  <c r="O286" i="9"/>
  <c r="O661" i="9"/>
  <c r="O424" i="9"/>
  <c r="O12" i="9"/>
  <c r="O315" i="9"/>
  <c r="O694" i="9"/>
  <c r="O319" i="9"/>
  <c r="O190" i="9"/>
  <c r="O134" i="9"/>
  <c r="O111" i="9"/>
  <c r="O89" i="9"/>
  <c r="O329" i="9"/>
  <c r="O526" i="9"/>
  <c r="O260" i="9"/>
  <c r="O264" i="9"/>
  <c r="P286" i="9"/>
  <c r="P661" i="9"/>
  <c r="P12" i="9"/>
  <c r="P315" i="9"/>
  <c r="P134" i="9"/>
  <c r="P264" i="9"/>
  <c r="Q286" i="9"/>
  <c r="Q661" i="9"/>
  <c r="T661" i="9" s="1"/>
  <c r="Q12" i="9"/>
  <c r="Q315" i="9"/>
  <c r="Q134" i="9"/>
  <c r="Q264" i="9"/>
  <c r="R286" i="9"/>
  <c r="R661" i="9"/>
  <c r="R12" i="9"/>
  <c r="R315" i="9"/>
  <c r="R134" i="9"/>
  <c r="R264" i="9"/>
  <c r="V394" i="9"/>
  <c r="V32" i="9"/>
  <c r="V286" i="9"/>
  <c r="V661" i="9"/>
  <c r="V424" i="9"/>
  <c r="V12" i="9"/>
  <c r="V315" i="9"/>
  <c r="V694" i="9"/>
  <c r="V319" i="9"/>
  <c r="V190" i="9"/>
  <c r="V134" i="9"/>
  <c r="V111" i="9"/>
  <c r="V89" i="9"/>
  <c r="V329" i="9"/>
  <c r="V526" i="9"/>
  <c r="V260" i="9"/>
  <c r="V264" i="9"/>
  <c r="W394" i="9"/>
  <c r="W32" i="9"/>
  <c r="W286" i="9"/>
  <c r="W661" i="9"/>
  <c r="W424" i="9"/>
  <c r="W12" i="9"/>
  <c r="W315" i="9"/>
  <c r="W694" i="9"/>
  <c r="W319" i="9"/>
  <c r="W190" i="9"/>
  <c r="W134" i="9"/>
  <c r="W111" i="9"/>
  <c r="W89" i="9"/>
  <c r="W329" i="9"/>
  <c r="W526" i="9"/>
  <c r="W260" i="9"/>
  <c r="W264" i="9"/>
  <c r="Z394" i="9"/>
  <c r="Z32" i="9"/>
  <c r="Z286" i="9"/>
  <c r="Z661" i="9"/>
  <c r="Z424" i="9"/>
  <c r="Z12" i="9"/>
  <c r="Z315" i="9"/>
  <c r="Z694" i="9"/>
  <c r="Z319" i="9"/>
  <c r="Z190" i="9"/>
  <c r="Z134" i="9"/>
  <c r="Z111" i="9"/>
  <c r="Z89" i="9"/>
  <c r="Z329" i="9"/>
  <c r="Z526" i="9"/>
  <c r="Z260" i="9"/>
  <c r="Z264" i="9"/>
  <c r="G89" i="9"/>
  <c r="I32" i="9"/>
  <c r="I286" i="9"/>
  <c r="I424" i="9"/>
  <c r="I12" i="9"/>
  <c r="I315" i="9"/>
  <c r="I694" i="9"/>
  <c r="I190" i="9"/>
  <c r="I134" i="9"/>
  <c r="I111" i="9"/>
  <c r="I89" i="9"/>
  <c r="I329" i="9"/>
  <c r="I260" i="9"/>
  <c r="I264" i="9"/>
  <c r="J394" i="9"/>
  <c r="J32" i="9"/>
  <c r="J286" i="9"/>
  <c r="J661" i="9"/>
  <c r="J424" i="9"/>
  <c r="J315" i="9"/>
  <c r="J694" i="9"/>
  <c r="J134" i="9"/>
  <c r="J111" i="9"/>
  <c r="J89" i="9"/>
  <c r="J329" i="9"/>
  <c r="J526" i="9"/>
  <c r="J260" i="9"/>
  <c r="J264" i="9"/>
  <c r="K394" i="9"/>
  <c r="K32" i="9"/>
  <c r="K286" i="9"/>
  <c r="K661" i="9"/>
  <c r="K12" i="9"/>
  <c r="K694" i="9"/>
  <c r="K319" i="9"/>
  <c r="K190" i="9"/>
  <c r="K134" i="9"/>
  <c r="K111" i="9"/>
  <c r="K526" i="9"/>
  <c r="K260" i="9"/>
  <c r="K264" i="9"/>
  <c r="W280" i="9"/>
  <c r="V280" i="9"/>
  <c r="H280" i="9"/>
  <c r="E280" i="9"/>
  <c r="R302" i="9"/>
  <c r="R422" i="9"/>
  <c r="R203" i="9"/>
  <c r="R423" i="9"/>
  <c r="R340" i="9"/>
  <c r="R140" i="9"/>
  <c r="R437" i="9"/>
  <c r="R362" i="9"/>
  <c r="R96" i="9"/>
  <c r="R479" i="9"/>
  <c r="R495" i="9"/>
  <c r="R581" i="9"/>
  <c r="R341" i="9"/>
  <c r="R487" i="9"/>
  <c r="R81" i="9"/>
  <c r="R547" i="9"/>
  <c r="R670" i="9"/>
  <c r="R40" i="9"/>
  <c r="R42" i="9"/>
  <c r="R545" i="9"/>
  <c r="R86" i="9"/>
  <c r="R401" i="9"/>
  <c r="R445" i="9"/>
  <c r="R120" i="9"/>
  <c r="R703" i="9"/>
  <c r="R553" i="9"/>
  <c r="R501" i="9"/>
  <c r="R363" i="9"/>
  <c r="R174" i="9"/>
  <c r="R488" i="9"/>
  <c r="R419" i="9"/>
  <c r="R250" i="9"/>
  <c r="R35" i="9"/>
  <c r="R681" i="9"/>
  <c r="R720" i="9"/>
  <c r="R104" i="9"/>
  <c r="R599" i="9"/>
  <c r="R587" i="9"/>
  <c r="R717" i="9"/>
  <c r="R375" i="9"/>
  <c r="R579" i="9"/>
  <c r="R73" i="9"/>
  <c r="R381" i="9"/>
  <c r="R675" i="9"/>
  <c r="R110" i="9"/>
  <c r="R303" i="9"/>
  <c r="R506" i="9"/>
  <c r="R584" i="9"/>
  <c r="R684" i="9"/>
  <c r="R124" i="9"/>
  <c r="R585" i="9"/>
  <c r="R18" i="9"/>
  <c r="R647" i="9"/>
  <c r="R241" i="9"/>
  <c r="R715" i="9"/>
  <c r="R11" i="9"/>
  <c r="R299" i="9"/>
  <c r="R266" i="9"/>
  <c r="R573" i="9"/>
  <c r="R238" i="9"/>
  <c r="R414" i="9"/>
  <c r="R262" i="9"/>
  <c r="R171" i="9"/>
  <c r="R642" i="9"/>
  <c r="R25" i="9"/>
  <c r="R206" i="9"/>
  <c r="R38" i="9"/>
  <c r="R516" i="9"/>
  <c r="R270" i="9"/>
  <c r="R679" i="9"/>
  <c r="R708" i="9"/>
  <c r="R692" i="9"/>
  <c r="R386" i="9"/>
  <c r="R151" i="9"/>
  <c r="R65" i="9"/>
  <c r="R724" i="9"/>
  <c r="R93" i="9"/>
  <c r="R490" i="9"/>
  <c r="R711" i="9"/>
  <c r="R682" i="9"/>
  <c r="R92" i="9"/>
  <c r="R186" i="9"/>
  <c r="R63" i="9"/>
  <c r="R156" i="9"/>
  <c r="R390" i="9"/>
  <c r="R606" i="9"/>
  <c r="R653" i="9"/>
  <c r="R192" i="9"/>
  <c r="R475" i="9"/>
  <c r="R569" i="9"/>
  <c r="R232" i="9"/>
  <c r="R658" i="9"/>
  <c r="R630" i="9"/>
  <c r="R293" i="9"/>
  <c r="R204" i="9"/>
  <c r="R108" i="9"/>
  <c r="R167" i="9"/>
  <c r="R474" i="9"/>
  <c r="R164" i="9"/>
  <c r="R534" i="9"/>
  <c r="R413" i="9"/>
  <c r="R308" i="9"/>
  <c r="R184" i="9"/>
  <c r="R248" i="9"/>
  <c r="R177" i="9"/>
  <c r="R536" i="9"/>
  <c r="R644" i="9"/>
  <c r="R29" i="9"/>
  <c r="R118" i="9"/>
  <c r="U118" i="9" s="1"/>
  <c r="R380" i="9"/>
  <c r="R392" i="9"/>
  <c r="R292" i="9"/>
  <c r="R47" i="9"/>
  <c r="R660" i="9"/>
  <c r="R395" i="9"/>
  <c r="R639" i="9"/>
  <c r="R338" i="9"/>
  <c r="R97" i="9"/>
  <c r="R511" i="9"/>
  <c r="R389" i="9"/>
  <c r="R617" i="9"/>
  <c r="R666" i="9"/>
  <c r="R361" i="9"/>
  <c r="R472" i="9"/>
  <c r="R407" i="9"/>
  <c r="R476" i="9"/>
  <c r="R636" i="9"/>
  <c r="R252" i="9"/>
  <c r="R295" i="9"/>
  <c r="R663" i="9"/>
  <c r="R205" i="9"/>
  <c r="R24" i="9"/>
  <c r="R83" i="9"/>
  <c r="R503" i="9"/>
  <c r="R680" i="9"/>
  <c r="R224" i="9"/>
  <c r="R223" i="9"/>
  <c r="R138" i="9"/>
  <c r="R426" i="9"/>
  <c r="R541" i="9"/>
  <c r="R453" i="9"/>
  <c r="R522" i="9"/>
  <c r="R576" i="9"/>
  <c r="R590" i="9"/>
  <c r="R116" i="9"/>
  <c r="R577" i="9"/>
  <c r="R371" i="9"/>
  <c r="R650" i="9"/>
  <c r="R374" i="9"/>
  <c r="R222" i="9"/>
  <c r="R716" i="9"/>
  <c r="R523" i="9"/>
  <c r="R463" i="9"/>
  <c r="R115" i="9"/>
  <c r="R117" i="9"/>
  <c r="R698" i="9"/>
  <c r="R5" i="9"/>
  <c r="R385" i="9"/>
  <c r="R420" i="9"/>
  <c r="R373" i="9"/>
  <c r="R655" i="9"/>
  <c r="R240" i="9"/>
  <c r="R565" i="9"/>
  <c r="R462" i="9"/>
  <c r="R229" i="9"/>
  <c r="R528" i="9"/>
  <c r="R626" i="9"/>
  <c r="R141" i="9"/>
  <c r="R654" i="9"/>
  <c r="R306" i="9"/>
  <c r="R85" i="9"/>
  <c r="R242" i="9"/>
  <c r="R507" i="9"/>
  <c r="R499" i="9"/>
  <c r="R693" i="9"/>
  <c r="R102" i="9"/>
  <c r="R215" i="9"/>
  <c r="R500" i="9"/>
  <c r="R568" i="9"/>
  <c r="R411" i="9"/>
  <c r="R542" i="9"/>
  <c r="R596" i="9"/>
  <c r="R84" i="9"/>
  <c r="R457" i="9"/>
  <c r="R113" i="9"/>
  <c r="R461" i="9"/>
  <c r="R434" i="9"/>
  <c r="R520" i="9"/>
  <c r="R712" i="9"/>
  <c r="R572" i="9"/>
  <c r="U572" i="9" s="1"/>
  <c r="R139" i="9"/>
  <c r="R484" i="9"/>
  <c r="R168" i="9"/>
  <c r="R296" i="9"/>
  <c r="R166" i="9"/>
  <c r="R726" i="9"/>
  <c r="R478" i="9"/>
  <c r="R265" i="9"/>
  <c r="R460" i="9"/>
  <c r="R189" i="9"/>
  <c r="R397" i="9"/>
  <c r="R400" i="9"/>
  <c r="R169" i="9"/>
  <c r="R313" i="9"/>
  <c r="R447" i="9"/>
  <c r="R409" i="9"/>
  <c r="R173" i="9"/>
  <c r="R633" i="9"/>
  <c r="R180" i="9"/>
  <c r="R103" i="9"/>
  <c r="R71" i="9"/>
  <c r="R491" i="9"/>
  <c r="R226" i="9"/>
  <c r="R246" i="9"/>
  <c r="R79" i="9"/>
  <c r="R14" i="9"/>
  <c r="R612" i="9"/>
  <c r="R314" i="9"/>
  <c r="R123" i="9"/>
  <c r="R210" i="9"/>
  <c r="R57" i="9"/>
  <c r="R233" i="9"/>
  <c r="R191" i="9"/>
  <c r="R201" i="9"/>
  <c r="R36" i="9"/>
  <c r="R575" i="9"/>
  <c r="R13" i="9"/>
  <c r="R643" i="9"/>
  <c r="R43" i="9"/>
  <c r="R185" i="9"/>
  <c r="R382" i="9"/>
  <c r="R82" i="9"/>
  <c r="R320" i="9"/>
  <c r="R9" i="9"/>
  <c r="R325" i="9"/>
  <c r="R611" i="9"/>
  <c r="R208" i="9"/>
  <c r="R602" i="9"/>
  <c r="R701" i="9"/>
  <c r="R727" i="9"/>
  <c r="R505" i="9"/>
  <c r="R178" i="9"/>
  <c r="R398" i="9"/>
  <c r="R197" i="9"/>
  <c r="R52" i="9"/>
  <c r="R497" i="9"/>
  <c r="R686" i="9"/>
  <c r="R521" i="9"/>
  <c r="R346" i="9"/>
  <c r="R327" i="9"/>
  <c r="R530" i="9"/>
  <c r="R713" i="9"/>
  <c r="R352" i="9"/>
  <c r="U352" i="9" s="1"/>
  <c r="R458" i="9"/>
  <c r="R696" i="9"/>
  <c r="U696" i="9" s="1"/>
  <c r="R50" i="9"/>
  <c r="R697" i="9"/>
  <c r="R331" i="9"/>
  <c r="R305" i="9"/>
  <c r="R182" i="9"/>
  <c r="R297" i="9"/>
  <c r="R188" i="9"/>
  <c r="R427" i="9"/>
  <c r="R106" i="9"/>
  <c r="R364" i="9"/>
  <c r="R34" i="9"/>
  <c r="R64" i="9"/>
  <c r="R482" i="9"/>
  <c r="R429" i="9"/>
  <c r="R236" i="9"/>
  <c r="R45" i="9"/>
  <c r="R137" i="9"/>
  <c r="R468" i="9"/>
  <c r="R564" i="9"/>
  <c r="R300" i="9"/>
  <c r="R559" i="9"/>
  <c r="R471" i="9"/>
  <c r="R283" i="9"/>
  <c r="R645" i="9"/>
  <c r="R544" i="9"/>
  <c r="R311" i="9"/>
  <c r="R580" i="9"/>
  <c r="R690" i="9"/>
  <c r="R147" i="9"/>
  <c r="R556" i="9"/>
  <c r="R473" i="9"/>
  <c r="R699" i="9"/>
  <c r="R552" i="9"/>
  <c r="R504" i="9"/>
  <c r="R279" i="9"/>
  <c r="R570" i="9"/>
  <c r="R121" i="9"/>
  <c r="R46" i="9"/>
  <c r="R337" i="9"/>
  <c r="R638" i="9"/>
  <c r="R256" i="9"/>
  <c r="R67" i="9"/>
  <c r="R631" i="9"/>
  <c r="R28" i="9"/>
  <c r="R433" i="9"/>
  <c r="R170" i="9"/>
  <c r="R276" i="9"/>
  <c r="R317" i="9"/>
  <c r="R393" i="9"/>
  <c r="R582" i="9"/>
  <c r="R451" i="9"/>
  <c r="U451" i="9" s="1"/>
  <c r="R721" i="9"/>
  <c r="R62" i="9"/>
  <c r="R366" i="9"/>
  <c r="R165" i="9"/>
  <c r="R492" i="9"/>
  <c r="R133" i="9"/>
  <c r="R146" i="9"/>
  <c r="R212" i="9"/>
  <c r="R578" i="9"/>
  <c r="R651" i="9"/>
  <c r="R277" i="9"/>
  <c r="R689" i="9"/>
  <c r="R324" i="9"/>
  <c r="R540" i="9"/>
  <c r="R60" i="9"/>
  <c r="R667" i="9"/>
  <c r="R391" i="9"/>
  <c r="R17" i="9"/>
  <c r="R6" i="9"/>
  <c r="R539" i="9"/>
  <c r="R627" i="9"/>
  <c r="R477" i="9"/>
  <c r="R383" i="9"/>
  <c r="R301" i="9"/>
  <c r="R446" i="9"/>
  <c r="R207" i="9"/>
  <c r="R695" i="9"/>
  <c r="R554" i="9"/>
  <c r="R600" i="9"/>
  <c r="R714" i="9"/>
  <c r="R704" i="9"/>
  <c r="R549" i="9"/>
  <c r="R145" i="9"/>
  <c r="R202" i="9"/>
  <c r="R172" i="9"/>
  <c r="R87" i="9"/>
  <c r="R271" i="9"/>
  <c r="R114" i="9"/>
  <c r="R234" i="9"/>
  <c r="R640" i="9"/>
  <c r="R571" i="9"/>
  <c r="R533" i="9"/>
  <c r="R348" i="9"/>
  <c r="R688" i="9"/>
  <c r="R524" i="9"/>
  <c r="R722" i="9"/>
  <c r="R195" i="9"/>
  <c r="R546" i="9"/>
  <c r="R481" i="9"/>
  <c r="R459" i="9"/>
  <c r="R335" i="9"/>
  <c r="R322" i="9"/>
  <c r="R39" i="9"/>
  <c r="R253" i="9"/>
  <c r="R342" i="9"/>
  <c r="R452" i="9"/>
  <c r="R710" i="9"/>
  <c r="R438" i="9"/>
  <c r="R20" i="9"/>
  <c r="R430" i="9"/>
  <c r="R728" i="9"/>
  <c r="R441" i="9"/>
  <c r="R603" i="9"/>
  <c r="R119" i="9"/>
  <c r="R558" i="9"/>
  <c r="R604" i="9"/>
  <c r="R59" i="9"/>
  <c r="R126" i="9"/>
  <c r="R641" i="9"/>
  <c r="R183" i="9"/>
  <c r="R330" i="9"/>
  <c r="R583" i="9"/>
  <c r="R247" i="9"/>
  <c r="R187" i="9"/>
  <c r="R10" i="9"/>
  <c r="R387" i="9"/>
  <c r="R448" i="9"/>
  <c r="R200" i="9"/>
  <c r="R258" i="9"/>
  <c r="R54" i="9"/>
  <c r="R648" i="9"/>
  <c r="R365" i="9"/>
  <c r="R555" i="9"/>
  <c r="R416" i="9"/>
  <c r="R489" i="9"/>
  <c r="R404" i="9"/>
  <c r="R76" i="9"/>
  <c r="R705" i="9"/>
  <c r="R621" i="9"/>
  <c r="R637" i="9"/>
  <c r="R148" i="9"/>
  <c r="R551" i="9"/>
  <c r="R595" i="9"/>
  <c r="R56" i="9"/>
  <c r="R519" i="9"/>
  <c r="R532" i="9"/>
  <c r="R687" i="9"/>
  <c r="R372" i="9"/>
  <c r="R635" i="9"/>
  <c r="R72" i="9"/>
  <c r="R243" i="9"/>
  <c r="R214" i="9"/>
  <c r="R350" i="9"/>
  <c r="R91" i="9"/>
  <c r="R345" i="9"/>
  <c r="R428" i="9"/>
  <c r="R709" i="9"/>
  <c r="R417" i="9"/>
  <c r="R53" i="9"/>
  <c r="R594" i="9"/>
  <c r="R128" i="9"/>
  <c r="R211" i="9"/>
  <c r="R444" i="9"/>
  <c r="R614" i="9"/>
  <c r="R332" i="9"/>
  <c r="R408" i="9"/>
  <c r="R618" i="9"/>
  <c r="R454" i="9"/>
  <c r="R109" i="9"/>
  <c r="R179" i="9"/>
  <c r="R512" i="9"/>
  <c r="R586" i="9"/>
  <c r="R566" i="9"/>
  <c r="R672" i="9"/>
  <c r="R376" i="9"/>
  <c r="R290" i="9"/>
  <c r="R159" i="9"/>
  <c r="R155" i="9"/>
  <c r="R646" i="9"/>
  <c r="R239" i="9"/>
  <c r="R344" i="9"/>
  <c r="R135" i="9"/>
  <c r="R143" i="9"/>
  <c r="R403" i="9"/>
  <c r="R161" i="9"/>
  <c r="R272" i="9"/>
  <c r="R597" i="9"/>
  <c r="R415" i="9"/>
  <c r="R307" i="9"/>
  <c r="R456" i="9"/>
  <c r="R466" i="9"/>
  <c r="R485" i="9"/>
  <c r="R525" i="9"/>
  <c r="R685" i="9"/>
  <c r="R90" i="9"/>
  <c r="R70" i="9"/>
  <c r="R220" i="9"/>
  <c r="R498" i="9"/>
  <c r="R22" i="9"/>
  <c r="R535" i="9"/>
  <c r="R219" i="9"/>
  <c r="R33" i="9"/>
  <c r="R254" i="9"/>
  <c r="R676" i="9"/>
  <c r="R23" i="9"/>
  <c r="R355" i="9"/>
  <c r="R237" i="9"/>
  <c r="R634" i="9"/>
  <c r="R356" i="9"/>
  <c r="R678" i="9"/>
  <c r="R225" i="9"/>
  <c r="R412" i="9"/>
  <c r="R132" i="9"/>
  <c r="R370" i="9"/>
  <c r="R221" i="9"/>
  <c r="R665" i="9"/>
  <c r="R669" i="9"/>
  <c r="R379" i="9"/>
  <c r="R257" i="9"/>
  <c r="R465" i="9"/>
  <c r="R349" i="9"/>
  <c r="R691" i="9"/>
  <c r="R683" i="9"/>
  <c r="R677" i="9"/>
  <c r="R357" i="9"/>
  <c r="R369" i="9"/>
  <c r="R443" i="9"/>
  <c r="R494" i="9"/>
  <c r="R318" i="9"/>
  <c r="R230" i="9"/>
  <c r="R439" i="9"/>
  <c r="R26" i="9"/>
  <c r="R632" i="9"/>
  <c r="R244" i="9"/>
  <c r="R623" i="9"/>
  <c r="R706" i="9"/>
  <c r="R8" i="9"/>
  <c r="R673" i="9"/>
  <c r="R496" i="9"/>
  <c r="R421" i="9"/>
  <c r="R259" i="9"/>
  <c r="R483" i="9"/>
  <c r="R656" i="9"/>
  <c r="R548" i="9"/>
  <c r="R561" i="9"/>
  <c r="R514" i="9"/>
  <c r="R278" i="9"/>
  <c r="R531" i="9"/>
  <c r="R181" i="9"/>
  <c r="R131" i="9"/>
  <c r="R245" i="9"/>
  <c r="R281" i="9"/>
  <c r="R410" i="9"/>
  <c r="R723" i="9"/>
  <c r="R550" i="9"/>
  <c r="R316" i="9"/>
  <c r="R235" i="9"/>
  <c r="R310" i="9"/>
  <c r="R30" i="9"/>
  <c r="R255" i="9"/>
  <c r="R130" i="9"/>
  <c r="R68" i="9"/>
  <c r="R538" i="9"/>
  <c r="R608" i="9"/>
  <c r="R560" i="9"/>
  <c r="R358" i="9"/>
  <c r="R537" i="9"/>
  <c r="R563" i="9"/>
  <c r="R127" i="9"/>
  <c r="R502" i="9"/>
  <c r="R175" i="9"/>
  <c r="R31" i="9"/>
  <c r="R624" i="9"/>
  <c r="R607" i="9"/>
  <c r="R622" i="9"/>
  <c r="R298" i="9"/>
  <c r="R718" i="9"/>
  <c r="R78" i="9"/>
  <c r="R41" i="9"/>
  <c r="R359" i="9"/>
  <c r="R216" i="9"/>
  <c r="R620" i="9"/>
  <c r="R529" i="9"/>
  <c r="R213" i="9"/>
  <c r="R360" i="9"/>
  <c r="R66" i="9"/>
  <c r="R285" i="9"/>
  <c r="R150" i="9"/>
  <c r="R593" i="9"/>
  <c r="R249" i="9"/>
  <c r="R269" i="9"/>
  <c r="R467" i="9"/>
  <c r="R129" i="9"/>
  <c r="R351" i="9"/>
  <c r="R435" i="9"/>
  <c r="R144" i="9"/>
  <c r="R725" i="9"/>
  <c r="R88" i="9"/>
  <c r="R440" i="9"/>
  <c r="R95" i="9"/>
  <c r="R80" i="9"/>
  <c r="R343" i="9"/>
  <c r="R567" i="9"/>
  <c r="R700" i="9"/>
  <c r="R228" i="9"/>
  <c r="R268" i="9"/>
  <c r="R629" i="9"/>
  <c r="R589" i="9"/>
  <c r="R198" i="9"/>
  <c r="R659" i="9"/>
  <c r="R16" i="9"/>
  <c r="R333" i="9"/>
  <c r="R55" i="9"/>
  <c r="R274" i="9"/>
  <c r="R515" i="9"/>
  <c r="R449" i="9"/>
  <c r="R58" i="9"/>
  <c r="R282" i="9"/>
  <c r="R51" i="9"/>
  <c r="R513" i="9"/>
  <c r="R649" i="9"/>
  <c r="R61" i="9"/>
  <c r="R384" i="9"/>
  <c r="R105" i="9"/>
  <c r="R517" i="9"/>
  <c r="R231" i="9"/>
  <c r="R77" i="9"/>
  <c r="R160" i="9"/>
  <c r="R592" i="9"/>
  <c r="R543" i="9"/>
  <c r="R652" i="9"/>
  <c r="R610" i="9"/>
  <c r="R19" i="9"/>
  <c r="R509" i="9"/>
  <c r="R557" i="9"/>
  <c r="R605" i="9"/>
  <c r="R486" i="9"/>
  <c r="R508" i="9"/>
  <c r="R94" i="9"/>
  <c r="R674" i="9"/>
  <c r="R613" i="9"/>
  <c r="R149" i="9"/>
  <c r="R291" i="9"/>
  <c r="R668" i="9"/>
  <c r="R321" i="9"/>
  <c r="R353" i="9"/>
  <c r="R442" i="9"/>
  <c r="R450" i="9"/>
  <c r="R336" i="9"/>
  <c r="R153" i="9"/>
  <c r="R425" i="9"/>
  <c r="R399" i="9"/>
  <c r="R347" i="9"/>
  <c r="R122" i="9"/>
  <c r="R469" i="9"/>
  <c r="R396" i="9"/>
  <c r="R217" i="9"/>
  <c r="R628" i="9"/>
  <c r="R209" i="9"/>
  <c r="R284" i="9"/>
  <c r="R304" i="9"/>
  <c r="R402" i="9"/>
  <c r="R671" i="9"/>
  <c r="R588" i="9"/>
  <c r="R493" i="9"/>
  <c r="R275" i="9"/>
  <c r="R273" i="9"/>
  <c r="R326" i="9"/>
  <c r="R378" i="9"/>
  <c r="R619" i="9"/>
  <c r="R455" i="9"/>
  <c r="R657" i="9"/>
  <c r="R163" i="9"/>
  <c r="R480" i="9"/>
  <c r="R328" i="9"/>
  <c r="R100" i="9"/>
  <c r="R112" i="9"/>
  <c r="R162" i="9"/>
  <c r="R527" i="9"/>
  <c r="R194" i="9"/>
  <c r="Q302" i="9"/>
  <c r="Q422" i="9"/>
  <c r="Q203" i="9"/>
  <c r="Q423" i="9"/>
  <c r="Q340" i="9"/>
  <c r="Q140" i="9"/>
  <c r="Q437" i="9"/>
  <c r="Q362" i="9"/>
  <c r="Q96" i="9"/>
  <c r="Q479" i="9"/>
  <c r="Q495" i="9"/>
  <c r="Q581" i="9"/>
  <c r="Q341" i="9"/>
  <c r="Q487" i="9"/>
  <c r="Q81" i="9"/>
  <c r="Q547" i="9"/>
  <c r="Q670" i="9"/>
  <c r="Q40" i="9"/>
  <c r="Q42" i="9"/>
  <c r="Q545" i="9"/>
  <c r="Q86" i="9"/>
  <c r="Q401" i="9"/>
  <c r="Q445" i="9"/>
  <c r="Q120" i="9"/>
  <c r="Q703" i="9"/>
  <c r="Q553" i="9"/>
  <c r="Q501" i="9"/>
  <c r="Q363" i="9"/>
  <c r="Q174" i="9"/>
  <c r="Q488" i="9"/>
  <c r="Q419" i="9"/>
  <c r="Q250" i="9"/>
  <c r="Q35" i="9"/>
  <c r="Q681" i="9"/>
  <c r="Q720" i="9"/>
  <c r="Q104" i="9"/>
  <c r="Q599" i="9"/>
  <c r="Q587" i="9"/>
  <c r="Q717" i="9"/>
  <c r="Q375" i="9"/>
  <c r="Q579" i="9"/>
  <c r="Q73" i="9"/>
  <c r="Q381" i="9"/>
  <c r="Q675" i="9"/>
  <c r="Q110" i="9"/>
  <c r="Q303" i="9"/>
  <c r="Q506" i="9"/>
  <c r="Q584" i="9"/>
  <c r="Q684" i="9"/>
  <c r="Q124" i="9"/>
  <c r="Q585" i="9"/>
  <c r="Q18" i="9"/>
  <c r="Q647" i="9"/>
  <c r="Q241" i="9"/>
  <c r="Q715" i="9"/>
  <c r="Q11" i="9"/>
  <c r="Q299" i="9"/>
  <c r="Q266" i="9"/>
  <c r="Q573" i="9"/>
  <c r="Q238" i="9"/>
  <c r="Q414" i="9"/>
  <c r="Q262" i="9"/>
  <c r="Q171" i="9"/>
  <c r="Q642" i="9"/>
  <c r="Q25" i="9"/>
  <c r="Q206" i="9"/>
  <c r="Q38" i="9"/>
  <c r="Q516" i="9"/>
  <c r="Q270" i="9"/>
  <c r="Q679" i="9"/>
  <c r="Q708" i="9"/>
  <c r="Q692" i="9"/>
  <c r="Q386" i="9"/>
  <c r="Q151" i="9"/>
  <c r="Q65" i="9"/>
  <c r="Q724" i="9"/>
  <c r="Q93" i="9"/>
  <c r="Q490" i="9"/>
  <c r="Q711" i="9"/>
  <c r="Q682" i="9"/>
  <c r="Q92" i="9"/>
  <c r="Q186" i="9"/>
  <c r="Q63" i="9"/>
  <c r="Q156" i="9"/>
  <c r="Q390" i="9"/>
  <c r="Q606" i="9"/>
  <c r="Q653" i="9"/>
  <c r="Q192" i="9"/>
  <c r="Q475" i="9"/>
  <c r="Q569" i="9"/>
  <c r="Q232" i="9"/>
  <c r="Q658" i="9"/>
  <c r="Q630" i="9"/>
  <c r="Q293" i="9"/>
  <c r="Q204" i="9"/>
  <c r="Q108" i="9"/>
  <c r="Q167" i="9"/>
  <c r="Q474" i="9"/>
  <c r="Q164" i="9"/>
  <c r="Q534" i="9"/>
  <c r="Q413" i="9"/>
  <c r="Q308" i="9"/>
  <c r="Q184" i="9"/>
  <c r="Q248" i="9"/>
  <c r="Q177" i="9"/>
  <c r="Q536" i="9"/>
  <c r="Q644" i="9"/>
  <c r="Q29" i="9"/>
  <c r="Q118" i="9"/>
  <c r="Q380" i="9"/>
  <c r="Q392" i="9"/>
  <c r="Q292" i="9"/>
  <c r="Q47" i="9"/>
  <c r="Q660" i="9"/>
  <c r="Q395" i="9"/>
  <c r="Q639" i="9"/>
  <c r="Q338" i="9"/>
  <c r="T338" i="9" s="1"/>
  <c r="Q97" i="9"/>
  <c r="Q511" i="9"/>
  <c r="Q389" i="9"/>
  <c r="Q617" i="9"/>
  <c r="Q666" i="9"/>
  <c r="Q361" i="9"/>
  <c r="Q472" i="9"/>
  <c r="Q407" i="9"/>
  <c r="Q476" i="9"/>
  <c r="Q636" i="9"/>
  <c r="Q252" i="9"/>
  <c r="Q295" i="9"/>
  <c r="Q663" i="9"/>
  <c r="Q205" i="9"/>
  <c r="Q24" i="9"/>
  <c r="Q83" i="9"/>
  <c r="Q503" i="9"/>
  <c r="Q680" i="9"/>
  <c r="Q224" i="9"/>
  <c r="Q223" i="9"/>
  <c r="Q138" i="9"/>
  <c r="Q426" i="9"/>
  <c r="Q541" i="9"/>
  <c r="Q453" i="9"/>
  <c r="Q522" i="9"/>
  <c r="Q576" i="9"/>
  <c r="Q590" i="9"/>
  <c r="Q116" i="9"/>
  <c r="Q577" i="9"/>
  <c r="Q371" i="9"/>
  <c r="Q650" i="9"/>
  <c r="Q374" i="9"/>
  <c r="Q222" i="9"/>
  <c r="Q716" i="9"/>
  <c r="Q523" i="9"/>
  <c r="Q463" i="9"/>
  <c r="Q115" i="9"/>
  <c r="Q117" i="9"/>
  <c r="Q698" i="9"/>
  <c r="Q5" i="9"/>
  <c r="Q385" i="9"/>
  <c r="Q420" i="9"/>
  <c r="Q373" i="9"/>
  <c r="Q655" i="9"/>
  <c r="Q240" i="9"/>
  <c r="Q565" i="9"/>
  <c r="Q462" i="9"/>
  <c r="Q229" i="9"/>
  <c r="Q528" i="9"/>
  <c r="Q626" i="9"/>
  <c r="Q141" i="9"/>
  <c r="Q654" i="9"/>
  <c r="Q306" i="9"/>
  <c r="Q85" i="9"/>
  <c r="Q242" i="9"/>
  <c r="Q507" i="9"/>
  <c r="Q499" i="9"/>
  <c r="Q693" i="9"/>
  <c r="Q102" i="9"/>
  <c r="Q215" i="9"/>
  <c r="Q500" i="9"/>
  <c r="Q568" i="9"/>
  <c r="Q411" i="9"/>
  <c r="Q542" i="9"/>
  <c r="Q596" i="9"/>
  <c r="Q84" i="9"/>
  <c r="Q457" i="9"/>
  <c r="Q113" i="9"/>
  <c r="Q461" i="9"/>
  <c r="Q434" i="9"/>
  <c r="Q520" i="9"/>
  <c r="Q712" i="9"/>
  <c r="Q572" i="9"/>
  <c r="Q139" i="9"/>
  <c r="Q484" i="9"/>
  <c r="Q168" i="9"/>
  <c r="Q296" i="9"/>
  <c r="Q166" i="9"/>
  <c r="Q726" i="9"/>
  <c r="Q478" i="9"/>
  <c r="Q265" i="9"/>
  <c r="Q460" i="9"/>
  <c r="Q189" i="9"/>
  <c r="Q397" i="9"/>
  <c r="Q400" i="9"/>
  <c r="Q169" i="9"/>
  <c r="Q313" i="9"/>
  <c r="Q447" i="9"/>
  <c r="Q409" i="9"/>
  <c r="Q173" i="9"/>
  <c r="Q633" i="9"/>
  <c r="Q180" i="9"/>
  <c r="Q103" i="9"/>
  <c r="Q71" i="9"/>
  <c r="Q491" i="9"/>
  <c r="Q226" i="9"/>
  <c r="Q246" i="9"/>
  <c r="Q79" i="9"/>
  <c r="Q14" i="9"/>
  <c r="Q612" i="9"/>
  <c r="Q314" i="9"/>
  <c r="Q123" i="9"/>
  <c r="Q210" i="9"/>
  <c r="Q57" i="9"/>
  <c r="Q233" i="9"/>
  <c r="Q191" i="9"/>
  <c r="Q201" i="9"/>
  <c r="Q36" i="9"/>
  <c r="Q575" i="9"/>
  <c r="Q13" i="9"/>
  <c r="Q643" i="9"/>
  <c r="Q43" i="9"/>
  <c r="Q185" i="9"/>
  <c r="Q382" i="9"/>
  <c r="Q82" i="9"/>
  <c r="Q320" i="9"/>
  <c r="Q9" i="9"/>
  <c r="Q325" i="9"/>
  <c r="Q611" i="9"/>
  <c r="Q208" i="9"/>
  <c r="Q602" i="9"/>
  <c r="Q701" i="9"/>
  <c r="Q727" i="9"/>
  <c r="Q505" i="9"/>
  <c r="Q178" i="9"/>
  <c r="Q398" i="9"/>
  <c r="Q197" i="9"/>
  <c r="Q52" i="9"/>
  <c r="Q497" i="9"/>
  <c r="Q686" i="9"/>
  <c r="Q521" i="9"/>
  <c r="Q346" i="9"/>
  <c r="Q327" i="9"/>
  <c r="Q530" i="9"/>
  <c r="Q713" i="9"/>
  <c r="Q352" i="9"/>
  <c r="Q458" i="9"/>
  <c r="Q696" i="9"/>
  <c r="Q50" i="9"/>
  <c r="Q697" i="9"/>
  <c r="Q331" i="9"/>
  <c r="Q305" i="9"/>
  <c r="Q182" i="9"/>
  <c r="Q297" i="9"/>
  <c r="Q188" i="9"/>
  <c r="Q427" i="9"/>
  <c r="Q106" i="9"/>
  <c r="Q364" i="9"/>
  <c r="Q34" i="9"/>
  <c r="Q64" i="9"/>
  <c r="Q482" i="9"/>
  <c r="Q429" i="9"/>
  <c r="Q236" i="9"/>
  <c r="Q45" i="9"/>
  <c r="Q137" i="9"/>
  <c r="Q468" i="9"/>
  <c r="Q564" i="9"/>
  <c r="Q300" i="9"/>
  <c r="Q559" i="9"/>
  <c r="Q471" i="9"/>
  <c r="Q283" i="9"/>
  <c r="Q645" i="9"/>
  <c r="Q544" i="9"/>
  <c r="Q311" i="9"/>
  <c r="Q580" i="9"/>
  <c r="Q690" i="9"/>
  <c r="Q147" i="9"/>
  <c r="Q556" i="9"/>
  <c r="Q473" i="9"/>
  <c r="Q699" i="9"/>
  <c r="Q552" i="9"/>
  <c r="Q504" i="9"/>
  <c r="Q279" i="9"/>
  <c r="Q570" i="9"/>
  <c r="Q121" i="9"/>
  <c r="Q46" i="9"/>
  <c r="Q337" i="9"/>
  <c r="Q638" i="9"/>
  <c r="Q256" i="9"/>
  <c r="Q67" i="9"/>
  <c r="Q631" i="9"/>
  <c r="Q28" i="9"/>
  <c r="Q433" i="9"/>
  <c r="Q170" i="9"/>
  <c r="Q276" i="9"/>
  <c r="Q317" i="9"/>
  <c r="Q393" i="9"/>
  <c r="Q582" i="9"/>
  <c r="Q451" i="9"/>
  <c r="Q721" i="9"/>
  <c r="Q62" i="9"/>
  <c r="Q366" i="9"/>
  <c r="Q165" i="9"/>
  <c r="Q492" i="9"/>
  <c r="Q133" i="9"/>
  <c r="Q146" i="9"/>
  <c r="Q212" i="9"/>
  <c r="Q578" i="9"/>
  <c r="Q651" i="9"/>
  <c r="Q277" i="9"/>
  <c r="Q689" i="9"/>
  <c r="Q324" i="9"/>
  <c r="Q540" i="9"/>
  <c r="Q60" i="9"/>
  <c r="Q667" i="9"/>
  <c r="Q391" i="9"/>
  <c r="Q17" i="9"/>
  <c r="Q6" i="9"/>
  <c r="Q539" i="9"/>
  <c r="Q627" i="9"/>
  <c r="Q477" i="9"/>
  <c r="Q383" i="9"/>
  <c r="Q301" i="9"/>
  <c r="Q446" i="9"/>
  <c r="Q207" i="9"/>
  <c r="Q695" i="9"/>
  <c r="Q554" i="9"/>
  <c r="Q600" i="9"/>
  <c r="Q714" i="9"/>
  <c r="Q704" i="9"/>
  <c r="Q549" i="9"/>
  <c r="Q145" i="9"/>
  <c r="Q202" i="9"/>
  <c r="Q172" i="9"/>
  <c r="Q87" i="9"/>
  <c r="Q271" i="9"/>
  <c r="Q114" i="9"/>
  <c r="Q234" i="9"/>
  <c r="Q640" i="9"/>
  <c r="Q571" i="9"/>
  <c r="Q533" i="9"/>
  <c r="Q348" i="9"/>
  <c r="Q688" i="9"/>
  <c r="Q524" i="9"/>
  <c r="Q722" i="9"/>
  <c r="Q195" i="9"/>
  <c r="Q546" i="9"/>
  <c r="Q481" i="9"/>
  <c r="Q459" i="9"/>
  <c r="Q335" i="9"/>
  <c r="Q322" i="9"/>
  <c r="Q39" i="9"/>
  <c r="Q253" i="9"/>
  <c r="Q342" i="9"/>
  <c r="Q452" i="9"/>
  <c r="Q710" i="9"/>
  <c r="Q438" i="9"/>
  <c r="Q20" i="9"/>
  <c r="Q430" i="9"/>
  <c r="Q728" i="9"/>
  <c r="Q441" i="9"/>
  <c r="Q603" i="9"/>
  <c r="Q119" i="9"/>
  <c r="Q558" i="9"/>
  <c r="Q604" i="9"/>
  <c r="Q59" i="9"/>
  <c r="T59" i="9" s="1"/>
  <c r="Q126" i="9"/>
  <c r="Q641" i="9"/>
  <c r="Q183" i="9"/>
  <c r="Q330" i="9"/>
  <c r="Q583" i="9"/>
  <c r="Q247" i="9"/>
  <c r="Q187" i="9"/>
  <c r="Q10" i="9"/>
  <c r="Q387" i="9"/>
  <c r="Q448" i="9"/>
  <c r="Q200" i="9"/>
  <c r="Q258" i="9"/>
  <c r="Q54" i="9"/>
  <c r="Q648" i="9"/>
  <c r="Q365" i="9"/>
  <c r="Q555" i="9"/>
  <c r="Q416" i="9"/>
  <c r="Q489" i="9"/>
  <c r="Q404" i="9"/>
  <c r="Q76" i="9"/>
  <c r="Q705" i="9"/>
  <c r="Q621" i="9"/>
  <c r="Q637" i="9"/>
  <c r="Q148" i="9"/>
  <c r="Q551" i="9"/>
  <c r="Q595" i="9"/>
  <c r="Q56" i="9"/>
  <c r="Q519" i="9"/>
  <c r="Q532" i="9"/>
  <c r="T532" i="9" s="1"/>
  <c r="Q687" i="9"/>
  <c r="Q372" i="9"/>
  <c r="Q635" i="9"/>
  <c r="Q72" i="9"/>
  <c r="Q243" i="9"/>
  <c r="Q214" i="9"/>
  <c r="Q350" i="9"/>
  <c r="Q91" i="9"/>
  <c r="Q345" i="9"/>
  <c r="Q428" i="9"/>
  <c r="Q709" i="9"/>
  <c r="Q417" i="9"/>
  <c r="Q53" i="9"/>
  <c r="Q594" i="9"/>
  <c r="Q128" i="9"/>
  <c r="Q211" i="9"/>
  <c r="Q444" i="9"/>
  <c r="Q614" i="9"/>
  <c r="Q332" i="9"/>
  <c r="Q408" i="9"/>
  <c r="Q618" i="9"/>
  <c r="Q454" i="9"/>
  <c r="Q109" i="9"/>
  <c r="Q179" i="9"/>
  <c r="Q512" i="9"/>
  <c r="Q586" i="9"/>
  <c r="Q566" i="9"/>
  <c r="Q672" i="9"/>
  <c r="Q376" i="9"/>
  <c r="Q290" i="9"/>
  <c r="Q159" i="9"/>
  <c r="Q155" i="9"/>
  <c r="Q646" i="9"/>
  <c r="Q239" i="9"/>
  <c r="Q344" i="9"/>
  <c r="Q135" i="9"/>
  <c r="Q143" i="9"/>
  <c r="Q403" i="9"/>
  <c r="Q161" i="9"/>
  <c r="Q272" i="9"/>
  <c r="Q597" i="9"/>
  <c r="Q415" i="9"/>
  <c r="Q307" i="9"/>
  <c r="Q456" i="9"/>
  <c r="Q466" i="9"/>
  <c r="Q485" i="9"/>
  <c r="Q525" i="9"/>
  <c r="Q685" i="9"/>
  <c r="Q90" i="9"/>
  <c r="Q70" i="9"/>
  <c r="Q220" i="9"/>
  <c r="Q498" i="9"/>
  <c r="Q22" i="9"/>
  <c r="Q535" i="9"/>
  <c r="Q219" i="9"/>
  <c r="Q33" i="9"/>
  <c r="Q254" i="9"/>
  <c r="Q676" i="9"/>
  <c r="Q23" i="9"/>
  <c r="Q355" i="9"/>
  <c r="Q237" i="9"/>
  <c r="Q634" i="9"/>
  <c r="Q356" i="9"/>
  <c r="Q678" i="9"/>
  <c r="Q225" i="9"/>
  <c r="Q412" i="9"/>
  <c r="Q132" i="9"/>
  <c r="Q370" i="9"/>
  <c r="Q221" i="9"/>
  <c r="Q665" i="9"/>
  <c r="Q669" i="9"/>
  <c r="Q379" i="9"/>
  <c r="Q257" i="9"/>
  <c r="Q465" i="9"/>
  <c r="Q349" i="9"/>
  <c r="Q691" i="9"/>
  <c r="Q683" i="9"/>
  <c r="Q677" i="9"/>
  <c r="Q357" i="9"/>
  <c r="Q369" i="9"/>
  <c r="Q443" i="9"/>
  <c r="Q494" i="9"/>
  <c r="Q318" i="9"/>
  <c r="Q230" i="9"/>
  <c r="Q439" i="9"/>
  <c r="Q26" i="9"/>
  <c r="Q632" i="9"/>
  <c r="Q244" i="9"/>
  <c r="Q623" i="9"/>
  <c r="Q706" i="9"/>
  <c r="Q8" i="9"/>
  <c r="Q673" i="9"/>
  <c r="Q496" i="9"/>
  <c r="Q421" i="9"/>
  <c r="Q259" i="9"/>
  <c r="Q483" i="9"/>
  <c r="Q656" i="9"/>
  <c r="Q548" i="9"/>
  <c r="Q561" i="9"/>
  <c r="Q514" i="9"/>
  <c r="Q278" i="9"/>
  <c r="Q531" i="9"/>
  <c r="Q181" i="9"/>
  <c r="Q131" i="9"/>
  <c r="Q245" i="9"/>
  <c r="Q281" i="9"/>
  <c r="Q410" i="9"/>
  <c r="Q723" i="9"/>
  <c r="Q550" i="9"/>
  <c r="Q316" i="9"/>
  <c r="Q235" i="9"/>
  <c r="Q310" i="9"/>
  <c r="Q30" i="9"/>
  <c r="Q255" i="9"/>
  <c r="Q130" i="9"/>
  <c r="Q68" i="9"/>
  <c r="Q538" i="9"/>
  <c r="Q608" i="9"/>
  <c r="Q560" i="9"/>
  <c r="Q358" i="9"/>
  <c r="Q537" i="9"/>
  <c r="Q563" i="9"/>
  <c r="Q127" i="9"/>
  <c r="Q502" i="9"/>
  <c r="Q175" i="9"/>
  <c r="Q31" i="9"/>
  <c r="Q624" i="9"/>
  <c r="Q607" i="9"/>
  <c r="Q622" i="9"/>
  <c r="Q298" i="9"/>
  <c r="Q718" i="9"/>
  <c r="Q78" i="9"/>
  <c r="Q41" i="9"/>
  <c r="Q359" i="9"/>
  <c r="T359" i="9" s="1"/>
  <c r="Q216" i="9"/>
  <c r="Q620" i="9"/>
  <c r="Q529" i="9"/>
  <c r="Q213" i="9"/>
  <c r="Q360" i="9"/>
  <c r="Q66" i="9"/>
  <c r="Q285" i="9"/>
  <c r="Q150" i="9"/>
  <c r="Q593" i="9"/>
  <c r="Q249" i="9"/>
  <c r="Q269" i="9"/>
  <c r="Q467" i="9"/>
  <c r="Q129" i="9"/>
  <c r="Q351" i="9"/>
  <c r="Q435" i="9"/>
  <c r="Q144" i="9"/>
  <c r="Q725" i="9"/>
  <c r="Q88" i="9"/>
  <c r="Q440" i="9"/>
  <c r="Q95" i="9"/>
  <c r="Q80" i="9"/>
  <c r="Q343" i="9"/>
  <c r="Q567" i="9"/>
  <c r="Q700" i="9"/>
  <c r="Q228" i="9"/>
  <c r="Q268" i="9"/>
  <c r="Q629" i="9"/>
  <c r="Q589" i="9"/>
  <c r="Q198" i="9"/>
  <c r="Q659" i="9"/>
  <c r="Q16" i="9"/>
  <c r="Q333" i="9"/>
  <c r="Q55" i="9"/>
  <c r="Q274" i="9"/>
  <c r="Q515" i="9"/>
  <c r="Q449" i="9"/>
  <c r="Q58" i="9"/>
  <c r="Q282" i="9"/>
  <c r="Q51" i="9"/>
  <c r="Q513" i="9"/>
  <c r="Q649" i="9"/>
  <c r="Q61" i="9"/>
  <c r="Q384" i="9"/>
  <c r="Q105" i="9"/>
  <c r="Q517" i="9"/>
  <c r="Q231" i="9"/>
  <c r="Q77" i="9"/>
  <c r="Q160" i="9"/>
  <c r="Q592" i="9"/>
  <c r="Q543" i="9"/>
  <c r="Q652" i="9"/>
  <c r="Q610" i="9"/>
  <c r="Q19" i="9"/>
  <c r="Q509" i="9"/>
  <c r="Q557" i="9"/>
  <c r="Q605" i="9"/>
  <c r="Q486" i="9"/>
  <c r="Q508" i="9"/>
  <c r="Q94" i="9"/>
  <c r="Q674" i="9"/>
  <c r="Q613" i="9"/>
  <c r="Q149" i="9"/>
  <c r="Q291" i="9"/>
  <c r="Q668" i="9"/>
  <c r="Q321" i="9"/>
  <c r="Q353" i="9"/>
  <c r="Q442" i="9"/>
  <c r="Q450" i="9"/>
  <c r="Q336" i="9"/>
  <c r="Q153" i="9"/>
  <c r="Q425" i="9"/>
  <c r="Q399" i="9"/>
  <c r="Q347" i="9"/>
  <c r="Q122" i="9"/>
  <c r="Q469" i="9"/>
  <c r="Q396" i="9"/>
  <c r="Q217" i="9"/>
  <c r="Q628" i="9"/>
  <c r="Q209" i="9"/>
  <c r="Q284" i="9"/>
  <c r="Q304" i="9"/>
  <c r="Q402" i="9"/>
  <c r="Q671" i="9"/>
  <c r="Q588" i="9"/>
  <c r="Q493" i="9"/>
  <c r="Q275" i="9"/>
  <c r="Q273" i="9"/>
  <c r="Q326" i="9"/>
  <c r="Q378" i="9"/>
  <c r="Q619" i="9"/>
  <c r="Q455" i="9"/>
  <c r="Q657" i="9"/>
  <c r="Q163" i="9"/>
  <c r="Q480" i="9"/>
  <c r="Q328" i="9"/>
  <c r="Q100" i="9"/>
  <c r="Q112" i="9"/>
  <c r="Q162" i="9"/>
  <c r="Q527" i="9"/>
  <c r="Q194" i="9"/>
  <c r="P302" i="9"/>
  <c r="P422" i="9"/>
  <c r="P203" i="9"/>
  <c r="S203" i="9" s="1"/>
  <c r="P423" i="9"/>
  <c r="P340" i="9"/>
  <c r="P140" i="9"/>
  <c r="P437" i="9"/>
  <c r="P362" i="9"/>
  <c r="P96" i="9"/>
  <c r="P479" i="9"/>
  <c r="P495" i="9"/>
  <c r="P581" i="9"/>
  <c r="P341" i="9"/>
  <c r="P487" i="9"/>
  <c r="P81" i="9"/>
  <c r="P547" i="9"/>
  <c r="P670" i="9"/>
  <c r="P40" i="9"/>
  <c r="P42" i="9"/>
  <c r="P545" i="9"/>
  <c r="P86" i="9"/>
  <c r="P445" i="9"/>
  <c r="P120" i="9"/>
  <c r="P703" i="9"/>
  <c r="P553" i="9"/>
  <c r="P501" i="9"/>
  <c r="P363" i="9"/>
  <c r="P174" i="9"/>
  <c r="P488" i="9"/>
  <c r="P419" i="9"/>
  <c r="P250" i="9"/>
  <c r="P35" i="9"/>
  <c r="P681" i="9"/>
  <c r="P720" i="9"/>
  <c r="P599" i="9"/>
  <c r="P587" i="9"/>
  <c r="P717" i="9"/>
  <c r="P375" i="9"/>
  <c r="P579" i="9"/>
  <c r="P73" i="9"/>
  <c r="P381" i="9"/>
  <c r="P675" i="9"/>
  <c r="P110" i="9"/>
  <c r="P303" i="9"/>
  <c r="P506" i="9"/>
  <c r="P584" i="9"/>
  <c r="P684" i="9"/>
  <c r="P124" i="9"/>
  <c r="P585" i="9"/>
  <c r="P18" i="9"/>
  <c r="P647" i="9"/>
  <c r="P241" i="9"/>
  <c r="P715" i="9"/>
  <c r="P11" i="9"/>
  <c r="P299" i="9"/>
  <c r="S299" i="9" s="1"/>
  <c r="P266" i="9"/>
  <c r="P573" i="9"/>
  <c r="P238" i="9"/>
  <c r="P414" i="9"/>
  <c r="P262" i="9"/>
  <c r="P171" i="9"/>
  <c r="P642" i="9"/>
  <c r="P25" i="9"/>
  <c r="P206" i="9"/>
  <c r="P38" i="9"/>
  <c r="P516" i="9"/>
  <c r="P270" i="9"/>
  <c r="P679" i="9"/>
  <c r="P708" i="9"/>
  <c r="P692" i="9"/>
  <c r="P386" i="9"/>
  <c r="P151" i="9"/>
  <c r="P65" i="9"/>
  <c r="P724" i="9"/>
  <c r="P93" i="9"/>
  <c r="P490" i="9"/>
  <c r="P711" i="9"/>
  <c r="P682" i="9"/>
  <c r="P92" i="9"/>
  <c r="P186" i="9"/>
  <c r="P63" i="9"/>
  <c r="P156" i="9"/>
  <c r="P390" i="9"/>
  <c r="P606" i="9"/>
  <c r="P653" i="9"/>
  <c r="P192" i="9"/>
  <c r="P475" i="9"/>
  <c r="P232" i="9"/>
  <c r="P658" i="9"/>
  <c r="P630" i="9"/>
  <c r="P293" i="9"/>
  <c r="P204" i="9"/>
  <c r="P108" i="9"/>
  <c r="P167" i="9"/>
  <c r="P474" i="9"/>
  <c r="P164" i="9"/>
  <c r="P534" i="9"/>
  <c r="P413" i="9"/>
  <c r="P308" i="9"/>
  <c r="P184" i="9"/>
  <c r="P248" i="9"/>
  <c r="P177" i="9"/>
  <c r="P536" i="9"/>
  <c r="P644" i="9"/>
  <c r="P29" i="9"/>
  <c r="P118" i="9"/>
  <c r="P380" i="9"/>
  <c r="P392" i="9"/>
  <c r="P292" i="9"/>
  <c r="P47" i="9"/>
  <c r="P660" i="9"/>
  <c r="P395" i="9"/>
  <c r="P639" i="9"/>
  <c r="P338" i="9"/>
  <c r="P97" i="9"/>
  <c r="P511" i="9"/>
  <c r="P389" i="9"/>
  <c r="P617" i="9"/>
  <c r="P666" i="9"/>
  <c r="P361" i="9"/>
  <c r="P472" i="9"/>
  <c r="P407" i="9"/>
  <c r="P476" i="9"/>
  <c r="P636" i="9"/>
  <c r="P252" i="9"/>
  <c r="P295" i="9"/>
  <c r="P663" i="9"/>
  <c r="P205" i="9"/>
  <c r="P24" i="9"/>
  <c r="P83" i="9"/>
  <c r="P503" i="9"/>
  <c r="P680" i="9"/>
  <c r="P224" i="9"/>
  <c r="P223" i="9"/>
  <c r="P138" i="9"/>
  <c r="P426" i="9"/>
  <c r="P541" i="9"/>
  <c r="P453" i="9"/>
  <c r="P522" i="9"/>
  <c r="P576" i="9"/>
  <c r="P590" i="9"/>
  <c r="P116" i="9"/>
  <c r="P577" i="9"/>
  <c r="P371" i="9"/>
  <c r="P650" i="9"/>
  <c r="P374" i="9"/>
  <c r="P222" i="9"/>
  <c r="P716" i="9"/>
  <c r="P523" i="9"/>
  <c r="P463" i="9"/>
  <c r="P115" i="9"/>
  <c r="P117" i="9"/>
  <c r="P698" i="9"/>
  <c r="P5" i="9"/>
  <c r="P385" i="9"/>
  <c r="P420" i="9"/>
  <c r="P373" i="9"/>
  <c r="P655" i="9"/>
  <c r="P240" i="9"/>
  <c r="P565" i="9"/>
  <c r="S565" i="9" s="1"/>
  <c r="P462" i="9"/>
  <c r="P229" i="9"/>
  <c r="P528" i="9"/>
  <c r="P626" i="9"/>
  <c r="P141" i="9"/>
  <c r="P654" i="9"/>
  <c r="P306" i="9"/>
  <c r="P85" i="9"/>
  <c r="P242" i="9"/>
  <c r="P507" i="9"/>
  <c r="P499" i="9"/>
  <c r="P693" i="9"/>
  <c r="P102" i="9"/>
  <c r="P215" i="9"/>
  <c r="P500" i="9"/>
  <c r="P568" i="9"/>
  <c r="P411" i="9"/>
  <c r="P542" i="9"/>
  <c r="P596" i="9"/>
  <c r="P84" i="9"/>
  <c r="P457" i="9"/>
  <c r="P113" i="9"/>
  <c r="P461" i="9"/>
  <c r="P434" i="9"/>
  <c r="P520" i="9"/>
  <c r="P712" i="9"/>
  <c r="P572" i="9"/>
  <c r="P139" i="9"/>
  <c r="P484" i="9"/>
  <c r="P168" i="9"/>
  <c r="P296" i="9"/>
  <c r="P166" i="9"/>
  <c r="P726" i="9"/>
  <c r="P478" i="9"/>
  <c r="P265" i="9"/>
  <c r="P460" i="9"/>
  <c r="P189" i="9"/>
  <c r="P397" i="9"/>
  <c r="P400" i="9"/>
  <c r="P169" i="9"/>
  <c r="P313" i="9"/>
  <c r="P447" i="9"/>
  <c r="P409" i="9"/>
  <c r="P173" i="9"/>
  <c r="P633" i="9"/>
  <c r="P180" i="9"/>
  <c r="P103" i="9"/>
  <c r="P71" i="9"/>
  <c r="P491" i="9"/>
  <c r="P226" i="9"/>
  <c r="P246" i="9"/>
  <c r="P79" i="9"/>
  <c r="P14" i="9"/>
  <c r="P612" i="9"/>
  <c r="P314" i="9"/>
  <c r="P123" i="9"/>
  <c r="P210" i="9"/>
  <c r="P57" i="9"/>
  <c r="P233" i="9"/>
  <c r="P191" i="9"/>
  <c r="P201" i="9"/>
  <c r="P36" i="9"/>
  <c r="P575" i="9"/>
  <c r="P13" i="9"/>
  <c r="P643" i="9"/>
  <c r="P43" i="9"/>
  <c r="P185" i="9"/>
  <c r="P382" i="9"/>
  <c r="P82" i="9"/>
  <c r="P320" i="9"/>
  <c r="P9" i="9"/>
  <c r="P325" i="9"/>
  <c r="P611" i="9"/>
  <c r="P208" i="9"/>
  <c r="P602" i="9"/>
  <c r="P701" i="9"/>
  <c r="P727" i="9"/>
  <c r="P505" i="9"/>
  <c r="P178" i="9"/>
  <c r="P398" i="9"/>
  <c r="P197" i="9"/>
  <c r="P52" i="9"/>
  <c r="P497" i="9"/>
  <c r="P686" i="9"/>
  <c r="P521" i="9"/>
  <c r="P346" i="9"/>
  <c r="P327" i="9"/>
  <c r="P530" i="9"/>
  <c r="P713" i="9"/>
  <c r="P352" i="9"/>
  <c r="P458" i="9"/>
  <c r="P696" i="9"/>
  <c r="P50" i="9"/>
  <c r="P697" i="9"/>
  <c r="P331" i="9"/>
  <c r="P305" i="9"/>
  <c r="P182" i="9"/>
  <c r="P297" i="9"/>
  <c r="P188" i="9"/>
  <c r="P427" i="9"/>
  <c r="P106" i="9"/>
  <c r="P364" i="9"/>
  <c r="P34" i="9"/>
  <c r="P64" i="9"/>
  <c r="P482" i="9"/>
  <c r="P429" i="9"/>
  <c r="P236" i="9"/>
  <c r="P45" i="9"/>
  <c r="P137" i="9"/>
  <c r="P468" i="9"/>
  <c r="P564" i="9"/>
  <c r="P300" i="9"/>
  <c r="P559" i="9"/>
  <c r="P471" i="9"/>
  <c r="P283" i="9"/>
  <c r="P645" i="9"/>
  <c r="P544" i="9"/>
  <c r="P311" i="9"/>
  <c r="P580" i="9"/>
  <c r="P690" i="9"/>
  <c r="P147" i="9"/>
  <c r="P556" i="9"/>
  <c r="P473" i="9"/>
  <c r="P699" i="9"/>
  <c r="P552" i="9"/>
  <c r="P504" i="9"/>
  <c r="P279" i="9"/>
  <c r="P570" i="9"/>
  <c r="P121" i="9"/>
  <c r="P46" i="9"/>
  <c r="P337" i="9"/>
  <c r="P638" i="9"/>
  <c r="P256" i="9"/>
  <c r="P67" i="9"/>
  <c r="P631" i="9"/>
  <c r="P28" i="9"/>
  <c r="P433" i="9"/>
  <c r="P170" i="9"/>
  <c r="P276" i="9"/>
  <c r="P317" i="9"/>
  <c r="P393" i="9"/>
  <c r="P582" i="9"/>
  <c r="P451" i="9"/>
  <c r="P721" i="9"/>
  <c r="P62" i="9"/>
  <c r="P366" i="9"/>
  <c r="P165" i="9"/>
  <c r="P492" i="9"/>
  <c r="P133" i="9"/>
  <c r="P146" i="9"/>
  <c r="P212" i="9"/>
  <c r="P578" i="9"/>
  <c r="P651" i="9"/>
  <c r="P277" i="9"/>
  <c r="P689" i="9"/>
  <c r="P324" i="9"/>
  <c r="P540" i="9"/>
  <c r="P60" i="9"/>
  <c r="P667" i="9"/>
  <c r="P391" i="9"/>
  <c r="P17" i="9"/>
  <c r="P6" i="9"/>
  <c r="P539" i="9"/>
  <c r="S539" i="9" s="1"/>
  <c r="P627" i="9"/>
  <c r="P477" i="9"/>
  <c r="P383" i="9"/>
  <c r="P301" i="9"/>
  <c r="P446" i="9"/>
  <c r="P207" i="9"/>
  <c r="P695" i="9"/>
  <c r="P554" i="9"/>
  <c r="P600" i="9"/>
  <c r="P714" i="9"/>
  <c r="P704" i="9"/>
  <c r="P549" i="9"/>
  <c r="P202" i="9"/>
  <c r="P172" i="9"/>
  <c r="P87" i="9"/>
  <c r="P271" i="9"/>
  <c r="P114" i="9"/>
  <c r="P234" i="9"/>
  <c r="P640" i="9"/>
  <c r="P571" i="9"/>
  <c r="P533" i="9"/>
  <c r="P348" i="9"/>
  <c r="P688" i="9"/>
  <c r="P524" i="9"/>
  <c r="P722" i="9"/>
  <c r="P195" i="9"/>
  <c r="P546" i="9"/>
  <c r="P481" i="9"/>
  <c r="P459" i="9"/>
  <c r="P335" i="9"/>
  <c r="P322" i="9"/>
  <c r="P39" i="9"/>
  <c r="P253" i="9"/>
  <c r="P342" i="9"/>
  <c r="P452" i="9"/>
  <c r="P710" i="9"/>
  <c r="P438" i="9"/>
  <c r="P20" i="9"/>
  <c r="P430" i="9"/>
  <c r="P728" i="9"/>
  <c r="P441" i="9"/>
  <c r="P603" i="9"/>
  <c r="P119" i="9"/>
  <c r="P558" i="9"/>
  <c r="P604" i="9"/>
  <c r="P59" i="9"/>
  <c r="P126" i="9"/>
  <c r="P641" i="9"/>
  <c r="P183" i="9"/>
  <c r="P330" i="9"/>
  <c r="P583" i="9"/>
  <c r="P247" i="9"/>
  <c r="P187" i="9"/>
  <c r="P10" i="9"/>
  <c r="P387" i="9"/>
  <c r="P448" i="9"/>
  <c r="P200" i="9"/>
  <c r="P258" i="9"/>
  <c r="P54" i="9"/>
  <c r="P648" i="9"/>
  <c r="P365" i="9"/>
  <c r="P555" i="9"/>
  <c r="P416" i="9"/>
  <c r="S416" i="9" s="1"/>
  <c r="P489" i="9"/>
  <c r="P404" i="9"/>
  <c r="P76" i="9"/>
  <c r="P705" i="9"/>
  <c r="P621" i="9"/>
  <c r="P637" i="9"/>
  <c r="P148" i="9"/>
  <c r="P551" i="9"/>
  <c r="P595" i="9"/>
  <c r="P56" i="9"/>
  <c r="P519" i="9"/>
  <c r="P532" i="9"/>
  <c r="P687" i="9"/>
  <c r="P372" i="9"/>
  <c r="P635" i="9"/>
  <c r="P72" i="9"/>
  <c r="P243" i="9"/>
  <c r="P214" i="9"/>
  <c r="P350" i="9"/>
  <c r="P91" i="9"/>
  <c r="P345" i="9"/>
  <c r="P428" i="9"/>
  <c r="P709" i="9"/>
  <c r="P417" i="9"/>
  <c r="P53" i="9"/>
  <c r="P594" i="9"/>
  <c r="P128" i="9"/>
  <c r="P211" i="9"/>
  <c r="P444" i="9"/>
  <c r="P614" i="9"/>
  <c r="P332" i="9"/>
  <c r="P408" i="9"/>
  <c r="P618" i="9"/>
  <c r="P454" i="9"/>
  <c r="P109" i="9"/>
  <c r="P179" i="9"/>
  <c r="P512" i="9"/>
  <c r="P586" i="9"/>
  <c r="P566" i="9"/>
  <c r="P672" i="9"/>
  <c r="P376" i="9"/>
  <c r="P290" i="9"/>
  <c r="P159" i="9"/>
  <c r="P155" i="9"/>
  <c r="P646" i="9"/>
  <c r="P239" i="9"/>
  <c r="P344" i="9"/>
  <c r="P135" i="9"/>
  <c r="P143" i="9"/>
  <c r="P403" i="9"/>
  <c r="P161" i="9"/>
  <c r="P272" i="9"/>
  <c r="P597" i="9"/>
  <c r="P415" i="9"/>
  <c r="P307" i="9"/>
  <c r="P456" i="9"/>
  <c r="P152" i="9"/>
  <c r="P466" i="9"/>
  <c r="P485" i="9"/>
  <c r="P525" i="9"/>
  <c r="P685" i="9"/>
  <c r="P90" i="9"/>
  <c r="P70" i="9"/>
  <c r="P220" i="9"/>
  <c r="P498" i="9"/>
  <c r="P22" i="9"/>
  <c r="P535" i="9"/>
  <c r="P219" i="9"/>
  <c r="P33" i="9"/>
  <c r="P254" i="9"/>
  <c r="P676" i="9"/>
  <c r="P23" i="9"/>
  <c r="P355" i="9"/>
  <c r="P237" i="9"/>
  <c r="P634" i="9"/>
  <c r="P356" i="9"/>
  <c r="P678" i="9"/>
  <c r="P225" i="9"/>
  <c r="P412" i="9"/>
  <c r="P132" i="9"/>
  <c r="P370" i="9"/>
  <c r="P221" i="9"/>
  <c r="P665" i="9"/>
  <c r="P669" i="9"/>
  <c r="P379" i="9"/>
  <c r="P257" i="9"/>
  <c r="P465" i="9"/>
  <c r="P349" i="9"/>
  <c r="P691" i="9"/>
  <c r="P683" i="9"/>
  <c r="P677" i="9"/>
  <c r="P357" i="9"/>
  <c r="P369" i="9"/>
  <c r="P443" i="9"/>
  <c r="P494" i="9"/>
  <c r="P318" i="9"/>
  <c r="P230" i="9"/>
  <c r="P439" i="9"/>
  <c r="P26" i="9"/>
  <c r="P632" i="9"/>
  <c r="P244" i="9"/>
  <c r="P623" i="9"/>
  <c r="P706" i="9"/>
  <c r="P8" i="9"/>
  <c r="P673" i="9"/>
  <c r="P496" i="9"/>
  <c r="P421" i="9"/>
  <c r="P259" i="9"/>
  <c r="P483" i="9"/>
  <c r="P656" i="9"/>
  <c r="P548" i="9"/>
  <c r="P561" i="9"/>
  <c r="P514" i="9"/>
  <c r="P278" i="9"/>
  <c r="P531" i="9"/>
  <c r="P181" i="9"/>
  <c r="P131" i="9"/>
  <c r="P245" i="9"/>
  <c r="P281" i="9"/>
  <c r="P410" i="9"/>
  <c r="P723" i="9"/>
  <c r="P550" i="9"/>
  <c r="P316" i="9"/>
  <c r="P235" i="9"/>
  <c r="P310" i="9"/>
  <c r="P30" i="9"/>
  <c r="P255" i="9"/>
  <c r="P130" i="9"/>
  <c r="P68" i="9"/>
  <c r="P538" i="9"/>
  <c r="P608" i="9"/>
  <c r="P560" i="9"/>
  <c r="P358" i="9"/>
  <c r="P537" i="9"/>
  <c r="P563" i="9"/>
  <c r="P127" i="9"/>
  <c r="P502" i="9"/>
  <c r="P175" i="9"/>
  <c r="P31" i="9"/>
  <c r="P624" i="9"/>
  <c r="P607" i="9"/>
  <c r="P622" i="9"/>
  <c r="P298" i="9"/>
  <c r="P718" i="9"/>
  <c r="P78" i="9"/>
  <c r="P41" i="9"/>
  <c r="P359" i="9"/>
  <c r="P216" i="9"/>
  <c r="P620" i="9"/>
  <c r="P529" i="9"/>
  <c r="P213" i="9"/>
  <c r="P360" i="9"/>
  <c r="P66" i="9"/>
  <c r="P285" i="9"/>
  <c r="P150" i="9"/>
  <c r="P593" i="9"/>
  <c r="P249" i="9"/>
  <c r="P269" i="9"/>
  <c r="P467" i="9"/>
  <c r="P129" i="9"/>
  <c r="P351" i="9"/>
  <c r="P435" i="9"/>
  <c r="P144" i="9"/>
  <c r="P725" i="9"/>
  <c r="P88" i="9"/>
  <c r="P440" i="9"/>
  <c r="P95" i="9"/>
  <c r="P80" i="9"/>
  <c r="P343" i="9"/>
  <c r="P567" i="9"/>
  <c r="P700" i="9"/>
  <c r="P228" i="9"/>
  <c r="P268" i="9"/>
  <c r="P629" i="9"/>
  <c r="P589" i="9"/>
  <c r="P198" i="9"/>
  <c r="P659" i="9"/>
  <c r="P16" i="9"/>
  <c r="S16" i="9" s="1"/>
  <c r="P333" i="9"/>
  <c r="P55" i="9"/>
  <c r="P274" i="9"/>
  <c r="P515" i="9"/>
  <c r="P449" i="9"/>
  <c r="P58" i="9"/>
  <c r="P282" i="9"/>
  <c r="P51" i="9"/>
  <c r="P513" i="9"/>
  <c r="P649" i="9"/>
  <c r="P61" i="9"/>
  <c r="P384" i="9"/>
  <c r="P105" i="9"/>
  <c r="P517" i="9"/>
  <c r="P231" i="9"/>
  <c r="P77" i="9"/>
  <c r="P160" i="9"/>
  <c r="P592" i="9"/>
  <c r="P543" i="9"/>
  <c r="P652" i="9"/>
  <c r="P610" i="9"/>
  <c r="P19" i="9"/>
  <c r="P509" i="9"/>
  <c r="P557" i="9"/>
  <c r="P605" i="9"/>
  <c r="P486" i="9"/>
  <c r="P508" i="9"/>
  <c r="P94" i="9"/>
  <c r="P674" i="9"/>
  <c r="P613" i="9"/>
  <c r="P149" i="9"/>
  <c r="P291" i="9"/>
  <c r="P668" i="9"/>
  <c r="P321" i="9"/>
  <c r="P353" i="9"/>
  <c r="P442" i="9"/>
  <c r="P450" i="9"/>
  <c r="P336" i="9"/>
  <c r="P153" i="9"/>
  <c r="P425" i="9"/>
  <c r="P399" i="9"/>
  <c r="P347" i="9"/>
  <c r="P122" i="9"/>
  <c r="P469" i="9"/>
  <c r="P396" i="9"/>
  <c r="P217" i="9"/>
  <c r="P628" i="9"/>
  <c r="P209" i="9"/>
  <c r="P284" i="9"/>
  <c r="P304" i="9"/>
  <c r="P402" i="9"/>
  <c r="P671" i="9"/>
  <c r="P588" i="9"/>
  <c r="P493" i="9"/>
  <c r="P275" i="9"/>
  <c r="P273" i="9"/>
  <c r="P326" i="9"/>
  <c r="P378" i="9"/>
  <c r="P619" i="9"/>
  <c r="P455" i="9"/>
  <c r="P657" i="9"/>
  <c r="P163" i="9"/>
  <c r="P480" i="9"/>
  <c r="P328" i="9"/>
  <c r="P100" i="9"/>
  <c r="P162" i="9"/>
  <c r="P527" i="9"/>
  <c r="P194" i="9"/>
  <c r="I526" i="9"/>
  <c r="I319" i="9"/>
  <c r="I394" i="9"/>
  <c r="E440" i="9"/>
  <c r="E95" i="9"/>
  <c r="E80" i="9"/>
  <c r="F440" i="9"/>
  <c r="F95" i="9"/>
  <c r="F80" i="9"/>
  <c r="H440" i="9"/>
  <c r="H95" i="9"/>
  <c r="H80" i="9"/>
  <c r="L440" i="9"/>
  <c r="L95" i="9"/>
  <c r="L80" i="9"/>
  <c r="M440" i="9"/>
  <c r="M95" i="9"/>
  <c r="M80" i="9"/>
  <c r="N440" i="9"/>
  <c r="N95" i="9"/>
  <c r="N80" i="9"/>
  <c r="O440" i="9"/>
  <c r="O95" i="9"/>
  <c r="O80" i="9"/>
  <c r="V440" i="9"/>
  <c r="V95" i="9"/>
  <c r="V80" i="9"/>
  <c r="W440" i="9"/>
  <c r="W95" i="9"/>
  <c r="W80" i="9"/>
  <c r="Z440" i="9"/>
  <c r="Z95" i="9"/>
  <c r="Z80" i="9"/>
  <c r="E316" i="9"/>
  <c r="E205" i="9"/>
  <c r="E235" i="9"/>
  <c r="E150" i="9"/>
  <c r="E249" i="9"/>
  <c r="E381" i="9"/>
  <c r="E153" i="9"/>
  <c r="E66" i="9"/>
  <c r="E469" i="9"/>
  <c r="E250" i="9"/>
  <c r="E310" i="9"/>
  <c r="E30" i="9"/>
  <c r="E167" i="9"/>
  <c r="F316" i="9"/>
  <c r="F205" i="9"/>
  <c r="F235" i="9"/>
  <c r="F150" i="9"/>
  <c r="F249" i="9"/>
  <c r="F381" i="9"/>
  <c r="F153" i="9"/>
  <c r="F66" i="9"/>
  <c r="F469" i="9"/>
  <c r="F250" i="9"/>
  <c r="F310" i="9"/>
  <c r="F30" i="9"/>
  <c r="F167" i="9"/>
  <c r="H316" i="9"/>
  <c r="H205" i="9"/>
  <c r="H235" i="9"/>
  <c r="H150" i="9"/>
  <c r="H249" i="9"/>
  <c r="H381" i="9"/>
  <c r="H153" i="9"/>
  <c r="H66" i="9"/>
  <c r="H469" i="9"/>
  <c r="H250" i="9"/>
  <c r="H310" i="9"/>
  <c r="H30" i="9"/>
  <c r="H167" i="9"/>
  <c r="L316" i="9"/>
  <c r="L205" i="9"/>
  <c r="L235" i="9"/>
  <c r="L150" i="9"/>
  <c r="L249" i="9"/>
  <c r="L381" i="9"/>
  <c r="L153" i="9"/>
  <c r="L66" i="9"/>
  <c r="L469" i="9"/>
  <c r="L250" i="9"/>
  <c r="L310" i="9"/>
  <c r="L30" i="9"/>
  <c r="L167" i="9"/>
  <c r="M316" i="9"/>
  <c r="M205" i="9"/>
  <c r="M235" i="9"/>
  <c r="M150" i="9"/>
  <c r="M249" i="9"/>
  <c r="M381" i="9"/>
  <c r="M153" i="9"/>
  <c r="M66" i="9"/>
  <c r="M469" i="9"/>
  <c r="M250" i="9"/>
  <c r="M310" i="9"/>
  <c r="M30" i="9"/>
  <c r="M167" i="9"/>
  <c r="N316" i="9"/>
  <c r="N205" i="9"/>
  <c r="N235" i="9"/>
  <c r="N150" i="9"/>
  <c r="N249" i="9"/>
  <c r="N381" i="9"/>
  <c r="N153" i="9"/>
  <c r="N66" i="9"/>
  <c r="N469" i="9"/>
  <c r="N250" i="9"/>
  <c r="N310" i="9"/>
  <c r="N30" i="9"/>
  <c r="N167" i="9"/>
  <c r="O316" i="9"/>
  <c r="O205" i="9"/>
  <c r="O235" i="9"/>
  <c r="O150" i="9"/>
  <c r="O249" i="9"/>
  <c r="O381" i="9"/>
  <c r="O153" i="9"/>
  <c r="O66" i="9"/>
  <c r="O469" i="9"/>
  <c r="O250" i="9"/>
  <c r="O310" i="9"/>
  <c r="O30" i="9"/>
  <c r="O167" i="9"/>
  <c r="V316" i="9"/>
  <c r="V205" i="9"/>
  <c r="V235" i="9"/>
  <c r="V150" i="9"/>
  <c r="V249" i="9"/>
  <c r="V381" i="9"/>
  <c r="V153" i="9"/>
  <c r="V66" i="9"/>
  <c r="V469" i="9"/>
  <c r="V250" i="9"/>
  <c r="V310" i="9"/>
  <c r="V30" i="9"/>
  <c r="V167" i="9"/>
  <c r="W316" i="9"/>
  <c r="W205" i="9"/>
  <c r="W235" i="9"/>
  <c r="W150" i="9"/>
  <c r="W249" i="9"/>
  <c r="W381" i="9"/>
  <c r="W153" i="9"/>
  <c r="W66" i="9"/>
  <c r="W469" i="9"/>
  <c r="W250" i="9"/>
  <c r="W310" i="9"/>
  <c r="W30" i="9"/>
  <c r="W167" i="9"/>
  <c r="Z316" i="9"/>
  <c r="Z205" i="9"/>
  <c r="Z235" i="9"/>
  <c r="Z150" i="9"/>
  <c r="Z249" i="9"/>
  <c r="Z381" i="9"/>
  <c r="Z153" i="9"/>
  <c r="Z66" i="9"/>
  <c r="Z469" i="9"/>
  <c r="Z250" i="9"/>
  <c r="Z310" i="9"/>
  <c r="Z30" i="9"/>
  <c r="Z167" i="9"/>
  <c r="I378" i="9"/>
  <c r="J378" i="9"/>
  <c r="K378" i="9"/>
  <c r="E232" i="9"/>
  <c r="F232" i="9"/>
  <c r="H232" i="9"/>
  <c r="L232" i="9"/>
  <c r="M232" i="9"/>
  <c r="N232" i="9"/>
  <c r="O232" i="9"/>
  <c r="V232" i="9"/>
  <c r="W232" i="9"/>
  <c r="Z232" i="9"/>
  <c r="E120" i="9"/>
  <c r="F120" i="9"/>
  <c r="H120" i="9"/>
  <c r="L120" i="9"/>
  <c r="M120" i="9"/>
  <c r="N120" i="9"/>
  <c r="O120" i="9"/>
  <c r="V120" i="9"/>
  <c r="W120" i="9"/>
  <c r="Z120" i="9"/>
  <c r="E657" i="9"/>
  <c r="F657" i="9"/>
  <c r="H657" i="9"/>
  <c r="L657" i="9"/>
  <c r="M657" i="9"/>
  <c r="N657" i="9"/>
  <c r="O657" i="9"/>
  <c r="V657" i="9"/>
  <c r="W657" i="9"/>
  <c r="Z657" i="9"/>
  <c r="E525" i="9"/>
  <c r="F525" i="9"/>
  <c r="H525" i="9"/>
  <c r="L525" i="9"/>
  <c r="M525" i="9"/>
  <c r="N525" i="9"/>
  <c r="O525" i="9"/>
  <c r="V525" i="9"/>
  <c r="W525" i="9"/>
  <c r="Z525" i="9"/>
  <c r="E123" i="9"/>
  <c r="F123" i="9"/>
  <c r="H123" i="9"/>
  <c r="L123" i="9"/>
  <c r="M123" i="9"/>
  <c r="N123" i="9"/>
  <c r="O123" i="9"/>
  <c r="V123" i="9"/>
  <c r="W123" i="9"/>
  <c r="Z123" i="9"/>
  <c r="E685" i="9"/>
  <c r="F685" i="9"/>
  <c r="H685" i="9"/>
  <c r="L685" i="9"/>
  <c r="M685" i="9"/>
  <c r="N685" i="9"/>
  <c r="O685" i="9"/>
  <c r="V685" i="9"/>
  <c r="W685" i="9"/>
  <c r="Z685" i="9"/>
  <c r="E233" i="9"/>
  <c r="F233" i="9"/>
  <c r="H233" i="9"/>
  <c r="L233" i="9"/>
  <c r="M233" i="9"/>
  <c r="N233" i="9"/>
  <c r="O233" i="9"/>
  <c r="V233" i="9"/>
  <c r="W233" i="9"/>
  <c r="Z233" i="9"/>
  <c r="E364" i="9"/>
  <c r="F364" i="9"/>
  <c r="H364" i="9"/>
  <c r="L364" i="9"/>
  <c r="M364" i="9"/>
  <c r="N364" i="9"/>
  <c r="O364" i="9"/>
  <c r="V364" i="9"/>
  <c r="W364" i="9"/>
  <c r="Z364" i="9"/>
  <c r="E320" i="9"/>
  <c r="F320" i="9"/>
  <c r="H320" i="9"/>
  <c r="L320" i="9"/>
  <c r="M320" i="9"/>
  <c r="N320" i="9"/>
  <c r="O320" i="9"/>
  <c r="V320" i="9"/>
  <c r="W320" i="9"/>
  <c r="Z320" i="9"/>
  <c r="E90" i="9"/>
  <c r="F90" i="9"/>
  <c r="H90" i="9"/>
  <c r="L90" i="9"/>
  <c r="M90" i="9"/>
  <c r="N90" i="9"/>
  <c r="O90" i="9"/>
  <c r="V90" i="9"/>
  <c r="W90" i="9"/>
  <c r="Z90" i="9"/>
  <c r="E392" i="9"/>
  <c r="F392" i="9"/>
  <c r="H392" i="9"/>
  <c r="L392" i="9"/>
  <c r="M392" i="9"/>
  <c r="N392" i="9"/>
  <c r="O392" i="9"/>
  <c r="V392" i="9"/>
  <c r="W392" i="9"/>
  <c r="Z392" i="9"/>
  <c r="E42" i="9"/>
  <c r="F42" i="9"/>
  <c r="H42" i="9"/>
  <c r="L42" i="9"/>
  <c r="M42" i="9"/>
  <c r="N42" i="9"/>
  <c r="O42" i="9"/>
  <c r="V42" i="9"/>
  <c r="W42" i="9"/>
  <c r="Z42" i="9"/>
  <c r="E70" i="9"/>
  <c r="F70" i="9"/>
  <c r="H70" i="9"/>
  <c r="L70" i="9"/>
  <c r="M70" i="9"/>
  <c r="N70" i="9"/>
  <c r="O70" i="9"/>
  <c r="V70" i="9"/>
  <c r="W70" i="9"/>
  <c r="Z70" i="9"/>
  <c r="E540" i="9"/>
  <c r="F540" i="9"/>
  <c r="H540" i="9"/>
  <c r="L540" i="9"/>
  <c r="M540" i="9"/>
  <c r="N540" i="9"/>
  <c r="O540" i="9"/>
  <c r="V540" i="9"/>
  <c r="W540" i="9"/>
  <c r="Z540" i="9"/>
  <c r="E723" i="9"/>
  <c r="F723" i="9"/>
  <c r="H723" i="9"/>
  <c r="L723" i="9"/>
  <c r="M723" i="9"/>
  <c r="N723" i="9"/>
  <c r="O723" i="9"/>
  <c r="V723" i="9"/>
  <c r="W723" i="9"/>
  <c r="Z723" i="9"/>
  <c r="E577" i="9"/>
  <c r="E210" i="9"/>
  <c r="E373" i="9"/>
  <c r="E628" i="9"/>
  <c r="E31" i="9"/>
  <c r="E220" i="9"/>
  <c r="F577" i="9"/>
  <c r="F210" i="9"/>
  <c r="F373" i="9"/>
  <c r="F628" i="9"/>
  <c r="F31" i="9"/>
  <c r="F220" i="9"/>
  <c r="H577" i="9"/>
  <c r="H210" i="9"/>
  <c r="H373" i="9"/>
  <c r="H628" i="9"/>
  <c r="H31" i="9"/>
  <c r="H220" i="9"/>
  <c r="L577" i="9"/>
  <c r="L210" i="9"/>
  <c r="L373" i="9"/>
  <c r="L628" i="9"/>
  <c r="L31" i="9"/>
  <c r="L220" i="9"/>
  <c r="M577" i="9"/>
  <c r="M210" i="9"/>
  <c r="M373" i="9"/>
  <c r="M628" i="9"/>
  <c r="M31" i="9"/>
  <c r="M220" i="9"/>
  <c r="N577" i="9"/>
  <c r="N210" i="9"/>
  <c r="N373" i="9"/>
  <c r="N628" i="9"/>
  <c r="N31" i="9"/>
  <c r="N220" i="9"/>
  <c r="O577" i="9"/>
  <c r="O210" i="9"/>
  <c r="O373" i="9"/>
  <c r="O628" i="9"/>
  <c r="O31" i="9"/>
  <c r="O220" i="9"/>
  <c r="V577" i="9"/>
  <c r="V210" i="9"/>
  <c r="V373" i="9"/>
  <c r="V628" i="9"/>
  <c r="V31" i="9"/>
  <c r="V220" i="9"/>
  <c r="W577" i="9"/>
  <c r="W210" i="9"/>
  <c r="W373" i="9"/>
  <c r="W628" i="9"/>
  <c r="W31" i="9"/>
  <c r="W220" i="9"/>
  <c r="Z577" i="9"/>
  <c r="Z210" i="9"/>
  <c r="Z373" i="9"/>
  <c r="Z628" i="9"/>
  <c r="Z31" i="9"/>
  <c r="Z220" i="9"/>
  <c r="I385" i="9"/>
  <c r="K385" i="9"/>
  <c r="G406" i="9"/>
  <c r="Z71" i="9"/>
  <c r="W625" i="9"/>
  <c r="E619" i="9"/>
  <c r="E725" i="9"/>
  <c r="Z352" i="9"/>
  <c r="E362" i="9"/>
  <c r="Z194" i="9"/>
  <c r="F491" i="9"/>
  <c r="Z709" i="9"/>
  <c r="W99" i="9"/>
  <c r="Z663" i="9"/>
  <c r="Z563" i="9"/>
  <c r="F365" i="9"/>
  <c r="E727" i="9"/>
  <c r="E86" i="9"/>
  <c r="H71" i="9"/>
  <c r="H625" i="9"/>
  <c r="H619" i="9"/>
  <c r="H610" i="9"/>
  <c r="H725" i="9"/>
  <c r="H145" i="9"/>
  <c r="H699" i="9"/>
  <c r="H352" i="9"/>
  <c r="H362" i="9"/>
  <c r="H194" i="9"/>
  <c r="H491" i="9"/>
  <c r="H709" i="9"/>
  <c r="H9" i="9"/>
  <c r="H99" i="9"/>
  <c r="H634" i="9"/>
  <c r="H663" i="9"/>
  <c r="H563" i="9"/>
  <c r="H365" i="9"/>
  <c r="H727" i="9"/>
  <c r="H86" i="9"/>
  <c r="H110" i="9"/>
  <c r="L71" i="9"/>
  <c r="L625" i="9"/>
  <c r="L619" i="9"/>
  <c r="L610" i="9"/>
  <c r="L725" i="9"/>
  <c r="L145" i="9"/>
  <c r="L699" i="9"/>
  <c r="L352" i="9"/>
  <c r="L362" i="9"/>
  <c r="L194" i="9"/>
  <c r="L491" i="9"/>
  <c r="L709" i="9"/>
  <c r="L9" i="9"/>
  <c r="L99" i="9"/>
  <c r="L634" i="9"/>
  <c r="L663" i="9"/>
  <c r="L563" i="9"/>
  <c r="L365" i="9"/>
  <c r="L727" i="9"/>
  <c r="L86" i="9"/>
  <c r="L110" i="9"/>
  <c r="M71" i="9"/>
  <c r="M625" i="9"/>
  <c r="M619" i="9"/>
  <c r="M610" i="9"/>
  <c r="M725" i="9"/>
  <c r="M145" i="9"/>
  <c r="M699" i="9"/>
  <c r="M352" i="9"/>
  <c r="M362" i="9"/>
  <c r="M194" i="9"/>
  <c r="M491" i="9"/>
  <c r="M709" i="9"/>
  <c r="M9" i="9"/>
  <c r="M99" i="9"/>
  <c r="M634" i="9"/>
  <c r="M663" i="9"/>
  <c r="M563" i="9"/>
  <c r="M365" i="9"/>
  <c r="M727" i="9"/>
  <c r="M86" i="9"/>
  <c r="M110" i="9"/>
  <c r="N71" i="9"/>
  <c r="N625" i="9"/>
  <c r="N619" i="9"/>
  <c r="N610" i="9"/>
  <c r="N725" i="9"/>
  <c r="N145" i="9"/>
  <c r="N699" i="9"/>
  <c r="N352" i="9"/>
  <c r="N362" i="9"/>
  <c r="N194" i="9"/>
  <c r="N491" i="9"/>
  <c r="N709" i="9"/>
  <c r="N9" i="9"/>
  <c r="N99" i="9"/>
  <c r="N634" i="9"/>
  <c r="N663" i="9"/>
  <c r="N563" i="9"/>
  <c r="N365" i="9"/>
  <c r="N727" i="9"/>
  <c r="N86" i="9"/>
  <c r="N110" i="9"/>
  <c r="O71" i="9"/>
  <c r="O625" i="9"/>
  <c r="O619" i="9"/>
  <c r="O610" i="9"/>
  <c r="O725" i="9"/>
  <c r="O145" i="9"/>
  <c r="O699" i="9"/>
  <c r="O352" i="9"/>
  <c r="O362" i="9"/>
  <c r="O194" i="9"/>
  <c r="O491" i="9"/>
  <c r="O709" i="9"/>
  <c r="O9" i="9"/>
  <c r="O99" i="9"/>
  <c r="O634" i="9"/>
  <c r="O663" i="9"/>
  <c r="O563" i="9"/>
  <c r="O365" i="9"/>
  <c r="O727" i="9"/>
  <c r="O86" i="9"/>
  <c r="O110" i="9"/>
  <c r="V71" i="9"/>
  <c r="V625" i="9"/>
  <c r="V619" i="9"/>
  <c r="V610" i="9"/>
  <c r="V725" i="9"/>
  <c r="V145" i="9"/>
  <c r="V699" i="9"/>
  <c r="V352" i="9"/>
  <c r="V362" i="9"/>
  <c r="V194" i="9"/>
  <c r="V491" i="9"/>
  <c r="V709" i="9"/>
  <c r="V9" i="9"/>
  <c r="V99" i="9"/>
  <c r="V634" i="9"/>
  <c r="V663" i="9"/>
  <c r="V563" i="9"/>
  <c r="V365" i="9"/>
  <c r="V727" i="9"/>
  <c r="V86" i="9"/>
  <c r="V110" i="9"/>
  <c r="G602" i="9"/>
  <c r="G54" i="9"/>
  <c r="W619" i="9"/>
  <c r="Z362" i="9"/>
  <c r="Z727" i="9"/>
  <c r="Z610" i="9"/>
  <c r="W362" i="9"/>
  <c r="Z619" i="9"/>
  <c r="W365" i="9"/>
  <c r="Z365" i="9"/>
  <c r="W727" i="9"/>
  <c r="W491" i="9"/>
  <c r="Z491" i="9"/>
  <c r="E71" i="9"/>
  <c r="W71" i="9"/>
  <c r="W709" i="9"/>
  <c r="E610" i="9"/>
  <c r="F610" i="9"/>
  <c r="W725" i="9"/>
  <c r="E663" i="9"/>
  <c r="Z725" i="9"/>
  <c r="W610" i="9"/>
  <c r="W663" i="9"/>
  <c r="Z9" i="9"/>
  <c r="Z99" i="9"/>
  <c r="F709" i="9"/>
  <c r="Z145" i="9"/>
  <c r="F619" i="9"/>
  <c r="Z86" i="9"/>
  <c r="W86" i="9"/>
  <c r="W699" i="9"/>
  <c r="Z699" i="9"/>
  <c r="W194" i="9"/>
  <c r="F563" i="9"/>
  <c r="W563" i="9"/>
  <c r="F625" i="9"/>
  <c r="Z625" i="9"/>
  <c r="F194" i="9"/>
  <c r="E699" i="9"/>
  <c r="F362" i="9"/>
  <c r="Z110" i="9"/>
  <c r="W352" i="9"/>
  <c r="F725" i="9"/>
  <c r="E352" i="9"/>
  <c r="F727" i="9"/>
  <c r="W9" i="9"/>
  <c r="W145" i="9"/>
  <c r="E99" i="9"/>
  <c r="W110" i="9"/>
  <c r="E110" i="9"/>
  <c r="F110" i="9"/>
  <c r="E145" i="9"/>
  <c r="F145" i="9"/>
  <c r="E9" i="9"/>
  <c r="F9" i="9"/>
  <c r="F86" i="9"/>
  <c r="E365" i="9"/>
  <c r="E491" i="9"/>
  <c r="Z634" i="9"/>
  <c r="W634" i="9"/>
  <c r="E634" i="9"/>
  <c r="I113" i="9"/>
  <c r="I698" i="9"/>
  <c r="I205" i="9"/>
  <c r="I169" i="9"/>
  <c r="I725" i="9"/>
  <c r="I433" i="9"/>
  <c r="I356" i="9"/>
  <c r="I351" i="9"/>
  <c r="I584" i="9"/>
  <c r="I440" i="9"/>
  <c r="I709" i="9"/>
  <c r="I457" i="9"/>
  <c r="I476" i="9"/>
  <c r="I144" i="9"/>
  <c r="I95" i="9"/>
  <c r="T95" i="9" s="1"/>
  <c r="I705" i="9"/>
  <c r="I171" i="9"/>
  <c r="I543" i="9"/>
  <c r="I5" i="9"/>
  <c r="I322" i="9"/>
  <c r="I150" i="9"/>
  <c r="I191" i="9"/>
  <c r="I461" i="9"/>
  <c r="I379" i="9"/>
  <c r="I130" i="9"/>
  <c r="I219" i="9"/>
  <c r="I596" i="9"/>
  <c r="I401" i="9"/>
  <c r="I179" i="9"/>
  <c r="I479" i="9"/>
  <c r="I634" i="9"/>
  <c r="T634" i="9" s="1"/>
  <c r="I60" i="9"/>
  <c r="T60" i="9" s="1"/>
  <c r="I676" i="9"/>
  <c r="I708" i="9"/>
  <c r="I430" i="9"/>
  <c r="I597" i="9"/>
  <c r="I592" i="9"/>
  <c r="I297" i="9"/>
  <c r="I186" i="9"/>
  <c r="I266" i="9"/>
  <c r="I189" i="9"/>
  <c r="I536" i="9"/>
  <c r="I271" i="9"/>
  <c r="I50" i="9"/>
  <c r="I164" i="9"/>
  <c r="I44" i="9"/>
  <c r="I632" i="9"/>
  <c r="I557" i="9"/>
  <c r="I215" i="9"/>
  <c r="I493" i="9"/>
  <c r="I341" i="9"/>
  <c r="I445" i="9"/>
  <c r="I561" i="9"/>
  <c r="I197" i="9"/>
  <c r="I484" i="9"/>
  <c r="I310" i="9"/>
  <c r="I160" i="9"/>
  <c r="I163" i="9"/>
  <c r="I274" i="9"/>
  <c r="I177" i="9"/>
  <c r="I43" i="9"/>
  <c r="I279" i="9"/>
  <c r="I109" i="9"/>
  <c r="I578" i="9"/>
  <c r="I428" i="9"/>
  <c r="I262" i="9"/>
  <c r="I669" i="9"/>
  <c r="I437" i="9"/>
  <c r="I11" i="9"/>
  <c r="I589" i="9"/>
  <c r="I120" i="9"/>
  <c r="T120" i="9" s="1"/>
  <c r="I84" i="9"/>
  <c r="I268" i="9"/>
  <c r="I348" i="9"/>
  <c r="I472" i="9"/>
  <c r="T472" i="9" s="1"/>
  <c r="I427" i="9"/>
  <c r="I478" i="9"/>
  <c r="I253" i="9"/>
  <c r="I588" i="9"/>
  <c r="I174" i="9"/>
  <c r="I605" i="9"/>
  <c r="I448" i="9"/>
  <c r="I507" i="9"/>
  <c r="I345" i="9"/>
  <c r="I283" i="9"/>
  <c r="T283" i="9" s="1"/>
  <c r="I453" i="9"/>
  <c r="I521" i="9"/>
  <c r="I81" i="9"/>
  <c r="I462" i="9"/>
  <c r="I349" i="9"/>
  <c r="I184" i="9"/>
  <c r="I172" i="9"/>
  <c r="I173" i="9"/>
  <c r="I273" i="9"/>
  <c r="I451" i="9"/>
  <c r="I633" i="9"/>
  <c r="I382" i="9"/>
  <c r="I550" i="9"/>
  <c r="I325" i="9"/>
  <c r="I608" i="9"/>
  <c r="I710" i="9"/>
  <c r="I618" i="9"/>
  <c r="I33" i="9"/>
  <c r="I143" i="9"/>
  <c r="I295" i="9"/>
  <c r="I577" i="9"/>
  <c r="I180" i="9"/>
  <c r="I717" i="9"/>
  <c r="I340" i="9"/>
  <c r="I610" i="9"/>
  <c r="I459" i="9"/>
  <c r="I22" i="9"/>
  <c r="I333" i="9"/>
  <c r="I223" i="9"/>
  <c r="I170" i="9"/>
  <c r="I285" i="9"/>
  <c r="I407" i="9"/>
  <c r="I520" i="9"/>
  <c r="I228" i="9"/>
  <c r="I483" i="9"/>
  <c r="I599" i="9"/>
  <c r="I129" i="9"/>
  <c r="I612" i="9"/>
  <c r="I434" i="9"/>
  <c r="I139" i="9"/>
  <c r="I593" i="9"/>
  <c r="I724" i="9"/>
  <c r="I680" i="9"/>
  <c r="I296" i="9"/>
  <c r="I685" i="9"/>
  <c r="I539" i="9"/>
  <c r="I570" i="9"/>
  <c r="I17" i="9"/>
  <c r="I331" i="9"/>
  <c r="I435" i="9"/>
  <c r="I192" i="9"/>
  <c r="I248" i="9"/>
  <c r="I712" i="9"/>
  <c r="I607" i="9"/>
  <c r="I527" i="9"/>
  <c r="I423" i="9"/>
  <c r="I726" i="9"/>
  <c r="I313" i="9"/>
  <c r="T313" i="9" s="1"/>
  <c r="I422" i="9"/>
  <c r="I168" i="9"/>
  <c r="I613" i="9"/>
  <c r="I42" i="9"/>
  <c r="I727" i="9"/>
  <c r="I523" i="9"/>
  <c r="I636" i="9"/>
  <c r="I321" i="9"/>
  <c r="I419" i="9"/>
  <c r="I237" i="9"/>
  <c r="I640" i="9"/>
  <c r="I119" i="9"/>
  <c r="I282" i="9"/>
  <c r="I292" i="9"/>
  <c r="I426" i="9"/>
  <c r="I51" i="9"/>
  <c r="I270" i="9"/>
  <c r="I651" i="9"/>
  <c r="I679" i="9"/>
  <c r="I373" i="9"/>
  <c r="I644" i="9"/>
  <c r="I91" i="9"/>
  <c r="I449" i="9"/>
  <c r="I303" i="9"/>
  <c r="I265" i="9"/>
  <c r="I115" i="9"/>
  <c r="I517" i="9"/>
  <c r="I80" i="9"/>
  <c r="I64" i="9"/>
  <c r="I217" i="9"/>
  <c r="I635" i="9"/>
  <c r="I153" i="9"/>
  <c r="I209" i="9"/>
  <c r="I467" i="9"/>
  <c r="I343" i="9"/>
  <c r="I534" i="9"/>
  <c r="I308" i="9"/>
  <c r="I397" i="9"/>
  <c r="I288" i="9"/>
  <c r="I460" i="9"/>
  <c r="I24" i="9"/>
  <c r="I581" i="9"/>
  <c r="I30" i="9"/>
  <c r="I512" i="9"/>
  <c r="I713" i="9"/>
  <c r="I697" i="9"/>
  <c r="I420" i="9"/>
  <c r="I362" i="9"/>
  <c r="I346" i="9"/>
  <c r="I318" i="9"/>
  <c r="I88" i="9"/>
  <c r="I166" i="9"/>
  <c r="I525" i="9"/>
  <c r="T525" i="9" s="1"/>
  <c r="I672" i="9"/>
  <c r="I600" i="9"/>
  <c r="I74" i="9"/>
  <c r="I454" i="9"/>
  <c r="I647" i="9"/>
  <c r="I564" i="9"/>
  <c r="I194" i="9"/>
  <c r="I71" i="9"/>
  <c r="I387" i="9"/>
  <c r="I240" i="9"/>
  <c r="I53" i="9"/>
  <c r="I390" i="9"/>
  <c r="I572" i="9"/>
  <c r="I628" i="9"/>
  <c r="I122" i="9"/>
  <c r="I14" i="9"/>
  <c r="I250" i="9"/>
  <c r="I344" i="9"/>
  <c r="I187" i="9"/>
  <c r="I398" i="9"/>
  <c r="I400" i="9"/>
  <c r="I269" i="9"/>
  <c r="I47" i="9"/>
  <c r="I395" i="9"/>
  <c r="I28" i="9"/>
  <c r="I566" i="9"/>
  <c r="I29" i="9"/>
  <c r="I684" i="9"/>
  <c r="I488" i="9"/>
  <c r="I522" i="9"/>
  <c r="I583" i="9"/>
  <c r="I201" i="9"/>
  <c r="I245" i="9"/>
  <c r="I76" i="9"/>
  <c r="I690" i="9"/>
  <c r="I469" i="9"/>
  <c r="I554" i="9"/>
  <c r="I210" i="9"/>
  <c r="I105" i="9"/>
  <c r="I498" i="9"/>
  <c r="I302" i="9"/>
  <c r="I350" i="9"/>
  <c r="I165" i="9"/>
  <c r="I159" i="9"/>
  <c r="T159" i="9" s="1"/>
  <c r="I314" i="9"/>
  <c r="T314" i="9" s="1"/>
  <c r="I330" i="9"/>
  <c r="I300" i="9"/>
  <c r="I480" i="9"/>
  <c r="I128" i="9"/>
  <c r="I481" i="9"/>
  <c r="I673" i="9"/>
  <c r="I639" i="9"/>
  <c r="I646" i="9"/>
  <c r="I692" i="9"/>
  <c r="I609" i="9"/>
  <c r="I499" i="9"/>
  <c r="I396" i="9"/>
  <c r="I148" i="9"/>
  <c r="I513" i="9"/>
  <c r="I108" i="9"/>
  <c r="I402" i="9"/>
  <c r="T402" i="9" s="1"/>
  <c r="I630" i="9"/>
  <c r="I92" i="9"/>
  <c r="I542" i="9"/>
  <c r="I131" i="9"/>
  <c r="I277" i="9"/>
  <c r="I642" i="9"/>
  <c r="I132" i="9"/>
  <c r="I8" i="9"/>
  <c r="I104" i="9"/>
  <c r="I575" i="9"/>
  <c r="I257" i="9"/>
  <c r="I87" i="9"/>
  <c r="I124" i="9"/>
  <c r="I252" i="9"/>
  <c r="T252" i="9" s="1"/>
  <c r="I631" i="9"/>
  <c r="I490" i="9"/>
  <c r="I595" i="9"/>
  <c r="I326" i="9"/>
  <c r="I66" i="9"/>
  <c r="I236" i="9"/>
  <c r="I458" i="9"/>
  <c r="I235" i="9"/>
  <c r="I537" i="9"/>
  <c r="I35" i="9"/>
  <c r="I211" i="9"/>
  <c r="I328" i="9"/>
  <c r="I304" i="9"/>
  <c r="I681" i="9"/>
  <c r="T681" i="9" s="1"/>
  <c r="I383" i="9"/>
  <c r="I206" i="9"/>
  <c r="I281" i="9"/>
  <c r="I501" i="9"/>
  <c r="I700" i="9"/>
  <c r="I716" i="9"/>
  <c r="I585" i="9"/>
  <c r="I291" i="9"/>
  <c r="I244" i="9"/>
  <c r="I231" i="9"/>
  <c r="I220" i="9"/>
  <c r="I241" i="9"/>
  <c r="I604" i="9"/>
  <c r="I660" i="9"/>
  <c r="I471" i="9"/>
  <c r="T471" i="9" s="1"/>
  <c r="I39" i="9"/>
  <c r="I103" i="9"/>
  <c r="I23" i="9"/>
  <c r="I141" i="9"/>
  <c r="I492" i="9"/>
  <c r="I298" i="9"/>
  <c r="I565" i="9"/>
  <c r="I667" i="9"/>
  <c r="I506" i="9"/>
  <c r="I56" i="9"/>
  <c r="I560" i="9"/>
  <c r="I500" i="9"/>
  <c r="I455" i="9"/>
  <c r="I259" i="9"/>
  <c r="I555" i="9"/>
  <c r="I701" i="9"/>
  <c r="I208" i="9"/>
  <c r="I416" i="9"/>
  <c r="I185" i="9"/>
  <c r="I432" i="9"/>
  <c r="I656" i="9"/>
  <c r="I482" i="9"/>
  <c r="I365" i="9"/>
  <c r="I16" i="9"/>
  <c r="I369" i="9"/>
  <c r="I188" i="9"/>
  <c r="I404" i="9"/>
  <c r="I137" i="9"/>
  <c r="I247" i="9"/>
  <c r="I421" i="9"/>
  <c r="I239" i="9"/>
  <c r="I230" i="9"/>
  <c r="I31" i="9"/>
  <c r="I718" i="9"/>
  <c r="I665" i="9"/>
  <c r="I410" i="9"/>
  <c r="I181" i="9"/>
  <c r="I55" i="9"/>
  <c r="I290" i="9"/>
  <c r="I671" i="9"/>
  <c r="I408" i="9"/>
  <c r="I243" i="9"/>
  <c r="I155" i="9"/>
  <c r="I77" i="9"/>
  <c r="I20" i="9"/>
  <c r="I100" i="9"/>
  <c r="I336" i="9"/>
  <c r="I637" i="9"/>
  <c r="I551" i="9"/>
  <c r="I198" i="9"/>
  <c r="I45" i="9"/>
  <c r="I466" i="9"/>
  <c r="I376" i="9"/>
  <c r="I648" i="9"/>
  <c r="I650" i="9"/>
  <c r="I335" i="9"/>
  <c r="T335" i="9" s="1"/>
  <c r="I127" i="9"/>
  <c r="I234" i="9"/>
  <c r="I678" i="9"/>
  <c r="I553" i="9"/>
  <c r="I162" i="9"/>
  <c r="I353" i="9"/>
  <c r="I693" i="9"/>
  <c r="I216" i="9"/>
  <c r="I371" i="9"/>
  <c r="I411" i="9"/>
  <c r="I360" i="9"/>
  <c r="I337" i="9"/>
  <c r="I207" i="9"/>
  <c r="I545" i="9"/>
  <c r="I364" i="9"/>
  <c r="I529" i="9"/>
  <c r="I229" i="9"/>
  <c r="I645" i="9"/>
  <c r="I316" i="9"/>
  <c r="I663" i="9"/>
  <c r="I358" i="9"/>
  <c r="I233" i="9"/>
  <c r="T233" i="9" s="1"/>
  <c r="I721" i="9"/>
  <c r="I417" i="9"/>
  <c r="I638" i="9"/>
  <c r="I299" i="9"/>
  <c r="I90" i="9"/>
  <c r="I126" i="9"/>
  <c r="I320" i="9"/>
  <c r="I675" i="9"/>
  <c r="I67" i="9"/>
  <c r="I514" i="9"/>
  <c r="I587" i="9"/>
  <c r="I374" i="9"/>
  <c r="I63" i="9"/>
  <c r="I388" i="9"/>
  <c r="I723" i="9"/>
  <c r="I438" i="9"/>
  <c r="I502" i="9"/>
  <c r="I556" i="9"/>
  <c r="I114" i="9"/>
  <c r="I620" i="9"/>
  <c r="I305" i="9"/>
  <c r="I627" i="9"/>
  <c r="I151" i="9"/>
  <c r="I538" i="9"/>
  <c r="I623" i="9"/>
  <c r="I722" i="9"/>
  <c r="I485" i="9"/>
  <c r="I145" i="9"/>
  <c r="I72" i="9"/>
  <c r="I225" i="9"/>
  <c r="I477" i="9"/>
  <c r="I606" i="9"/>
  <c r="I602" i="9"/>
  <c r="I403" i="9"/>
  <c r="I110" i="9"/>
  <c r="I324" i="9"/>
  <c r="I622" i="9"/>
  <c r="I204" i="9"/>
  <c r="I668" i="9"/>
  <c r="I442" i="9"/>
  <c r="I375" i="9"/>
  <c r="I138" i="9"/>
  <c r="I704" i="9"/>
  <c r="I450" i="9"/>
  <c r="I439" i="9"/>
  <c r="I327" i="9"/>
  <c r="I412" i="9"/>
  <c r="I571" i="9"/>
  <c r="I68" i="9"/>
  <c r="I409" i="9"/>
  <c r="I528" i="9"/>
  <c r="T528" i="9" s="1"/>
  <c r="I447" i="9"/>
  <c r="I175" i="9"/>
  <c r="I70" i="9"/>
  <c r="I361" i="9"/>
  <c r="I146" i="9"/>
  <c r="I41" i="9"/>
  <c r="I413" i="9"/>
  <c r="T413" i="9" s="1"/>
  <c r="I272" i="9"/>
  <c r="I218" i="9"/>
  <c r="I357" i="9"/>
  <c r="I696" i="9"/>
  <c r="I255" i="9"/>
  <c r="I590" i="9"/>
  <c r="I687" i="9"/>
  <c r="I275" i="9"/>
  <c r="I256" i="9"/>
  <c r="I614" i="9"/>
  <c r="I36" i="9"/>
  <c r="I214" i="9"/>
  <c r="I332" i="9"/>
  <c r="I232" i="9"/>
  <c r="T232" i="9" s="1"/>
  <c r="I474" i="9"/>
  <c r="I653" i="9"/>
  <c r="I203" i="9"/>
  <c r="I342" i="9"/>
  <c r="I568" i="9"/>
  <c r="I546" i="9"/>
  <c r="I406" i="9"/>
  <c r="I666" i="9"/>
  <c r="I377" i="9"/>
  <c r="I691" i="9"/>
  <c r="I393" i="9"/>
  <c r="I133" i="9"/>
  <c r="I473" i="9"/>
  <c r="I689" i="9"/>
  <c r="I683" i="9"/>
  <c r="I380" i="9"/>
  <c r="I238" i="9"/>
  <c r="T238" i="9" s="1"/>
  <c r="I391" i="9"/>
  <c r="I140" i="9"/>
  <c r="I85" i="9"/>
  <c r="I182" i="9"/>
  <c r="I19" i="9"/>
  <c r="I641" i="9"/>
  <c r="I468" i="9"/>
  <c r="I212" i="9"/>
  <c r="I415" i="9"/>
  <c r="I509" i="9"/>
  <c r="I658" i="9"/>
  <c r="I580" i="9"/>
  <c r="I161" i="9"/>
  <c r="I152" i="9"/>
  <c r="I611" i="9"/>
  <c r="I254" i="9"/>
  <c r="I558" i="9"/>
  <c r="I83" i="9"/>
  <c r="I112" i="9"/>
  <c r="I655" i="9"/>
  <c r="I183" i="9"/>
  <c r="I603" i="9"/>
  <c r="I156" i="9"/>
  <c r="I504" i="9"/>
  <c r="I624" i="9"/>
  <c r="T624" i="9" s="1"/>
  <c r="I117" i="9"/>
  <c r="I25" i="9"/>
  <c r="I13" i="9"/>
  <c r="I533" i="9"/>
  <c r="I9" i="9"/>
  <c r="T9" i="9" s="1"/>
  <c r="I652" i="9"/>
  <c r="I443" i="9"/>
  <c r="I670" i="9"/>
  <c r="I594" i="9"/>
  <c r="I242" i="9"/>
  <c r="I699" i="9"/>
  <c r="I372" i="9"/>
  <c r="I626" i="9"/>
  <c r="I284" i="9"/>
  <c r="I97" i="9"/>
  <c r="I86" i="9"/>
  <c r="I57" i="9"/>
  <c r="I494" i="9"/>
  <c r="I544" i="9"/>
  <c r="I366" i="9"/>
  <c r="I576" i="9"/>
  <c r="I540" i="9"/>
  <c r="I491" i="9"/>
  <c r="I547" i="9"/>
  <c r="I579" i="9"/>
  <c r="I621" i="9"/>
  <c r="I452" i="9"/>
  <c r="I463" i="9"/>
  <c r="I123" i="9"/>
  <c r="I46" i="9"/>
  <c r="I386" i="9"/>
  <c r="I226" i="9"/>
  <c r="I414" i="9"/>
  <c r="I136" i="9"/>
  <c r="I486" i="9"/>
  <c r="I399" i="9"/>
  <c r="I446" i="9"/>
  <c r="I456" i="9"/>
  <c r="I505" i="9"/>
  <c r="I221" i="9"/>
  <c r="I497" i="9"/>
  <c r="T497" i="9" s="1"/>
  <c r="I178" i="9"/>
  <c r="I18" i="9"/>
  <c r="I149" i="9"/>
  <c r="I38" i="9"/>
  <c r="I381" i="9"/>
  <c r="I258" i="9"/>
  <c r="I429" i="9"/>
  <c r="I582" i="9"/>
  <c r="I487" i="9"/>
  <c r="I489" i="9"/>
  <c r="I355" i="9"/>
  <c r="I106" i="9"/>
  <c r="I79" i="9"/>
  <c r="I535" i="9"/>
  <c r="I649" i="9"/>
  <c r="I116" i="9"/>
  <c r="I392" i="9"/>
  <c r="I563" i="9"/>
  <c r="I301" i="9"/>
  <c r="I444" i="9"/>
  <c r="I625" i="9"/>
  <c r="T625" i="9" s="1"/>
  <c r="I96" i="9"/>
  <c r="I629" i="9"/>
  <c r="I6" i="9"/>
  <c r="I503" i="9"/>
  <c r="F71" i="9"/>
  <c r="F663" i="9"/>
  <c r="E709" i="9"/>
  <c r="E563" i="9"/>
  <c r="E625" i="9"/>
  <c r="E194" i="9"/>
  <c r="F352" i="9"/>
  <c r="F99" i="9"/>
  <c r="F634" i="9"/>
  <c r="Z511" i="9"/>
  <c r="Z348" i="9"/>
  <c r="Z298" i="9"/>
  <c r="Z444" i="9"/>
  <c r="Z102" i="9"/>
  <c r="Z630" i="9"/>
  <c r="Z489" i="9"/>
  <c r="Z643" i="9"/>
  <c r="Z245" i="9"/>
  <c r="Z356" i="9"/>
  <c r="Z529" i="9"/>
  <c r="Z169" i="9"/>
  <c r="Z19" i="9"/>
  <c r="Z305" i="9"/>
  <c r="Z411" i="9"/>
  <c r="Z72" i="9"/>
  <c r="Z718" i="9"/>
  <c r="Z366" i="9"/>
  <c r="Z587" i="9"/>
  <c r="Z627" i="9"/>
  <c r="Z124" i="9"/>
  <c r="Z613" i="9"/>
  <c r="Z689" i="9"/>
  <c r="Z248" i="9"/>
  <c r="Z270" i="9"/>
  <c r="Z168" i="9"/>
  <c r="Z273" i="9"/>
  <c r="Z200" i="9"/>
  <c r="Z580" i="9"/>
  <c r="Z78" i="9"/>
  <c r="Z508" i="9"/>
  <c r="Z85" i="9"/>
  <c r="Z227" i="9"/>
  <c r="Q227" i="9"/>
  <c r="Z644" i="9"/>
  <c r="Z522" i="9"/>
  <c r="Z268" i="9"/>
  <c r="Z338" i="9"/>
  <c r="Z192" i="9"/>
  <c r="Z544" i="9"/>
  <c r="Z46" i="9"/>
  <c r="Z606" i="9"/>
  <c r="Z34" i="9"/>
  <c r="Z679" i="9"/>
  <c r="Z276" i="9"/>
  <c r="Z573" i="9"/>
  <c r="Z343" i="9"/>
  <c r="Z161" i="9"/>
  <c r="Z206" i="9"/>
  <c r="Z38" i="9"/>
  <c r="Z455" i="9"/>
  <c r="Z130" i="9"/>
  <c r="Z76" i="9"/>
  <c r="Z645" i="9"/>
  <c r="Z603" i="9"/>
  <c r="Z189" i="9"/>
  <c r="Z39" i="9"/>
  <c r="Z304" i="9"/>
  <c r="Z96" i="9"/>
  <c r="Z402" i="9"/>
  <c r="Z505" i="9"/>
  <c r="Z660" i="9"/>
  <c r="Z156" i="9"/>
  <c r="Z172" i="9"/>
  <c r="Z629" i="9"/>
  <c r="Z342" i="9"/>
  <c r="Z698" i="9"/>
  <c r="Z482" i="9"/>
  <c r="Z209" i="9"/>
  <c r="Z325" i="9"/>
  <c r="Z596" i="9"/>
  <c r="Z624" i="9"/>
  <c r="Z408" i="9"/>
  <c r="Z363" i="9"/>
  <c r="Z500" i="9"/>
  <c r="Z256" i="9"/>
  <c r="Z50" i="9"/>
  <c r="Z271" i="9"/>
  <c r="Z688" i="9"/>
  <c r="Z175" i="9"/>
  <c r="Z380" i="9"/>
  <c r="Z384" i="9"/>
  <c r="Z517" i="9"/>
  <c r="Z543" i="9"/>
  <c r="Z454" i="9"/>
  <c r="Z162" i="9"/>
  <c r="Z620" i="9"/>
  <c r="Z94" i="9"/>
  <c r="Z461" i="9"/>
  <c r="Z448" i="9"/>
  <c r="Z686" i="9"/>
  <c r="Z458" i="9"/>
  <c r="Z164" i="9"/>
  <c r="Z360" i="9"/>
  <c r="Z670" i="9"/>
  <c r="Z252" i="9"/>
  <c r="Z59" i="9"/>
  <c r="Z674" i="9"/>
  <c r="Z225" i="9"/>
  <c r="Z406" i="9"/>
  <c r="Z36" i="9"/>
  <c r="Z669" i="9"/>
  <c r="Z452" i="9"/>
  <c r="Z581" i="9"/>
  <c r="Z524" i="9"/>
  <c r="Z283" i="9"/>
  <c r="Z377" i="9"/>
  <c r="Z327" i="9"/>
  <c r="Z213" i="9"/>
  <c r="Z188" i="9"/>
  <c r="Z582" i="9"/>
  <c r="Z151" i="9"/>
  <c r="Z537" i="9"/>
  <c r="Z291" i="9"/>
  <c r="Z237" i="9"/>
  <c r="Z726" i="9"/>
  <c r="Z344" i="9"/>
  <c r="Z432" i="9"/>
  <c r="Z279" i="9"/>
  <c r="Z653" i="9"/>
  <c r="Z420" i="9"/>
  <c r="Z144" i="9"/>
  <c r="Z295" i="9"/>
  <c r="Z648" i="9"/>
  <c r="Z597" i="9"/>
  <c r="Z457" i="9"/>
  <c r="Z185" i="9"/>
  <c r="Z480" i="9"/>
  <c r="Z284" i="9"/>
  <c r="Z404" i="9"/>
  <c r="Z62" i="9"/>
  <c r="Z520" i="9"/>
  <c r="Z170" i="9"/>
  <c r="Z395" i="9"/>
  <c r="Z113" i="9"/>
  <c r="Z512" i="9"/>
  <c r="Z181" i="9"/>
  <c r="Z197" i="9"/>
  <c r="Z396" i="9"/>
  <c r="Z16" i="9"/>
  <c r="Z351" i="9"/>
  <c r="Z147" i="9"/>
  <c r="Z370" i="9"/>
  <c r="Z667" i="9"/>
  <c r="Z77" i="9"/>
  <c r="Z285" i="9"/>
  <c r="Z361" i="9"/>
  <c r="Z29" i="9"/>
  <c r="Z552" i="9"/>
  <c r="Z622" i="9"/>
  <c r="Z558" i="9"/>
  <c r="Z282" i="9"/>
  <c r="Z6" i="9"/>
  <c r="Z717" i="9"/>
  <c r="Z728" i="9"/>
  <c r="Z551" i="9"/>
  <c r="Z425" i="9"/>
  <c r="Z447" i="9"/>
  <c r="Z467" i="9"/>
  <c r="Z313" i="9"/>
  <c r="Z414" i="9"/>
  <c r="Z651" i="9"/>
  <c r="Z463" i="9"/>
  <c r="Z219" i="9"/>
  <c r="Z247" i="9"/>
  <c r="Z143" i="9"/>
  <c r="Z33" i="9"/>
  <c r="Z714" i="9"/>
  <c r="Z139" i="9"/>
  <c r="Z358" i="9"/>
  <c r="Z427" i="9"/>
  <c r="Z24" i="9"/>
  <c r="Z51" i="9"/>
  <c r="Z566" i="9"/>
  <c r="Z203" i="9"/>
  <c r="Z700" i="9"/>
  <c r="Z565" i="9"/>
  <c r="Z371" i="9"/>
  <c r="Z160" i="9"/>
  <c r="Z184" i="9"/>
  <c r="Z492" i="9"/>
  <c r="Z212" i="9"/>
  <c r="Z633" i="9"/>
  <c r="Z442" i="9"/>
  <c r="Z254" i="9"/>
  <c r="Z568" i="9"/>
  <c r="Z655" i="9"/>
  <c r="Z678" i="9"/>
  <c r="Z417" i="9"/>
  <c r="Z301" i="9"/>
  <c r="Z521" i="9"/>
  <c r="Z234" i="9"/>
  <c r="Z383" i="9"/>
  <c r="Z306" i="9"/>
  <c r="Z393" i="9"/>
  <c r="Z137" i="9"/>
  <c r="Z439" i="9"/>
  <c r="Z631" i="9"/>
  <c r="Z159" i="9"/>
  <c r="Z397" i="9"/>
  <c r="Z486" i="9"/>
  <c r="Z117" i="9"/>
  <c r="Z659" i="9"/>
  <c r="Z477" i="9"/>
  <c r="Z180" i="9"/>
  <c r="Z57" i="9"/>
  <c r="Z378" i="9"/>
  <c r="Z135" i="9"/>
  <c r="Z223" i="9"/>
  <c r="Z711" i="9"/>
  <c r="Z554" i="9"/>
  <c r="Z592" i="9"/>
  <c r="Z195" i="9"/>
  <c r="Z341" i="9"/>
  <c r="Z410" i="9"/>
  <c r="Z715" i="9"/>
  <c r="Z409" i="9"/>
  <c r="Z646" i="9"/>
  <c r="Z422" i="9"/>
  <c r="Z215" i="9"/>
  <c r="Z87" i="9"/>
  <c r="Z26" i="9"/>
  <c r="Z148" i="9"/>
  <c r="Z186" i="9"/>
  <c r="Z350" i="9"/>
  <c r="Z307" i="9"/>
  <c r="Z379" i="9"/>
  <c r="Z127" i="9"/>
  <c r="Z437" i="9"/>
  <c r="Z35" i="9"/>
  <c r="Z561" i="9"/>
  <c r="X561" i="9" s="1"/>
  <c r="Z676" i="9"/>
  <c r="Z412" i="9"/>
  <c r="Z299" i="9"/>
  <c r="Z531" i="9"/>
  <c r="Z703" i="9"/>
  <c r="X703" i="9" s="1"/>
  <c r="Z119" i="9"/>
  <c r="Z637" i="9"/>
  <c r="Z533" i="9"/>
  <c r="Z165" i="9"/>
  <c r="Z690" i="9"/>
  <c r="Z445" i="9"/>
  <c r="Z238" i="9"/>
  <c r="Z322" i="9"/>
  <c r="Z211" i="9"/>
  <c r="Z594" i="9"/>
  <c r="Z308" i="9"/>
  <c r="Z666" i="9"/>
  <c r="Z228" i="9"/>
  <c r="Z255" i="9"/>
  <c r="Z55" i="9"/>
  <c r="Z681" i="9"/>
  <c r="Z375" i="9"/>
  <c r="Z446" i="9"/>
  <c r="Z146" i="9"/>
  <c r="Z466" i="9"/>
  <c r="Z60" i="9"/>
  <c r="Z626" i="9"/>
  <c r="Z502" i="9"/>
  <c r="Z496" i="9"/>
  <c r="Z387" i="9"/>
  <c r="Z697" i="9"/>
  <c r="Z504" i="9"/>
  <c r="Z428" i="9"/>
  <c r="Z400" i="9"/>
  <c r="Z459" i="9"/>
  <c r="Z487" i="9"/>
  <c r="Z100" i="9"/>
  <c r="Z495" i="9"/>
  <c r="Z8" i="9"/>
  <c r="Z389" i="9"/>
  <c r="Z217" i="9"/>
  <c r="Z330" i="9"/>
  <c r="Z131" i="9"/>
  <c r="Z18" i="9"/>
  <c r="Z191" i="9"/>
  <c r="Z683" i="9"/>
  <c r="Z399" i="9"/>
  <c r="Z13" i="9"/>
  <c r="Z550" i="9"/>
  <c r="Z202" i="9"/>
  <c r="Z617" i="9"/>
  <c r="Z539" i="9"/>
  <c r="Z198" i="9"/>
  <c r="Z654" i="9"/>
  <c r="Z462" i="9"/>
  <c r="Z97" i="9"/>
  <c r="Z115" i="9"/>
  <c r="Z416" i="9"/>
  <c r="Z40" i="9"/>
  <c r="Z430" i="9"/>
  <c r="Z636" i="9"/>
  <c r="Z275" i="9"/>
  <c r="Z441" i="9"/>
  <c r="Z672" i="9"/>
  <c r="Z701" i="9"/>
  <c r="Z222" i="9"/>
  <c r="Z353" i="9"/>
  <c r="Z564" i="9"/>
  <c r="Z240" i="9"/>
  <c r="Z593" i="9"/>
  <c r="Z426" i="9"/>
  <c r="Z226" i="9"/>
  <c r="Z513" i="9"/>
  <c r="Z242" i="9"/>
  <c r="Z639" i="9"/>
  <c r="Z476" i="9"/>
  <c r="Z44" i="9"/>
  <c r="Z141" i="9"/>
  <c r="Z83" i="9"/>
  <c r="Z724" i="9"/>
  <c r="Z43" i="9"/>
  <c r="Z401" i="9"/>
  <c r="Z488" i="9"/>
  <c r="Z241" i="9"/>
  <c r="Z386" i="9"/>
  <c r="Z705" i="9"/>
  <c r="Z618" i="9"/>
  <c r="Z335" i="9"/>
  <c r="Z575" i="9"/>
  <c r="Z680" i="9"/>
  <c r="Z649" i="9"/>
  <c r="Z259" i="9"/>
  <c r="Z585" i="9"/>
  <c r="Z355" i="9"/>
  <c r="Z207" i="9"/>
  <c r="Z311" i="9"/>
  <c r="Z608" i="9"/>
  <c r="Z73" i="9"/>
  <c r="Z656" i="9"/>
  <c r="Z614" i="9"/>
  <c r="Z236" i="9"/>
  <c r="Z509" i="9"/>
  <c r="Z419" i="9"/>
  <c r="Z479" i="9"/>
  <c r="Z272" i="9"/>
  <c r="Z328" i="9"/>
  <c r="Z274" i="9"/>
  <c r="Z641" i="9"/>
  <c r="Z471" i="9"/>
  <c r="Z693" i="9"/>
  <c r="Z221" i="9"/>
  <c r="Z91" i="9"/>
  <c r="Z64" i="9"/>
  <c r="Z523" i="9"/>
  <c r="Z434" i="9"/>
  <c r="Z129" i="9"/>
  <c r="Z318" i="9"/>
  <c r="Z302" i="9"/>
  <c r="Z61" i="9"/>
  <c r="Z635" i="9"/>
  <c r="Z514" i="9"/>
  <c r="Z607" i="9"/>
  <c r="Z204" i="9"/>
  <c r="Z109" i="9"/>
  <c r="Z472" i="9"/>
  <c r="Z530" i="9"/>
  <c r="Z54" i="9"/>
  <c r="Z451" i="9"/>
  <c r="Z128" i="9"/>
  <c r="Z296" i="9"/>
  <c r="Z692" i="9"/>
  <c r="Z549" i="9"/>
  <c r="Z721" i="9"/>
  <c r="Z484" i="9"/>
  <c r="Z599" i="9"/>
  <c r="Z174" i="9"/>
  <c r="Z243" i="9"/>
  <c r="Z708" i="9"/>
  <c r="Z187" i="9"/>
  <c r="Z498" i="9"/>
  <c r="Z528" i="9"/>
  <c r="Z292" i="9"/>
  <c r="Z132" i="9"/>
  <c r="Z346" i="9"/>
  <c r="Z385" i="9"/>
  <c r="Z590" i="9"/>
  <c r="Z642" i="9"/>
  <c r="Z535" i="9"/>
  <c r="Z177" i="9"/>
  <c r="Z300" i="9"/>
  <c r="Z105" i="9"/>
  <c r="Z265" i="9"/>
  <c r="Z576" i="9"/>
  <c r="Z67" i="9"/>
  <c r="Z473" i="9"/>
  <c r="Z25" i="9"/>
  <c r="Z640" i="9"/>
  <c r="Z369" i="9"/>
  <c r="Z290" i="9"/>
  <c r="Z74" i="9"/>
  <c r="Z595" i="9"/>
  <c r="Z548" i="9"/>
  <c r="Z503" i="9"/>
  <c r="Z584" i="9"/>
  <c r="Z58" i="9"/>
  <c r="Z239" i="9"/>
  <c r="Z682" i="9"/>
  <c r="Z262" i="9"/>
  <c r="Z638" i="9"/>
  <c r="Z547" i="9"/>
  <c r="Z560" i="9"/>
  <c r="Z449" i="9"/>
  <c r="Z17" i="9"/>
  <c r="Z118" i="9"/>
  <c r="Z609" i="9"/>
  <c r="Z468" i="9"/>
  <c r="Z571" i="9"/>
  <c r="Z712" i="9"/>
  <c r="Z278" i="9"/>
  <c r="Z41" i="9"/>
  <c r="Z182" i="9"/>
  <c r="Z556" i="9"/>
  <c r="Z293" i="9"/>
  <c r="Z443" i="9"/>
  <c r="Z116" i="9"/>
  <c r="Z103" i="9"/>
  <c r="Z612" i="9"/>
  <c r="Z538" i="9"/>
  <c r="Z173" i="9"/>
  <c r="Z438" i="9"/>
  <c r="Z652" i="9"/>
  <c r="Z52" i="9"/>
  <c r="Z317" i="9"/>
  <c r="Z347" i="9"/>
  <c r="Z372" i="9"/>
  <c r="Z403" i="9"/>
  <c r="Z288" i="9"/>
  <c r="Z178" i="9"/>
  <c r="Z84" i="9"/>
  <c r="Z570" i="9"/>
  <c r="Z578" i="9"/>
  <c r="Z331" i="9"/>
  <c r="Z357" i="9"/>
  <c r="Z345" i="9"/>
  <c r="Z499" i="9"/>
  <c r="Z218" i="9"/>
  <c r="Z108" i="9"/>
  <c r="Z475" i="9"/>
  <c r="Z324" i="9"/>
  <c r="Z136" i="9"/>
  <c r="Z337" i="9"/>
  <c r="Z53" i="9"/>
  <c r="Z121" i="9"/>
  <c r="Z244" i="9"/>
  <c r="Z413" i="9"/>
  <c r="Z114" i="9"/>
  <c r="Z303" i="9"/>
  <c r="Z675" i="9"/>
  <c r="Z605" i="9"/>
  <c r="Z687" i="9"/>
  <c r="Z201" i="9"/>
  <c r="Z494" i="9"/>
  <c r="Z647" i="9"/>
  <c r="Z281" i="9"/>
  <c r="Z516" i="9"/>
  <c r="Z722" i="9"/>
  <c r="Z583" i="9"/>
  <c r="Z22" i="9"/>
  <c r="Z47" i="9"/>
  <c r="Z183" i="9"/>
  <c r="Z421" i="9"/>
  <c r="Z349" i="9"/>
  <c r="Z336" i="9"/>
  <c r="Z600" i="9"/>
  <c r="Z126" i="9"/>
  <c r="Z435" i="9"/>
  <c r="Z555" i="9"/>
  <c r="Z257" i="9"/>
  <c r="Z671" i="9"/>
  <c r="Z231" i="9"/>
  <c r="Z545" i="9"/>
  <c r="Z390" i="9"/>
  <c r="Z497" i="9"/>
  <c r="Z677" i="9"/>
  <c r="Z92" i="9"/>
  <c r="Z138" i="9"/>
  <c r="Z258" i="9"/>
  <c r="Z5" i="9"/>
  <c r="Z214" i="9"/>
  <c r="Z716" i="9"/>
  <c r="Z246" i="9"/>
  <c r="Z536" i="9"/>
  <c r="Z557" i="9"/>
  <c r="Z668" i="9"/>
  <c r="Z333" i="9"/>
  <c r="Z166" i="9"/>
  <c r="Z673" i="9"/>
  <c r="Z216" i="9"/>
  <c r="Z56" i="9"/>
  <c r="Z152" i="9"/>
  <c r="Z527" i="9"/>
  <c r="Z11" i="9"/>
  <c r="Z684" i="9"/>
  <c r="Z433" i="9"/>
  <c r="Z374" i="9"/>
  <c r="Z23" i="9"/>
  <c r="Z579" i="9"/>
  <c r="Z106" i="9"/>
  <c r="Z266" i="9"/>
  <c r="Z407" i="9"/>
  <c r="Z10" i="9"/>
  <c r="Z691" i="9"/>
  <c r="Z519" i="9"/>
  <c r="Z133" i="9"/>
  <c r="Z572" i="9"/>
  <c r="Z14" i="9"/>
  <c r="Z155" i="9"/>
  <c r="Z474" i="9"/>
  <c r="Z149" i="9"/>
  <c r="Z287" i="9"/>
  <c r="Z695" i="9"/>
  <c r="Z604" i="9"/>
  <c r="Z586" i="9"/>
  <c r="Z93" i="9"/>
  <c r="Z553" i="9"/>
  <c r="Z490" i="9"/>
  <c r="Z541" i="9"/>
  <c r="Z332" i="9"/>
  <c r="Z63" i="9"/>
  <c r="Z483" i="9"/>
  <c r="Z493" i="9"/>
  <c r="Z567" i="9"/>
  <c r="Z542" i="9"/>
  <c r="Z112" i="9"/>
  <c r="Z65" i="9"/>
  <c r="Z456" i="9"/>
  <c r="Z340" i="9"/>
  <c r="Z104" i="9"/>
  <c r="Z415" i="9"/>
  <c r="Z88" i="9"/>
  <c r="Z321" i="9"/>
  <c r="Z429" i="9"/>
  <c r="Z481" i="9"/>
  <c r="F532" i="9"/>
  <c r="Z569" i="9"/>
  <c r="Z710" i="9"/>
  <c r="Z485" i="9"/>
  <c r="Z163" i="9"/>
  <c r="Z506" i="9"/>
  <c r="Z269" i="9"/>
  <c r="Z391" i="9"/>
  <c r="Z611" i="9"/>
  <c r="Z297" i="9"/>
  <c r="Z602" i="9"/>
  <c r="Z460" i="9"/>
  <c r="Z465" i="9"/>
  <c r="Z68" i="9"/>
  <c r="Z650" i="9"/>
  <c r="Z720" i="9"/>
  <c r="Z713" i="9"/>
  <c r="Z20" i="9"/>
  <c r="Z314" i="9"/>
  <c r="Z423" i="9"/>
  <c r="Z532" i="9"/>
  <c r="Z658" i="9"/>
  <c r="Z326" i="9"/>
  <c r="Z45" i="9"/>
  <c r="Z208" i="9"/>
  <c r="Z501" i="9"/>
  <c r="Z450" i="9"/>
  <c r="Z388" i="9"/>
  <c r="Z632" i="9"/>
  <c r="Z171" i="9"/>
  <c r="Z704" i="9"/>
  <c r="Z534" i="9"/>
  <c r="Z696" i="9"/>
  <c r="Z230" i="9"/>
  <c r="Z665" i="9"/>
  <c r="Z559" i="9"/>
  <c r="Z621" i="9"/>
  <c r="Z224" i="9"/>
  <c r="Z546" i="9"/>
  <c r="Z398" i="9"/>
  <c r="Z229" i="9"/>
  <c r="Z79" i="9"/>
  <c r="Z507" i="9"/>
  <c r="Z623" i="9"/>
  <c r="Z179" i="9"/>
  <c r="Z277" i="9"/>
  <c r="Z453" i="9"/>
  <c r="Z140" i="9"/>
  <c r="Z28" i="9"/>
  <c r="Z359" i="9"/>
  <c r="Z253" i="9"/>
  <c r="Z382" i="9"/>
  <c r="Z589" i="9"/>
  <c r="Z82" i="9"/>
  <c r="Z122" i="9"/>
  <c r="Z478" i="9"/>
  <c r="K435" i="9"/>
  <c r="K592" i="9"/>
  <c r="K40" i="9"/>
  <c r="K445" i="9"/>
  <c r="K476" i="9"/>
  <c r="K205" i="9"/>
  <c r="K420" i="9"/>
  <c r="K234" i="9"/>
  <c r="K448" i="9"/>
  <c r="K473" i="9"/>
  <c r="K149" i="9"/>
  <c r="K684" i="9"/>
  <c r="K95" i="9"/>
  <c r="K222" i="9"/>
  <c r="K87" i="9"/>
  <c r="K5" i="9"/>
  <c r="K536" i="9"/>
  <c r="K627" i="9"/>
  <c r="K284" i="9"/>
  <c r="K115" i="9"/>
  <c r="K417" i="9"/>
  <c r="K382" i="9"/>
  <c r="K527" i="9"/>
  <c r="K147" i="9"/>
  <c r="K162" i="9"/>
  <c r="K84" i="9"/>
  <c r="K231" i="9"/>
  <c r="K351" i="9"/>
  <c r="K324" i="9"/>
  <c r="K137" i="9"/>
  <c r="K191" i="9"/>
  <c r="K361" i="9"/>
  <c r="K343" i="9"/>
  <c r="K83" i="9"/>
  <c r="K335" i="9"/>
  <c r="K303" i="9"/>
  <c r="K163" i="9"/>
  <c r="K508" i="9"/>
  <c r="K285" i="9"/>
  <c r="K704" i="9"/>
  <c r="K138" i="9"/>
  <c r="K700" i="9"/>
  <c r="K593" i="9"/>
  <c r="K388" i="9"/>
  <c r="K651" i="9"/>
  <c r="K456" i="9"/>
  <c r="K350" i="9"/>
  <c r="K136" i="9"/>
  <c r="K355" i="9"/>
  <c r="K584" i="9"/>
  <c r="K636" i="9"/>
  <c r="K171" i="9"/>
  <c r="K630" i="9"/>
  <c r="K650" i="9"/>
  <c r="K619" i="9"/>
  <c r="K544" i="9"/>
  <c r="K274" i="9"/>
  <c r="K192" i="9"/>
  <c r="K321" i="9"/>
  <c r="K582" i="9"/>
  <c r="K663" i="9"/>
  <c r="K28" i="9"/>
  <c r="K55" i="9"/>
  <c r="K440" i="9"/>
  <c r="K237" i="9"/>
  <c r="K566" i="9"/>
  <c r="K144" i="9"/>
  <c r="K459" i="9"/>
  <c r="K492" i="9"/>
  <c r="K166" i="9"/>
  <c r="K297" i="9"/>
  <c r="K282" i="9"/>
  <c r="K475" i="9"/>
  <c r="K273" i="9"/>
  <c r="K706" i="9"/>
  <c r="K145" i="9"/>
  <c r="K575" i="9"/>
  <c r="K401" i="9"/>
  <c r="K152" i="9"/>
  <c r="K579" i="9"/>
  <c r="J435" i="9"/>
  <c r="J433" i="9"/>
  <c r="J725" i="9"/>
  <c r="J592" i="9"/>
  <c r="J597" i="9"/>
  <c r="J445" i="9"/>
  <c r="J476" i="9"/>
  <c r="J420" i="9"/>
  <c r="J406" i="9"/>
  <c r="J139" i="9"/>
  <c r="J684" i="9"/>
  <c r="U684" i="9" s="1"/>
  <c r="J95" i="9"/>
  <c r="J326" i="9"/>
  <c r="J229" i="9"/>
  <c r="J477" i="9"/>
  <c r="J536" i="9"/>
  <c r="J346" i="9"/>
  <c r="J422" i="9"/>
  <c r="J224" i="9"/>
  <c r="J84" i="9"/>
  <c r="J291" i="9"/>
  <c r="J324" i="9"/>
  <c r="J216" i="9"/>
  <c r="J520" i="9"/>
  <c r="J457" i="9"/>
  <c r="J83" i="9"/>
  <c r="J430" i="9"/>
  <c r="J223" i="9"/>
  <c r="J325" i="9"/>
  <c r="J559" i="9"/>
  <c r="J9" i="9"/>
  <c r="J386" i="9"/>
  <c r="J20" i="9"/>
  <c r="J700" i="9"/>
  <c r="J593" i="9"/>
  <c r="J419" i="9"/>
  <c r="J584" i="9"/>
  <c r="J105" i="9"/>
  <c r="U105" i="9" s="1"/>
  <c r="J636" i="9"/>
  <c r="J650" i="9"/>
  <c r="J619" i="9"/>
  <c r="J274" i="9"/>
  <c r="J19" i="9"/>
  <c r="J187" i="9"/>
  <c r="J582" i="9"/>
  <c r="J504" i="9"/>
  <c r="J28" i="9"/>
  <c r="J55" i="9"/>
  <c r="J310" i="9"/>
  <c r="J509" i="9"/>
  <c r="J440" i="9"/>
  <c r="J144" i="9"/>
  <c r="J34" i="9"/>
  <c r="J91" i="9"/>
  <c r="J349" i="9"/>
  <c r="U349" i="9" s="1"/>
  <c r="J484" i="9"/>
  <c r="J166" i="9"/>
  <c r="J273" i="9"/>
  <c r="J293" i="9"/>
  <c r="J145" i="9"/>
  <c r="J401" i="9"/>
  <c r="J258" i="9"/>
  <c r="J699" i="9"/>
  <c r="J579" i="9"/>
  <c r="J543" i="9"/>
  <c r="J281" i="9"/>
  <c r="K120" i="9"/>
  <c r="K34" i="9"/>
  <c r="K210" i="9"/>
  <c r="K672" i="9"/>
  <c r="K332" i="9"/>
  <c r="J712" i="9"/>
  <c r="J237" i="9"/>
  <c r="J438" i="9"/>
  <c r="J389" i="9"/>
  <c r="J508" i="9"/>
  <c r="J545" i="9"/>
  <c r="J218" i="9"/>
  <c r="J527" i="9"/>
  <c r="J262" i="9"/>
  <c r="J460" i="9"/>
  <c r="J135" i="9"/>
  <c r="J414" i="9"/>
  <c r="U414" i="9" s="1"/>
  <c r="J610" i="9"/>
  <c r="K221" i="9"/>
  <c r="K305" i="9"/>
  <c r="K412" i="9"/>
  <c r="K172" i="9"/>
  <c r="K573" i="9"/>
  <c r="J29" i="9"/>
  <c r="J71" i="9"/>
  <c r="K13" i="9"/>
  <c r="K202" i="9"/>
  <c r="J347" i="9"/>
  <c r="J682" i="9"/>
  <c r="J168" i="9"/>
  <c r="J348" i="9"/>
  <c r="K364" i="9"/>
  <c r="K545" i="9"/>
  <c r="K346" i="9"/>
  <c r="J36" i="9"/>
  <c r="J602" i="9"/>
  <c r="K484" i="9"/>
  <c r="K105" i="9"/>
  <c r="J647" i="9"/>
  <c r="J102" i="9"/>
  <c r="K349" i="9"/>
  <c r="K19" i="9"/>
  <c r="K56" i="9"/>
  <c r="J60" i="9"/>
  <c r="J239" i="9"/>
  <c r="J563" i="9"/>
  <c r="J667" i="9"/>
  <c r="J646" i="9"/>
  <c r="K258" i="9"/>
  <c r="K82" i="9"/>
  <c r="J400" i="9"/>
  <c r="J220" i="9"/>
  <c r="J718" i="9"/>
  <c r="J305" i="9"/>
  <c r="J641" i="9"/>
  <c r="J210" i="9"/>
  <c r="J284" i="9"/>
  <c r="J672" i="9"/>
  <c r="K512" i="9"/>
  <c r="K546" i="9"/>
  <c r="K139" i="9"/>
  <c r="K153" i="9"/>
  <c r="J511" i="9"/>
  <c r="J13" i="9"/>
  <c r="J282" i="9"/>
  <c r="J492" i="9"/>
  <c r="J482" i="9"/>
  <c r="J495" i="9"/>
  <c r="J202" i="9"/>
  <c r="J382" i="9"/>
  <c r="J380" i="9"/>
  <c r="J92" i="9"/>
  <c r="K612" i="9"/>
  <c r="K654" i="9"/>
  <c r="K410" i="9"/>
  <c r="K398" i="9"/>
  <c r="K646" i="9"/>
  <c r="K143" i="9"/>
  <c r="J561" i="9"/>
  <c r="J317" i="9"/>
  <c r="J633" i="9"/>
  <c r="J77" i="9"/>
  <c r="J678" i="9"/>
  <c r="J74" i="9"/>
  <c r="J657" i="9"/>
  <c r="K276" i="9"/>
  <c r="K681" i="9"/>
  <c r="K102" i="9"/>
  <c r="J87" i="9"/>
  <c r="K712" i="9"/>
  <c r="K438" i="9"/>
  <c r="J612" i="9"/>
  <c r="J221" i="9"/>
  <c r="K71" i="9"/>
  <c r="J147" i="9"/>
  <c r="K667" i="9"/>
  <c r="K347" i="9"/>
  <c r="K348" i="9"/>
  <c r="K160" i="9"/>
  <c r="J138" i="9"/>
  <c r="J343" i="9"/>
  <c r="J486" i="9"/>
  <c r="K36" i="9"/>
  <c r="K550" i="9"/>
  <c r="K338" i="9"/>
  <c r="J645" i="9"/>
  <c r="J128" i="9"/>
  <c r="J609" i="9"/>
  <c r="J217" i="9"/>
  <c r="J534" i="9"/>
  <c r="J277" i="9"/>
  <c r="J648" i="9"/>
  <c r="J551" i="9"/>
  <c r="J215" i="9"/>
  <c r="J131" i="9"/>
  <c r="J434" i="9"/>
  <c r="J458" i="9"/>
  <c r="J387" i="9"/>
  <c r="J402" i="9"/>
  <c r="U402" i="9" s="1"/>
  <c r="J51" i="9"/>
  <c r="J472" i="9"/>
  <c r="J306" i="9"/>
  <c r="K519" i="9"/>
  <c r="K587" i="9"/>
  <c r="K621" i="9"/>
  <c r="K244" i="9"/>
  <c r="K328" i="9"/>
  <c r="K607" i="9"/>
  <c r="K670" i="9"/>
  <c r="K42" i="9"/>
  <c r="K691" i="9"/>
  <c r="K721" i="9"/>
  <c r="K240" i="9"/>
  <c r="K188" i="9"/>
  <c r="K726" i="9"/>
  <c r="J165" i="9"/>
  <c r="J33" i="9"/>
  <c r="J178" i="9"/>
  <c r="U178" i="9" s="1"/>
  <c r="K31" i="9"/>
  <c r="K457" i="9"/>
  <c r="K578" i="9"/>
  <c r="K505" i="9"/>
  <c r="K577" i="9"/>
  <c r="J156" i="9"/>
  <c r="J680" i="9"/>
  <c r="J275" i="9"/>
  <c r="J688" i="9"/>
  <c r="J703" i="9"/>
  <c r="J516" i="9"/>
  <c r="J533" i="9"/>
  <c r="J242" i="9"/>
  <c r="J500" i="9"/>
  <c r="J588" i="9"/>
  <c r="J679" i="9"/>
  <c r="K699" i="9"/>
  <c r="K717" i="9"/>
  <c r="K430" i="9"/>
  <c r="K327" i="9"/>
  <c r="K287" i="9"/>
  <c r="K549" i="9"/>
  <c r="K631" i="9"/>
  <c r="K695" i="9"/>
  <c r="K272" i="9"/>
  <c r="K660" i="9"/>
  <c r="K570" i="9"/>
  <c r="K313" i="9"/>
  <c r="K488" i="9"/>
  <c r="J345" i="9"/>
  <c r="J529" i="9"/>
  <c r="J40" i="9"/>
  <c r="J620" i="9"/>
  <c r="J97" i="9"/>
  <c r="J169" i="9"/>
  <c r="J322" i="9"/>
  <c r="J411" i="9"/>
  <c r="J523" i="9"/>
  <c r="J556" i="9"/>
  <c r="J340" i="9"/>
  <c r="K520" i="9"/>
  <c r="K26" i="9"/>
  <c r="K80" i="9"/>
  <c r="K117" i="9"/>
  <c r="K184" i="9"/>
  <c r="K600" i="9"/>
  <c r="K675" i="9"/>
  <c r="K150" i="9"/>
  <c r="K503" i="9"/>
  <c r="J129" i="9"/>
  <c r="J298" i="9"/>
  <c r="J59" i="9"/>
  <c r="J714" i="9"/>
  <c r="J583" i="9"/>
  <c r="J113" i="9"/>
  <c r="J708" i="9"/>
  <c r="J535" i="9"/>
  <c r="J109" i="9"/>
  <c r="J296" i="9"/>
  <c r="J392" i="9"/>
  <c r="J644" i="9"/>
  <c r="K252" i="9"/>
  <c r="K678" i="9"/>
  <c r="K609" i="9"/>
  <c r="K419" i="9"/>
  <c r="K74" i="9"/>
  <c r="K534" i="9"/>
  <c r="K277" i="9"/>
  <c r="K551" i="9"/>
  <c r="K434" i="9"/>
  <c r="K458" i="9"/>
  <c r="K610" i="9"/>
  <c r="J649" i="9"/>
  <c r="J698" i="9"/>
  <c r="J318" i="9"/>
  <c r="U318" i="9" s="1"/>
  <c r="J88" i="9"/>
  <c r="J283" i="9"/>
  <c r="J16" i="9"/>
  <c r="J727" i="9"/>
  <c r="J143" i="9"/>
  <c r="J397" i="9"/>
  <c r="J461" i="9"/>
  <c r="K680" i="9"/>
  <c r="K275" i="9"/>
  <c r="K693" i="9"/>
  <c r="K50" i="9"/>
  <c r="K422" i="9"/>
  <c r="K611" i="9"/>
  <c r="K242" i="9"/>
  <c r="K279" i="9"/>
  <c r="K249" i="9"/>
  <c r="K588" i="9"/>
  <c r="K25" i="9"/>
  <c r="K679" i="9"/>
  <c r="J566" i="9"/>
  <c r="J519" i="9"/>
  <c r="J491" i="9"/>
  <c r="J35" i="9"/>
  <c r="J365" i="9"/>
  <c r="J587" i="9"/>
  <c r="J68" i="9"/>
  <c r="J207" i="9"/>
  <c r="J244" i="9"/>
  <c r="J578" i="9"/>
  <c r="J328" i="9"/>
  <c r="J607" i="9"/>
  <c r="J172" i="9"/>
  <c r="J374" i="9"/>
  <c r="J726" i="9"/>
  <c r="J93" i="9"/>
  <c r="K543" i="9"/>
  <c r="K462" i="9"/>
  <c r="K165" i="9"/>
  <c r="K620" i="9"/>
  <c r="K197" i="9"/>
  <c r="K85" i="9"/>
  <c r="K523" i="9"/>
  <c r="K628" i="9"/>
  <c r="K340" i="9"/>
  <c r="J717" i="9"/>
  <c r="J303" i="9"/>
  <c r="J287" i="9"/>
  <c r="J631" i="9"/>
  <c r="J695" i="9"/>
  <c r="J660" i="9"/>
  <c r="J570" i="9"/>
  <c r="J313" i="9"/>
  <c r="J448" i="9"/>
  <c r="J488" i="9"/>
  <c r="J596" i="9"/>
  <c r="K91" i="9"/>
  <c r="K298" i="9"/>
  <c r="K325" i="9"/>
  <c r="K59" i="9"/>
  <c r="K45" i="9"/>
  <c r="K113" i="9"/>
  <c r="K109" i="9"/>
  <c r="K296" i="9"/>
  <c r="K392" i="9"/>
  <c r="K304" i="9"/>
  <c r="K644" i="9"/>
  <c r="J181" i="9"/>
  <c r="J550" i="9"/>
  <c r="J706" i="9"/>
  <c r="J192" i="9"/>
  <c r="J285" i="9"/>
  <c r="J26" i="9"/>
  <c r="J478" i="9"/>
  <c r="J99" i="9"/>
  <c r="J80" i="9"/>
  <c r="J117" i="9"/>
  <c r="J600" i="9"/>
  <c r="J675" i="9"/>
  <c r="J150" i="9"/>
  <c r="J503" i="9"/>
  <c r="J295" i="9"/>
  <c r="K649" i="9"/>
  <c r="K698" i="9"/>
  <c r="K33" i="9"/>
  <c r="K310" i="9"/>
  <c r="K318" i="9"/>
  <c r="K88" i="9"/>
  <c r="K474" i="9"/>
  <c r="K283" i="9"/>
  <c r="K170" i="9"/>
  <c r="K727" i="9"/>
  <c r="K189" i="9"/>
  <c r="K461" i="9"/>
  <c r="J63" i="9"/>
  <c r="K358" i="9"/>
  <c r="J443" i="9"/>
  <c r="J76" i="9"/>
  <c r="J655" i="9"/>
  <c r="J191" i="9"/>
  <c r="J30" i="9"/>
  <c r="K511" i="9"/>
  <c r="J342" i="9"/>
  <c r="J537" i="9"/>
  <c r="J119" i="9"/>
  <c r="J558" i="9"/>
  <c r="J490" i="9"/>
  <c r="J106" i="9"/>
  <c r="J429" i="9"/>
  <c r="U429" i="9" s="1"/>
  <c r="J408" i="9"/>
  <c r="K687" i="9"/>
  <c r="K495" i="9"/>
  <c r="K517" i="9"/>
  <c r="K377" i="9"/>
  <c r="K295" i="9"/>
  <c r="J24" i="9"/>
  <c r="K632" i="9"/>
  <c r="J311" i="9"/>
  <c r="J177" i="9"/>
  <c r="J56" i="9"/>
  <c r="J624" i="9"/>
  <c r="J316" i="9"/>
  <c r="J360" i="9"/>
  <c r="J174" i="9"/>
  <c r="J241" i="9"/>
  <c r="K77" i="9"/>
  <c r="K9" i="9"/>
  <c r="K720" i="9"/>
  <c r="K262" i="9"/>
  <c r="J219" i="9"/>
  <c r="J674" i="9"/>
  <c r="J270" i="9"/>
  <c r="J137" i="9"/>
  <c r="J627" i="9"/>
  <c r="K426" i="9"/>
  <c r="K18" i="9"/>
  <c r="K559" i="9"/>
  <c r="K130" i="9"/>
  <c r="K658" i="9"/>
  <c r="K500" i="9"/>
  <c r="K47" i="9"/>
  <c r="J669" i="9"/>
  <c r="J586" i="9"/>
  <c r="K509" i="9"/>
  <c r="K38" i="9"/>
  <c r="K583" i="9"/>
  <c r="J409" i="9"/>
  <c r="J62" i="9"/>
  <c r="K504" i="9"/>
  <c r="K480" i="9"/>
  <c r="J70" i="9"/>
  <c r="J11" i="9"/>
  <c r="J701" i="9"/>
  <c r="J208" i="9"/>
  <c r="J686" i="9"/>
  <c r="J52" i="9"/>
  <c r="K81" i="9"/>
  <c r="K525" i="9"/>
  <c r="J498" i="9"/>
  <c r="J447" i="9"/>
  <c r="J350" i="9"/>
  <c r="J723" i="9"/>
  <c r="J608" i="9"/>
  <c r="J693" i="9"/>
  <c r="J278" i="9"/>
  <c r="J130" i="9"/>
  <c r="J357" i="9"/>
  <c r="J248" i="9"/>
  <c r="J236" i="9"/>
  <c r="J635" i="9"/>
  <c r="J211" i="9"/>
  <c r="J658" i="9"/>
  <c r="J590" i="9"/>
  <c r="J180" i="9"/>
  <c r="J44" i="9"/>
  <c r="J539" i="9"/>
  <c r="J689" i="9"/>
  <c r="J483" i="9"/>
  <c r="J489" i="9"/>
  <c r="J557" i="9"/>
  <c r="J234" i="9"/>
  <c r="J446" i="9"/>
  <c r="J666" i="9"/>
  <c r="J47" i="9"/>
  <c r="J697" i="9"/>
  <c r="J390" i="9"/>
  <c r="J625" i="9"/>
  <c r="J25" i="9"/>
  <c r="J41" i="9"/>
  <c r="J425" i="9"/>
  <c r="J212" i="9"/>
  <c r="J67" i="9"/>
  <c r="J554" i="9"/>
  <c r="K669" i="9"/>
  <c r="K206" i="9"/>
  <c r="K659" i="9"/>
  <c r="K46" i="9"/>
  <c r="K203" i="9"/>
  <c r="K471" i="9"/>
  <c r="K333" i="9"/>
  <c r="K186" i="9"/>
  <c r="K320" i="9"/>
  <c r="K580" i="9"/>
  <c r="K238" i="9"/>
  <c r="K594" i="9"/>
  <c r="K403" i="9"/>
  <c r="K344" i="9"/>
  <c r="K432" i="9"/>
  <c r="K151" i="9"/>
  <c r="K204" i="9"/>
  <c r="K301" i="9"/>
  <c r="K643" i="9"/>
  <c r="K371" i="9"/>
  <c r="K428" i="9"/>
  <c r="K247" i="9"/>
  <c r="K502" i="9"/>
  <c r="K528" i="9"/>
  <c r="K415" i="9"/>
  <c r="K330" i="9"/>
  <c r="K416" i="9"/>
  <c r="K622" i="9"/>
  <c r="K522" i="9"/>
  <c r="K118" i="9"/>
  <c r="J61" i="9"/>
  <c r="K618" i="9"/>
  <c r="J338" i="9"/>
  <c r="J614" i="9"/>
  <c r="J617" i="9"/>
  <c r="J194" i="9"/>
  <c r="J685" i="9"/>
  <c r="U685" i="9" s="1"/>
  <c r="J133" i="9"/>
  <c r="J353" i="9"/>
  <c r="J146" i="9"/>
  <c r="J506" i="9"/>
  <c r="J10" i="9"/>
  <c r="J481" i="9"/>
  <c r="J195" i="9"/>
  <c r="J253" i="9"/>
  <c r="J373" i="9"/>
  <c r="J485" i="9"/>
  <c r="J266" i="9"/>
  <c r="J379" i="9"/>
  <c r="J381" i="9"/>
  <c r="U381" i="9" s="1"/>
  <c r="J676" i="9"/>
  <c r="J161" i="9"/>
  <c r="J132" i="9"/>
  <c r="J370" i="9"/>
  <c r="J603" i="9"/>
  <c r="J705" i="9"/>
  <c r="J497" i="9"/>
  <c r="K376" i="9"/>
  <c r="K96" i="9"/>
  <c r="K487" i="9"/>
  <c r="K58" i="9"/>
  <c r="K454" i="9"/>
  <c r="K14" i="9"/>
  <c r="K246" i="9"/>
  <c r="K396" i="9"/>
  <c r="K696" i="9"/>
  <c r="K713" i="9"/>
  <c r="K259" i="9"/>
  <c r="K336" i="9"/>
  <c r="K230" i="9"/>
  <c r="K73" i="9"/>
  <c r="K540" i="9"/>
  <c r="K548" i="9"/>
  <c r="K257" i="9"/>
  <c r="K599" i="9"/>
  <c r="K62" i="9"/>
  <c r="K302" i="9"/>
  <c r="K604" i="9"/>
  <c r="K110" i="9"/>
  <c r="K452" i="9"/>
  <c r="K209" i="9"/>
  <c r="K450" i="9"/>
  <c r="K433" i="9"/>
  <c r="K673" i="9"/>
  <c r="K124" i="9"/>
  <c r="J683" i="9"/>
  <c r="K427" i="9"/>
  <c r="J38" i="9"/>
  <c r="J361" i="9"/>
  <c r="J214" i="9"/>
  <c r="J17" i="9"/>
  <c r="U17" i="9" s="1"/>
  <c r="J463" i="9"/>
  <c r="J413" i="9"/>
  <c r="J331" i="9"/>
  <c r="J185" i="9"/>
  <c r="J642" i="9"/>
  <c r="J235" i="9"/>
  <c r="J466" i="9"/>
  <c r="J515" i="9"/>
  <c r="J606" i="9"/>
  <c r="J127" i="9"/>
  <c r="J183" i="9"/>
  <c r="J292" i="9"/>
  <c r="J513" i="9"/>
  <c r="J250" i="9"/>
  <c r="J393" i="9"/>
  <c r="J94" i="9"/>
  <c r="J201" i="9"/>
  <c r="J112" i="9"/>
  <c r="J103" i="9"/>
  <c r="J479" i="9"/>
  <c r="J155" i="9"/>
  <c r="J722" i="9"/>
  <c r="J245" i="9"/>
  <c r="J383" i="9"/>
  <c r="K219" i="9"/>
  <c r="K406" i="9"/>
  <c r="K63" i="9"/>
  <c r="K104" i="9"/>
  <c r="K439" i="9"/>
  <c r="K692" i="9"/>
  <c r="K391" i="9"/>
  <c r="K291" i="9"/>
  <c r="K561" i="9"/>
  <c r="K375" i="9"/>
  <c r="K710" i="9"/>
  <c r="K123" i="9"/>
  <c r="K648" i="9"/>
  <c r="K656" i="9"/>
  <c r="K178" i="9"/>
  <c r="K24" i="9"/>
  <c r="K70" i="9"/>
  <c r="K11" i="9"/>
  <c r="K131" i="9"/>
  <c r="K23" i="9"/>
  <c r="K387" i="9"/>
  <c r="K156" i="9"/>
  <c r="K345" i="9"/>
  <c r="K402" i="9"/>
  <c r="K208" i="9"/>
  <c r="K529" i="9"/>
  <c r="K686" i="9"/>
  <c r="K52" i="9"/>
  <c r="K51" i="9"/>
  <c r="K472" i="9"/>
  <c r="K499" i="9"/>
  <c r="K306" i="9"/>
  <c r="J710" i="9"/>
  <c r="J656" i="9"/>
  <c r="K465" i="9"/>
  <c r="J271" i="9"/>
  <c r="J555" i="9"/>
  <c r="J54" i="9"/>
  <c r="J475" i="9"/>
  <c r="J359" i="9"/>
  <c r="J651" i="9"/>
  <c r="J399" i="9"/>
  <c r="J90" i="9"/>
  <c r="U90" i="9" s="1"/>
  <c r="J724" i="9"/>
  <c r="J232" i="9"/>
  <c r="J480" i="9"/>
  <c r="J300" i="9"/>
  <c r="J565" i="9"/>
  <c r="J175" i="9"/>
  <c r="J441" i="9"/>
  <c r="J671" i="9"/>
  <c r="J198" i="9"/>
  <c r="J567" i="9"/>
  <c r="J690" i="9"/>
  <c r="J668" i="9"/>
  <c r="J552" i="9"/>
  <c r="J404" i="9"/>
  <c r="J226" i="9"/>
  <c r="J634" i="9"/>
  <c r="J507" i="9"/>
  <c r="J341" i="9"/>
  <c r="J541" i="9"/>
  <c r="J442" i="9"/>
  <c r="J366" i="9"/>
  <c r="J530" i="9"/>
  <c r="J182" i="9"/>
  <c r="J638" i="9"/>
  <c r="U638" i="9" s="1"/>
  <c r="K76" i="9"/>
  <c r="K655" i="9"/>
  <c r="K498" i="9"/>
  <c r="K723" i="9"/>
  <c r="K114" i="9"/>
  <c r="K278" i="9"/>
  <c r="K30" i="9"/>
  <c r="K635" i="9"/>
  <c r="K211" i="9"/>
  <c r="K590" i="9"/>
  <c r="K180" i="9"/>
  <c r="K437" i="9"/>
  <c r="K44" i="9"/>
  <c r="K483" i="9"/>
  <c r="K489" i="9"/>
  <c r="K363" i="9"/>
  <c r="K613" i="9"/>
  <c r="K557" i="9"/>
  <c r="K446" i="9"/>
  <c r="K625" i="9"/>
  <c r="K41" i="9"/>
  <c r="K571" i="9"/>
  <c r="K425" i="9"/>
  <c r="K255" i="9"/>
  <c r="K532" i="9"/>
  <c r="K67" i="9"/>
  <c r="K554" i="9"/>
  <c r="K65" i="9"/>
  <c r="J57" i="9"/>
  <c r="J123" i="9"/>
  <c r="J39" i="9"/>
  <c r="K299" i="9"/>
  <c r="K496" i="9"/>
  <c r="J159" i="9"/>
  <c r="J677" i="9"/>
  <c r="J228" i="9"/>
  <c r="J618" i="9"/>
  <c r="J444" i="9"/>
  <c r="J321" i="9"/>
  <c r="J355" i="9"/>
  <c r="J704" i="9"/>
  <c r="J163" i="9"/>
  <c r="J31" i="9"/>
  <c r="J427" i="9"/>
  <c r="J299" i="9"/>
  <c r="J162" i="9"/>
  <c r="J621" i="9"/>
  <c r="J449" i="9"/>
  <c r="J412" i="9"/>
  <c r="J465" i="9"/>
  <c r="J356" i="9"/>
  <c r="J407" i="9"/>
  <c r="J473" i="9"/>
  <c r="J531" i="9"/>
  <c r="J505" i="9"/>
  <c r="J626" i="9"/>
  <c r="J629" i="9"/>
  <c r="J670" i="9"/>
  <c r="J268" i="9"/>
  <c r="J721" i="9"/>
  <c r="J358" i="9"/>
  <c r="J240" i="9"/>
  <c r="J188" i="9"/>
  <c r="J568" i="9"/>
  <c r="J81" i="9"/>
  <c r="J577" i="9"/>
  <c r="J525" i="9"/>
  <c r="K119" i="9"/>
  <c r="K614" i="9"/>
  <c r="K617" i="9"/>
  <c r="K194" i="9"/>
  <c r="K133" i="9"/>
  <c r="K97" i="9"/>
  <c r="K490" i="9"/>
  <c r="K122" i="9"/>
  <c r="K353" i="9"/>
  <c r="K146" i="9"/>
  <c r="K10" i="9"/>
  <c r="K481" i="9"/>
  <c r="K108" i="9"/>
  <c r="K195" i="9"/>
  <c r="K253" i="9"/>
  <c r="K373" i="9"/>
  <c r="K429" i="9"/>
  <c r="K485" i="9"/>
  <c r="K266" i="9"/>
  <c r="K379" i="9"/>
  <c r="K381" i="9"/>
  <c r="K161" i="9"/>
  <c r="K132" i="9"/>
  <c r="K603" i="9"/>
  <c r="K640" i="9"/>
  <c r="K126" i="9"/>
  <c r="K728" i="9"/>
  <c r="K497" i="9"/>
  <c r="J23" i="9"/>
  <c r="K254" i="9"/>
  <c r="K407" i="9"/>
  <c r="K629" i="9"/>
  <c r="J421" i="9"/>
  <c r="J595" i="9"/>
  <c r="J206" i="9"/>
  <c r="J542" i="9"/>
  <c r="J659" i="9"/>
  <c r="J256" i="9"/>
  <c r="J46" i="9"/>
  <c r="J203" i="9"/>
  <c r="J665" i="9"/>
  <c r="J327" i="9"/>
  <c r="J72" i="9"/>
  <c r="J141" i="9"/>
  <c r="J333" i="9"/>
  <c r="J417" i="9"/>
  <c r="J589" i="9"/>
  <c r="J186" i="9"/>
  <c r="J320" i="9"/>
  <c r="J580" i="9"/>
  <c r="J238" i="9"/>
  <c r="J594" i="9"/>
  <c r="J709" i="9"/>
  <c r="J272" i="9"/>
  <c r="J576" i="9"/>
  <c r="J403" i="9"/>
  <c r="J344" i="9"/>
  <c r="J432" i="9"/>
  <c r="J453" i="9"/>
  <c r="J371" i="9"/>
  <c r="J428" i="9"/>
  <c r="J502" i="9"/>
  <c r="J528" i="9"/>
  <c r="J330" i="9"/>
  <c r="J416" i="9"/>
  <c r="J494" i="9"/>
  <c r="J395" i="9"/>
  <c r="J243" i="9"/>
  <c r="K677" i="9"/>
  <c r="K228" i="9"/>
  <c r="K674" i="9"/>
  <c r="K623" i="9"/>
  <c r="K311" i="9"/>
  <c r="K714" i="9"/>
  <c r="K605" i="9"/>
  <c r="K214" i="9"/>
  <c r="K6" i="9"/>
  <c r="K290" i="9"/>
  <c r="K463" i="9"/>
  <c r="K177" i="9"/>
  <c r="K413" i="9"/>
  <c r="K331" i="9"/>
  <c r="K624" i="9"/>
  <c r="K316" i="9"/>
  <c r="K642" i="9"/>
  <c r="K235" i="9"/>
  <c r="K360" i="9"/>
  <c r="K174" i="9"/>
  <c r="K53" i="9"/>
  <c r="K606" i="9"/>
  <c r="K127" i="9"/>
  <c r="K288" i="9"/>
  <c r="K183" i="9"/>
  <c r="K292" i="9"/>
  <c r="K560" i="9"/>
  <c r="K393" i="9"/>
  <c r="K201" i="9"/>
  <c r="K112" i="9"/>
  <c r="K103" i="9"/>
  <c r="K479" i="9"/>
  <c r="K155" i="9"/>
  <c r="K722" i="9"/>
  <c r="J376" i="9"/>
  <c r="J96" i="9"/>
  <c r="J487" i="9"/>
  <c r="J58" i="9"/>
  <c r="J136" i="9"/>
  <c r="J335" i="9"/>
  <c r="J454" i="9"/>
  <c r="J231" i="9"/>
  <c r="J246" i="9"/>
  <c r="J377" i="9"/>
  <c r="J314" i="9"/>
  <c r="J259" i="9"/>
  <c r="J372" i="9"/>
  <c r="J336" i="9"/>
  <c r="J230" i="9"/>
  <c r="J468" i="9"/>
  <c r="J540" i="9"/>
  <c r="J711" i="9"/>
  <c r="J548" i="9"/>
  <c r="J78" i="9"/>
  <c r="J599" i="9"/>
  <c r="J302" i="9"/>
  <c r="J337" i="9"/>
  <c r="J604" i="9"/>
  <c r="J501" i="9"/>
  <c r="J110" i="9"/>
  <c r="J452" i="9"/>
  <c r="J209" i="9"/>
  <c r="J450" i="9"/>
  <c r="J673" i="9"/>
  <c r="U673" i="9" s="1"/>
  <c r="J124" i="9"/>
  <c r="K555" i="9"/>
  <c r="K54" i="9"/>
  <c r="K585" i="9"/>
  <c r="K270" i="9"/>
  <c r="K399" i="9"/>
  <c r="K232" i="9"/>
  <c r="K300" i="9"/>
  <c r="K441" i="9"/>
  <c r="K198" i="9"/>
  <c r="K567" i="9"/>
  <c r="K668" i="9"/>
  <c r="K213" i="9"/>
  <c r="K552" i="9"/>
  <c r="K404" i="9"/>
  <c r="K226" i="9"/>
  <c r="K634" i="9"/>
  <c r="K507" i="9"/>
  <c r="K652" i="9"/>
  <c r="K541" i="9"/>
  <c r="K366" i="9"/>
  <c r="K530" i="9"/>
  <c r="K233" i="9"/>
  <c r="K638" i="9"/>
  <c r="E443" i="9"/>
  <c r="H507" i="9"/>
  <c r="V537" i="9"/>
  <c r="O537" i="9"/>
  <c r="N537" i="9"/>
  <c r="M537" i="9"/>
  <c r="L537" i="9"/>
  <c r="H537" i="9"/>
  <c r="M507" i="9"/>
  <c r="L507" i="9"/>
  <c r="M443" i="9"/>
  <c r="V507" i="9"/>
  <c r="O507" i="9"/>
  <c r="H35" i="9"/>
  <c r="M35" i="9"/>
  <c r="H443" i="9"/>
  <c r="O35" i="9"/>
  <c r="V35" i="9"/>
  <c r="O443" i="9"/>
  <c r="L35" i="9"/>
  <c r="V443" i="9"/>
  <c r="N507" i="9"/>
  <c r="L443" i="9"/>
  <c r="E507" i="9"/>
  <c r="N35" i="9"/>
  <c r="E35" i="9"/>
  <c r="N443" i="9"/>
  <c r="F443" i="9"/>
  <c r="W443" i="9"/>
  <c r="F507" i="9"/>
  <c r="W35" i="9"/>
  <c r="F35" i="9"/>
  <c r="W507" i="9"/>
  <c r="E537" i="9"/>
  <c r="W537" i="9"/>
  <c r="F537" i="9"/>
  <c r="E490" i="9"/>
  <c r="M490" i="9"/>
  <c r="L490" i="9"/>
  <c r="H490" i="9"/>
  <c r="O490" i="9"/>
  <c r="V490" i="9"/>
  <c r="N490" i="9"/>
  <c r="F490" i="9"/>
  <c r="O116" i="9"/>
  <c r="E412" i="9"/>
  <c r="E171" i="9"/>
  <c r="L648" i="9"/>
  <c r="H116" i="9"/>
  <c r="V116" i="9"/>
  <c r="N116" i="9"/>
  <c r="M461" i="9"/>
  <c r="H461" i="9"/>
  <c r="O461" i="9"/>
  <c r="E116" i="9"/>
  <c r="M116" i="9"/>
  <c r="O648" i="9"/>
  <c r="O485" i="9"/>
  <c r="N485" i="9"/>
  <c r="V461" i="9"/>
  <c r="L461" i="9"/>
  <c r="M485" i="9"/>
  <c r="H485" i="9"/>
  <c r="V485" i="9"/>
  <c r="L485" i="9"/>
  <c r="N648" i="9"/>
  <c r="M648" i="9"/>
  <c r="N461" i="9"/>
  <c r="L116" i="9"/>
  <c r="E461" i="9"/>
  <c r="E648" i="9"/>
  <c r="V648" i="9"/>
  <c r="H648" i="9"/>
  <c r="O171" i="9"/>
  <c r="L171" i="9"/>
  <c r="O412" i="9"/>
  <c r="H171" i="9"/>
  <c r="V171" i="9"/>
  <c r="N171" i="9"/>
  <c r="M171" i="9"/>
  <c r="H412" i="9"/>
  <c r="V412" i="9"/>
  <c r="N412" i="9"/>
  <c r="M412" i="9"/>
  <c r="L412" i="9"/>
  <c r="F116" i="9"/>
  <c r="F485" i="9"/>
  <c r="E485" i="9"/>
  <c r="F461" i="9"/>
  <c r="F648" i="9"/>
  <c r="W171" i="9"/>
  <c r="W412" i="9"/>
  <c r="F171" i="9"/>
  <c r="F412" i="9"/>
  <c r="V606" i="9"/>
  <c r="H398" i="9"/>
  <c r="H690" i="9"/>
  <c r="M690" i="9"/>
  <c r="L398" i="9"/>
  <c r="L690" i="9"/>
  <c r="E398" i="9"/>
  <c r="E448" i="9"/>
  <c r="E141" i="9"/>
  <c r="V398" i="9"/>
  <c r="N398" i="9"/>
  <c r="E606" i="9"/>
  <c r="E690" i="9"/>
  <c r="V690" i="9"/>
  <c r="N690" i="9"/>
  <c r="M398" i="9"/>
  <c r="E372" i="9"/>
  <c r="V155" i="9"/>
  <c r="O606" i="9"/>
  <c r="L606" i="9"/>
  <c r="H606" i="9"/>
  <c r="N606" i="9"/>
  <c r="M606" i="9"/>
  <c r="N155" i="9"/>
  <c r="H155" i="9"/>
  <c r="L155" i="9"/>
  <c r="O155" i="9"/>
  <c r="M155" i="9"/>
  <c r="L141" i="9"/>
  <c r="H141" i="9"/>
  <c r="M141" i="9"/>
  <c r="O398" i="9"/>
  <c r="N141" i="9"/>
  <c r="O690" i="9"/>
  <c r="V141" i="9"/>
  <c r="O141" i="9"/>
  <c r="V372" i="9"/>
  <c r="O372" i="9"/>
  <c r="N372" i="9"/>
  <c r="M372" i="9"/>
  <c r="L372" i="9"/>
  <c r="H372" i="9"/>
  <c r="V448" i="9"/>
  <c r="O448" i="9"/>
  <c r="N448" i="9"/>
  <c r="M448" i="9"/>
  <c r="L448" i="9"/>
  <c r="H448" i="9"/>
  <c r="F690" i="9"/>
  <c r="F448" i="9"/>
  <c r="E155" i="9"/>
  <c r="F398" i="9"/>
  <c r="F141" i="9"/>
  <c r="F372" i="9"/>
  <c r="F606" i="9"/>
  <c r="W372" i="9"/>
  <c r="W141" i="9"/>
  <c r="W155" i="9"/>
  <c r="F155" i="9"/>
  <c r="E314" i="9"/>
  <c r="E686" i="9"/>
  <c r="E240" i="9"/>
  <c r="E466" i="9"/>
  <c r="E297" i="9"/>
  <c r="E328" i="9"/>
  <c r="E288" i="9"/>
  <c r="E458" i="9"/>
  <c r="E511" i="9"/>
  <c r="E704" i="9"/>
  <c r="M178" i="9"/>
  <c r="E679" i="9"/>
  <c r="E608" i="9"/>
  <c r="E403" i="9"/>
  <c r="H403" i="9"/>
  <c r="V34" i="9"/>
  <c r="L511" i="9"/>
  <c r="O511" i="9"/>
  <c r="N621" i="9"/>
  <c r="N511" i="9"/>
  <c r="M38" i="9"/>
  <c r="L466" i="9"/>
  <c r="L103" i="9"/>
  <c r="M403" i="9"/>
  <c r="N686" i="9"/>
  <c r="N458" i="9"/>
  <c r="N164" i="9"/>
  <c r="V511" i="9"/>
  <c r="M511" i="9"/>
  <c r="H511" i="9"/>
  <c r="M288" i="9"/>
  <c r="H679" i="9"/>
  <c r="L328" i="9"/>
  <c r="L332" i="9"/>
  <c r="H34" i="9"/>
  <c r="O34" i="9"/>
  <c r="O274" i="9"/>
  <c r="N34" i="9"/>
  <c r="V466" i="9"/>
  <c r="N240" i="9"/>
  <c r="M34" i="9"/>
  <c r="V103" i="9"/>
  <c r="N466" i="9"/>
  <c r="L34" i="9"/>
  <c r="V468" i="9"/>
  <c r="N103" i="9"/>
  <c r="V240" i="9"/>
  <c r="N608" i="9"/>
  <c r="L274" i="9"/>
  <c r="V403" i="9"/>
  <c r="N403" i="9"/>
  <c r="M704" i="9"/>
  <c r="V608" i="9"/>
  <c r="O328" i="9"/>
  <c r="N468" i="9"/>
  <c r="L403" i="9"/>
  <c r="O288" i="9"/>
  <c r="M679" i="9"/>
  <c r="O403" i="9"/>
  <c r="O178" i="9"/>
  <c r="L297" i="9"/>
  <c r="M314" i="9"/>
  <c r="M206" i="9"/>
  <c r="M478" i="9"/>
  <c r="V297" i="9"/>
  <c r="V332" i="9"/>
  <c r="O679" i="9"/>
  <c r="O704" i="9"/>
  <c r="N297" i="9"/>
  <c r="N332" i="9"/>
  <c r="M686" i="9"/>
  <c r="M458" i="9"/>
  <c r="M164" i="9"/>
  <c r="L288" i="9"/>
  <c r="L178" i="9"/>
  <c r="H240" i="9"/>
  <c r="H608" i="9"/>
  <c r="H468" i="9"/>
  <c r="H686" i="9"/>
  <c r="H458" i="9"/>
  <c r="H164" i="9"/>
  <c r="V328" i="9"/>
  <c r="V274" i="9"/>
  <c r="O314" i="9"/>
  <c r="O206" i="9"/>
  <c r="O478" i="9"/>
  <c r="N328" i="9"/>
  <c r="N274" i="9"/>
  <c r="M240" i="9"/>
  <c r="M608" i="9"/>
  <c r="M468" i="9"/>
  <c r="L679" i="9"/>
  <c r="L704" i="9"/>
  <c r="H466" i="9"/>
  <c r="H103" i="9"/>
  <c r="H314" i="9"/>
  <c r="H206" i="9"/>
  <c r="H478" i="9"/>
  <c r="V288" i="9"/>
  <c r="V178" i="9"/>
  <c r="O686" i="9"/>
  <c r="O458" i="9"/>
  <c r="O164" i="9"/>
  <c r="N288" i="9"/>
  <c r="N178" i="9"/>
  <c r="M466" i="9"/>
  <c r="M103" i="9"/>
  <c r="L314" i="9"/>
  <c r="L206" i="9"/>
  <c r="L478" i="9"/>
  <c r="H297" i="9"/>
  <c r="H332" i="9"/>
  <c r="V679" i="9"/>
  <c r="V704" i="9"/>
  <c r="O240" i="9"/>
  <c r="O608" i="9"/>
  <c r="O468" i="9"/>
  <c r="N679" i="9"/>
  <c r="N704" i="9"/>
  <c r="M297" i="9"/>
  <c r="M332" i="9"/>
  <c r="L686" i="9"/>
  <c r="L458" i="9"/>
  <c r="L164" i="9"/>
  <c r="H328" i="9"/>
  <c r="H274" i="9"/>
  <c r="V314" i="9"/>
  <c r="V206" i="9"/>
  <c r="V478" i="9"/>
  <c r="O466" i="9"/>
  <c r="O103" i="9"/>
  <c r="N314" i="9"/>
  <c r="N206" i="9"/>
  <c r="N478" i="9"/>
  <c r="M328" i="9"/>
  <c r="M274" i="9"/>
  <c r="L240" i="9"/>
  <c r="L608" i="9"/>
  <c r="L468" i="9"/>
  <c r="H288" i="9"/>
  <c r="H178" i="9"/>
  <c r="V686" i="9"/>
  <c r="V458" i="9"/>
  <c r="V164" i="9"/>
  <c r="O297" i="9"/>
  <c r="O332" i="9"/>
  <c r="H704" i="9"/>
  <c r="H641" i="9"/>
  <c r="N38" i="9"/>
  <c r="V542" i="9"/>
  <c r="H84" i="9"/>
  <c r="V83" i="9"/>
  <c r="V621" i="9"/>
  <c r="V38" i="9"/>
  <c r="O621" i="9"/>
  <c r="O38" i="9"/>
  <c r="L83" i="9"/>
  <c r="H621" i="9"/>
  <c r="M83" i="9"/>
  <c r="L542" i="9"/>
  <c r="H38" i="9"/>
  <c r="N83" i="9"/>
  <c r="M542" i="9"/>
  <c r="L641" i="9"/>
  <c r="O83" i="9"/>
  <c r="N542" i="9"/>
  <c r="M641" i="9"/>
  <c r="L84" i="9"/>
  <c r="V641" i="9"/>
  <c r="O542" i="9"/>
  <c r="N641" i="9"/>
  <c r="M84" i="9"/>
  <c r="L621" i="9"/>
  <c r="H83" i="9"/>
  <c r="V84" i="9"/>
  <c r="O641" i="9"/>
  <c r="N84" i="9"/>
  <c r="M621" i="9"/>
  <c r="L38" i="9"/>
  <c r="H542" i="9"/>
  <c r="O84" i="9"/>
  <c r="H455" i="9"/>
  <c r="H276" i="9"/>
  <c r="O276" i="9"/>
  <c r="H122" i="9"/>
  <c r="H724" i="9"/>
  <c r="V693" i="9"/>
  <c r="L612" i="9"/>
  <c r="L471" i="9"/>
  <c r="V570" i="9"/>
  <c r="H230" i="9"/>
  <c r="V230" i="9"/>
  <c r="V501" i="9"/>
  <c r="H670" i="9"/>
  <c r="H360" i="9"/>
  <c r="L360" i="9"/>
  <c r="V360" i="9"/>
  <c r="O230" i="9"/>
  <c r="M471" i="9"/>
  <c r="L348" i="9"/>
  <c r="H501" i="9"/>
  <c r="O670" i="9"/>
  <c r="L570" i="9"/>
  <c r="H106" i="9"/>
  <c r="L693" i="9"/>
  <c r="V670" i="9"/>
  <c r="O106" i="9"/>
  <c r="N670" i="9"/>
  <c r="L230" i="9"/>
  <c r="H612" i="9"/>
  <c r="V106" i="9"/>
  <c r="O612" i="9"/>
  <c r="N106" i="9"/>
  <c r="M670" i="9"/>
  <c r="L501" i="9"/>
  <c r="H348" i="9"/>
  <c r="V612" i="9"/>
  <c r="N612" i="9"/>
  <c r="M106" i="9"/>
  <c r="L670" i="9"/>
  <c r="H471" i="9"/>
  <c r="V724" i="9"/>
  <c r="H298" i="9"/>
  <c r="V348" i="9"/>
  <c r="L106" i="9"/>
  <c r="H570" i="9"/>
  <c r="L298" i="9"/>
  <c r="V298" i="9"/>
  <c r="H693" i="9"/>
  <c r="V471" i="9"/>
  <c r="O570" i="9"/>
  <c r="V578" i="9"/>
  <c r="L578" i="9"/>
  <c r="H578" i="9"/>
  <c r="V331" i="9"/>
  <c r="O724" i="9"/>
  <c r="L252" i="9"/>
  <c r="H252" i="9"/>
  <c r="L565" i="9"/>
  <c r="H565" i="9"/>
  <c r="M693" i="9"/>
  <c r="O578" i="9"/>
  <c r="M578" i="9"/>
  <c r="V221" i="9"/>
  <c r="N724" i="9"/>
  <c r="L724" i="9"/>
  <c r="V276" i="9"/>
  <c r="O252" i="9"/>
  <c r="N276" i="9"/>
  <c r="M221" i="9"/>
  <c r="L538" i="9"/>
  <c r="H538" i="9"/>
  <c r="V455" i="9"/>
  <c r="V122" i="9"/>
  <c r="M331" i="9"/>
  <c r="L541" i="9"/>
  <c r="H541" i="9"/>
  <c r="V252" i="9"/>
  <c r="O538" i="9"/>
  <c r="N252" i="9"/>
  <c r="L221" i="9"/>
  <c r="H221" i="9"/>
  <c r="V565" i="9"/>
  <c r="L331" i="9"/>
  <c r="H331" i="9"/>
  <c r="V538" i="9"/>
  <c r="N538" i="9"/>
  <c r="M252" i="9"/>
  <c r="L276" i="9"/>
  <c r="V541" i="9"/>
  <c r="O331" i="9"/>
  <c r="L455" i="9"/>
  <c r="L122" i="9"/>
  <c r="F403" i="9"/>
  <c r="W403" i="9"/>
  <c r="F608" i="9"/>
  <c r="F297" i="9"/>
  <c r="F458" i="9"/>
  <c r="E178" i="9"/>
  <c r="E274" i="9"/>
  <c r="E578" i="9"/>
  <c r="E541" i="9"/>
  <c r="F704" i="9"/>
  <c r="E468" i="9"/>
  <c r="W538" i="9"/>
  <c r="E693" i="9"/>
  <c r="E360" i="9"/>
  <c r="E612" i="9"/>
  <c r="E298" i="9"/>
  <c r="E103" i="9"/>
  <c r="F206" i="9"/>
  <c r="E348" i="9"/>
  <c r="F570" i="9"/>
  <c r="W478" i="9"/>
  <c r="F240" i="9"/>
  <c r="F288" i="9"/>
  <c r="W297" i="9"/>
  <c r="W458" i="9"/>
  <c r="W704" i="9"/>
  <c r="F511" i="9"/>
  <c r="W608" i="9"/>
  <c r="E332" i="9"/>
  <c r="W164" i="9"/>
  <c r="F314" i="9"/>
  <c r="F164" i="9"/>
  <c r="E164" i="9"/>
  <c r="F466" i="9"/>
  <c r="W38" i="9"/>
  <c r="E84" i="9"/>
  <c r="E621" i="9"/>
  <c r="W542" i="9"/>
  <c r="E83" i="9"/>
  <c r="E641" i="9"/>
  <c r="M570" i="9"/>
  <c r="N230" i="9"/>
  <c r="M612" i="9"/>
  <c r="M230" i="9"/>
  <c r="M724" i="9"/>
  <c r="M538" i="9"/>
  <c r="M276" i="9"/>
  <c r="M348" i="9"/>
  <c r="N348" i="9"/>
  <c r="O348" i="9"/>
  <c r="M298" i="9"/>
  <c r="N298" i="9"/>
  <c r="O298" i="9"/>
  <c r="M541" i="9"/>
  <c r="N541" i="9"/>
  <c r="O541" i="9"/>
  <c r="O360" i="9"/>
  <c r="O471" i="9"/>
  <c r="O693" i="9"/>
  <c r="O221" i="9"/>
  <c r="N471" i="9"/>
  <c r="N570" i="9"/>
  <c r="M501" i="9"/>
  <c r="N501" i="9"/>
  <c r="O501" i="9"/>
  <c r="N693" i="9"/>
  <c r="N578" i="9"/>
  <c r="M455" i="9"/>
  <c r="N455" i="9"/>
  <c r="O455" i="9"/>
  <c r="N221" i="9"/>
  <c r="N331" i="9"/>
  <c r="M122" i="9"/>
  <c r="N122" i="9"/>
  <c r="O122" i="9"/>
  <c r="N360" i="9"/>
  <c r="M360" i="9"/>
  <c r="M565" i="9"/>
  <c r="N565" i="9"/>
  <c r="O565" i="9"/>
  <c r="W106" i="9"/>
  <c r="W501" i="9"/>
  <c r="F331" i="9"/>
  <c r="W471" i="9"/>
  <c r="W670" i="9"/>
  <c r="E230" i="9"/>
  <c r="W221" i="9"/>
  <c r="W724" i="9"/>
  <c r="W276" i="9"/>
  <c r="W565" i="9"/>
  <c r="E252" i="9"/>
  <c r="W455" i="9"/>
  <c r="E34" i="9"/>
  <c r="F34" i="9"/>
  <c r="F298" i="9"/>
  <c r="W360" i="9"/>
  <c r="W541" i="9"/>
  <c r="F541" i="9"/>
  <c r="W612" i="9"/>
  <c r="F578" i="9"/>
  <c r="W578" i="9"/>
  <c r="W274" i="9"/>
  <c r="W298" i="9"/>
  <c r="F274" i="9"/>
  <c r="W178" i="9"/>
  <c r="F178" i="9"/>
  <c r="W206" i="9"/>
  <c r="W103" i="9"/>
  <c r="F693" i="9"/>
  <c r="W693" i="9"/>
  <c r="F612" i="9"/>
  <c r="E570" i="9"/>
  <c r="W468" i="9"/>
  <c r="F468" i="9"/>
  <c r="F103" i="9"/>
  <c r="F360" i="9"/>
  <c r="F538" i="9"/>
  <c r="F348" i="9"/>
  <c r="F478" i="9"/>
  <c r="W348" i="9"/>
  <c r="E478" i="9"/>
  <c r="E538" i="9"/>
  <c r="E206" i="9"/>
  <c r="F328" i="9"/>
  <c r="F679" i="9"/>
  <c r="W332" i="9"/>
  <c r="F332" i="9"/>
  <c r="F686" i="9"/>
  <c r="F641" i="9"/>
  <c r="W621" i="9"/>
  <c r="W641" i="9"/>
  <c r="W83" i="9"/>
  <c r="W84" i="9"/>
  <c r="F621" i="9"/>
  <c r="F38" i="9"/>
  <c r="E38" i="9"/>
  <c r="E542" i="9"/>
  <c r="F542" i="9"/>
  <c r="F83" i="9"/>
  <c r="F84" i="9"/>
  <c r="E122" i="9"/>
  <c r="W122" i="9"/>
  <c r="W570" i="9"/>
  <c r="W230" i="9"/>
  <c r="W252" i="9"/>
  <c r="E331" i="9"/>
  <c r="W331" i="9"/>
  <c r="E670" i="9"/>
  <c r="F670" i="9"/>
  <c r="E106" i="9"/>
  <c r="F106" i="9"/>
  <c r="F230" i="9"/>
  <c r="F471" i="9"/>
  <c r="E471" i="9"/>
  <c r="E501" i="9"/>
  <c r="F501" i="9"/>
  <c r="F724" i="9"/>
  <c r="E724" i="9"/>
  <c r="F221" i="9"/>
  <c r="E221" i="9"/>
  <c r="E565" i="9"/>
  <c r="F565" i="9"/>
  <c r="F276" i="9"/>
  <c r="E276" i="9"/>
  <c r="F122" i="9"/>
  <c r="E455" i="9"/>
  <c r="F455" i="9"/>
  <c r="F252" i="9"/>
  <c r="L357" i="9"/>
  <c r="L91" i="9"/>
  <c r="H357" i="9"/>
  <c r="L59" i="9"/>
  <c r="V59" i="9"/>
  <c r="H59" i="9"/>
  <c r="V91" i="9"/>
  <c r="V357" i="9"/>
  <c r="H91" i="9"/>
  <c r="V573" i="9"/>
  <c r="L573" i="9"/>
  <c r="H573" i="9"/>
  <c r="V130" i="9"/>
  <c r="L130" i="9"/>
  <c r="H130" i="9"/>
  <c r="V445" i="9"/>
  <c r="L445" i="9"/>
  <c r="H445" i="9"/>
  <c r="V43" i="9"/>
  <c r="L43" i="9"/>
  <c r="H43" i="9"/>
  <c r="V474" i="9"/>
  <c r="L474" i="9"/>
  <c r="H474" i="9"/>
  <c r="E445" i="9"/>
  <c r="E59" i="9"/>
  <c r="F91" i="9"/>
  <c r="E474" i="9"/>
  <c r="F573" i="9"/>
  <c r="E43" i="9"/>
  <c r="F130" i="9"/>
  <c r="W357" i="9"/>
  <c r="E357" i="9"/>
  <c r="F357" i="9"/>
  <c r="W445" i="9"/>
  <c r="F445" i="9"/>
  <c r="F59" i="9"/>
  <c r="W573" i="9"/>
  <c r="W59" i="9"/>
  <c r="W43" i="9"/>
  <c r="E573" i="9"/>
  <c r="F43" i="9"/>
  <c r="F474" i="9"/>
  <c r="W474" i="9"/>
  <c r="E130" i="9"/>
  <c r="E91" i="9"/>
  <c r="W130" i="9"/>
  <c r="W91" i="9"/>
  <c r="O445" i="9"/>
  <c r="M91" i="9"/>
  <c r="O474" i="9"/>
  <c r="O59" i="9"/>
  <c r="M357" i="9"/>
  <c r="O91" i="9"/>
  <c r="O573" i="9"/>
  <c r="M43" i="9"/>
  <c r="N43" i="9"/>
  <c r="M573" i="9"/>
  <c r="N445" i="9"/>
  <c r="M59" i="9"/>
  <c r="O43" i="9"/>
  <c r="M474" i="9"/>
  <c r="N59" i="9"/>
  <c r="O130" i="9"/>
  <c r="M445" i="9"/>
  <c r="N91" i="9"/>
  <c r="N130" i="9"/>
  <c r="N474" i="9"/>
  <c r="M130" i="9"/>
  <c r="N357" i="9"/>
  <c r="O357" i="9"/>
  <c r="N573" i="9"/>
  <c r="J227" i="9"/>
  <c r="I227" i="9"/>
  <c r="R227" i="9"/>
  <c r="P227" i="9"/>
  <c r="E520" i="9"/>
  <c r="F667" i="9"/>
  <c r="F649" i="9"/>
  <c r="E19" i="9"/>
  <c r="M340" i="9"/>
  <c r="V213" i="9"/>
  <c r="V36" i="9"/>
  <c r="V113" i="9"/>
  <c r="M10" i="9"/>
  <c r="E528" i="9"/>
  <c r="E247" i="9"/>
  <c r="E566" i="9"/>
  <c r="E358" i="9"/>
  <c r="F425" i="9"/>
  <c r="E6" i="9"/>
  <c r="E306" i="9"/>
  <c r="E20" i="9"/>
  <c r="F411" i="9"/>
  <c r="E209" i="9"/>
  <c r="F456" i="9"/>
  <c r="E630" i="9"/>
  <c r="F173" i="9"/>
  <c r="E429" i="9"/>
  <c r="E132" i="9"/>
  <c r="F696" i="9"/>
  <c r="E377" i="9"/>
  <c r="E712" i="9"/>
  <c r="E62" i="9"/>
  <c r="E498" i="9"/>
  <c r="E475" i="9"/>
  <c r="E404" i="9"/>
  <c r="E678" i="9"/>
  <c r="E654" i="9"/>
  <c r="F465" i="9"/>
  <c r="E402" i="9"/>
  <c r="E231" i="9"/>
  <c r="E421" i="9"/>
  <c r="F241" i="9"/>
  <c r="E285" i="9"/>
  <c r="E133" i="9"/>
  <c r="E390" i="9"/>
  <c r="E74" i="9"/>
  <c r="E218" i="9"/>
  <c r="E255" i="9"/>
  <c r="E13" i="9"/>
  <c r="E266" i="9"/>
  <c r="E129" i="9"/>
  <c r="E92" i="9"/>
  <c r="E143" i="9"/>
  <c r="F337" i="9"/>
  <c r="E536" i="9"/>
  <c r="E335" i="9"/>
  <c r="F713" i="9"/>
  <c r="E183" i="9"/>
  <c r="E467" i="9"/>
  <c r="F524" i="9"/>
  <c r="E656" i="9"/>
  <c r="E669" i="9"/>
  <c r="E386" i="9"/>
  <c r="E256" i="9"/>
  <c r="F633" i="9"/>
  <c r="F629" i="9"/>
  <c r="E242" i="9"/>
  <c r="F202" i="9"/>
  <c r="F175" i="9"/>
  <c r="E246" i="9"/>
  <c r="F341" i="9"/>
  <c r="F479" i="9"/>
  <c r="E481" i="9"/>
  <c r="F714" i="9"/>
  <c r="E283" i="9"/>
  <c r="E423" i="9"/>
  <c r="E191" i="9"/>
  <c r="F126" i="9"/>
  <c r="F108" i="9"/>
  <c r="E346" i="9"/>
  <c r="F545" i="9"/>
  <c r="F580" i="9"/>
  <c r="E618" i="9"/>
  <c r="F311" i="9"/>
  <c r="F172" i="9"/>
  <c r="F554" i="9"/>
  <c r="E182" i="9"/>
  <c r="E168" i="9"/>
  <c r="E651" i="9"/>
  <c r="E284" i="9"/>
  <c r="E631" i="9"/>
  <c r="E50" i="9"/>
  <c r="E472" i="9"/>
  <c r="F117" i="9"/>
  <c r="E53" i="9"/>
  <c r="E513" i="9"/>
  <c r="E556" i="9"/>
  <c r="E345" i="9"/>
  <c r="F597" i="9"/>
  <c r="E147" i="9"/>
  <c r="E463" i="9"/>
  <c r="E28" i="9"/>
  <c r="E300" i="9"/>
  <c r="E617" i="9"/>
  <c r="E716" i="9"/>
  <c r="E675" i="9"/>
  <c r="E356" i="9"/>
  <c r="F486" i="9"/>
  <c r="E720" i="9"/>
  <c r="E114" i="9"/>
  <c r="E271" i="9"/>
  <c r="V581" i="9"/>
  <c r="V593" i="9"/>
  <c r="V419" i="9"/>
  <c r="V39" i="9"/>
  <c r="V29" i="9"/>
  <c r="V566" i="9"/>
  <c r="V139" i="9"/>
  <c r="V184" i="9"/>
  <c r="V604" i="9"/>
  <c r="V535" i="9"/>
  <c r="V259" i="9"/>
  <c r="V512" i="9"/>
  <c r="V225" i="9"/>
  <c r="V425" i="9"/>
  <c r="V667" i="9"/>
  <c r="V287" i="9"/>
  <c r="V6" i="9"/>
  <c r="V711" i="9"/>
  <c r="V248" i="9"/>
  <c r="V174" i="9"/>
  <c r="V306" i="9"/>
  <c r="V614" i="9"/>
  <c r="V396" i="9"/>
  <c r="V20" i="9"/>
  <c r="V660" i="9"/>
  <c r="V336" i="9"/>
  <c r="V349" i="9"/>
  <c r="V68" i="9"/>
  <c r="V22" i="9"/>
  <c r="V428" i="9"/>
  <c r="V383" i="9"/>
  <c r="V590" i="9"/>
  <c r="V410" i="9"/>
  <c r="V516" i="9"/>
  <c r="V688" i="9"/>
  <c r="V209" i="9"/>
  <c r="V378" i="9"/>
  <c r="V265" i="9"/>
  <c r="V60" i="9"/>
  <c r="V456" i="9"/>
  <c r="V689" i="9"/>
  <c r="V401" i="9"/>
  <c r="V313" i="9"/>
  <c r="V499" i="9"/>
  <c r="V630" i="9"/>
  <c r="V325" i="9"/>
  <c r="V173" i="9"/>
  <c r="V429" i="9"/>
  <c r="V41" i="9"/>
  <c r="V613" i="9"/>
  <c r="V132" i="9"/>
  <c r="V495" i="9"/>
  <c r="V659" i="9"/>
  <c r="V647" i="9"/>
  <c r="V528" i="9"/>
  <c r="V121" i="9"/>
  <c r="V447" i="9"/>
  <c r="V395" i="9"/>
  <c r="V496" i="9"/>
  <c r="V109" i="9"/>
  <c r="V728" i="9"/>
  <c r="V583" i="9"/>
  <c r="N269" i="9"/>
  <c r="L488" i="9"/>
  <c r="O658" i="9"/>
  <c r="V227" i="9"/>
  <c r="H366" i="9"/>
  <c r="H344" i="9"/>
  <c r="H61" i="9"/>
  <c r="H216" i="9"/>
  <c r="N237" i="9"/>
  <c r="M583" i="9"/>
  <c r="M22" i="9"/>
  <c r="M6" i="9"/>
  <c r="M566" i="9"/>
  <c r="M410" i="9"/>
  <c r="M429" i="9"/>
  <c r="M349" i="9"/>
  <c r="M571" i="9"/>
  <c r="M425" i="9"/>
  <c r="M496" i="9"/>
  <c r="M225" i="9"/>
  <c r="M508" i="9"/>
  <c r="M396" i="9"/>
  <c r="M630" i="9"/>
  <c r="M528" i="9"/>
  <c r="M516" i="9"/>
  <c r="M19" i="9"/>
  <c r="M647" i="9"/>
  <c r="M313" i="9"/>
  <c r="L307" i="9"/>
  <c r="H40" i="9"/>
  <c r="N182" i="9"/>
  <c r="M408" i="9"/>
  <c r="M273" i="9"/>
  <c r="M480" i="9"/>
  <c r="M371" i="9"/>
  <c r="O426" i="9"/>
  <c r="M556" i="9"/>
  <c r="O144" i="9"/>
  <c r="M658" i="9"/>
  <c r="O620" i="9"/>
  <c r="M188" i="9"/>
  <c r="M96" i="9"/>
  <c r="M370" i="9"/>
  <c r="H386" i="9"/>
  <c r="L505" i="9"/>
  <c r="M560" i="9"/>
  <c r="H272" i="9"/>
  <c r="N460" i="9"/>
  <c r="N216" i="9"/>
  <c r="M387" i="9"/>
  <c r="M475" i="9"/>
  <c r="M156" i="9"/>
  <c r="V582" i="9"/>
  <c r="M503" i="9"/>
  <c r="V488" i="9"/>
  <c r="H460" i="9"/>
  <c r="M212" i="9"/>
  <c r="M665" i="9"/>
  <c r="O483" i="9"/>
  <c r="M509" i="9"/>
  <c r="M439" i="9"/>
  <c r="N404" i="9"/>
  <c r="M290" i="9"/>
  <c r="M25" i="9"/>
  <c r="H555" i="9"/>
  <c r="M159" i="9"/>
  <c r="N93" i="9"/>
  <c r="M82" i="9"/>
  <c r="O700" i="9"/>
  <c r="H473" i="9"/>
  <c r="M672" i="9"/>
  <c r="M181" i="9"/>
  <c r="H416" i="9"/>
  <c r="M236" i="9"/>
  <c r="V603" i="9"/>
  <c r="M482" i="9"/>
  <c r="M589" i="9"/>
  <c r="M299" i="9"/>
  <c r="M65" i="9"/>
  <c r="H165" i="9"/>
  <c r="M384" i="9"/>
  <c r="M13" i="9"/>
  <c r="M721" i="9"/>
  <c r="H488" i="9"/>
  <c r="H548" i="9"/>
  <c r="M523" i="9"/>
  <c r="M347" i="9"/>
  <c r="O105" i="9"/>
  <c r="M237" i="9"/>
  <c r="M521" i="9"/>
  <c r="M635" i="9"/>
  <c r="M546" i="9"/>
  <c r="H654" i="9"/>
  <c r="M391" i="9"/>
  <c r="L92" i="9"/>
  <c r="M390" i="9"/>
  <c r="H673" i="9"/>
  <c r="L553" i="9"/>
  <c r="O422" i="9"/>
  <c r="N558" i="9"/>
  <c r="N627" i="9"/>
  <c r="H453" i="9"/>
  <c r="N262" i="9"/>
  <c r="M68" i="9"/>
  <c r="M428" i="9"/>
  <c r="M383" i="9"/>
  <c r="M590" i="9"/>
  <c r="M400" i="9"/>
  <c r="M457" i="9"/>
  <c r="M532" i="9"/>
  <c r="M522" i="9"/>
  <c r="H522" i="9"/>
  <c r="M530" i="9"/>
  <c r="M434" i="9"/>
  <c r="M149" i="9"/>
  <c r="M712" i="9"/>
  <c r="M305" i="9"/>
  <c r="O666" i="9"/>
  <c r="M666" i="9"/>
  <c r="O161" i="9"/>
  <c r="M271" i="9"/>
  <c r="N202" i="9"/>
  <c r="M202" i="9"/>
  <c r="M187" i="9"/>
  <c r="M484" i="9"/>
  <c r="M382" i="9"/>
  <c r="M633" i="9"/>
  <c r="O54" i="9"/>
  <c r="M54" i="9"/>
  <c r="M376" i="9"/>
  <c r="M499" i="9"/>
  <c r="M325" i="9"/>
  <c r="M613" i="9"/>
  <c r="M495" i="9"/>
  <c r="M659" i="9"/>
  <c r="M643" i="9"/>
  <c r="H643" i="9"/>
  <c r="M283" i="9"/>
  <c r="M587" i="9"/>
  <c r="V587" i="9"/>
  <c r="M189" i="9"/>
  <c r="M284" i="9"/>
  <c r="M169" i="9"/>
  <c r="M637" i="9"/>
  <c r="N317" i="9"/>
  <c r="M317" i="9"/>
  <c r="M41" i="9"/>
  <c r="M281" i="9"/>
  <c r="L717" i="9"/>
  <c r="E208" i="9"/>
  <c r="M208" i="9"/>
  <c r="H651" i="9"/>
  <c r="M651" i="9"/>
  <c r="M23" i="9"/>
  <c r="M401" i="9"/>
  <c r="M593" i="9"/>
  <c r="E115" i="9"/>
  <c r="M115" i="9"/>
  <c r="M152" i="9"/>
  <c r="M151" i="9"/>
  <c r="M324" i="9"/>
  <c r="N79" i="9"/>
  <c r="M79" i="9"/>
  <c r="M399" i="9"/>
  <c r="M494" i="9"/>
  <c r="M572" i="9"/>
  <c r="M241" i="9"/>
  <c r="V300" i="9"/>
  <c r="M477" i="9"/>
  <c r="M549" i="9"/>
  <c r="M421" i="9"/>
  <c r="M303" i="9"/>
  <c r="M581" i="9"/>
  <c r="M296" i="9"/>
  <c r="M39" i="9"/>
  <c r="M57" i="9"/>
  <c r="M29" i="9"/>
  <c r="N139" i="9"/>
  <c r="M139" i="9"/>
  <c r="M184" i="9"/>
  <c r="M259" i="9"/>
  <c r="M358" i="9"/>
  <c r="M667" i="9"/>
  <c r="N248" i="9"/>
  <c r="M248" i="9"/>
  <c r="M599" i="9"/>
  <c r="M270" i="9"/>
  <c r="M133" i="9"/>
  <c r="M94" i="9"/>
  <c r="M104" i="9"/>
  <c r="M409" i="9"/>
  <c r="M168" i="9"/>
  <c r="M533" i="9"/>
  <c r="M124" i="9"/>
  <c r="M330" i="9"/>
  <c r="M102" i="9"/>
  <c r="M596" i="9"/>
  <c r="M660" i="9"/>
  <c r="M336" i="9"/>
  <c r="L639" i="9"/>
  <c r="M639" i="9"/>
  <c r="M246" i="9"/>
  <c r="M234" i="9"/>
  <c r="M56" i="9"/>
  <c r="N569" i="9"/>
  <c r="M569" i="9"/>
  <c r="V451" i="9"/>
  <c r="M406" i="9"/>
  <c r="O344" i="9"/>
  <c r="M654" i="9"/>
  <c r="M703" i="9"/>
  <c r="M203" i="9"/>
  <c r="M646" i="9"/>
  <c r="M197" i="9"/>
  <c r="M51" i="9"/>
  <c r="L33" i="9"/>
  <c r="M33" i="9"/>
  <c r="M653" i="9"/>
  <c r="M545" i="9"/>
  <c r="M301" i="9"/>
  <c r="L432" i="9"/>
  <c r="M432" i="9"/>
  <c r="M465" i="9"/>
  <c r="M695" i="9"/>
  <c r="H356" i="9"/>
  <c r="H388" i="9"/>
  <c r="M504" i="9"/>
  <c r="H553" i="9"/>
  <c r="M553" i="9"/>
  <c r="M50" i="9"/>
  <c r="M544" i="9"/>
  <c r="H346" i="9"/>
  <c r="M346" i="9"/>
  <c r="M674" i="9"/>
  <c r="M423" i="9"/>
  <c r="M302" i="9"/>
  <c r="M531" i="9"/>
  <c r="O377" i="9"/>
  <c r="M377" i="9"/>
  <c r="M52" i="9"/>
  <c r="O272" i="9"/>
  <c r="M602" i="9"/>
  <c r="M127" i="9"/>
  <c r="L460" i="9"/>
  <c r="M460" i="9"/>
  <c r="M705" i="9"/>
  <c r="V385" i="9"/>
  <c r="M385" i="9"/>
  <c r="M307" i="9"/>
  <c r="O236" i="9"/>
  <c r="O291" i="9"/>
  <c r="M543" i="9"/>
  <c r="M166" i="9"/>
  <c r="M200" i="9"/>
  <c r="H341" i="9"/>
  <c r="M341" i="9"/>
  <c r="N420" i="9"/>
  <c r="M55" i="9"/>
  <c r="N326" i="9"/>
  <c r="M326" i="9"/>
  <c r="M459" i="9"/>
  <c r="N683" i="9"/>
  <c r="M683" i="9"/>
  <c r="M243" i="9"/>
  <c r="M414" i="9"/>
  <c r="E426" i="9"/>
  <c r="M426" i="9"/>
  <c r="M222" i="9"/>
  <c r="M514" i="9"/>
  <c r="M536" i="9"/>
  <c r="M118" i="9"/>
  <c r="M644" i="9"/>
  <c r="M442" i="9"/>
  <c r="M534" i="9"/>
  <c r="M557" i="9"/>
  <c r="L502" i="9"/>
  <c r="L638" i="9"/>
  <c r="M638" i="9"/>
  <c r="H620" i="9"/>
  <c r="M620" i="9"/>
  <c r="M488" i="9"/>
  <c r="M454" i="9"/>
  <c r="M308" i="9"/>
  <c r="M688" i="9"/>
  <c r="M265" i="9"/>
  <c r="N60" i="9"/>
  <c r="M60" i="9"/>
  <c r="M456" i="9"/>
  <c r="M561" i="9"/>
  <c r="O216" i="9"/>
  <c r="M216" i="9"/>
  <c r="M607" i="9"/>
  <c r="M547" i="9"/>
  <c r="M678" i="9"/>
  <c r="M716" i="9"/>
  <c r="V558" i="9"/>
  <c r="H706" i="9"/>
  <c r="M706" i="9"/>
  <c r="M361" i="9"/>
  <c r="O389" i="9"/>
  <c r="M389" i="9"/>
  <c r="M147" i="9"/>
  <c r="M463" i="9"/>
  <c r="N595" i="9"/>
  <c r="M595" i="9"/>
  <c r="N397" i="9"/>
  <c r="M677" i="9"/>
  <c r="M506" i="9"/>
  <c r="M217" i="9"/>
  <c r="L180" i="9"/>
  <c r="M180" i="9"/>
  <c r="H481" i="9"/>
  <c r="M481" i="9"/>
  <c r="M701" i="9"/>
  <c r="L631" i="9"/>
  <c r="M718" i="9"/>
  <c r="M73" i="9"/>
  <c r="M617" i="9"/>
  <c r="M437" i="9"/>
  <c r="M668" i="9"/>
  <c r="M435" i="9"/>
  <c r="M26" i="9"/>
  <c r="M726" i="9"/>
  <c r="M256" i="9"/>
  <c r="M195" i="9"/>
  <c r="M623" i="9"/>
  <c r="M126" i="9"/>
  <c r="M162" i="9"/>
  <c r="M285" i="9"/>
  <c r="M430" i="9"/>
  <c r="M244" i="9"/>
  <c r="M291" i="9"/>
  <c r="M258" i="9"/>
  <c r="M555" i="9"/>
  <c r="H93" i="9"/>
  <c r="M93" i="9"/>
  <c r="M524" i="9"/>
  <c r="M564" i="9"/>
  <c r="H675" i="9"/>
  <c r="M675" i="9"/>
  <c r="M192" i="9"/>
  <c r="N476" i="9"/>
  <c r="M476" i="9"/>
  <c r="M119" i="9"/>
  <c r="M64" i="9"/>
  <c r="V28" i="9"/>
  <c r="M28" i="9"/>
  <c r="M715" i="9"/>
  <c r="H393" i="9"/>
  <c r="M393" i="9"/>
  <c r="M165" i="9"/>
  <c r="M355" i="9"/>
  <c r="M713" i="9"/>
  <c r="H450" i="9"/>
  <c r="M450" i="9"/>
  <c r="M185" i="9"/>
  <c r="M338" i="9"/>
  <c r="M350" i="9"/>
  <c r="M462" i="9"/>
  <c r="M652" i="9"/>
  <c r="M144" i="9"/>
  <c r="M128" i="9"/>
  <c r="M592" i="9"/>
  <c r="M63" i="9"/>
  <c r="M11" i="9"/>
  <c r="M622" i="9"/>
  <c r="L44" i="9"/>
  <c r="M708" i="9"/>
  <c r="M108" i="9"/>
  <c r="M306" i="9"/>
  <c r="M388" i="9"/>
  <c r="M62" i="9"/>
  <c r="M121" i="9"/>
  <c r="M395" i="9"/>
  <c r="M87" i="9"/>
  <c r="M728" i="9"/>
  <c r="L636" i="9"/>
  <c r="M636" i="9"/>
  <c r="M472" i="9"/>
  <c r="M266" i="9"/>
  <c r="M684" i="9"/>
  <c r="M404" i="9"/>
  <c r="M146" i="9"/>
  <c r="M17" i="9"/>
  <c r="M304" i="9"/>
  <c r="N295" i="9"/>
  <c r="M295" i="9"/>
  <c r="M143" i="9"/>
  <c r="M479" i="9"/>
  <c r="E582" i="9"/>
  <c r="M582" i="9"/>
  <c r="M353" i="9"/>
  <c r="M318" i="9"/>
  <c r="M278" i="9"/>
  <c r="M380" i="9"/>
  <c r="M529" i="9"/>
  <c r="M85" i="9"/>
  <c r="L272" i="9"/>
  <c r="M605" i="9"/>
  <c r="M517" i="9"/>
  <c r="M40" i="9"/>
  <c r="M269" i="9"/>
  <c r="M427" i="9"/>
  <c r="M614" i="9"/>
  <c r="M175" i="9"/>
  <c r="M5" i="9"/>
  <c r="M363" i="9"/>
  <c r="M603" i="9"/>
  <c r="M618" i="9"/>
  <c r="M253" i="9"/>
  <c r="M344" i="9"/>
  <c r="M420" i="9"/>
  <c r="M92" i="9"/>
  <c r="L568" i="9"/>
  <c r="M568" i="9"/>
  <c r="N311" i="9"/>
  <c r="M422" i="9"/>
  <c r="M374" i="9"/>
  <c r="L515" i="9"/>
  <c r="M515" i="9"/>
  <c r="N673" i="9"/>
  <c r="M673" i="9"/>
  <c r="M177" i="9"/>
  <c r="M611" i="9"/>
  <c r="L191" i="9"/>
  <c r="M191" i="9"/>
  <c r="M114" i="9"/>
  <c r="M229" i="9"/>
  <c r="M710" i="9"/>
  <c r="M579" i="9"/>
  <c r="M467" i="9"/>
  <c r="M520" i="9"/>
  <c r="M449" i="9"/>
  <c r="M97" i="9"/>
  <c r="M279" i="9"/>
  <c r="M696" i="9"/>
  <c r="M105" i="9"/>
  <c r="M275" i="9"/>
  <c r="L626" i="9"/>
  <c r="M333" i="9"/>
  <c r="M548" i="9"/>
  <c r="M559" i="9"/>
  <c r="E441" i="9"/>
  <c r="M441" i="9"/>
  <c r="M527" i="9"/>
  <c r="L53" i="9"/>
  <c r="M53" i="9"/>
  <c r="M676" i="9"/>
  <c r="M61" i="9"/>
  <c r="M483" i="9"/>
  <c r="O386" i="9"/>
  <c r="M204" i="9"/>
  <c r="L650" i="9"/>
  <c r="M650" i="9"/>
  <c r="L183" i="9"/>
  <c r="M183" i="9"/>
  <c r="M148" i="9"/>
  <c r="M513" i="9"/>
  <c r="M268" i="9"/>
  <c r="M505" i="9"/>
  <c r="M609" i="9"/>
  <c r="M416" i="9"/>
  <c r="E227" i="9"/>
  <c r="M227" i="9"/>
  <c r="N682" i="9"/>
  <c r="M682" i="9"/>
  <c r="M402" i="9"/>
  <c r="M170" i="9"/>
  <c r="M327" i="9"/>
  <c r="M218" i="9"/>
  <c r="M438" i="9"/>
  <c r="M656" i="9"/>
  <c r="M487" i="9"/>
  <c r="N453" i="9"/>
  <c r="O262" i="9"/>
  <c r="M262" i="9"/>
  <c r="M580" i="9"/>
  <c r="M201" i="9"/>
  <c r="M629" i="9"/>
  <c r="M584" i="9"/>
  <c r="M16" i="9"/>
  <c r="M172" i="9"/>
  <c r="M669" i="9"/>
  <c r="M8" i="9"/>
  <c r="M58" i="9"/>
  <c r="E237" i="9"/>
  <c r="N192" i="9"/>
  <c r="H67" i="9"/>
  <c r="N67" i="9"/>
  <c r="N259" i="9"/>
  <c r="O225" i="9"/>
  <c r="N287" i="9"/>
  <c r="O6" i="9"/>
  <c r="N599" i="9"/>
  <c r="O270" i="9"/>
  <c r="N225" i="9"/>
  <c r="L136" i="9"/>
  <c r="O324" i="9"/>
  <c r="H361" i="9"/>
  <c r="N649" i="9"/>
  <c r="V241" i="9"/>
  <c r="H241" i="9"/>
  <c r="V567" i="9"/>
  <c r="O85" i="9"/>
  <c r="O19" i="9"/>
  <c r="N633" i="9"/>
  <c r="O633" i="9"/>
  <c r="H549" i="9"/>
  <c r="O635" i="9"/>
  <c r="N643" i="9"/>
  <c r="N228" i="9"/>
  <c r="O673" i="9"/>
  <c r="L262" i="9"/>
  <c r="H335" i="9"/>
  <c r="L305" i="9"/>
  <c r="V602" i="9"/>
  <c r="L564" i="9"/>
  <c r="N386" i="9"/>
  <c r="V654" i="9"/>
  <c r="V238" i="9"/>
  <c r="H327" i="9"/>
  <c r="O308" i="9"/>
  <c r="N716" i="9"/>
  <c r="V128" i="9"/>
  <c r="O636" i="9"/>
  <c r="O472" i="9"/>
  <c r="N396" i="9"/>
  <c r="O667" i="9"/>
  <c r="O248" i="9"/>
  <c r="N711" i="9"/>
  <c r="N336" i="9"/>
  <c r="O498" i="9"/>
  <c r="O237" i="9"/>
  <c r="H603" i="9"/>
  <c r="L635" i="9"/>
  <c r="H635" i="9"/>
  <c r="V635" i="9"/>
  <c r="H406" i="9"/>
  <c r="H636" i="9"/>
  <c r="O246" i="9"/>
  <c r="L370" i="9"/>
  <c r="V430" i="9"/>
  <c r="N667" i="9"/>
  <c r="N596" i="9"/>
  <c r="E636" i="9"/>
  <c r="L473" i="9"/>
  <c r="L521" i="9"/>
  <c r="V363" i="9"/>
  <c r="N363" i="9"/>
  <c r="H363" i="9"/>
  <c r="O532" i="9"/>
  <c r="H36" i="9"/>
  <c r="O555" i="9"/>
  <c r="N200" i="9"/>
  <c r="O76" i="9"/>
  <c r="N636" i="9"/>
  <c r="O20" i="9"/>
  <c r="O102" i="9"/>
  <c r="O660" i="9"/>
  <c r="N54" i="9"/>
  <c r="O22" i="9"/>
  <c r="H444" i="9"/>
  <c r="N303" i="9"/>
  <c r="V266" i="9"/>
  <c r="H291" i="9"/>
  <c r="O654" i="9"/>
  <c r="L680" i="9"/>
  <c r="V420" i="9"/>
  <c r="H567" i="9"/>
  <c r="O74" i="9"/>
  <c r="O476" i="9"/>
  <c r="H119" i="9"/>
  <c r="N465" i="9"/>
  <c r="E632" i="9"/>
  <c r="N632" i="9"/>
  <c r="H52" i="9"/>
  <c r="N52" i="9"/>
  <c r="H622" i="9"/>
  <c r="N55" i="9"/>
  <c r="L140" i="9"/>
  <c r="H611" i="9"/>
  <c r="H714" i="9"/>
  <c r="O215" i="9"/>
  <c r="L376" i="9"/>
  <c r="L557" i="9"/>
  <c r="O183" i="9"/>
  <c r="L55" i="9"/>
  <c r="L186" i="9"/>
  <c r="V186" i="9"/>
  <c r="V514" i="9"/>
  <c r="E668" i="9"/>
  <c r="H668" i="9"/>
  <c r="L333" i="9"/>
  <c r="V291" i="9"/>
  <c r="V324" i="9"/>
  <c r="H324" i="9"/>
  <c r="O558" i="9"/>
  <c r="O420" i="9"/>
  <c r="H550" i="9"/>
  <c r="L366" i="9"/>
  <c r="N131" i="9"/>
  <c r="N179" i="9"/>
  <c r="V119" i="9"/>
  <c r="L414" i="9"/>
  <c r="H73" i="9"/>
  <c r="H55" i="9"/>
  <c r="L146" i="9"/>
  <c r="N515" i="9"/>
  <c r="V523" i="9"/>
  <c r="L696" i="9"/>
  <c r="V63" i="9"/>
  <c r="N137" i="9"/>
  <c r="H600" i="9"/>
  <c r="N409" i="9"/>
  <c r="L374" i="9"/>
  <c r="L273" i="9"/>
  <c r="N384" i="9"/>
  <c r="L384" i="9"/>
  <c r="O384" i="9"/>
  <c r="H224" i="9"/>
  <c r="L422" i="9"/>
  <c r="O432" i="9"/>
  <c r="H480" i="9"/>
  <c r="V714" i="9"/>
  <c r="N701" i="9"/>
  <c r="L701" i="9"/>
  <c r="L317" i="9"/>
  <c r="O317" i="9"/>
  <c r="H317" i="9"/>
  <c r="V317" i="9"/>
  <c r="N640" i="9"/>
  <c r="O582" i="9"/>
  <c r="N652" i="9"/>
  <c r="L335" i="9"/>
  <c r="L85" i="9"/>
  <c r="H626" i="9"/>
  <c r="L149" i="9"/>
  <c r="H44" i="9"/>
  <c r="H454" i="9"/>
  <c r="V427" i="9"/>
  <c r="H640" i="9"/>
  <c r="H345" i="9"/>
  <c r="V502" i="9"/>
  <c r="L269" i="9"/>
  <c r="H262" i="9"/>
  <c r="V97" i="9"/>
  <c r="O423" i="9"/>
  <c r="H85" i="9"/>
  <c r="V149" i="9"/>
  <c r="H149" i="9"/>
  <c r="N712" i="9"/>
  <c r="L114" i="9"/>
  <c r="N423" i="9"/>
  <c r="O586" i="9"/>
  <c r="V85" i="9"/>
  <c r="O502" i="9"/>
  <c r="O149" i="9"/>
  <c r="O454" i="9"/>
  <c r="L532" i="9"/>
  <c r="L212" i="9"/>
  <c r="V212" i="9"/>
  <c r="L530" i="9"/>
  <c r="O530" i="9"/>
  <c r="H530" i="9"/>
  <c r="O358" i="9"/>
  <c r="O596" i="9"/>
  <c r="O259" i="9"/>
  <c r="O396" i="9"/>
  <c r="O336" i="9"/>
  <c r="L237" i="9"/>
  <c r="N444" i="9"/>
  <c r="O687" i="9"/>
  <c r="H684" i="9"/>
  <c r="L684" i="9"/>
  <c r="O684" i="9"/>
  <c r="O676" i="9"/>
  <c r="O711" i="9"/>
  <c r="N498" i="9"/>
  <c r="H152" i="9"/>
  <c r="V152" i="9"/>
  <c r="N152" i="9"/>
  <c r="N614" i="9"/>
  <c r="O306" i="9"/>
  <c r="O342" i="9"/>
  <c r="O68" i="9"/>
  <c r="O428" i="9"/>
  <c r="O590" i="9"/>
  <c r="O400" i="9"/>
  <c r="O509" i="9"/>
  <c r="L285" i="9"/>
  <c r="N81" i="9"/>
  <c r="V81" i="9"/>
  <c r="L81" i="9"/>
  <c r="L544" i="9"/>
  <c r="H544" i="9"/>
  <c r="V544" i="9"/>
  <c r="N544" i="9"/>
  <c r="N281" i="9"/>
  <c r="N234" i="9"/>
  <c r="L646" i="9"/>
  <c r="N646" i="9"/>
  <c r="L166" i="9"/>
  <c r="N166" i="9"/>
  <c r="H166" i="9"/>
  <c r="N270" i="9"/>
  <c r="O585" i="9"/>
  <c r="O330" i="9"/>
  <c r="O139" i="9"/>
  <c r="H237" i="9"/>
  <c r="O152" i="9"/>
  <c r="N159" i="9"/>
  <c r="O159" i="9"/>
  <c r="H283" i="9"/>
  <c r="V404" i="9"/>
  <c r="L148" i="9"/>
  <c r="L439" i="9"/>
  <c r="H451" i="9"/>
  <c r="O451" i="9"/>
  <c r="L482" i="9"/>
  <c r="H672" i="9"/>
  <c r="L672" i="9"/>
  <c r="N239" i="9"/>
  <c r="L200" i="9"/>
  <c r="V94" i="9"/>
  <c r="V406" i="9"/>
  <c r="L513" i="9"/>
  <c r="N513" i="9"/>
  <c r="H568" i="9"/>
  <c r="V290" i="9"/>
  <c r="H290" i="9"/>
  <c r="O290" i="9"/>
  <c r="H558" i="9"/>
  <c r="L406" i="9"/>
  <c r="V497" i="9"/>
  <c r="H143" i="9"/>
  <c r="V143" i="9"/>
  <c r="L143" i="9"/>
  <c r="O143" i="9"/>
  <c r="N391" i="9"/>
  <c r="H65" i="9"/>
  <c r="L65" i="9"/>
  <c r="O64" i="9"/>
  <c r="N236" i="9"/>
  <c r="N291" i="9"/>
  <c r="V239" i="9"/>
  <c r="L344" i="9"/>
  <c r="N344" i="9"/>
  <c r="O129" i="9"/>
  <c r="L301" i="9"/>
  <c r="V301" i="9"/>
  <c r="H691" i="9"/>
  <c r="V61" i="9"/>
  <c r="V204" i="9"/>
  <c r="V439" i="9"/>
  <c r="H439" i="9"/>
  <c r="H239" i="9"/>
  <c r="V137" i="9"/>
  <c r="H137" i="9"/>
  <c r="L93" i="9"/>
  <c r="V93" i="9"/>
  <c r="L558" i="9"/>
  <c r="H404" i="9"/>
  <c r="H452" i="9"/>
  <c r="O452" i="9"/>
  <c r="O406" i="9"/>
  <c r="N675" i="9"/>
  <c r="L399" i="9"/>
  <c r="H192" i="9"/>
  <c r="N74" i="9"/>
  <c r="H179" i="9"/>
  <c r="L695" i="9"/>
  <c r="O683" i="9"/>
  <c r="V683" i="9"/>
  <c r="N576" i="9"/>
  <c r="V576" i="9"/>
  <c r="L716" i="9"/>
  <c r="V716" i="9"/>
  <c r="L654" i="9"/>
  <c r="N183" i="9"/>
  <c r="L420" i="9"/>
  <c r="V268" i="9"/>
  <c r="O366" i="9"/>
  <c r="H389" i="9"/>
  <c r="H409" i="9"/>
  <c r="V192" i="9"/>
  <c r="L463" i="9"/>
  <c r="H515" i="9"/>
  <c r="L651" i="9"/>
  <c r="N416" i="9"/>
  <c r="H74" i="9"/>
  <c r="H476" i="9"/>
  <c r="V515" i="9"/>
  <c r="O182" i="9"/>
  <c r="V182" i="9"/>
  <c r="H695" i="9"/>
  <c r="O227" i="9"/>
  <c r="N227" i="9"/>
  <c r="N479" i="9"/>
  <c r="L50" i="9"/>
  <c r="O50" i="9"/>
  <c r="H50" i="9"/>
  <c r="O459" i="9"/>
  <c r="L187" i="9"/>
  <c r="L677" i="9"/>
  <c r="V677" i="9"/>
  <c r="N388" i="9"/>
  <c r="O721" i="9"/>
  <c r="L721" i="9"/>
  <c r="N721" i="9"/>
  <c r="N390" i="9"/>
  <c r="H459" i="9"/>
  <c r="L165" i="9"/>
  <c r="H201" i="9"/>
  <c r="L201" i="9"/>
  <c r="O73" i="9"/>
  <c r="N231" i="9"/>
  <c r="H124" i="9"/>
  <c r="L124" i="9"/>
  <c r="N385" i="9"/>
  <c r="L385" i="9"/>
  <c r="O611" i="9"/>
  <c r="O355" i="9"/>
  <c r="N536" i="9"/>
  <c r="V345" i="9"/>
  <c r="V201" i="9"/>
  <c r="N73" i="9"/>
  <c r="H632" i="9"/>
  <c r="O97" i="9"/>
  <c r="N529" i="9"/>
  <c r="O652" i="9"/>
  <c r="L353" i="9"/>
  <c r="L355" i="9"/>
  <c r="H278" i="9"/>
  <c r="N554" i="9"/>
  <c r="L715" i="9"/>
  <c r="N345" i="9"/>
  <c r="H652" i="9"/>
  <c r="V335" i="9"/>
  <c r="O256" i="9"/>
  <c r="H355" i="9"/>
  <c r="L345" i="9"/>
  <c r="L172" i="9"/>
  <c r="O172" i="9"/>
  <c r="H623" i="9"/>
  <c r="N338" i="9"/>
  <c r="L231" i="9"/>
  <c r="H231" i="9"/>
  <c r="V231" i="9"/>
  <c r="V652" i="9"/>
  <c r="N553" i="9"/>
  <c r="O632" i="9"/>
  <c r="N282" i="9"/>
  <c r="N602" i="9"/>
  <c r="V626" i="9"/>
  <c r="O188" i="9"/>
  <c r="O460" i="9"/>
  <c r="N454" i="9"/>
  <c r="N305" i="9"/>
  <c r="O705" i="9"/>
  <c r="L454" i="9"/>
  <c r="V138" i="9"/>
  <c r="L308" i="9"/>
  <c r="O380" i="9"/>
  <c r="N85" i="9"/>
  <c r="H502" i="9"/>
  <c r="L52" i="9"/>
  <c r="H63" i="9"/>
  <c r="V700" i="9"/>
  <c r="L620" i="9"/>
  <c r="V454" i="9"/>
  <c r="V52" i="9"/>
  <c r="N26" i="9"/>
  <c r="V460" i="9"/>
  <c r="H305" i="9"/>
  <c r="H269" i="9"/>
  <c r="N427" i="9"/>
  <c r="V126" i="9"/>
  <c r="V272" i="9"/>
  <c r="N548" i="9"/>
  <c r="L427" i="9"/>
  <c r="L375" i="9"/>
  <c r="N307" i="9"/>
  <c r="L669" i="9"/>
  <c r="V620" i="9"/>
  <c r="L10" i="9"/>
  <c r="O630" i="9"/>
  <c r="N630" i="9"/>
  <c r="N571" i="9"/>
  <c r="N132" i="9"/>
  <c r="N659" i="9"/>
  <c r="N528" i="9"/>
  <c r="O528" i="9"/>
  <c r="N496" i="9"/>
  <c r="O109" i="9"/>
  <c r="N109" i="9"/>
  <c r="O349" i="9"/>
  <c r="O401" i="9"/>
  <c r="N401" i="9"/>
  <c r="N593" i="9"/>
  <c r="N566" i="9"/>
  <c r="O566" i="9"/>
  <c r="N349" i="9"/>
  <c r="O429" i="9"/>
  <c r="N495" i="9"/>
  <c r="O495" i="9"/>
  <c r="N121" i="9"/>
  <c r="N395" i="9"/>
  <c r="N417" i="9"/>
  <c r="O583" i="9"/>
  <c r="N583" i="9"/>
  <c r="O535" i="9"/>
  <c r="O581" i="9"/>
  <c r="N419" i="9"/>
  <c r="O39" i="9"/>
  <c r="N39" i="9"/>
  <c r="O57" i="9"/>
  <c r="O41" i="9"/>
  <c r="N226" i="9"/>
  <c r="N410" i="9"/>
  <c r="N72" i="9"/>
  <c r="O722" i="9"/>
  <c r="N296" i="9"/>
  <c r="O247" i="9"/>
  <c r="N247" i="9"/>
  <c r="O29" i="9"/>
  <c r="N184" i="9"/>
  <c r="N604" i="9"/>
  <c r="O594" i="9"/>
  <c r="N594" i="9"/>
  <c r="N313" i="9"/>
  <c r="O313" i="9"/>
  <c r="N41" i="9"/>
  <c r="O647" i="9"/>
  <c r="O447" i="9"/>
  <c r="N447" i="9"/>
  <c r="N87" i="9"/>
  <c r="O100" i="9"/>
  <c r="N728" i="9"/>
  <c r="O728" i="9"/>
  <c r="O516" i="9"/>
  <c r="N516" i="9"/>
  <c r="O688" i="9"/>
  <c r="O209" i="9"/>
  <c r="N209" i="9"/>
  <c r="N378" i="9"/>
  <c r="O378" i="9"/>
  <c r="O265" i="9"/>
  <c r="O60" i="9"/>
  <c r="O456" i="9"/>
  <c r="N456" i="9"/>
  <c r="N113" i="9"/>
  <c r="O689" i="9"/>
  <c r="N689" i="9"/>
  <c r="O325" i="9"/>
  <c r="N325" i="9"/>
  <c r="O613" i="9"/>
  <c r="N613" i="9"/>
  <c r="O121" i="9"/>
  <c r="N499" i="9"/>
  <c r="O499" i="9"/>
  <c r="O173" i="9"/>
  <c r="N173" i="9"/>
  <c r="O642" i="9"/>
  <c r="L62" i="9"/>
  <c r="H717" i="9"/>
  <c r="L561" i="9"/>
  <c r="N96" i="9"/>
  <c r="O5" i="9"/>
  <c r="N5" i="9"/>
  <c r="H639" i="9"/>
  <c r="V639" i="9"/>
  <c r="N527" i="9"/>
  <c r="O527" i="9"/>
  <c r="N181" i="9"/>
  <c r="O181" i="9"/>
  <c r="H96" i="9"/>
  <c r="L96" i="9"/>
  <c r="L572" i="9"/>
  <c r="O572" i="9"/>
  <c r="O23" i="9"/>
  <c r="O643" i="9"/>
  <c r="V444" i="9"/>
  <c r="O665" i="9"/>
  <c r="V521" i="9"/>
  <c r="N521" i="9"/>
  <c r="O521" i="9"/>
  <c r="N509" i="9"/>
  <c r="H509" i="9"/>
  <c r="V509" i="9"/>
  <c r="L509" i="9"/>
  <c r="L115" i="9"/>
  <c r="N425" i="9"/>
  <c r="N174" i="9"/>
  <c r="O174" i="9"/>
  <c r="L246" i="9"/>
  <c r="N246" i="9"/>
  <c r="N358" i="9"/>
  <c r="N359" i="9"/>
  <c r="V636" i="9"/>
  <c r="L457" i="9"/>
  <c r="V237" i="9"/>
  <c r="L444" i="9"/>
  <c r="N588" i="9"/>
  <c r="L241" i="9"/>
  <c r="N241" i="9"/>
  <c r="V676" i="9"/>
  <c r="H676" i="9"/>
  <c r="L54" i="9"/>
  <c r="H54" i="9"/>
  <c r="N483" i="9"/>
  <c r="H483" i="9"/>
  <c r="V483" i="9"/>
  <c r="L483" i="9"/>
  <c r="L161" i="9"/>
  <c r="N161" i="9"/>
  <c r="N343" i="9"/>
  <c r="V56" i="9"/>
  <c r="N607" i="9"/>
  <c r="O607" i="9"/>
  <c r="H607" i="9"/>
  <c r="O56" i="9"/>
  <c r="L56" i="9"/>
  <c r="H665" i="9"/>
  <c r="V665" i="9"/>
  <c r="H245" i="9"/>
  <c r="V245" i="9"/>
  <c r="L603" i="9"/>
  <c r="N603" i="9"/>
  <c r="O603" i="9"/>
  <c r="O253" i="9"/>
  <c r="V650" i="9"/>
  <c r="V692" i="9"/>
  <c r="L692" i="9"/>
  <c r="N692" i="9"/>
  <c r="L203" i="9"/>
  <c r="L386" i="9"/>
  <c r="V678" i="9"/>
  <c r="V522" i="9"/>
  <c r="N94" i="9"/>
  <c r="L341" i="9"/>
  <c r="O341" i="9"/>
  <c r="V706" i="9"/>
  <c r="N706" i="9"/>
  <c r="V236" i="9"/>
  <c r="V244" i="9"/>
  <c r="H244" i="9"/>
  <c r="L46" i="9"/>
  <c r="O522" i="9"/>
  <c r="V303" i="9"/>
  <c r="H303" i="9"/>
  <c r="L283" i="9"/>
  <c r="O404" i="9"/>
  <c r="N650" i="9"/>
  <c r="V341" i="9"/>
  <c r="H189" i="9"/>
  <c r="O189" i="9"/>
  <c r="N213" i="9"/>
  <c r="N342" i="9"/>
  <c r="N68" i="9"/>
  <c r="N22" i="9"/>
  <c r="N428" i="9"/>
  <c r="N590" i="9"/>
  <c r="N400" i="9"/>
  <c r="L152" i="9"/>
  <c r="L236" i="9"/>
  <c r="O117" i="9"/>
  <c r="V117" i="9"/>
  <c r="L216" i="9"/>
  <c r="L291" i="9"/>
  <c r="V687" i="9"/>
  <c r="L159" i="9"/>
  <c r="V159" i="9"/>
  <c r="N46" i="9"/>
  <c r="O212" i="9"/>
  <c r="V413" i="9"/>
  <c r="V283" i="9"/>
  <c r="V703" i="9"/>
  <c r="V82" i="9"/>
  <c r="H82" i="9"/>
  <c r="L244" i="9"/>
  <c r="V386" i="9"/>
  <c r="H212" i="9"/>
  <c r="L303" i="9"/>
  <c r="E543" i="9"/>
  <c r="O245" i="9"/>
  <c r="V197" i="9"/>
  <c r="L197" i="9"/>
  <c r="L266" i="9"/>
  <c r="V216" i="9"/>
  <c r="O244" i="9"/>
  <c r="L324" i="9"/>
  <c r="V258" i="9"/>
  <c r="L555" i="9"/>
  <c r="V555" i="9"/>
  <c r="O283" i="9"/>
  <c r="L452" i="9"/>
  <c r="N341" i="9"/>
  <c r="V597" i="9"/>
  <c r="L597" i="9"/>
  <c r="H597" i="9"/>
  <c r="N482" i="9"/>
  <c r="H482" i="9"/>
  <c r="L687" i="9"/>
  <c r="L569" i="9"/>
  <c r="L94" i="9"/>
  <c r="E94" i="9"/>
  <c r="O94" i="9"/>
  <c r="H94" i="9"/>
  <c r="L253" i="9"/>
  <c r="H253" i="9"/>
  <c r="N78" i="9"/>
  <c r="O326" i="9"/>
  <c r="V321" i="9"/>
  <c r="L321" i="9"/>
  <c r="L595" i="9"/>
  <c r="H489" i="9"/>
  <c r="N489" i="9"/>
  <c r="N304" i="9"/>
  <c r="H304" i="9"/>
  <c r="V304" i="9"/>
  <c r="N500" i="9"/>
  <c r="H500" i="9"/>
  <c r="H108" i="9"/>
  <c r="N108" i="9"/>
  <c r="N567" i="9"/>
  <c r="V271" i="9"/>
  <c r="L24" i="9"/>
  <c r="L17" i="9"/>
  <c r="O17" i="9"/>
  <c r="N609" i="9"/>
  <c r="L67" i="9"/>
  <c r="L284" i="9"/>
  <c r="N284" i="9"/>
  <c r="N271" i="9"/>
  <c r="L299" i="9"/>
  <c r="L497" i="9"/>
  <c r="N379" i="9"/>
  <c r="O672" i="9"/>
  <c r="N399" i="9"/>
  <c r="O560" i="9"/>
  <c r="N347" i="9"/>
  <c r="L347" i="9"/>
  <c r="O93" i="9"/>
  <c r="O716" i="9"/>
  <c r="N684" i="9"/>
  <c r="H420" i="9"/>
  <c r="O564" i="9"/>
  <c r="O148" i="9"/>
  <c r="L271" i="9"/>
  <c r="N33" i="9"/>
  <c r="N268" i="9"/>
  <c r="H268" i="9"/>
  <c r="L389" i="9"/>
  <c r="L653" i="9"/>
  <c r="V653" i="9"/>
  <c r="O682" i="9"/>
  <c r="N564" i="9"/>
  <c r="L587" i="9"/>
  <c r="N361" i="9"/>
  <c r="N92" i="9"/>
  <c r="O434" i="9"/>
  <c r="O675" i="9"/>
  <c r="N366" i="9"/>
  <c r="O409" i="9"/>
  <c r="O390" i="9"/>
  <c r="O147" i="9"/>
  <c r="N147" i="9"/>
  <c r="H374" i="9"/>
  <c r="N374" i="9"/>
  <c r="V609" i="9"/>
  <c r="L523" i="9"/>
  <c r="H523" i="9"/>
  <c r="N523" i="9"/>
  <c r="N17" i="9"/>
  <c r="V575" i="9"/>
  <c r="H575" i="9"/>
  <c r="V166" i="9"/>
  <c r="V684" i="9"/>
  <c r="V344" i="9"/>
  <c r="H524" i="9"/>
  <c r="O228" i="9"/>
  <c r="H587" i="9"/>
  <c r="L129" i="9"/>
  <c r="H78" i="9"/>
  <c r="V65" i="9"/>
  <c r="O311" i="9"/>
  <c r="N672" i="9"/>
  <c r="L268" i="9"/>
  <c r="V399" i="9"/>
  <c r="L408" i="9"/>
  <c r="V545" i="9"/>
  <c r="H545" i="9"/>
  <c r="N545" i="9"/>
  <c r="H682" i="9"/>
  <c r="V682" i="9"/>
  <c r="L682" i="9"/>
  <c r="H497" i="9"/>
  <c r="L379" i="9"/>
  <c r="L356" i="9"/>
  <c r="O356" i="9"/>
  <c r="L416" i="9"/>
  <c r="H227" i="9"/>
  <c r="H301" i="9"/>
  <c r="L119" i="9"/>
  <c r="L480" i="9"/>
  <c r="N169" i="9"/>
  <c r="N162" i="9"/>
  <c r="O179" i="9"/>
  <c r="V432" i="9"/>
  <c r="N119" i="9"/>
  <c r="H169" i="9"/>
  <c r="O397" i="9"/>
  <c r="L202" i="9"/>
  <c r="H202" i="9"/>
  <c r="V202" i="9"/>
  <c r="O651" i="9"/>
  <c r="O416" i="9"/>
  <c r="L135" i="9"/>
  <c r="V135" i="9"/>
  <c r="N135" i="9"/>
  <c r="O135" i="9"/>
  <c r="O162" i="9"/>
  <c r="V136" i="9"/>
  <c r="H182" i="9"/>
  <c r="H432" i="9"/>
  <c r="N146" i="9"/>
  <c r="N505" i="9"/>
  <c r="L74" i="9"/>
  <c r="L227" i="9"/>
  <c r="L182" i="9"/>
  <c r="L465" i="9"/>
  <c r="O402" i="9"/>
  <c r="V402" i="9"/>
  <c r="L504" i="9"/>
  <c r="O504" i="9"/>
  <c r="L224" i="9"/>
  <c r="O224" i="9"/>
  <c r="L369" i="9"/>
  <c r="V479" i="9"/>
  <c r="H479" i="9"/>
  <c r="L229" i="9"/>
  <c r="N426" i="9"/>
  <c r="O353" i="9"/>
  <c r="N353" i="9"/>
  <c r="V77" i="9"/>
  <c r="O714" i="9"/>
  <c r="V224" i="9"/>
  <c r="H170" i="9"/>
  <c r="O170" i="9"/>
  <c r="N611" i="9"/>
  <c r="H114" i="9"/>
  <c r="V114" i="9"/>
  <c r="O229" i="9"/>
  <c r="N229" i="9"/>
  <c r="E493" i="9"/>
  <c r="O493" i="9"/>
  <c r="V493" i="9"/>
  <c r="V481" i="9"/>
  <c r="L481" i="9"/>
  <c r="N481" i="9"/>
  <c r="L118" i="9"/>
  <c r="N118" i="9"/>
  <c r="L449" i="9"/>
  <c r="O449" i="9"/>
  <c r="V371" i="9"/>
  <c r="L514" i="9"/>
  <c r="N514" i="9"/>
  <c r="V170" i="9"/>
  <c r="O371" i="9"/>
  <c r="H677" i="9"/>
  <c r="L479" i="9"/>
  <c r="O114" i="9"/>
  <c r="O697" i="9"/>
  <c r="N697" i="9"/>
  <c r="H185" i="9"/>
  <c r="L185" i="9"/>
  <c r="H402" i="9"/>
  <c r="N371" i="9"/>
  <c r="H576" i="9"/>
  <c r="H337" i="9"/>
  <c r="V218" i="9"/>
  <c r="N114" i="9"/>
  <c r="V426" i="9"/>
  <c r="L433" i="9"/>
  <c r="H718" i="9"/>
  <c r="L617" i="9"/>
  <c r="N617" i="9"/>
  <c r="N718" i="9"/>
  <c r="N380" i="9"/>
  <c r="H377" i="9"/>
  <c r="L377" i="9"/>
  <c r="V377" i="9"/>
  <c r="N377" i="9"/>
  <c r="O580" i="9"/>
  <c r="N302" i="9"/>
  <c r="V165" i="9"/>
  <c r="N180" i="9"/>
  <c r="H215" i="9"/>
  <c r="N549" i="9"/>
  <c r="H423" i="9"/>
  <c r="H282" i="9"/>
  <c r="L302" i="9"/>
  <c r="L144" i="9"/>
  <c r="H144" i="9"/>
  <c r="V144" i="9"/>
  <c r="H214" i="9"/>
  <c r="V214" i="9"/>
  <c r="N187" i="9"/>
  <c r="L582" i="9"/>
  <c r="H384" i="9"/>
  <c r="L536" i="9"/>
  <c r="H721" i="9"/>
  <c r="L549" i="9"/>
  <c r="H580" i="9"/>
  <c r="N201" i="9"/>
  <c r="O201" i="9"/>
  <c r="L644" i="9"/>
  <c r="O644" i="9"/>
  <c r="L529" i="9"/>
  <c r="O529" i="9"/>
  <c r="H529" i="9"/>
  <c r="V529" i="9"/>
  <c r="O629" i="9"/>
  <c r="N414" i="9"/>
  <c r="N217" i="9"/>
  <c r="V553" i="9"/>
  <c r="O579" i="9"/>
  <c r="L73" i="9"/>
  <c r="H97" i="9"/>
  <c r="L423" i="9"/>
  <c r="V423" i="9"/>
  <c r="O282" i="9"/>
  <c r="L531" i="9"/>
  <c r="V531" i="9"/>
  <c r="N450" i="9"/>
  <c r="V718" i="9"/>
  <c r="V380" i="9"/>
  <c r="L254" i="9"/>
  <c r="H254" i="9"/>
  <c r="V254" i="9"/>
  <c r="O302" i="9"/>
  <c r="V302" i="9"/>
  <c r="L629" i="9"/>
  <c r="H629" i="9"/>
  <c r="V629" i="9"/>
  <c r="O605" i="9"/>
  <c r="H605" i="9"/>
  <c r="V605" i="9"/>
  <c r="L105" i="9"/>
  <c r="L63" i="9"/>
  <c r="N172" i="9"/>
  <c r="V172" i="9"/>
  <c r="O223" i="9"/>
  <c r="H223" i="9"/>
  <c r="V223" i="9"/>
  <c r="N275" i="9"/>
  <c r="V275" i="9"/>
  <c r="L275" i="9"/>
  <c r="N25" i="9"/>
  <c r="L25" i="9"/>
  <c r="V376" i="9"/>
  <c r="V421" i="9"/>
  <c r="H421" i="9"/>
  <c r="N340" i="9"/>
  <c r="V340" i="9"/>
  <c r="O63" i="9"/>
  <c r="H11" i="9"/>
  <c r="V11" i="9"/>
  <c r="N533" i="9"/>
  <c r="H533" i="9"/>
  <c r="V533" i="9"/>
  <c r="O231" i="9"/>
  <c r="L668" i="9"/>
  <c r="V668" i="9"/>
  <c r="L592" i="9"/>
  <c r="V105" i="9"/>
  <c r="N63" i="9"/>
  <c r="L293" i="9"/>
  <c r="H293" i="9"/>
  <c r="H376" i="9"/>
  <c r="V112" i="9"/>
  <c r="O275" i="9"/>
  <c r="H559" i="9"/>
  <c r="L559" i="9"/>
  <c r="O559" i="9"/>
  <c r="H105" i="9"/>
  <c r="O26" i="9"/>
  <c r="H26" i="9"/>
  <c r="L700" i="9"/>
  <c r="L726" i="9"/>
  <c r="E517" i="9"/>
  <c r="N517" i="9"/>
  <c r="O376" i="9"/>
  <c r="O421" i="9"/>
  <c r="N658" i="9"/>
  <c r="V658" i="9"/>
  <c r="L658" i="9"/>
  <c r="L602" i="9"/>
  <c r="H602" i="9"/>
  <c r="N638" i="9"/>
  <c r="O638" i="9"/>
  <c r="H638" i="9"/>
  <c r="V638" i="9"/>
  <c r="O622" i="9"/>
  <c r="V44" i="9"/>
  <c r="H708" i="9"/>
  <c r="H385" i="9"/>
  <c r="N308" i="9"/>
  <c r="H307" i="9"/>
  <c r="H45" i="9"/>
  <c r="N322" i="9"/>
  <c r="O623" i="9"/>
  <c r="N149" i="9"/>
  <c r="H669" i="9"/>
  <c r="L622" i="9"/>
  <c r="O488" i="9"/>
  <c r="F269" i="9"/>
  <c r="N623" i="9"/>
  <c r="O307" i="9"/>
  <c r="H126" i="9"/>
  <c r="V622" i="9"/>
  <c r="O44" i="9"/>
  <c r="O40" i="9"/>
  <c r="O708" i="9"/>
  <c r="H322" i="9"/>
  <c r="N669" i="9"/>
  <c r="L623" i="9"/>
  <c r="L163" i="9"/>
  <c r="N53" i="9"/>
  <c r="N561" i="9"/>
  <c r="N62" i="9"/>
  <c r="N208" i="9"/>
  <c r="V457" i="9"/>
  <c r="V115" i="9"/>
  <c r="V53" i="9"/>
  <c r="L472" i="9"/>
  <c r="N472" i="9"/>
  <c r="H561" i="9"/>
  <c r="H457" i="9"/>
  <c r="H115" i="9"/>
  <c r="H208" i="9"/>
  <c r="H53" i="9"/>
  <c r="V285" i="9"/>
  <c r="L678" i="9"/>
  <c r="O678" i="9"/>
  <c r="H678" i="9"/>
  <c r="L281" i="9"/>
  <c r="L633" i="9"/>
  <c r="V161" i="9"/>
  <c r="L527" i="9"/>
  <c r="V246" i="9"/>
  <c r="L498" i="9"/>
  <c r="L234" i="9"/>
  <c r="V343" i="9"/>
  <c r="L5" i="9"/>
  <c r="L588" i="9"/>
  <c r="N266" i="9"/>
  <c r="H266" i="9"/>
  <c r="L665" i="9"/>
  <c r="N665" i="9"/>
  <c r="H198" i="9"/>
  <c r="L258" i="9"/>
  <c r="N258" i="9"/>
  <c r="V543" i="9"/>
  <c r="N457" i="9"/>
  <c r="L543" i="9"/>
  <c r="N543" i="9"/>
  <c r="O543" i="9"/>
  <c r="H543" i="9"/>
  <c r="V370" i="9"/>
  <c r="H532" i="9"/>
  <c r="O561" i="9"/>
  <c r="H633" i="9"/>
  <c r="O457" i="9"/>
  <c r="O115" i="9"/>
  <c r="O62" i="9"/>
  <c r="H498" i="9"/>
  <c r="H234" i="9"/>
  <c r="O208" i="9"/>
  <c r="O53" i="9"/>
  <c r="H588" i="9"/>
  <c r="O370" i="9"/>
  <c r="V472" i="9"/>
  <c r="V547" i="9"/>
  <c r="V281" i="9"/>
  <c r="V633" i="9"/>
  <c r="H161" i="9"/>
  <c r="H246" i="9"/>
  <c r="V498" i="9"/>
  <c r="H181" i="9"/>
  <c r="H343" i="9"/>
  <c r="V5" i="9"/>
  <c r="H472" i="9"/>
  <c r="H117" i="9"/>
  <c r="N676" i="9"/>
  <c r="L23" i="9"/>
  <c r="H23" i="9"/>
  <c r="L300" i="9"/>
  <c r="O300" i="9"/>
  <c r="H300" i="9"/>
  <c r="V415" i="9"/>
  <c r="V133" i="9"/>
  <c r="L133" i="9"/>
  <c r="N133" i="9"/>
  <c r="O133" i="9"/>
  <c r="H133" i="9"/>
  <c r="N415" i="9"/>
  <c r="H415" i="9"/>
  <c r="N285" i="9"/>
  <c r="H285" i="9"/>
  <c r="L198" i="9"/>
  <c r="N198" i="9"/>
  <c r="L547" i="9"/>
  <c r="H547" i="9"/>
  <c r="V151" i="9"/>
  <c r="V546" i="9"/>
  <c r="N546" i="9"/>
  <c r="O546" i="9"/>
  <c r="H546" i="9"/>
  <c r="V561" i="9"/>
  <c r="L151" i="9"/>
  <c r="N151" i="9"/>
  <c r="O151" i="9"/>
  <c r="N370" i="9"/>
  <c r="V208" i="9"/>
  <c r="L430" i="9"/>
  <c r="N430" i="9"/>
  <c r="L204" i="9"/>
  <c r="O204" i="9"/>
  <c r="H204" i="9"/>
  <c r="H326" i="9"/>
  <c r="V379" i="9"/>
  <c r="L311" i="9"/>
  <c r="H33" i="9"/>
  <c r="V675" i="9"/>
  <c r="L675" i="9"/>
  <c r="V389" i="9"/>
  <c r="N389" i="9"/>
  <c r="H505" i="9"/>
  <c r="L131" i="9"/>
  <c r="N560" i="9"/>
  <c r="V476" i="9"/>
  <c r="L476" i="9"/>
  <c r="O374" i="9"/>
  <c r="E374" i="9"/>
  <c r="O219" i="9"/>
  <c r="V627" i="9"/>
  <c r="H627" i="9"/>
  <c r="N61" i="9"/>
  <c r="N635" i="9"/>
  <c r="N687" i="9"/>
  <c r="N324" i="9"/>
  <c r="N439" i="9"/>
  <c r="N555" i="9"/>
  <c r="N451" i="9"/>
  <c r="N413" i="9"/>
  <c r="N283" i="9"/>
  <c r="N530" i="9"/>
  <c r="H618" i="9"/>
  <c r="H698" i="9"/>
  <c r="H104" i="9"/>
  <c r="N406" i="9"/>
  <c r="H387" i="9"/>
  <c r="N600" i="9"/>
  <c r="O597" i="9"/>
  <c r="O524" i="9"/>
  <c r="V482" i="9"/>
  <c r="O587" i="9"/>
  <c r="L391" i="9"/>
  <c r="H513" i="9"/>
  <c r="V129" i="9"/>
  <c r="V92" i="9"/>
  <c r="H92" i="9"/>
  <c r="O65" i="9"/>
  <c r="V672" i="9"/>
  <c r="L560" i="9"/>
  <c r="H147" i="9"/>
  <c r="H463" i="9"/>
  <c r="V374" i="9"/>
  <c r="H595" i="9"/>
  <c r="O618" i="9"/>
  <c r="O698" i="9"/>
  <c r="O104" i="9"/>
  <c r="O387" i="9"/>
  <c r="V183" i="9"/>
  <c r="N524" i="9"/>
  <c r="H680" i="9"/>
  <c r="L79" i="9"/>
  <c r="H228" i="9"/>
  <c r="V513" i="9"/>
  <c r="H299" i="9"/>
  <c r="V434" i="9"/>
  <c r="L434" i="9"/>
  <c r="N568" i="9"/>
  <c r="H51" i="9"/>
  <c r="V146" i="9"/>
  <c r="H146" i="9"/>
  <c r="V409" i="9"/>
  <c r="V463" i="9"/>
  <c r="O408" i="9"/>
  <c r="H408" i="9"/>
  <c r="O140" i="9"/>
  <c r="N140" i="9"/>
  <c r="H140" i="9"/>
  <c r="N618" i="9"/>
  <c r="N698" i="9"/>
  <c r="N104" i="9"/>
  <c r="L600" i="9"/>
  <c r="L524" i="9"/>
  <c r="N703" i="9"/>
  <c r="H203" i="9"/>
  <c r="V564" i="9"/>
  <c r="H564" i="9"/>
  <c r="V646" i="9"/>
  <c r="H646" i="9"/>
  <c r="N82" i="9"/>
  <c r="O271" i="9"/>
  <c r="H271" i="9"/>
  <c r="V299" i="9"/>
  <c r="O379" i="9"/>
  <c r="O277" i="9"/>
  <c r="V505" i="9"/>
  <c r="O399" i="9"/>
  <c r="H560" i="9"/>
  <c r="V489" i="9"/>
  <c r="L489" i="9"/>
  <c r="O489" i="9"/>
  <c r="O600" i="9"/>
  <c r="O680" i="9"/>
  <c r="H79" i="9"/>
  <c r="V203" i="9"/>
  <c r="V361" i="9"/>
  <c r="L361" i="9"/>
  <c r="V189" i="9"/>
  <c r="N189" i="9"/>
  <c r="H391" i="9"/>
  <c r="V326" i="9"/>
  <c r="V390" i="9"/>
  <c r="H390" i="9"/>
  <c r="O463" i="9"/>
  <c r="O595" i="9"/>
  <c r="V595" i="9"/>
  <c r="L618" i="9"/>
  <c r="L698" i="9"/>
  <c r="L104" i="9"/>
  <c r="L387" i="9"/>
  <c r="V600" i="9"/>
  <c r="H183" i="9"/>
  <c r="V524" i="9"/>
  <c r="N680" i="9"/>
  <c r="L703" i="9"/>
  <c r="V589" i="9"/>
  <c r="V51" i="9"/>
  <c r="O33" i="9"/>
  <c r="O146" i="9"/>
  <c r="H422" i="9"/>
  <c r="N463" i="9"/>
  <c r="V618" i="9"/>
  <c r="V698" i="9"/>
  <c r="V104" i="9"/>
  <c r="O703" i="9"/>
  <c r="N203" i="9"/>
  <c r="L189" i="9"/>
  <c r="V18" i="9"/>
  <c r="N299" i="9"/>
  <c r="L326" i="9"/>
  <c r="V311" i="9"/>
  <c r="H311" i="9"/>
  <c r="L390" i="9"/>
  <c r="V147" i="9"/>
  <c r="L147" i="9"/>
  <c r="V219" i="9"/>
  <c r="V680" i="9"/>
  <c r="O79" i="9"/>
  <c r="O203" i="9"/>
  <c r="E391" i="9"/>
  <c r="V391" i="9"/>
  <c r="O627" i="9"/>
  <c r="O299" i="9"/>
  <c r="O131" i="9"/>
  <c r="H131" i="9"/>
  <c r="V560" i="9"/>
  <c r="V446" i="9"/>
  <c r="H446" i="9"/>
  <c r="L552" i="9"/>
  <c r="O552" i="9"/>
  <c r="H475" i="9"/>
  <c r="V475" i="9"/>
  <c r="O550" i="9"/>
  <c r="O567" i="9"/>
  <c r="V148" i="9"/>
  <c r="V78" i="9"/>
  <c r="O24" i="9"/>
  <c r="O268" i="9"/>
  <c r="V366" i="9"/>
  <c r="O192" i="9"/>
  <c r="O321" i="9"/>
  <c r="V74" i="9"/>
  <c r="O515" i="9"/>
  <c r="O609" i="9"/>
  <c r="V651" i="9"/>
  <c r="H653" i="9"/>
  <c r="H162" i="9"/>
  <c r="O295" i="9"/>
  <c r="H295" i="9"/>
  <c r="L295" i="9"/>
  <c r="V295" i="9"/>
  <c r="E17" i="9"/>
  <c r="V17" i="9"/>
  <c r="V416" i="9"/>
  <c r="N653" i="9"/>
  <c r="N136" i="9"/>
  <c r="O136" i="9"/>
  <c r="O67" i="9"/>
  <c r="O653" i="9"/>
  <c r="V162" i="9"/>
  <c r="O446" i="9"/>
  <c r="N273" i="9"/>
  <c r="H273" i="9"/>
  <c r="H552" i="9"/>
  <c r="H284" i="9"/>
  <c r="V284" i="9"/>
  <c r="O284" i="9"/>
  <c r="L156" i="9"/>
  <c r="V156" i="9"/>
  <c r="N156" i="9"/>
  <c r="O156" i="9"/>
  <c r="V179" i="9"/>
  <c r="N301" i="9"/>
  <c r="N432" i="9"/>
  <c r="O119" i="9"/>
  <c r="V459" i="9"/>
  <c r="N459" i="9"/>
  <c r="V695" i="9"/>
  <c r="H539" i="9"/>
  <c r="L539" i="9"/>
  <c r="O539" i="9"/>
  <c r="L545" i="9"/>
  <c r="V465" i="9"/>
  <c r="L459" i="9"/>
  <c r="V356" i="9"/>
  <c r="N356" i="9"/>
  <c r="N64" i="9"/>
  <c r="N695" i="9"/>
  <c r="O28" i="9"/>
  <c r="L28" i="9"/>
  <c r="N28" i="9"/>
  <c r="L64" i="9"/>
  <c r="H64" i="9"/>
  <c r="L242" i="9"/>
  <c r="N242" i="9"/>
  <c r="O691" i="9"/>
  <c r="V691" i="9"/>
  <c r="V169" i="9"/>
  <c r="L169" i="9"/>
  <c r="O169" i="9"/>
  <c r="O545" i="9"/>
  <c r="L691" i="9"/>
  <c r="H177" i="9"/>
  <c r="L177" i="9"/>
  <c r="N177" i="9"/>
  <c r="L397" i="9"/>
  <c r="N715" i="9"/>
  <c r="H506" i="9"/>
  <c r="L243" i="9"/>
  <c r="N243" i="9"/>
  <c r="O243" i="9"/>
  <c r="N484" i="9"/>
  <c r="H484" i="9"/>
  <c r="V484" i="9"/>
  <c r="O523" i="9"/>
  <c r="L337" i="9"/>
  <c r="O506" i="9"/>
  <c r="E222" i="9"/>
  <c r="V222" i="9"/>
  <c r="H222" i="9"/>
  <c r="L222" i="9"/>
  <c r="N222" i="9"/>
  <c r="O222" i="9"/>
  <c r="N506" i="9"/>
  <c r="O168" i="9"/>
  <c r="V477" i="9"/>
  <c r="N402" i="9"/>
  <c r="O500" i="9"/>
  <c r="V715" i="9"/>
  <c r="H715" i="9"/>
  <c r="V611" i="9"/>
  <c r="L506" i="9"/>
  <c r="L168" i="9"/>
  <c r="H438" i="9"/>
  <c r="V438" i="9"/>
  <c r="O438" i="9"/>
  <c r="L637" i="9"/>
  <c r="O637" i="9"/>
  <c r="H637" i="9"/>
  <c r="V637" i="9"/>
  <c r="O710" i="9"/>
  <c r="E710" i="9"/>
  <c r="N710" i="9"/>
  <c r="H710" i="9"/>
  <c r="L710" i="9"/>
  <c r="V710" i="9"/>
  <c r="V480" i="9"/>
  <c r="L170" i="9"/>
  <c r="L611" i="9"/>
  <c r="V337" i="9"/>
  <c r="N337" i="9"/>
  <c r="O337" i="9"/>
  <c r="O187" i="9"/>
  <c r="H187" i="9"/>
  <c r="V187" i="9"/>
  <c r="O255" i="9"/>
  <c r="N255" i="9"/>
  <c r="H255" i="9"/>
  <c r="V255" i="9"/>
  <c r="V407" i="9"/>
  <c r="H407" i="9"/>
  <c r="L407" i="9"/>
  <c r="N407" i="9"/>
  <c r="H397" i="9"/>
  <c r="O327" i="9"/>
  <c r="V327" i="9"/>
  <c r="L327" i="9"/>
  <c r="N327" i="9"/>
  <c r="N168" i="9"/>
  <c r="H168" i="9"/>
  <c r="V168" i="9"/>
  <c r="V393" i="9"/>
  <c r="N393" i="9"/>
  <c r="O393" i="9"/>
  <c r="V191" i="9"/>
  <c r="H191" i="9"/>
  <c r="O477" i="9"/>
  <c r="L477" i="9"/>
  <c r="H477" i="9"/>
  <c r="N656" i="9"/>
  <c r="O656" i="9"/>
  <c r="V656" i="9"/>
  <c r="V13" i="9"/>
  <c r="O13" i="9"/>
  <c r="L13" i="9"/>
  <c r="O677" i="9"/>
  <c r="V649" i="9"/>
  <c r="N218" i="9"/>
  <c r="O414" i="9"/>
  <c r="O640" i="9"/>
  <c r="H624" i="9"/>
  <c r="O165" i="9"/>
  <c r="O217" i="9"/>
  <c r="V624" i="9"/>
  <c r="L218" i="9"/>
  <c r="H414" i="9"/>
  <c r="V414" i="9"/>
  <c r="N13" i="9"/>
  <c r="N165" i="9"/>
  <c r="H217" i="9"/>
  <c r="V217" i="9"/>
  <c r="L624" i="9"/>
  <c r="O180" i="9"/>
  <c r="H180" i="9"/>
  <c r="V180" i="9"/>
  <c r="L217" i="9"/>
  <c r="N582" i="9"/>
  <c r="O624" i="9"/>
  <c r="O202" i="9"/>
  <c r="O388" i="9"/>
  <c r="O238" i="9"/>
  <c r="H218" i="9"/>
  <c r="H229" i="9"/>
  <c r="V671" i="9"/>
  <c r="H13" i="9"/>
  <c r="V318" i="9"/>
  <c r="H318" i="9"/>
  <c r="O318" i="9"/>
  <c r="H697" i="9"/>
  <c r="H353" i="9"/>
  <c r="V175" i="9"/>
  <c r="V384" i="9"/>
  <c r="N186" i="9"/>
  <c r="V355" i="9"/>
  <c r="N355" i="9"/>
  <c r="V713" i="9"/>
  <c r="L713" i="9"/>
  <c r="H713" i="9"/>
  <c r="N713" i="9"/>
  <c r="O713" i="9"/>
  <c r="O701" i="9"/>
  <c r="V701" i="9"/>
  <c r="H701" i="9"/>
  <c r="O553" i="9"/>
  <c r="O186" i="9"/>
  <c r="V697" i="9"/>
  <c r="L697" i="9"/>
  <c r="V353" i="9"/>
  <c r="L487" i="9"/>
  <c r="N487" i="9"/>
  <c r="O536" i="9"/>
  <c r="V536" i="9"/>
  <c r="O175" i="9"/>
  <c r="N175" i="9"/>
  <c r="H175" i="9"/>
  <c r="L175" i="9"/>
  <c r="O351" i="9"/>
  <c r="L351" i="9"/>
  <c r="V351" i="9"/>
  <c r="N47" i="9"/>
  <c r="O47" i="9"/>
  <c r="H47" i="9"/>
  <c r="O185" i="9"/>
  <c r="V185" i="9"/>
  <c r="H579" i="9"/>
  <c r="V467" i="9"/>
  <c r="N467" i="9"/>
  <c r="H467" i="9"/>
  <c r="E224" i="9"/>
  <c r="N493" i="9"/>
  <c r="V118" i="9"/>
  <c r="O118" i="9"/>
  <c r="H118" i="9"/>
  <c r="H77" i="9"/>
  <c r="O77" i="9"/>
  <c r="N77" i="9"/>
  <c r="H350" i="9"/>
  <c r="E350" i="9"/>
  <c r="O350" i="9"/>
  <c r="V350" i="9"/>
  <c r="N350" i="9"/>
  <c r="O450" i="9"/>
  <c r="L579" i="9"/>
  <c r="O514" i="9"/>
  <c r="O481" i="9"/>
  <c r="O345" i="9"/>
  <c r="O369" i="9"/>
  <c r="H369" i="9"/>
  <c r="L450" i="9"/>
  <c r="N579" i="9"/>
  <c r="O631" i="9"/>
  <c r="H631" i="9"/>
  <c r="V631" i="9"/>
  <c r="H14" i="9"/>
  <c r="L14" i="9"/>
  <c r="O14" i="9"/>
  <c r="N14" i="9"/>
  <c r="L551" i="9"/>
  <c r="V551" i="9"/>
  <c r="H551" i="9"/>
  <c r="N580" i="9"/>
  <c r="V580" i="9"/>
  <c r="L580" i="9"/>
  <c r="O346" i="9"/>
  <c r="O551" i="9"/>
  <c r="N556" i="9"/>
  <c r="H556" i="9"/>
  <c r="O556" i="9"/>
  <c r="V556" i="9"/>
  <c r="L556" i="9"/>
  <c r="O453" i="9"/>
  <c r="V215" i="9"/>
  <c r="O549" i="9"/>
  <c r="V50" i="9"/>
  <c r="H338" i="9"/>
  <c r="E338" i="9"/>
  <c r="O338" i="9"/>
  <c r="V338" i="9"/>
  <c r="N278" i="9"/>
  <c r="L278" i="9"/>
  <c r="N494" i="9"/>
  <c r="O494" i="9"/>
  <c r="H494" i="9"/>
  <c r="V494" i="9"/>
  <c r="L494" i="9"/>
  <c r="N346" i="9"/>
  <c r="V346" i="9"/>
  <c r="L346" i="9"/>
  <c r="L520" i="9"/>
  <c r="N520" i="9"/>
  <c r="H520" i="9"/>
  <c r="H462" i="9"/>
  <c r="E462" i="9"/>
  <c r="L462" i="9"/>
  <c r="O462" i="9"/>
  <c r="V462" i="9"/>
  <c r="L437" i="9"/>
  <c r="N437" i="9"/>
  <c r="O437" i="9"/>
  <c r="E437" i="9"/>
  <c r="H437" i="9"/>
  <c r="V437" i="9"/>
  <c r="V453" i="9"/>
  <c r="V721" i="9"/>
  <c r="V549" i="9"/>
  <c r="V262" i="9"/>
  <c r="O544" i="9"/>
  <c r="L207" i="9"/>
  <c r="V207" i="9"/>
  <c r="H207" i="9"/>
  <c r="O278" i="9"/>
  <c r="H674" i="9"/>
  <c r="L674" i="9"/>
  <c r="O674" i="9"/>
  <c r="V674" i="9"/>
  <c r="H644" i="9"/>
  <c r="H449" i="9"/>
  <c r="H617" i="9"/>
  <c r="V433" i="9"/>
  <c r="L442" i="9"/>
  <c r="N279" i="9"/>
  <c r="O279" i="9"/>
  <c r="H279" i="9"/>
  <c r="V279" i="9"/>
  <c r="N696" i="9"/>
  <c r="H696" i="9"/>
  <c r="O696" i="9"/>
  <c r="V696" i="9"/>
  <c r="N442" i="9"/>
  <c r="N644" i="9"/>
  <c r="N449" i="9"/>
  <c r="V442" i="9"/>
  <c r="N433" i="9"/>
  <c r="O433" i="9"/>
  <c r="H433" i="9"/>
  <c r="N557" i="9"/>
  <c r="O557" i="9"/>
  <c r="H557" i="9"/>
  <c r="V557" i="9"/>
  <c r="H442" i="9"/>
  <c r="L584" i="9"/>
  <c r="N584" i="9"/>
  <c r="O584" i="9"/>
  <c r="H584" i="9"/>
  <c r="V584" i="9"/>
  <c r="V644" i="9"/>
  <c r="V449" i="9"/>
  <c r="V617" i="9"/>
  <c r="H380" i="9"/>
  <c r="L97" i="9"/>
  <c r="N97" i="9"/>
  <c r="E534" i="9"/>
  <c r="V534" i="9"/>
  <c r="L534" i="9"/>
  <c r="N534" i="9"/>
  <c r="O534" i="9"/>
  <c r="H534" i="9"/>
  <c r="E503" i="9"/>
  <c r="V503" i="9"/>
  <c r="L503" i="9"/>
  <c r="N503" i="9"/>
  <c r="O503" i="9"/>
  <c r="H503" i="9"/>
  <c r="L279" i="9"/>
  <c r="V16" i="9"/>
  <c r="L16" i="9"/>
  <c r="N16" i="9"/>
  <c r="O16" i="9"/>
  <c r="H16" i="9"/>
  <c r="N254" i="9"/>
  <c r="N421" i="9"/>
  <c r="N629" i="9"/>
  <c r="O531" i="9"/>
  <c r="N144" i="9"/>
  <c r="O112" i="9"/>
  <c r="N502" i="9"/>
  <c r="E58" i="9"/>
  <c r="V58" i="9"/>
  <c r="L58" i="9"/>
  <c r="N58" i="9"/>
  <c r="O58" i="9"/>
  <c r="H58" i="9"/>
  <c r="N531" i="9"/>
  <c r="N112" i="9"/>
  <c r="V211" i="9"/>
  <c r="V435" i="9"/>
  <c r="L435" i="9"/>
  <c r="N435" i="9"/>
  <c r="H435" i="9"/>
  <c r="N127" i="9"/>
  <c r="H127" i="9"/>
  <c r="O127" i="9"/>
  <c r="V127" i="9"/>
  <c r="H531" i="9"/>
  <c r="H112" i="9"/>
  <c r="L211" i="9"/>
  <c r="N211" i="9"/>
  <c r="H211" i="9"/>
  <c r="O435" i="9"/>
  <c r="V382" i="9"/>
  <c r="L382" i="9"/>
  <c r="N382" i="9"/>
  <c r="O382" i="9"/>
  <c r="H382" i="9"/>
  <c r="N668" i="9"/>
  <c r="L11" i="9"/>
  <c r="V333" i="9"/>
  <c r="L712" i="9"/>
  <c r="V726" i="9"/>
  <c r="L517" i="9"/>
  <c r="V256" i="9"/>
  <c r="V40" i="9"/>
  <c r="L40" i="9"/>
  <c r="N40" i="9"/>
  <c r="H712" i="9"/>
  <c r="H517" i="9"/>
  <c r="V188" i="9"/>
  <c r="V720" i="9"/>
  <c r="N720" i="9"/>
  <c r="O720" i="9"/>
  <c r="H720" i="9"/>
  <c r="L720" i="9"/>
  <c r="H275" i="9"/>
  <c r="H172" i="9"/>
  <c r="H658" i="9"/>
  <c r="H700" i="9"/>
  <c r="H333" i="9"/>
  <c r="V712" i="9"/>
  <c r="H726" i="9"/>
  <c r="V517" i="9"/>
  <c r="H188" i="9"/>
  <c r="N138" i="9"/>
  <c r="H138" i="9"/>
  <c r="N256" i="9"/>
  <c r="H256" i="9"/>
  <c r="N605" i="9"/>
  <c r="O333" i="9"/>
  <c r="N620" i="9"/>
  <c r="O726" i="9"/>
  <c r="N223" i="9"/>
  <c r="L256" i="9"/>
  <c r="O11" i="9"/>
  <c r="N333" i="9"/>
  <c r="O712" i="9"/>
  <c r="N726" i="9"/>
  <c r="O517" i="9"/>
  <c r="E188" i="9"/>
  <c r="L188" i="9"/>
  <c r="N188" i="9"/>
  <c r="N708" i="9"/>
  <c r="O548" i="9"/>
  <c r="V305" i="9"/>
  <c r="H554" i="9"/>
  <c r="H195" i="9"/>
  <c r="O385" i="9"/>
  <c r="V308" i="9"/>
  <c r="H375" i="9"/>
  <c r="V705" i="9"/>
  <c r="L708" i="9"/>
  <c r="L705" i="9"/>
  <c r="O269" i="9"/>
  <c r="N124" i="9"/>
  <c r="H427" i="9"/>
  <c r="V441" i="9"/>
  <c r="H441" i="9"/>
  <c r="V708" i="9"/>
  <c r="V8" i="9"/>
  <c r="O195" i="9"/>
  <c r="N163" i="9"/>
  <c r="O163" i="9"/>
  <c r="H163" i="9"/>
  <c r="V163" i="9"/>
  <c r="L126" i="9"/>
  <c r="N126" i="9"/>
  <c r="O126" i="9"/>
  <c r="H705" i="9"/>
  <c r="O124" i="9"/>
  <c r="V554" i="9"/>
  <c r="V195" i="9"/>
  <c r="N441" i="9"/>
  <c r="O441" i="9"/>
  <c r="L195" i="9"/>
  <c r="O10" i="9"/>
  <c r="O427" i="9"/>
  <c r="L441" i="9"/>
  <c r="V25" i="9"/>
  <c r="V623" i="9"/>
  <c r="E623" i="9"/>
  <c r="V307" i="9"/>
  <c r="L108" i="9"/>
  <c r="H25" i="9"/>
  <c r="L322" i="9"/>
  <c r="V108" i="9"/>
  <c r="O25" i="9"/>
  <c r="V322" i="9"/>
  <c r="H395" i="9"/>
  <c r="H590" i="9"/>
  <c r="H594" i="9"/>
  <c r="H411" i="9"/>
  <c r="H100" i="9"/>
  <c r="H566" i="9"/>
  <c r="H604" i="9"/>
  <c r="H139" i="9"/>
  <c r="H401" i="9"/>
  <c r="H512" i="9"/>
  <c r="H292" i="9"/>
  <c r="H6" i="9"/>
  <c r="H113" i="9"/>
  <c r="H41" i="9"/>
  <c r="H247" i="9"/>
  <c r="H287" i="9"/>
  <c r="H109" i="9"/>
  <c r="H583" i="9"/>
  <c r="H259" i="9"/>
  <c r="H519" i="9"/>
  <c r="H68" i="9"/>
  <c r="H508" i="9"/>
  <c r="H425" i="9"/>
  <c r="H20" i="9"/>
  <c r="H60" i="9"/>
  <c r="H19" i="9"/>
  <c r="H325" i="9"/>
  <c r="H39" i="9"/>
  <c r="H213" i="9"/>
  <c r="H535" i="9"/>
  <c r="H296" i="9"/>
  <c r="H306" i="9"/>
  <c r="H257" i="9"/>
  <c r="H359" i="9"/>
  <c r="H265" i="9"/>
  <c r="H593" i="9"/>
  <c r="H383" i="9"/>
  <c r="H660" i="9"/>
  <c r="H667" i="9"/>
  <c r="H496" i="9"/>
  <c r="H378" i="9"/>
  <c r="H581" i="9"/>
  <c r="H630" i="9"/>
  <c r="H645" i="9"/>
  <c r="H121" i="9"/>
  <c r="H492" i="9"/>
  <c r="H248" i="9"/>
  <c r="H499" i="9"/>
  <c r="H528" i="9"/>
  <c r="H87" i="9"/>
  <c r="H571" i="9"/>
  <c r="H447" i="9"/>
  <c r="H666" i="9"/>
  <c r="H270" i="9"/>
  <c r="H728" i="9"/>
  <c r="H659" i="9"/>
  <c r="H410" i="9"/>
  <c r="H184" i="9"/>
  <c r="H613" i="9"/>
  <c r="H396" i="9"/>
  <c r="H688" i="9"/>
  <c r="H417" i="9"/>
  <c r="H225" i="9"/>
  <c r="H57" i="9"/>
  <c r="H429" i="9"/>
  <c r="H102" i="9"/>
  <c r="H642" i="9"/>
  <c r="H722" i="9"/>
  <c r="H29" i="9"/>
  <c r="H428" i="9"/>
  <c r="H88" i="9"/>
  <c r="H342" i="9"/>
  <c r="H585" i="9"/>
  <c r="H72" i="9"/>
  <c r="H76" i="9"/>
  <c r="H681" i="9"/>
  <c r="H655" i="9"/>
  <c r="H614" i="9"/>
  <c r="H358" i="9"/>
  <c r="H132" i="9"/>
  <c r="H495" i="9"/>
  <c r="H711" i="9"/>
  <c r="H22" i="9"/>
  <c r="H516" i="9"/>
  <c r="H173" i="9"/>
  <c r="H419" i="9"/>
  <c r="H647" i="9"/>
  <c r="H599" i="9"/>
  <c r="H349" i="9"/>
  <c r="H330" i="9"/>
  <c r="H456" i="9"/>
  <c r="H336" i="9"/>
  <c r="H596" i="9"/>
  <c r="H400" i="9"/>
  <c r="H689" i="9"/>
  <c r="H160" i="9"/>
  <c r="H174" i="9"/>
  <c r="H226" i="9"/>
  <c r="H313" i="9"/>
  <c r="H209" i="9"/>
  <c r="L139" i="9"/>
  <c r="L519" i="9"/>
  <c r="L19" i="9"/>
  <c r="L492" i="9"/>
  <c r="L121" i="9"/>
  <c r="L259" i="9"/>
  <c r="L495" i="9"/>
  <c r="L132" i="9"/>
  <c r="L689" i="9"/>
  <c r="L60" i="9"/>
  <c r="L411" i="9"/>
  <c r="L660" i="9"/>
  <c r="L456" i="9"/>
  <c r="L642" i="9"/>
  <c r="L213" i="9"/>
  <c r="L173" i="9"/>
  <c r="L508" i="9"/>
  <c r="L313" i="9"/>
  <c r="L68" i="9"/>
  <c r="L226" i="9"/>
  <c r="L401" i="9"/>
  <c r="L528" i="9"/>
  <c r="L447" i="9"/>
  <c r="L209" i="9"/>
  <c r="L419" i="9"/>
  <c r="L325" i="9"/>
  <c r="L585" i="9"/>
  <c r="L688" i="9"/>
  <c r="L571" i="9"/>
  <c r="L20" i="9"/>
  <c r="L342" i="9"/>
  <c r="L359" i="9"/>
  <c r="L425" i="9"/>
  <c r="L512" i="9"/>
  <c r="L88" i="9"/>
  <c r="L330" i="9"/>
  <c r="L395" i="9"/>
  <c r="L57" i="9"/>
  <c r="L225" i="9"/>
  <c r="E184" i="9"/>
  <c r="E259" i="9"/>
  <c r="E378" i="9"/>
  <c r="F688" i="9"/>
  <c r="F499" i="9"/>
  <c r="E287" i="9"/>
  <c r="E613" i="9"/>
  <c r="F711" i="9"/>
  <c r="E516" i="9"/>
  <c r="L566" i="9"/>
  <c r="L581" i="9"/>
  <c r="L265" i="9"/>
  <c r="L349" i="9"/>
  <c r="L590" i="9"/>
  <c r="L100" i="9"/>
  <c r="L655" i="9"/>
  <c r="L659" i="9"/>
  <c r="L583" i="9"/>
  <c r="L722" i="9"/>
  <c r="L184" i="9"/>
  <c r="L499" i="9"/>
  <c r="L396" i="9"/>
  <c r="L160" i="9"/>
  <c r="L400" i="9"/>
  <c r="L604" i="9"/>
  <c r="L296" i="9"/>
  <c r="L174" i="9"/>
  <c r="L29" i="9"/>
  <c r="L306" i="9"/>
  <c r="L535" i="9"/>
  <c r="L711" i="9"/>
  <c r="L645" i="9"/>
  <c r="L248" i="9"/>
  <c r="L613" i="9"/>
  <c r="L428" i="9"/>
  <c r="L22" i="9"/>
  <c r="L516" i="9"/>
  <c r="L257" i="9"/>
  <c r="L87" i="9"/>
  <c r="L599" i="9"/>
  <c r="L429" i="9"/>
  <c r="L417" i="9"/>
  <c r="L630" i="9"/>
  <c r="L113" i="9"/>
  <c r="L728" i="9"/>
  <c r="L72" i="9"/>
  <c r="L681" i="9"/>
  <c r="L593" i="9"/>
  <c r="L247" i="9"/>
  <c r="L39" i="9"/>
  <c r="L666" i="9"/>
  <c r="V666" i="9"/>
  <c r="L410" i="9"/>
  <c r="L667" i="9"/>
  <c r="L596" i="9"/>
  <c r="L292" i="9"/>
  <c r="L109" i="9"/>
  <c r="L287" i="9"/>
  <c r="L496" i="9"/>
  <c r="L102" i="9"/>
  <c r="L76" i="9"/>
  <c r="L358" i="9"/>
  <c r="L336" i="9"/>
  <c r="L647" i="9"/>
  <c r="L378" i="9"/>
  <c r="L614" i="9"/>
  <c r="L41" i="9"/>
  <c r="L270" i="9"/>
  <c r="L594" i="9"/>
  <c r="L383" i="9"/>
  <c r="L6" i="9"/>
  <c r="F225" i="9"/>
  <c r="E544" i="9"/>
  <c r="E23" i="9"/>
  <c r="E229" i="9"/>
  <c r="F72" i="9"/>
  <c r="E602" i="9"/>
  <c r="F566" i="9"/>
  <c r="W74" i="9"/>
  <c r="F421" i="9"/>
  <c r="F654" i="9"/>
  <c r="F475" i="9"/>
  <c r="F209" i="9"/>
  <c r="E714" i="9"/>
  <c r="F271" i="9"/>
  <c r="W271" i="9"/>
  <c r="W386" i="9"/>
  <c r="F74" i="9"/>
  <c r="F218" i="9"/>
  <c r="F285" i="9"/>
  <c r="M88" i="9"/>
  <c r="F404" i="9"/>
  <c r="N539" i="9"/>
  <c r="L548" i="9"/>
  <c r="M113" i="9"/>
  <c r="V548" i="9"/>
  <c r="M498" i="9"/>
  <c r="E548" i="9"/>
  <c r="F632" i="9"/>
  <c r="W231" i="9"/>
  <c r="E595" i="9"/>
  <c r="F595" i="9"/>
  <c r="F115" i="9"/>
  <c r="F669" i="9"/>
  <c r="F618" i="9"/>
  <c r="F678" i="9"/>
  <c r="W618" i="9"/>
  <c r="E532" i="9"/>
  <c r="H10" i="9"/>
  <c r="F604" i="9"/>
  <c r="M519" i="9"/>
  <c r="V519" i="9"/>
  <c r="F160" i="9"/>
  <c r="V160" i="9"/>
  <c r="M160" i="9"/>
  <c r="E113" i="9"/>
  <c r="N36" i="9"/>
  <c r="E213" i="9"/>
  <c r="O213" i="9"/>
  <c r="E198" i="9"/>
  <c r="M198" i="9"/>
  <c r="F539" i="9"/>
  <c r="M215" i="9"/>
  <c r="L215" i="9"/>
  <c r="M18" i="9"/>
  <c r="O18" i="9"/>
  <c r="M277" i="9"/>
  <c r="E576" i="9"/>
  <c r="E369" i="9"/>
  <c r="M369" i="9"/>
  <c r="E204" i="9"/>
  <c r="F88" i="9"/>
  <c r="V88" i="9"/>
  <c r="E51" i="9"/>
  <c r="N51" i="9"/>
  <c r="L51" i="9"/>
  <c r="E24" i="9"/>
  <c r="E559" i="9"/>
  <c r="M293" i="9"/>
  <c r="V293" i="9"/>
  <c r="E705" i="9"/>
  <c r="E600" i="9"/>
  <c r="E504" i="9"/>
  <c r="E169" i="9"/>
  <c r="L112" i="9"/>
  <c r="E446" i="9"/>
  <c r="M446" i="9"/>
  <c r="L446" i="9"/>
  <c r="M415" i="9"/>
  <c r="F697" i="9"/>
  <c r="M697" i="9"/>
  <c r="M138" i="9"/>
  <c r="F181" i="9"/>
  <c r="F100" i="9"/>
  <c r="M100" i="9"/>
  <c r="E589" i="9"/>
  <c r="E207" i="9"/>
  <c r="E214" i="9"/>
  <c r="O45" i="9"/>
  <c r="L45" i="9"/>
  <c r="H371" i="9"/>
  <c r="E550" i="9"/>
  <c r="L550" i="9"/>
  <c r="L26" i="9"/>
  <c r="H136" i="9"/>
  <c r="H238" i="9"/>
  <c r="E706" i="9"/>
  <c r="E258" i="9"/>
  <c r="L8" i="9"/>
  <c r="O200" i="9"/>
  <c r="E645" i="9"/>
  <c r="V645" i="9"/>
  <c r="V486" i="9"/>
  <c r="M717" i="9"/>
  <c r="N717" i="9"/>
  <c r="F413" i="9"/>
  <c r="H413" i="9"/>
  <c r="V599" i="9"/>
  <c r="V19" i="9"/>
  <c r="V226" i="9"/>
  <c r="E722" i="9"/>
  <c r="E342" i="9"/>
  <c r="V342" i="9"/>
  <c r="E508" i="9"/>
  <c r="E585" i="9"/>
  <c r="F655" i="9"/>
  <c r="M655" i="9"/>
  <c r="E68" i="9"/>
  <c r="E330" i="9"/>
  <c r="V330" i="9"/>
  <c r="M473" i="9"/>
  <c r="F473" i="9"/>
  <c r="M375" i="9"/>
  <c r="N586" i="9"/>
  <c r="V586" i="9"/>
  <c r="E102" i="9"/>
  <c r="V102" i="9"/>
  <c r="E109" i="9"/>
  <c r="M109" i="9"/>
  <c r="V492" i="9"/>
  <c r="F257" i="9"/>
  <c r="M257" i="9"/>
  <c r="V257" i="9"/>
  <c r="E596" i="9"/>
  <c r="V596" i="9"/>
  <c r="M649" i="9"/>
  <c r="H649" i="9"/>
  <c r="V417" i="9"/>
  <c r="O417" i="9"/>
  <c r="E660" i="9"/>
  <c r="N660" i="9"/>
  <c r="E292" i="9"/>
  <c r="M292" i="9"/>
  <c r="E76" i="9"/>
  <c r="M76" i="9"/>
  <c r="V76" i="9"/>
  <c r="F681" i="9"/>
  <c r="W227" i="9"/>
  <c r="W201" i="9"/>
  <c r="N214" i="9"/>
  <c r="L214" i="9"/>
  <c r="V487" i="9"/>
  <c r="O242" i="9"/>
  <c r="N446" i="9"/>
  <c r="N497" i="9"/>
  <c r="N277" i="9"/>
  <c r="L575" i="9"/>
  <c r="V24" i="9"/>
  <c r="H321" i="9"/>
  <c r="L486" i="9"/>
  <c r="O413" i="9"/>
  <c r="N76" i="9"/>
  <c r="N19" i="9"/>
  <c r="L413" i="9"/>
  <c r="N245" i="9"/>
  <c r="L181" i="9"/>
  <c r="O717" i="9"/>
  <c r="O113" i="9"/>
  <c r="O257" i="9"/>
  <c r="O226" i="9"/>
  <c r="O655" i="9"/>
  <c r="N645" i="9"/>
  <c r="N88" i="9"/>
  <c r="N681" i="9"/>
  <c r="N508" i="9"/>
  <c r="V10" i="9"/>
  <c r="N626" i="9"/>
  <c r="L554" i="9"/>
  <c r="O340" i="9"/>
  <c r="H486" i="9"/>
  <c r="L589" i="9"/>
  <c r="H8" i="9"/>
  <c r="H586" i="9"/>
  <c r="N45" i="9"/>
  <c r="N550" i="9"/>
  <c r="N10" i="9"/>
  <c r="L277" i="9"/>
  <c r="V277" i="9"/>
  <c r="H200" i="9"/>
  <c r="O473" i="9"/>
  <c r="O599" i="9"/>
  <c r="N492" i="9"/>
  <c r="N102" i="9"/>
  <c r="L117" i="9"/>
  <c r="L649" i="9"/>
  <c r="O589" i="9"/>
  <c r="M45" i="9"/>
  <c r="M238" i="9"/>
  <c r="M24" i="9"/>
  <c r="N592" i="9"/>
  <c r="M550" i="9"/>
  <c r="M214" i="9"/>
  <c r="M575" i="9"/>
  <c r="N293" i="9"/>
  <c r="M282" i="9"/>
  <c r="M207" i="9"/>
  <c r="M245" i="9"/>
  <c r="M413" i="9"/>
  <c r="M322" i="9"/>
  <c r="N705" i="9"/>
  <c r="M486" i="9"/>
  <c r="M492" i="9"/>
  <c r="M359" i="9"/>
  <c r="M604" i="9"/>
  <c r="M351" i="9"/>
  <c r="M722" i="9"/>
  <c r="M136" i="9"/>
  <c r="M117" i="9"/>
  <c r="M576" i="9"/>
  <c r="M219" i="9"/>
  <c r="M140" i="9"/>
  <c r="M14" i="9"/>
  <c r="M535" i="9"/>
  <c r="V375" i="9"/>
  <c r="V722" i="9"/>
  <c r="V400" i="9"/>
  <c r="V585" i="9"/>
  <c r="V681" i="9"/>
  <c r="V359" i="9"/>
  <c r="V655" i="9"/>
  <c r="F695" i="9"/>
  <c r="E626" i="9"/>
  <c r="F293" i="9"/>
  <c r="F423" i="9"/>
  <c r="V45" i="9"/>
  <c r="V559" i="9"/>
  <c r="O375" i="9"/>
  <c r="O138" i="9"/>
  <c r="L138" i="9"/>
  <c r="H340" i="9"/>
  <c r="N207" i="9"/>
  <c r="V520" i="9"/>
  <c r="V14" i="9"/>
  <c r="V369" i="9"/>
  <c r="H351" i="9"/>
  <c r="H487" i="9"/>
  <c r="H504" i="9"/>
  <c r="O649" i="9"/>
  <c r="V504" i="9"/>
  <c r="V397" i="9"/>
  <c r="O576" i="9"/>
  <c r="V347" i="9"/>
  <c r="H242" i="9"/>
  <c r="V242" i="9"/>
  <c r="V539" i="9"/>
  <c r="O497" i="9"/>
  <c r="V387" i="9"/>
  <c r="N387" i="9"/>
  <c r="V140" i="9"/>
  <c r="L219" i="9"/>
  <c r="H18" i="9"/>
  <c r="N219" i="9"/>
  <c r="H589" i="9"/>
  <c r="N204" i="9"/>
  <c r="L415" i="9"/>
  <c r="N117" i="9"/>
  <c r="H258" i="9"/>
  <c r="V181" i="9"/>
  <c r="V198" i="9"/>
  <c r="O626" i="9"/>
  <c r="O322" i="9"/>
  <c r="H592" i="9"/>
  <c r="V26" i="9"/>
  <c r="V592" i="9"/>
  <c r="L223" i="9"/>
  <c r="O592" i="9"/>
  <c r="V282" i="9"/>
  <c r="O207" i="9"/>
  <c r="O214" i="9"/>
  <c r="L576" i="9"/>
  <c r="N369" i="9"/>
  <c r="L371" i="9"/>
  <c r="W182" i="9"/>
  <c r="O487" i="9"/>
  <c r="N575" i="9"/>
  <c r="N24" i="9"/>
  <c r="H347" i="9"/>
  <c r="H24" i="9"/>
  <c r="N321" i="9"/>
  <c r="N486" i="9"/>
  <c r="N585" i="9"/>
  <c r="L706" i="9"/>
  <c r="O486" i="9"/>
  <c r="L245" i="9"/>
  <c r="V717" i="9"/>
  <c r="N257" i="9"/>
  <c r="O519" i="9"/>
  <c r="O292" i="9"/>
  <c r="N100" i="9"/>
  <c r="N535" i="9"/>
  <c r="N292" i="9"/>
  <c r="O681" i="9"/>
  <c r="O508" i="9"/>
  <c r="O520" i="9"/>
  <c r="O554" i="9"/>
  <c r="H219" i="9"/>
  <c r="O695" i="9"/>
  <c r="L179" i="9"/>
  <c r="O51" i="9"/>
  <c r="L340" i="9"/>
  <c r="V200" i="9"/>
  <c r="O706" i="9"/>
  <c r="H159" i="9"/>
  <c r="N519" i="9"/>
  <c r="N8" i="9"/>
  <c r="O492" i="9"/>
  <c r="L18" i="9"/>
  <c r="L282" i="9"/>
  <c r="H277" i="9"/>
  <c r="L36" i="9"/>
  <c r="V473" i="9"/>
  <c r="O36" i="9"/>
  <c r="O198" i="9"/>
  <c r="V550" i="9"/>
  <c r="M539" i="9"/>
  <c r="M223" i="9"/>
  <c r="M626" i="9"/>
  <c r="L238" i="9"/>
  <c r="L586" i="9"/>
  <c r="M36" i="9"/>
  <c r="M417" i="9"/>
  <c r="M242" i="9"/>
  <c r="M554" i="9"/>
  <c r="M497" i="9"/>
  <c r="N215" i="9"/>
  <c r="N722" i="9"/>
  <c r="M600" i="9"/>
  <c r="V292" i="9"/>
  <c r="V100" i="9"/>
  <c r="V508" i="9"/>
  <c r="E717" i="9"/>
  <c r="E238" i="9"/>
  <c r="E397" i="9"/>
  <c r="E45" i="9"/>
  <c r="E140" i="9"/>
  <c r="E497" i="9"/>
  <c r="E159" i="9"/>
  <c r="E14" i="9"/>
  <c r="E599" i="9"/>
  <c r="W624" i="9"/>
  <c r="E581" i="9"/>
  <c r="E682" i="9"/>
  <c r="E553" i="9"/>
  <c r="E460" i="9"/>
  <c r="E317" i="9"/>
  <c r="E700" i="9"/>
  <c r="F20" i="9"/>
  <c r="F246" i="9"/>
  <c r="F582" i="9"/>
  <c r="F182" i="9"/>
  <c r="F283" i="9"/>
  <c r="F386" i="9"/>
  <c r="F636" i="9"/>
  <c r="F147" i="9"/>
  <c r="F498" i="9"/>
  <c r="W505" i="9"/>
  <c r="E459" i="9"/>
  <c r="F459" i="9"/>
  <c r="F300" i="9"/>
  <c r="W457" i="9"/>
  <c r="F426" i="9"/>
  <c r="F513" i="9"/>
  <c r="F208" i="9"/>
  <c r="F543" i="9"/>
  <c r="F402" i="9"/>
  <c r="W85" i="9"/>
  <c r="F338" i="9"/>
  <c r="W121" i="9"/>
  <c r="W529" i="9"/>
  <c r="F467" i="9"/>
  <c r="E673" i="9"/>
  <c r="E545" i="9"/>
  <c r="F231" i="9"/>
  <c r="F472" i="9"/>
  <c r="E427" i="9"/>
  <c r="F427" i="9"/>
  <c r="E640" i="9"/>
  <c r="F640" i="9"/>
  <c r="M512" i="9"/>
  <c r="F17" i="9"/>
  <c r="F716" i="9"/>
  <c r="E173" i="9"/>
  <c r="F710" i="9"/>
  <c r="E241" i="9"/>
  <c r="F94" i="9"/>
  <c r="O484" i="9"/>
  <c r="N185" i="9"/>
  <c r="O692" i="9"/>
  <c r="O639" i="9"/>
  <c r="N160" i="9"/>
  <c r="N18" i="9"/>
  <c r="M594" i="9"/>
  <c r="M444" i="9"/>
  <c r="F284" i="9"/>
  <c r="F28" i="9"/>
  <c r="F256" i="9"/>
  <c r="F183" i="9"/>
  <c r="E701" i="9"/>
  <c r="W543" i="9"/>
  <c r="F520" i="9"/>
  <c r="F237" i="9"/>
  <c r="O285" i="9"/>
  <c r="M311" i="9"/>
  <c r="M337" i="9"/>
  <c r="M132" i="9"/>
  <c r="W472" i="9"/>
  <c r="W406" i="9"/>
  <c r="M226" i="9"/>
  <c r="M567" i="9"/>
  <c r="M378" i="9"/>
  <c r="M645" i="9"/>
  <c r="M624" i="9"/>
  <c r="F437" i="9"/>
  <c r="F391" i="9"/>
  <c r="F712" i="9"/>
  <c r="O593" i="9"/>
  <c r="O361" i="9"/>
  <c r="M453" i="9"/>
  <c r="N654" i="9"/>
  <c r="E268" i="9"/>
  <c r="F268" i="9"/>
  <c r="F259" i="9"/>
  <c r="E456" i="9"/>
  <c r="E175" i="9"/>
  <c r="W635" i="9"/>
  <c r="W324" i="9"/>
  <c r="F672" i="9"/>
  <c r="E672" i="9"/>
  <c r="E452" i="9"/>
  <c r="F452" i="9"/>
  <c r="W517" i="9"/>
  <c r="F651" i="9"/>
  <c r="F242" i="9"/>
  <c r="E546" i="9"/>
  <c r="F546" i="9"/>
  <c r="F121" i="9"/>
  <c r="E411" i="9"/>
  <c r="F556" i="9"/>
  <c r="F438" i="9"/>
  <c r="E438" i="9"/>
  <c r="E667" i="9"/>
  <c r="F50" i="9"/>
  <c r="E82" i="9"/>
  <c r="F82" i="9"/>
  <c r="F493" i="9"/>
  <c r="F350" i="9"/>
  <c r="F441" i="9"/>
  <c r="W427" i="9"/>
  <c r="E479" i="9"/>
  <c r="F516" i="9"/>
  <c r="F306" i="9"/>
  <c r="E121" i="9"/>
  <c r="F19" i="9"/>
  <c r="F287" i="9"/>
  <c r="F129" i="9"/>
  <c r="E465" i="9"/>
  <c r="F168" i="9"/>
  <c r="E299" i="9"/>
  <c r="E454" i="9"/>
  <c r="E432" i="9"/>
  <c r="W395" i="9"/>
  <c r="F346" i="9"/>
  <c r="W346" i="9"/>
  <c r="F224" i="9"/>
  <c r="E561" i="9"/>
  <c r="W613" i="9"/>
  <c r="F345" i="9"/>
  <c r="E337" i="9"/>
  <c r="E302" i="9"/>
  <c r="F302" i="9"/>
  <c r="E529" i="9"/>
  <c r="F529" i="9"/>
  <c r="E603" i="9"/>
  <c r="W603" i="9"/>
  <c r="F603" i="9"/>
  <c r="E683" i="9"/>
  <c r="F683" i="9"/>
  <c r="E185" i="9"/>
  <c r="W185" i="9"/>
  <c r="E371" i="9"/>
  <c r="F371" i="9"/>
  <c r="E104" i="9"/>
  <c r="F104" i="9"/>
  <c r="E579" i="9"/>
  <c r="W384" i="9"/>
  <c r="E136" i="9"/>
  <c r="F136" i="9"/>
  <c r="E85" i="9"/>
  <c r="F85" i="9"/>
  <c r="W241" i="9"/>
  <c r="F227" i="9"/>
  <c r="W283" i="9"/>
  <c r="W580" i="9"/>
  <c r="E711" i="9"/>
  <c r="F675" i="9"/>
  <c r="W675" i="9"/>
  <c r="E311" i="9"/>
  <c r="E696" i="9"/>
  <c r="W175" i="9"/>
  <c r="W459" i="9"/>
  <c r="W639" i="9"/>
  <c r="M74" i="9"/>
  <c r="M689" i="9"/>
  <c r="N383" i="9"/>
  <c r="O645" i="9"/>
  <c r="N504" i="9"/>
  <c r="N589" i="9"/>
  <c r="E644" i="9"/>
  <c r="E326" i="9"/>
  <c r="N411" i="9"/>
  <c r="E139" i="9"/>
  <c r="F139" i="9"/>
  <c r="F613" i="9"/>
  <c r="F583" i="9"/>
  <c r="E583" i="9"/>
  <c r="E117" i="9"/>
  <c r="E262" i="9"/>
  <c r="O184" i="9"/>
  <c r="M552" i="9"/>
  <c r="F590" i="9"/>
  <c r="E590" i="9"/>
  <c r="E40" i="9"/>
  <c r="E265" i="9"/>
  <c r="F429" i="9"/>
  <c r="W651" i="9"/>
  <c r="E433" i="9"/>
  <c r="E192" i="9"/>
  <c r="E275" i="9"/>
  <c r="F551" i="9"/>
  <c r="E551" i="9"/>
  <c r="E127" i="9"/>
  <c r="E353" i="9"/>
  <c r="M209" i="9"/>
  <c r="W556" i="9"/>
  <c r="M597" i="9"/>
  <c r="M680" i="9"/>
  <c r="O444" i="9"/>
  <c r="E495" i="9"/>
  <c r="F495" i="9"/>
  <c r="W325" i="9"/>
  <c r="F325" i="9"/>
  <c r="F728" i="9"/>
  <c r="F417" i="9"/>
  <c r="E161" i="9"/>
  <c r="F161" i="9"/>
  <c r="E531" i="9"/>
  <c r="E201" i="9"/>
  <c r="F201" i="9"/>
  <c r="E549" i="9"/>
  <c r="W549" i="9"/>
  <c r="E620" i="9"/>
  <c r="E55" i="9"/>
  <c r="F55" i="9"/>
  <c r="E484" i="9"/>
  <c r="F484" i="9"/>
  <c r="M78" i="9"/>
  <c r="E624" i="9"/>
  <c r="F624" i="9"/>
  <c r="E144" i="9"/>
  <c r="E635" i="9"/>
  <c r="F635" i="9"/>
  <c r="E687" i="9"/>
  <c r="F687" i="9"/>
  <c r="E344" i="9"/>
  <c r="E396" i="9"/>
  <c r="O359" i="9"/>
  <c r="N300" i="9"/>
  <c r="O8" i="9"/>
  <c r="M182" i="9"/>
  <c r="E512" i="9"/>
  <c r="F659" i="9"/>
  <c r="E659" i="9"/>
  <c r="W712" i="9"/>
  <c r="E629" i="9"/>
  <c r="W629" i="9"/>
  <c r="E486" i="9"/>
  <c r="E216" i="9"/>
  <c r="F216" i="9"/>
  <c r="E239" i="9"/>
  <c r="M720" i="9"/>
  <c r="O575" i="9"/>
  <c r="O513" i="9"/>
  <c r="O258" i="9"/>
  <c r="M627" i="9"/>
  <c r="E509" i="9"/>
  <c r="F509" i="9"/>
  <c r="E379" i="9"/>
  <c r="F410" i="9"/>
  <c r="F184" i="9"/>
  <c r="F720" i="9"/>
  <c r="F92" i="9"/>
  <c r="E324" i="9"/>
  <c r="F324" i="9"/>
  <c r="E638" i="9"/>
  <c r="E197" i="9"/>
  <c r="F197" i="9"/>
  <c r="F692" i="9"/>
  <c r="E692" i="9"/>
  <c r="W53" i="9"/>
  <c r="F53" i="9"/>
  <c r="E586" i="9"/>
  <c r="F586" i="9"/>
  <c r="N170" i="9"/>
  <c r="N376" i="9"/>
  <c r="M335" i="9"/>
  <c r="M213" i="9"/>
  <c r="M342" i="9"/>
  <c r="W479" i="9"/>
  <c r="O241" i="9"/>
  <c r="M397" i="9"/>
  <c r="N655" i="9"/>
  <c r="F255" i="9"/>
  <c r="E318" i="9"/>
  <c r="E295" i="9"/>
  <c r="F335" i="9"/>
  <c r="F631" i="9"/>
  <c r="F114" i="9"/>
  <c r="E97" i="9"/>
  <c r="W528" i="9"/>
  <c r="F58" i="9"/>
  <c r="F62" i="9"/>
  <c r="F668" i="9"/>
  <c r="F617" i="9"/>
  <c r="F517" i="9"/>
  <c r="W104" i="9"/>
  <c r="F602" i="9"/>
  <c r="F143" i="9"/>
  <c r="E428" i="9"/>
  <c r="N438" i="9"/>
  <c r="L438" i="9"/>
  <c r="H465" i="9"/>
  <c r="O465" i="9"/>
  <c r="M687" i="9"/>
  <c r="H687" i="9"/>
  <c r="O92" i="9"/>
  <c r="N143" i="9"/>
  <c r="V450" i="9"/>
  <c r="V270" i="9"/>
  <c r="L304" i="9"/>
  <c r="O304" i="9"/>
  <c r="O78" i="9"/>
  <c r="L78" i="9"/>
  <c r="V669" i="9"/>
  <c r="O669" i="9"/>
  <c r="N422" i="9"/>
  <c r="V422" i="9"/>
  <c r="N244" i="9"/>
  <c r="O281" i="9"/>
  <c r="H281" i="9"/>
  <c r="M163" i="9"/>
  <c r="L393" i="9"/>
  <c r="L404" i="9"/>
  <c r="N253" i="9"/>
  <c r="V253" i="9"/>
  <c r="E477" i="9"/>
  <c r="N477" i="9"/>
  <c r="N587" i="9"/>
  <c r="O715" i="9"/>
  <c r="N50" i="9"/>
  <c r="H28" i="9"/>
  <c r="E77" i="9"/>
  <c r="M77" i="9"/>
  <c r="L77" i="9"/>
  <c r="E680" i="9"/>
  <c r="O480" i="9"/>
  <c r="N480" i="9"/>
  <c r="M81" i="9"/>
  <c r="H81" i="9"/>
  <c r="O81" i="9"/>
  <c r="E718" i="9"/>
  <c r="O718" i="9"/>
  <c r="L718" i="9"/>
  <c r="V296" i="9"/>
  <c r="O296" i="9"/>
  <c r="M20" i="9"/>
  <c r="N20" i="9"/>
  <c r="V358" i="9"/>
  <c r="V87" i="9"/>
  <c r="O87" i="9"/>
  <c r="N462" i="9"/>
  <c r="W58" i="9"/>
  <c r="N666" i="9"/>
  <c r="L127" i="9"/>
  <c r="O430" i="9"/>
  <c r="H430" i="9"/>
  <c r="L676" i="9"/>
  <c r="N11" i="9"/>
  <c r="V79" i="9"/>
  <c r="L192" i="9"/>
  <c r="V23" i="9"/>
  <c r="N23" i="9"/>
  <c r="H609" i="9"/>
  <c r="L609" i="9"/>
  <c r="M272" i="9"/>
  <c r="N272" i="9"/>
  <c r="O293" i="9"/>
  <c r="O604" i="9"/>
  <c r="O383" i="9"/>
  <c r="O395" i="9"/>
  <c r="N559" i="9"/>
  <c r="M211" i="9"/>
  <c r="O211" i="9"/>
  <c r="M254" i="9"/>
  <c r="O254" i="9"/>
  <c r="L380" i="9"/>
  <c r="E361" i="9"/>
  <c r="N678" i="9"/>
  <c r="M452" i="9"/>
  <c r="V452" i="9"/>
  <c r="N452" i="9"/>
  <c r="L402" i="9"/>
  <c r="L656" i="9"/>
  <c r="H656" i="9"/>
  <c r="N434" i="9"/>
  <c r="H434" i="9"/>
  <c r="M500" i="9"/>
  <c r="V500" i="9"/>
  <c r="L500" i="9"/>
  <c r="M714" i="9"/>
  <c r="L714" i="9"/>
  <c r="N714" i="9"/>
  <c r="O305" i="9"/>
  <c r="E131" i="9"/>
  <c r="M131" i="9"/>
  <c r="V131" i="9"/>
  <c r="O273" i="9"/>
  <c r="V273" i="9"/>
  <c r="H521" i="9"/>
  <c r="N622" i="9"/>
  <c r="M489" i="9"/>
  <c r="O439" i="9"/>
  <c r="E646" i="9"/>
  <c r="O646" i="9"/>
  <c r="M67" i="9"/>
  <c r="V67" i="9"/>
  <c r="E33" i="9"/>
  <c r="V33" i="9"/>
  <c r="L318" i="9"/>
  <c r="N318" i="9"/>
  <c r="H128" i="9"/>
  <c r="L128" i="9"/>
  <c r="O128" i="9"/>
  <c r="N128" i="9"/>
  <c r="M447" i="9"/>
  <c r="F39" i="9"/>
  <c r="V571" i="9"/>
  <c r="O571" i="9"/>
  <c r="M287" i="9"/>
  <c r="O287" i="9"/>
  <c r="F22" i="9"/>
  <c r="E174" i="9"/>
  <c r="M174" i="9"/>
  <c r="V594" i="9"/>
  <c r="O218" i="9"/>
  <c r="F642" i="9"/>
  <c r="V642" i="9"/>
  <c r="M642" i="9"/>
  <c r="N642" i="9"/>
  <c r="L350" i="9"/>
  <c r="N115" i="9"/>
  <c r="M44" i="9"/>
  <c r="N44" i="9"/>
  <c r="H151" i="9"/>
  <c r="M632" i="9"/>
  <c r="L632" i="9"/>
  <c r="V632" i="9"/>
  <c r="L522" i="9"/>
  <c r="N522" i="9"/>
  <c r="H17" i="9"/>
  <c r="V506" i="9"/>
  <c r="M493" i="9"/>
  <c r="L493" i="9"/>
  <c r="H493" i="9"/>
  <c r="L533" i="9"/>
  <c r="O533" i="9"/>
  <c r="M300" i="9"/>
  <c r="M231" i="9"/>
  <c r="N351" i="9"/>
  <c r="M173" i="9"/>
  <c r="M681" i="9"/>
  <c r="N6" i="9"/>
  <c r="M321" i="9"/>
  <c r="L475" i="9"/>
  <c r="O475" i="9"/>
  <c r="N475" i="9"/>
  <c r="M161" i="9"/>
  <c r="V73" i="9"/>
  <c r="E555" i="9"/>
  <c r="E567" i="9"/>
  <c r="L567" i="9"/>
  <c r="O301" i="9"/>
  <c r="N306" i="9"/>
  <c r="M692" i="9"/>
  <c r="H692" i="9"/>
  <c r="E476" i="9"/>
  <c r="E16" i="9"/>
  <c r="H62" i="9"/>
  <c r="V62" i="9"/>
  <c r="E228" i="9"/>
  <c r="M228" i="9"/>
  <c r="L228" i="9"/>
  <c r="V228" i="9"/>
  <c r="O303" i="9"/>
  <c r="V124" i="9"/>
  <c r="H308" i="9"/>
  <c r="M451" i="9"/>
  <c r="L451" i="9"/>
  <c r="L605" i="9"/>
  <c r="V64" i="9"/>
  <c r="N674" i="9"/>
  <c r="H243" i="9"/>
  <c r="V243" i="9"/>
  <c r="M137" i="9"/>
  <c r="O137" i="9"/>
  <c r="L137" i="9"/>
  <c r="M640" i="9"/>
  <c r="V640" i="9"/>
  <c r="L640" i="9"/>
  <c r="E502" i="9"/>
  <c r="M502" i="9"/>
  <c r="O650" i="9"/>
  <c r="H650" i="9"/>
  <c r="W463" i="9"/>
  <c r="V530" i="9"/>
  <c r="N647" i="9"/>
  <c r="M419" i="9"/>
  <c r="O419" i="9"/>
  <c r="O496" i="9"/>
  <c r="O425" i="9"/>
  <c r="M711" i="9"/>
  <c r="V72" i="9"/>
  <c r="M72" i="9"/>
  <c r="O72" i="9"/>
  <c r="V532" i="9"/>
  <c r="N532" i="9"/>
  <c r="O442" i="9"/>
  <c r="M379" i="9"/>
  <c r="H379" i="9"/>
  <c r="V673" i="9"/>
  <c r="L673" i="9"/>
  <c r="H527" i="9"/>
  <c r="V527" i="9"/>
  <c r="O547" i="9"/>
  <c r="N547" i="9"/>
  <c r="N65" i="9"/>
  <c r="L338" i="9"/>
  <c r="H703" i="9"/>
  <c r="V229" i="9"/>
  <c r="O569" i="9"/>
  <c r="V569" i="9"/>
  <c r="H569" i="9"/>
  <c r="M586" i="9"/>
  <c r="N375" i="9"/>
  <c r="N212" i="9"/>
  <c r="M558" i="9"/>
  <c r="N581" i="9"/>
  <c r="N597" i="9"/>
  <c r="N651" i="9"/>
  <c r="N624" i="9"/>
  <c r="M179" i="9"/>
  <c r="H302" i="9"/>
  <c r="L607" i="9"/>
  <c r="V607" i="9"/>
  <c r="L484" i="9"/>
  <c r="H426" i="9"/>
  <c r="L426" i="9"/>
  <c r="M255" i="9"/>
  <c r="L255" i="9"/>
  <c r="L409" i="9"/>
  <c r="N29" i="9"/>
  <c r="F370" i="9"/>
  <c r="H370" i="9"/>
  <c r="H148" i="9"/>
  <c r="N148" i="9"/>
  <c r="V643" i="9"/>
  <c r="L643" i="9"/>
  <c r="N195" i="9"/>
  <c r="M135" i="9"/>
  <c r="H135" i="9"/>
  <c r="L290" i="9"/>
  <c r="N290" i="9"/>
  <c r="H514" i="9"/>
  <c r="M407" i="9"/>
  <c r="O407" i="9"/>
  <c r="H5" i="9"/>
  <c r="V54" i="9"/>
  <c r="V57" i="9"/>
  <c r="N57" i="9"/>
  <c r="O363" i="9"/>
  <c r="L363" i="9"/>
  <c r="E414" i="9"/>
  <c r="M631" i="9"/>
  <c r="N631" i="9"/>
  <c r="O343" i="9"/>
  <c r="M343" i="9"/>
  <c r="L343" i="9"/>
  <c r="E47" i="9"/>
  <c r="M47" i="9"/>
  <c r="L47" i="9"/>
  <c r="V47" i="9"/>
  <c r="M366" i="9"/>
  <c r="E187" i="9"/>
  <c r="H716" i="9"/>
  <c r="E236" i="9"/>
  <c r="H236" i="9"/>
  <c r="H536" i="9"/>
  <c r="L546" i="9"/>
  <c r="O191" i="9"/>
  <c r="N191" i="9"/>
  <c r="L82" i="9"/>
  <c r="O82" i="9"/>
  <c r="O132" i="9"/>
  <c r="O659" i="9"/>
  <c r="M186" i="9"/>
  <c r="H186" i="9"/>
  <c r="O668" i="9"/>
  <c r="M239" i="9"/>
  <c r="O239" i="9"/>
  <c r="L239" i="9"/>
  <c r="H582" i="9"/>
  <c r="H56" i="9"/>
  <c r="N56" i="9"/>
  <c r="N572" i="9"/>
  <c r="V572" i="9"/>
  <c r="H572" i="9"/>
  <c r="O602" i="9"/>
  <c r="M224" i="9"/>
  <c r="N224" i="9"/>
  <c r="O391" i="9"/>
  <c r="N637" i="9"/>
  <c r="V579" i="9"/>
  <c r="V388" i="9"/>
  <c r="L388" i="9"/>
  <c r="M386" i="9"/>
  <c r="N639" i="9"/>
  <c r="O160" i="9"/>
  <c r="N330" i="9"/>
  <c r="O88" i="9"/>
  <c r="N238" i="9"/>
  <c r="N473" i="9"/>
  <c r="L467" i="9"/>
  <c r="O467" i="9"/>
  <c r="W421" i="9"/>
  <c r="L421" i="9"/>
  <c r="H197" i="9"/>
  <c r="N197" i="9"/>
  <c r="O197" i="9"/>
  <c r="M129" i="9"/>
  <c r="N129" i="9"/>
  <c r="H129" i="9"/>
  <c r="O266" i="9"/>
  <c r="O96" i="9"/>
  <c r="V96" i="9"/>
  <c r="V278" i="9"/>
  <c r="O482" i="9"/>
  <c r="M691" i="9"/>
  <c r="N691" i="9"/>
  <c r="M551" i="9"/>
  <c r="N551" i="9"/>
  <c r="O52" i="9"/>
  <c r="L453" i="9"/>
  <c r="N488" i="9"/>
  <c r="L61" i="9"/>
  <c r="O61" i="9"/>
  <c r="O108" i="9"/>
  <c r="L652" i="9"/>
  <c r="N677" i="9"/>
  <c r="V55" i="9"/>
  <c r="O55" i="9"/>
  <c r="V177" i="9"/>
  <c r="O177" i="9"/>
  <c r="V408" i="9"/>
  <c r="N408" i="9"/>
  <c r="H156" i="9"/>
  <c r="L627" i="9"/>
  <c r="H399" i="9"/>
  <c r="M345" i="9"/>
  <c r="E698" i="9"/>
  <c r="M698" i="9"/>
  <c r="E234" i="9"/>
  <c r="O234" i="9"/>
  <c r="V234" i="9"/>
  <c r="L683" i="9"/>
  <c r="H683" i="9"/>
  <c r="E552" i="9"/>
  <c r="V552" i="9"/>
  <c r="N552" i="9"/>
  <c r="O614" i="9"/>
  <c r="W688" i="9"/>
  <c r="N688" i="9"/>
  <c r="O512" i="9"/>
  <c r="N512" i="9"/>
  <c r="V247" i="9"/>
  <c r="M247" i="9"/>
  <c r="M671" i="9"/>
  <c r="H671" i="9"/>
  <c r="N671" i="9"/>
  <c r="O671" i="9"/>
  <c r="L671" i="9"/>
  <c r="N429" i="9"/>
  <c r="O410" i="9"/>
  <c r="O617" i="9"/>
  <c r="O568" i="9"/>
  <c r="V568" i="9"/>
  <c r="O335" i="9"/>
  <c r="N335" i="9"/>
  <c r="V411" i="9"/>
  <c r="M411" i="9"/>
  <c r="O411" i="9"/>
  <c r="W503" i="9"/>
  <c r="M700" i="9"/>
  <c r="N700" i="9"/>
  <c r="O166" i="9"/>
  <c r="M588" i="9"/>
  <c r="O588" i="9"/>
  <c r="V588" i="9"/>
  <c r="L208" i="9"/>
  <c r="V269" i="9"/>
  <c r="M433" i="9"/>
  <c r="L162" i="9"/>
  <c r="M46" i="9"/>
  <c r="H46" i="9"/>
  <c r="V46" i="9"/>
  <c r="O46" i="9"/>
  <c r="M112" i="9"/>
  <c r="O505" i="9"/>
  <c r="O347" i="9"/>
  <c r="M585" i="9"/>
  <c r="N265" i="9"/>
  <c r="M356" i="9"/>
  <c r="N105" i="9"/>
  <c r="O415" i="9"/>
  <c r="O479" i="9"/>
  <c r="F57" i="9"/>
  <c r="E189" i="9"/>
  <c r="F189" i="9"/>
  <c r="E637" i="9"/>
  <c r="F637" i="9"/>
  <c r="E407" i="9"/>
  <c r="F407" i="9"/>
  <c r="E243" i="9"/>
  <c r="F243" i="9"/>
  <c r="E170" i="9"/>
  <c r="F170" i="9"/>
  <c r="E554" i="9"/>
  <c r="E395" i="9"/>
  <c r="E325" i="9"/>
  <c r="E688" i="9"/>
  <c r="E57" i="9"/>
  <c r="F419" i="9"/>
  <c r="F6" i="9"/>
  <c r="E417" i="9"/>
  <c r="F630" i="9"/>
  <c r="E180" i="9"/>
  <c r="F180" i="9"/>
  <c r="E389" i="9"/>
  <c r="F389" i="9"/>
  <c r="F395" i="9"/>
  <c r="F132" i="9"/>
  <c r="E728" i="9"/>
  <c r="F512" i="9"/>
  <c r="F528" i="9"/>
  <c r="E419" i="9"/>
  <c r="F265" i="9"/>
  <c r="E580" i="9"/>
  <c r="E409" i="9"/>
  <c r="F409" i="9"/>
  <c r="E79" i="9"/>
  <c r="F79" i="9"/>
  <c r="E8" i="9"/>
  <c r="F8" i="9"/>
  <c r="E524" i="9"/>
  <c r="E713" i="9"/>
  <c r="W713" i="9"/>
  <c r="E307" i="9"/>
  <c r="F307" i="9"/>
  <c r="E568" i="9"/>
  <c r="F568" i="9"/>
  <c r="E327" i="9"/>
  <c r="F327" i="9"/>
  <c r="F188" i="9"/>
  <c r="E708" i="9"/>
  <c r="F708" i="9"/>
  <c r="W534" i="9"/>
  <c r="F534" i="9"/>
  <c r="F656" i="9"/>
  <c r="W327" i="9"/>
  <c r="F222" i="9"/>
  <c r="E355" i="9"/>
  <c r="F355" i="9"/>
  <c r="E649" i="9"/>
  <c r="W696" i="9"/>
  <c r="E505" i="9"/>
  <c r="F505" i="9"/>
  <c r="E219" i="9"/>
  <c r="F219" i="9"/>
  <c r="E195" i="9"/>
  <c r="F195" i="9"/>
  <c r="F462" i="9"/>
  <c r="F374" i="9"/>
  <c r="E533" i="9"/>
  <c r="W307" i="9"/>
  <c r="E420" i="9"/>
  <c r="F420" i="9"/>
  <c r="F185" i="9"/>
  <c r="F536" i="9"/>
  <c r="F549" i="9"/>
  <c r="W300" i="9"/>
  <c r="W483" i="9"/>
  <c r="E633" i="9"/>
  <c r="E499" i="9"/>
  <c r="F247" i="9"/>
  <c r="F349" i="9"/>
  <c r="E383" i="9"/>
  <c r="F313" i="9"/>
  <c r="F396" i="9"/>
  <c r="E313" i="9"/>
  <c r="W667" i="9"/>
  <c r="W396" i="9"/>
  <c r="W313" i="9"/>
  <c r="W597" i="9"/>
  <c r="E597" i="9"/>
  <c r="E126" i="9"/>
  <c r="F67" i="9"/>
  <c r="E67" i="9"/>
  <c r="E584" i="9"/>
  <c r="F584" i="9"/>
  <c r="E212" i="9"/>
  <c r="W378" i="9"/>
  <c r="W133" i="9"/>
  <c r="F13" i="9"/>
  <c r="F623" i="9"/>
  <c r="E217" i="9"/>
  <c r="E333" i="9"/>
  <c r="E450" i="9"/>
  <c r="F450" i="9"/>
  <c r="E301" i="9"/>
  <c r="F301" i="9"/>
  <c r="E119" i="9"/>
  <c r="F119" i="9"/>
  <c r="E105" i="9"/>
  <c r="F519" i="9"/>
  <c r="F383" i="9"/>
  <c r="E349" i="9"/>
  <c r="F358" i="9"/>
  <c r="E519" i="9"/>
  <c r="F60" i="9"/>
  <c r="F378" i="9"/>
  <c r="W456" i="9"/>
  <c r="W623" i="9"/>
  <c r="W13" i="9"/>
  <c r="W355" i="9"/>
  <c r="W584" i="9"/>
  <c r="F191" i="9"/>
  <c r="F356" i="9"/>
  <c r="F377" i="9"/>
  <c r="F266" i="9"/>
  <c r="F639" i="9"/>
  <c r="E44" i="9"/>
  <c r="F41" i="9"/>
  <c r="E425" i="9"/>
  <c r="E60" i="9"/>
  <c r="E41" i="9"/>
  <c r="F390" i="9"/>
  <c r="F133" i="9"/>
  <c r="F503" i="9"/>
  <c r="E269" i="9"/>
  <c r="F254" i="9"/>
  <c r="E254" i="9"/>
  <c r="E658" i="9"/>
  <c r="E665" i="9"/>
  <c r="F665" i="9"/>
  <c r="F463" i="9"/>
  <c r="E202" i="9"/>
  <c r="W202" i="9"/>
  <c r="E63" i="9"/>
  <c r="F481" i="9"/>
  <c r="E653" i="9"/>
  <c r="E46" i="9"/>
  <c r="E406" i="9"/>
  <c r="F406" i="9"/>
  <c r="W146" i="9"/>
  <c r="E457" i="9"/>
  <c r="F457" i="9"/>
  <c r="E341" i="9"/>
  <c r="W341" i="9"/>
  <c r="E172" i="9"/>
  <c r="E684" i="9"/>
  <c r="E609" i="9"/>
  <c r="E108" i="9"/>
  <c r="W633" i="9"/>
  <c r="F272" i="9"/>
  <c r="E118" i="9"/>
  <c r="F23" i="9"/>
  <c r="F229" i="9"/>
  <c r="F118" i="9"/>
  <c r="E225" i="9"/>
  <c r="W225" i="9"/>
  <c r="E272" i="9"/>
  <c r="F544" i="9"/>
  <c r="E72" i="9"/>
  <c r="E611" i="9"/>
  <c r="W410" i="9"/>
  <c r="E655" i="9"/>
  <c r="F638" i="9"/>
  <c r="F626" i="9"/>
  <c r="F369" i="9"/>
  <c r="F596" i="9"/>
  <c r="E88" i="9"/>
  <c r="F581" i="9"/>
  <c r="F722" i="9"/>
  <c r="E293" i="9"/>
  <c r="F576" i="9"/>
  <c r="F342" i="9"/>
  <c r="E473" i="9"/>
  <c r="F504" i="9"/>
  <c r="F446" i="9"/>
  <c r="F207" i="9"/>
  <c r="F24" i="9"/>
  <c r="F361" i="9"/>
  <c r="W655" i="9"/>
  <c r="F589" i="9"/>
  <c r="W665" i="9"/>
  <c r="F660" i="9"/>
  <c r="F645" i="9"/>
  <c r="F76" i="9"/>
  <c r="W350" i="9"/>
  <c r="E413" i="9"/>
  <c r="F174" i="9"/>
  <c r="F14" i="9"/>
  <c r="F705" i="9"/>
  <c r="W172" i="9"/>
  <c r="W585" i="9"/>
  <c r="W126" i="9"/>
  <c r="W293" i="9"/>
  <c r="E697" i="9"/>
  <c r="F159" i="9"/>
  <c r="F330" i="9"/>
  <c r="F214" i="9"/>
  <c r="W548" i="9"/>
  <c r="F213" i="9"/>
  <c r="W473" i="9"/>
  <c r="W359" i="9"/>
  <c r="W169" i="9"/>
  <c r="W51" i="9"/>
  <c r="E181" i="9"/>
  <c r="F68" i="9"/>
  <c r="F45" i="9"/>
  <c r="E539" i="9"/>
  <c r="F548" i="9"/>
  <c r="F198" i="9"/>
  <c r="W24" i="9"/>
  <c r="F113" i="9"/>
  <c r="F717" i="9"/>
  <c r="W523" i="9"/>
  <c r="F564" i="9"/>
  <c r="F397" i="9"/>
  <c r="E160" i="9"/>
  <c r="F559" i="9"/>
  <c r="F102" i="9"/>
  <c r="F204" i="9"/>
  <c r="E695" i="9"/>
  <c r="E564" i="9"/>
  <c r="F428" i="9"/>
  <c r="W215" i="9"/>
  <c r="W588" i="9"/>
  <c r="F585" i="9"/>
  <c r="E257" i="9"/>
  <c r="F258" i="9"/>
  <c r="W239" i="9"/>
  <c r="W397" i="9"/>
  <c r="W97" i="9"/>
  <c r="W114" i="9"/>
  <c r="W317" i="9"/>
  <c r="W151" i="9"/>
  <c r="F77" i="9"/>
  <c r="W63" i="9"/>
  <c r="F16" i="9"/>
  <c r="W166" i="9"/>
  <c r="W700" i="9"/>
  <c r="F599" i="9"/>
  <c r="F140" i="9"/>
  <c r="W592" i="9"/>
  <c r="W508" i="9"/>
  <c r="F317" i="9"/>
  <c r="W497" i="9"/>
  <c r="W413" i="9"/>
  <c r="W117" i="9"/>
  <c r="W136" i="9"/>
  <c r="W554" i="9"/>
  <c r="W371" i="9"/>
  <c r="W45" i="9"/>
  <c r="W207" i="9"/>
  <c r="W705" i="9"/>
  <c r="W88" i="9"/>
  <c r="W204" i="9"/>
  <c r="W369" i="9"/>
  <c r="W520" i="9"/>
  <c r="W60" i="9"/>
  <c r="E370" i="9"/>
  <c r="E642" i="9"/>
  <c r="W582" i="9"/>
  <c r="W379" i="9"/>
  <c r="W188" i="9"/>
  <c r="W356" i="9"/>
  <c r="W147" i="9"/>
  <c r="W285" i="9"/>
  <c r="W44" i="9"/>
  <c r="W462" i="9"/>
  <c r="W40" i="9"/>
  <c r="E291" i="9"/>
  <c r="W460" i="9"/>
  <c r="W682" i="9"/>
  <c r="W127" i="9"/>
  <c r="W668" i="9"/>
  <c r="W673" i="9"/>
  <c r="W333" i="9"/>
  <c r="W600" i="9"/>
  <c r="F51" i="9"/>
  <c r="F701" i="9"/>
  <c r="F292" i="9"/>
  <c r="W342" i="9"/>
  <c r="W14" i="9"/>
  <c r="F508" i="9"/>
  <c r="F433" i="9"/>
  <c r="E604" i="9"/>
  <c r="F169" i="9"/>
  <c r="W697" i="9"/>
  <c r="F706" i="9"/>
  <c r="W595" i="9"/>
  <c r="W246" i="9"/>
  <c r="W219" i="9"/>
  <c r="F353" i="9"/>
  <c r="F109" i="9"/>
  <c r="F550" i="9"/>
  <c r="F600" i="9"/>
  <c r="W311" i="9"/>
  <c r="F414" i="9"/>
  <c r="W168" i="9"/>
  <c r="W389" i="9"/>
  <c r="F47" i="9"/>
  <c r="F673" i="9"/>
  <c r="E681" i="9"/>
  <c r="F238" i="9"/>
  <c r="W256" i="9"/>
  <c r="W238" i="9"/>
  <c r="W82" i="9"/>
  <c r="W513" i="9"/>
  <c r="W524" i="9"/>
  <c r="W183" i="9"/>
  <c r="W337" i="9"/>
  <c r="W189" i="9"/>
  <c r="W590" i="9"/>
  <c r="W19" i="9"/>
  <c r="W486" i="9"/>
  <c r="W8" i="9"/>
  <c r="W242" i="9"/>
  <c r="W292" i="9"/>
  <c r="W68" i="9"/>
  <c r="W226" i="9"/>
  <c r="W717" i="9"/>
  <c r="W706" i="9"/>
  <c r="W550" i="9"/>
  <c r="W214" i="9"/>
  <c r="W140" i="9"/>
  <c r="W446" i="9"/>
  <c r="W559" i="9"/>
  <c r="W213" i="9"/>
  <c r="E351" i="9"/>
  <c r="E400" i="9"/>
  <c r="E492" i="9"/>
  <c r="E535" i="9"/>
  <c r="E321" i="9"/>
  <c r="E347" i="9"/>
  <c r="W589" i="9"/>
  <c r="W159" i="9"/>
  <c r="E179" i="9"/>
  <c r="E223" i="9"/>
  <c r="F215" i="9"/>
  <c r="E215" i="9"/>
  <c r="E282" i="9"/>
  <c r="E245" i="9"/>
  <c r="E36" i="9"/>
  <c r="E689" i="9"/>
  <c r="W284" i="9"/>
  <c r="W626" i="9"/>
  <c r="F698" i="9"/>
  <c r="F497" i="9"/>
  <c r="E166" i="9"/>
  <c r="F166" i="9"/>
  <c r="F553" i="9"/>
  <c r="W247" i="9"/>
  <c r="F10" i="9"/>
  <c r="F112" i="9"/>
  <c r="F487" i="9"/>
  <c r="E277" i="9"/>
  <c r="F375" i="9"/>
  <c r="W423" i="9"/>
  <c r="E26" i="9"/>
  <c r="E340" i="9"/>
  <c r="F226" i="9"/>
  <c r="E226" i="9"/>
  <c r="F415" i="9"/>
  <c r="F385" i="9"/>
  <c r="F138" i="9"/>
  <c r="F322" i="9"/>
  <c r="E18" i="9"/>
  <c r="F700" i="9"/>
  <c r="F682" i="9"/>
  <c r="F460" i="9"/>
  <c r="W180" i="9"/>
  <c r="W370" i="9"/>
  <c r="W81" i="9"/>
  <c r="E39" i="9"/>
  <c r="F239" i="9"/>
  <c r="F477" i="9"/>
  <c r="F87" i="9"/>
  <c r="F680" i="9"/>
  <c r="W680" i="9"/>
  <c r="F127" i="9"/>
  <c r="F295" i="9"/>
  <c r="F275" i="9"/>
  <c r="W484" i="9"/>
  <c r="W259" i="9"/>
  <c r="F579" i="9"/>
  <c r="W414" i="9"/>
  <c r="F432" i="9"/>
  <c r="E93" i="9"/>
  <c r="F93" i="9"/>
  <c r="F81" i="9"/>
  <c r="F454" i="9"/>
  <c r="E449" i="9"/>
  <c r="F449" i="9"/>
  <c r="E384" i="9"/>
  <c r="F384" i="9"/>
  <c r="F561" i="9"/>
  <c r="F299" i="9"/>
  <c r="E588" i="9"/>
  <c r="F588" i="9"/>
  <c r="F97" i="9"/>
  <c r="W698" i="9"/>
  <c r="F228" i="9"/>
  <c r="W642" i="9"/>
  <c r="F555" i="9"/>
  <c r="W16" i="9"/>
  <c r="F533" i="9"/>
  <c r="W108" i="9"/>
  <c r="W61" i="9"/>
  <c r="W425" i="9"/>
  <c r="W301" i="9"/>
  <c r="F144" i="9"/>
  <c r="E523" i="9"/>
  <c r="F523" i="9"/>
  <c r="W429" i="9"/>
  <c r="W209" i="9"/>
  <c r="W228" i="9"/>
  <c r="W692" i="9"/>
  <c r="W687" i="9"/>
  <c r="E100" i="9"/>
  <c r="W218" i="9"/>
  <c r="E22" i="9"/>
  <c r="E152" i="9"/>
  <c r="F152" i="9"/>
  <c r="E558" i="9"/>
  <c r="W558" i="9"/>
  <c r="W617" i="9"/>
  <c r="E278" i="9"/>
  <c r="E200" i="9"/>
  <c r="W200" i="9"/>
  <c r="E165" i="9"/>
  <c r="F165" i="9"/>
  <c r="F671" i="9"/>
  <c r="E336" i="9"/>
  <c r="W716" i="9"/>
  <c r="E343" i="9"/>
  <c r="F135" i="9"/>
  <c r="W195" i="9"/>
  <c r="W426" i="9"/>
  <c r="E442" i="9"/>
  <c r="F308" i="9"/>
  <c r="W555" i="9"/>
  <c r="W25" i="9"/>
  <c r="E560" i="9"/>
  <c r="W87" i="9"/>
  <c r="E87" i="9"/>
  <c r="W358" i="9"/>
  <c r="W720" i="9"/>
  <c r="W77" i="9"/>
  <c r="W477" i="9"/>
  <c r="E163" i="9"/>
  <c r="E399" i="9"/>
  <c r="F399" i="9"/>
  <c r="F488" i="9"/>
  <c r="W654" i="9"/>
  <c r="W516" i="9"/>
  <c r="W255" i="9"/>
  <c r="F647" i="9"/>
  <c r="E137" i="9"/>
  <c r="E494" i="9"/>
  <c r="W656" i="9"/>
  <c r="W361" i="9"/>
  <c r="E593" i="9"/>
  <c r="F480" i="9"/>
  <c r="E721" i="9"/>
  <c r="W669" i="9"/>
  <c r="W78" i="9"/>
  <c r="W377" i="9"/>
  <c r="W566" i="9"/>
  <c r="E726" i="9"/>
  <c r="F726" i="9"/>
  <c r="W335" i="9"/>
  <c r="W55" i="9"/>
  <c r="W652" i="9"/>
  <c r="E388" i="9"/>
  <c r="E5" i="9"/>
  <c r="W302" i="9"/>
  <c r="W47" i="9"/>
  <c r="W57" i="9"/>
  <c r="W20" i="9"/>
  <c r="F279" i="9"/>
  <c r="E279" i="9"/>
  <c r="F40" i="9"/>
  <c r="F262" i="9"/>
  <c r="F620" i="9"/>
  <c r="F326" i="9"/>
  <c r="W683" i="9"/>
  <c r="F408" i="9"/>
  <c r="E482" i="9"/>
  <c r="W197" i="9"/>
  <c r="F73" i="9"/>
  <c r="F273" i="9"/>
  <c r="W50" i="9"/>
  <c r="W532" i="9"/>
  <c r="W402" i="9"/>
  <c r="F476" i="9"/>
  <c r="F270" i="9"/>
  <c r="W411" i="9"/>
  <c r="W677" i="9"/>
  <c r="W551" i="9"/>
  <c r="F29" i="9"/>
  <c r="W409" i="9"/>
  <c r="E547" i="9"/>
  <c r="E124" i="9"/>
  <c r="W306" i="9"/>
  <c r="W318" i="9"/>
  <c r="W678" i="9"/>
  <c r="W254" i="9"/>
  <c r="F211" i="9"/>
  <c r="E211" i="9"/>
  <c r="W428" i="9"/>
  <c r="W714" i="9"/>
  <c r="W475" i="9"/>
  <c r="E359" i="9"/>
  <c r="F359" i="9"/>
  <c r="E162" i="9"/>
  <c r="E177" i="9"/>
  <c r="E691" i="9"/>
  <c r="W290" i="9"/>
  <c r="E569" i="9"/>
  <c r="E527" i="9"/>
  <c r="W149" i="9"/>
  <c r="F61" i="9"/>
  <c r="F131" i="9"/>
  <c r="E270" i="9"/>
  <c r="W476" i="9"/>
  <c r="W499" i="9"/>
  <c r="W39" i="9"/>
  <c r="W407" i="9"/>
  <c r="W498" i="9"/>
  <c r="W568" i="9"/>
  <c r="F614" i="9"/>
  <c r="E572" i="9"/>
  <c r="W536" i="9"/>
  <c r="F366" i="9"/>
  <c r="W514" i="9"/>
  <c r="E643" i="9"/>
  <c r="E607" i="9"/>
  <c r="E65" i="9"/>
  <c r="W243" i="9"/>
  <c r="F594" i="9"/>
  <c r="E622" i="9"/>
  <c r="W452" i="9"/>
  <c r="E380" i="9"/>
  <c r="W557" i="9"/>
  <c r="W404" i="9"/>
  <c r="W450" i="9"/>
  <c r="E592" i="9"/>
  <c r="F592" i="9"/>
  <c r="F379" i="9"/>
  <c r="F344" i="9"/>
  <c r="F531" i="9"/>
  <c r="W419" i="9"/>
  <c r="F644" i="9"/>
  <c r="W156" i="9"/>
  <c r="E186" i="9"/>
  <c r="W640" i="9"/>
  <c r="E61" i="9"/>
  <c r="W530" i="9"/>
  <c r="E453" i="9"/>
  <c r="E96" i="9"/>
  <c r="W129" i="9"/>
  <c r="W546" i="9"/>
  <c r="W583" i="9"/>
  <c r="W630" i="9"/>
  <c r="E674" i="9"/>
  <c r="W62" i="9"/>
  <c r="W161" i="9"/>
  <c r="E515" i="9"/>
  <c r="E522" i="9"/>
  <c r="W444" i="9"/>
  <c r="F305" i="9"/>
  <c r="W434" i="9"/>
  <c r="E666" i="9"/>
  <c r="F296" i="9"/>
  <c r="W28" i="9"/>
  <c r="E253" i="9"/>
  <c r="W438" i="9"/>
  <c r="F318" i="9"/>
  <c r="F611" i="9"/>
  <c r="F192" i="9"/>
  <c r="F291" i="9"/>
  <c r="F718" i="9"/>
  <c r="E483" i="9"/>
  <c r="F483" i="9"/>
  <c r="F646" i="9"/>
  <c r="W234" i="9"/>
  <c r="F236" i="9"/>
  <c r="W502" i="9"/>
  <c r="W236" i="9"/>
  <c r="W646" i="9"/>
  <c r="E203" i="9"/>
  <c r="F203" i="9"/>
  <c r="F653" i="9"/>
  <c r="F63" i="9"/>
  <c r="F558" i="9"/>
  <c r="W105" i="9"/>
  <c r="F200" i="9"/>
  <c r="F333" i="9"/>
  <c r="W399" i="9"/>
  <c r="F105" i="9"/>
  <c r="F658" i="9"/>
  <c r="W552" i="9"/>
  <c r="E11" i="9"/>
  <c r="F11" i="9"/>
  <c r="F187" i="9"/>
  <c r="E676" i="9"/>
  <c r="F676" i="9"/>
  <c r="E151" i="9"/>
  <c r="F151" i="9"/>
  <c r="E530" i="9"/>
  <c r="F530" i="9"/>
  <c r="F552" i="9"/>
  <c r="F234" i="9"/>
  <c r="E81" i="9"/>
  <c r="W33" i="9"/>
  <c r="F567" i="9"/>
  <c r="F212" i="9"/>
  <c r="F609" i="9"/>
  <c r="E146" i="9"/>
  <c r="F146" i="9"/>
  <c r="F684" i="9"/>
  <c r="F46" i="9"/>
  <c r="F44" i="9"/>
  <c r="F33" i="9"/>
  <c r="W718" i="9"/>
  <c r="W217" i="9"/>
  <c r="W567" i="9"/>
  <c r="F502" i="9"/>
  <c r="W187" i="9"/>
  <c r="F217" i="9"/>
  <c r="W466" i="9"/>
  <c r="W116" i="9"/>
  <c r="W398" i="9"/>
  <c r="W288" i="9"/>
  <c r="W314" i="9"/>
  <c r="W461" i="9"/>
  <c r="W328" i="9"/>
  <c r="W240" i="9"/>
  <c r="W448" i="9"/>
  <c r="W690" i="9"/>
  <c r="W485" i="9"/>
  <c r="W679" i="9"/>
  <c r="W686" i="9"/>
  <c r="W511" i="9"/>
  <c r="W606" i="9"/>
  <c r="W490" i="9"/>
  <c r="W34" i="9"/>
  <c r="W648" i="9"/>
  <c r="W650" i="9"/>
  <c r="F650" i="9"/>
  <c r="E650" i="9"/>
  <c r="W326" i="9"/>
  <c r="W237" i="9"/>
  <c r="W509" i="9"/>
  <c r="W544" i="9"/>
  <c r="W216" i="9"/>
  <c r="W212" i="9"/>
  <c r="W417" i="9"/>
  <c r="W586" i="9"/>
  <c r="W143" i="9"/>
  <c r="W265" i="9"/>
  <c r="W203" i="9"/>
  <c r="W41" i="9"/>
  <c r="F387" i="9"/>
  <c r="E575" i="9"/>
  <c r="W340" i="9"/>
  <c r="W26" i="9"/>
  <c r="W186" i="9"/>
  <c r="W442" i="9"/>
  <c r="W416" i="9"/>
  <c r="F575" i="9"/>
  <c r="W347" i="9"/>
  <c r="W666" i="9"/>
  <c r="W493" i="9"/>
  <c r="W277" i="9"/>
  <c r="W174" i="9"/>
  <c r="W645" i="9"/>
  <c r="W351" i="9"/>
  <c r="W257" i="9"/>
  <c r="F223" i="9"/>
  <c r="W223" i="9"/>
  <c r="W383" i="9"/>
  <c r="F18" i="9"/>
  <c r="F535" i="9"/>
  <c r="F400" i="9"/>
  <c r="F351" i="9"/>
  <c r="W689" i="9"/>
  <c r="W245" i="9"/>
  <c r="F282" i="9"/>
  <c r="F179" i="9"/>
  <c r="W321" i="9"/>
  <c r="W575" i="9"/>
  <c r="F36" i="9"/>
  <c r="W282" i="9"/>
  <c r="W179" i="9"/>
  <c r="F321" i="9"/>
  <c r="F689" i="9"/>
  <c r="F245" i="9"/>
  <c r="F347" i="9"/>
  <c r="W535" i="9"/>
  <c r="F492" i="9"/>
  <c r="W728" i="9"/>
  <c r="E387" i="9"/>
  <c r="W387" i="9"/>
  <c r="F26" i="9"/>
  <c r="W660" i="9"/>
  <c r="E138" i="9"/>
  <c r="W138" i="9"/>
  <c r="E415" i="9"/>
  <c r="W415" i="9"/>
  <c r="F277" i="9"/>
  <c r="E112" i="9"/>
  <c r="W112" i="9"/>
  <c r="E10" i="9"/>
  <c r="W10" i="9"/>
  <c r="W102" i="9"/>
  <c r="E487" i="9"/>
  <c r="W487" i="9"/>
  <c r="E322" i="9"/>
  <c r="W322" i="9"/>
  <c r="E385" i="9"/>
  <c r="W385" i="9"/>
  <c r="W400" i="9"/>
  <c r="W18" i="9"/>
  <c r="F340" i="9"/>
  <c r="E375" i="9"/>
  <c r="F442" i="9"/>
  <c r="F500" i="9"/>
  <c r="F522" i="9"/>
  <c r="W5" i="9"/>
  <c r="F494" i="9"/>
  <c r="F643" i="9"/>
  <c r="F5" i="9"/>
  <c r="W593" i="9"/>
  <c r="W124" i="9"/>
  <c r="F721" i="9"/>
  <c r="F343" i="9"/>
  <c r="W336" i="9"/>
  <c r="F124" i="9"/>
  <c r="W721" i="9"/>
  <c r="W343" i="9"/>
  <c r="F336" i="9"/>
  <c r="F52" i="9"/>
  <c r="F652" i="9"/>
  <c r="F560" i="9"/>
  <c r="F388" i="9"/>
  <c r="W253" i="9"/>
  <c r="F515" i="9"/>
  <c r="F674" i="9"/>
  <c r="F96" i="9"/>
  <c r="F453" i="9"/>
  <c r="F380" i="9"/>
  <c r="F622" i="9"/>
  <c r="F514" i="9"/>
  <c r="F569" i="9"/>
  <c r="F482" i="9"/>
  <c r="W163" i="9"/>
  <c r="W96" i="9"/>
  <c r="F186" i="9"/>
  <c r="W380" i="9"/>
  <c r="W622" i="9"/>
  <c r="F572" i="9"/>
  <c r="F547" i="9"/>
  <c r="W482" i="9"/>
  <c r="F401" i="9"/>
  <c r="W137" i="9"/>
  <c r="F163" i="9"/>
  <c r="W278" i="9"/>
  <c r="F253" i="9"/>
  <c r="W674" i="9"/>
  <c r="W453" i="9"/>
  <c r="W643" i="9"/>
  <c r="F162" i="9"/>
  <c r="F593" i="9"/>
  <c r="E587" i="9"/>
  <c r="W587" i="9"/>
  <c r="E435" i="9"/>
  <c r="F435" i="9"/>
  <c r="E64" i="9"/>
  <c r="F64" i="9"/>
  <c r="E496" i="9"/>
  <c r="F496" i="9"/>
  <c r="W496" i="9"/>
  <c r="E514" i="9"/>
  <c r="E290" i="9"/>
  <c r="F290" i="9"/>
  <c r="E506" i="9"/>
  <c r="F506" i="9"/>
  <c r="E54" i="9"/>
  <c r="F54" i="9"/>
  <c r="E652" i="9"/>
  <c r="F244" i="9"/>
  <c r="W139" i="9"/>
  <c r="E557" i="9"/>
  <c r="F557" i="9"/>
  <c r="E303" i="9"/>
  <c r="F303" i="9"/>
  <c r="E304" i="9"/>
  <c r="E248" i="9"/>
  <c r="F248" i="9"/>
  <c r="W248" i="9"/>
  <c r="E363" i="9"/>
  <c r="F363" i="9"/>
  <c r="W363" i="9"/>
  <c r="W296" i="9"/>
  <c r="E296" i="9"/>
  <c r="E382" i="9"/>
  <c r="F382" i="9"/>
  <c r="W382" i="9"/>
  <c r="W594" i="9"/>
  <c r="E594" i="9"/>
  <c r="E366" i="9"/>
  <c r="W366" i="9"/>
  <c r="F691" i="9"/>
  <c r="F177" i="9"/>
  <c r="W393" i="9"/>
  <c r="E393" i="9"/>
  <c r="F393" i="9"/>
  <c r="E703" i="9"/>
  <c r="F703" i="9"/>
  <c r="E73" i="9"/>
  <c r="W73" i="9"/>
  <c r="E422" i="9"/>
  <c r="F422" i="9"/>
  <c r="W422" i="9"/>
  <c r="E25" i="9"/>
  <c r="F25" i="9"/>
  <c r="E135" i="9"/>
  <c r="W135" i="9"/>
  <c r="W604" i="9"/>
  <c r="W506" i="9"/>
  <c r="W607" i="9"/>
  <c r="W177" i="9"/>
  <c r="E376" i="9"/>
  <c r="F376" i="9"/>
  <c r="E605" i="9"/>
  <c r="F605" i="9"/>
  <c r="E408" i="9"/>
  <c r="W408" i="9"/>
  <c r="E480" i="9"/>
  <c r="W480" i="9"/>
  <c r="W435" i="9"/>
  <c r="E447" i="9"/>
  <c r="F447" i="9"/>
  <c r="W447" i="9"/>
  <c r="E434" i="9"/>
  <c r="F434" i="9"/>
  <c r="E305" i="9"/>
  <c r="W305" i="9"/>
  <c r="F65" i="9"/>
  <c r="F607" i="9"/>
  <c r="W691" i="9"/>
  <c r="F521" i="9"/>
  <c r="E521" i="9"/>
  <c r="W521" i="9"/>
  <c r="W376" i="9"/>
  <c r="W605" i="9"/>
  <c r="E78" i="9"/>
  <c r="F78" i="9"/>
  <c r="W430" i="9"/>
  <c r="E439" i="9"/>
  <c r="F439" i="9"/>
  <c r="W439" i="9"/>
  <c r="E488" i="9"/>
  <c r="W488" i="9"/>
  <c r="E715" i="9"/>
  <c r="W715" i="9"/>
  <c r="F715" i="9"/>
  <c r="E430" i="9"/>
  <c r="F430" i="9"/>
  <c r="F666" i="9"/>
  <c r="E489" i="9"/>
  <c r="F489" i="9"/>
  <c r="W489" i="9"/>
  <c r="E148" i="9"/>
  <c r="W148" i="9"/>
  <c r="F148" i="9"/>
  <c r="F527" i="9"/>
  <c r="W304" i="9"/>
  <c r="E128" i="9"/>
  <c r="F128" i="9"/>
  <c r="W128" i="9"/>
  <c r="W54" i="9"/>
  <c r="E416" i="9"/>
  <c r="F416" i="9"/>
  <c r="E571" i="9"/>
  <c r="F571" i="9"/>
  <c r="W571" i="9"/>
  <c r="E308" i="9"/>
  <c r="W308" i="9"/>
  <c r="F587" i="9"/>
  <c r="E500" i="9"/>
  <c r="E444" i="9"/>
  <c r="F444" i="9"/>
  <c r="E627" i="9"/>
  <c r="W627" i="9"/>
  <c r="F627" i="9"/>
  <c r="W303" i="9"/>
  <c r="E614" i="9"/>
  <c r="W614" i="9"/>
  <c r="E149" i="9"/>
  <c r="F149" i="9"/>
  <c r="E56" i="9"/>
  <c r="F56" i="9"/>
  <c r="W92" i="9"/>
  <c r="F304" i="9"/>
  <c r="E281" i="9"/>
  <c r="W281" i="9"/>
  <c r="F281" i="9"/>
  <c r="E29" i="9"/>
  <c r="W29" i="9"/>
  <c r="E273" i="9"/>
  <c r="W273" i="9"/>
  <c r="W495" i="9"/>
  <c r="E451" i="9"/>
  <c r="F451" i="9"/>
  <c r="W451" i="9"/>
  <c r="E671" i="9"/>
  <c r="W671" i="9"/>
  <c r="W52" i="9"/>
  <c r="E52" i="9"/>
  <c r="W72" i="9"/>
  <c r="W64" i="9"/>
  <c r="E156" i="9"/>
  <c r="F156" i="9"/>
  <c r="E677" i="9"/>
  <c r="F677" i="9"/>
  <c r="W401" i="9"/>
  <c r="E401" i="9"/>
  <c r="W494" i="9"/>
  <c r="F137" i="9"/>
  <c r="E647" i="9"/>
  <c r="W647" i="9"/>
  <c r="E244" i="9"/>
  <c r="W244" i="9"/>
  <c r="F278" i="9"/>
  <c r="W36" i="9"/>
  <c r="W500" i="9"/>
  <c r="W512" i="9"/>
  <c r="W467" i="9"/>
  <c r="W481" i="9"/>
  <c r="W266" i="9"/>
  <c r="W67" i="9"/>
  <c r="W708" i="9"/>
  <c r="W349" i="9"/>
  <c r="W649" i="9"/>
  <c r="W131" i="9"/>
  <c r="W191" i="9"/>
  <c r="W170" i="9"/>
  <c r="W115" i="9"/>
  <c r="W173" i="9"/>
  <c r="W375" i="9"/>
  <c r="W576" i="9"/>
  <c r="W330" i="9"/>
  <c r="W258" i="9"/>
  <c r="W631" i="9"/>
  <c r="W504" i="9"/>
  <c r="W198" i="9"/>
  <c r="W6" i="9"/>
  <c r="W539" i="9"/>
  <c r="W581" i="9"/>
  <c r="W695" i="9"/>
  <c r="W465" i="9"/>
  <c r="W345" i="9"/>
  <c r="W181" i="9"/>
  <c r="W390" i="9"/>
  <c r="W545" i="9"/>
  <c r="W611" i="9"/>
  <c r="W224" i="9"/>
  <c r="W222" i="9"/>
  <c r="W703" i="9"/>
  <c r="W726" i="9"/>
  <c r="W160" i="9"/>
  <c r="W374" i="9"/>
  <c r="W553" i="9"/>
  <c r="W338" i="9"/>
  <c r="W522" i="9"/>
  <c r="W710" i="9"/>
  <c r="W432" i="9"/>
  <c r="W437" i="9"/>
  <c r="W344" i="9"/>
  <c r="W208" i="9"/>
  <c r="W561" i="9"/>
  <c r="W564" i="9"/>
  <c r="W162" i="9"/>
  <c r="W638" i="9"/>
  <c r="W269" i="9"/>
  <c r="W602" i="9"/>
  <c r="W295" i="9"/>
  <c r="W620" i="9"/>
  <c r="W658" i="9"/>
  <c r="W119" i="9"/>
  <c r="W152" i="9"/>
  <c r="W676" i="9"/>
  <c r="W262" i="9"/>
  <c r="W56" i="9"/>
  <c r="W93" i="9"/>
  <c r="W632" i="9"/>
  <c r="W531" i="9"/>
  <c r="W441" i="9"/>
  <c r="W79" i="9"/>
  <c r="W291" i="9"/>
  <c r="W449" i="9"/>
  <c r="W672" i="9"/>
  <c r="W118" i="9"/>
  <c r="W23" i="9"/>
  <c r="W17" i="9"/>
  <c r="W684" i="9"/>
  <c r="W299" i="9"/>
  <c r="W572" i="9"/>
  <c r="W353" i="9"/>
  <c r="W579" i="9"/>
  <c r="W454" i="9"/>
  <c r="W65" i="9"/>
  <c r="W275" i="9"/>
  <c r="W268" i="9"/>
  <c r="W165" i="9"/>
  <c r="W272" i="9"/>
  <c r="W527" i="9"/>
  <c r="W560" i="9"/>
  <c r="W144" i="9"/>
  <c r="W644" i="9"/>
  <c r="W279" i="9"/>
  <c r="W637" i="9"/>
  <c r="W515" i="9"/>
  <c r="W192" i="9"/>
  <c r="W701" i="9"/>
  <c r="W229" i="9"/>
  <c r="W569" i="9"/>
  <c r="W653" i="9"/>
  <c r="W391" i="9"/>
  <c r="W420" i="9"/>
  <c r="W94" i="9"/>
  <c r="W547" i="9"/>
  <c r="W636" i="9"/>
  <c r="W11" i="9"/>
  <c r="W533" i="9"/>
  <c r="W433" i="9"/>
  <c r="W211" i="9"/>
  <c r="W46" i="9"/>
  <c r="W388" i="9"/>
  <c r="W609" i="9"/>
  <c r="W113" i="9"/>
  <c r="W22" i="9"/>
  <c r="W519" i="9"/>
  <c r="W270" i="9"/>
  <c r="W711" i="9"/>
  <c r="W492" i="9"/>
  <c r="W722" i="9"/>
  <c r="W184" i="9"/>
  <c r="W100" i="9"/>
  <c r="W659" i="9"/>
  <c r="W596" i="9"/>
  <c r="W599" i="9"/>
  <c r="W681" i="9"/>
  <c r="W109" i="9"/>
  <c r="W76" i="9"/>
  <c r="W132" i="9"/>
  <c r="W287" i="9"/>
  <c r="H37" i="38"/>
  <c r="K229" i="9"/>
  <c r="K711" i="9"/>
  <c r="K664" i="9"/>
  <c r="K154" i="9"/>
  <c r="K542" i="9"/>
  <c r="K518" i="9"/>
  <c r="K688" i="9"/>
  <c r="K601" i="9"/>
  <c r="K414" i="9"/>
  <c r="K212" i="9"/>
  <c r="K251" i="9"/>
  <c r="K716" i="9"/>
  <c r="K241" i="9"/>
  <c r="K386" i="9"/>
  <c r="K547" i="9"/>
  <c r="K239" i="9"/>
  <c r="K389" i="9"/>
  <c r="K491" i="9"/>
  <c r="K129" i="9"/>
  <c r="K384" i="9"/>
  <c r="K289" i="9"/>
  <c r="K524" i="9"/>
  <c r="K216" i="9"/>
  <c r="K15" i="9"/>
  <c r="K515" i="9"/>
  <c r="K564" i="9"/>
  <c r="K596" i="9"/>
  <c r="K447" i="9"/>
  <c r="K294" i="9"/>
  <c r="K665" i="9"/>
  <c r="K411" i="9"/>
  <c r="K57" i="9"/>
  <c r="K718" i="9"/>
  <c r="K187" i="9"/>
  <c r="K250" i="9"/>
  <c r="K397" i="9"/>
  <c r="K676" i="9"/>
  <c r="K93" i="9"/>
  <c r="K708" i="9"/>
  <c r="K341" i="9"/>
  <c r="K563" i="9"/>
  <c r="K225" i="9"/>
  <c r="K339" i="9"/>
  <c r="K367" i="9"/>
  <c r="K308" i="9"/>
  <c r="K121" i="9"/>
  <c r="K227" i="9"/>
  <c r="K372" i="9"/>
  <c r="K92" i="9"/>
  <c r="K383" i="9"/>
  <c r="K69" i="9"/>
  <c r="K148" i="9"/>
  <c r="K368" i="9"/>
  <c r="H700" i="28"/>
  <c r="H643" i="28"/>
  <c r="H610" i="28"/>
  <c r="H597" i="28"/>
  <c r="J518" i="9"/>
  <c r="J601" i="9"/>
  <c r="J205" i="9"/>
  <c r="J153" i="9"/>
  <c r="H509" i="28"/>
  <c r="J716" i="9"/>
  <c r="H487" i="28"/>
  <c r="J474" i="9"/>
  <c r="J547" i="9"/>
  <c r="J319" i="9"/>
  <c r="H402" i="28"/>
  <c r="H401" i="28"/>
  <c r="J687" i="9"/>
  <c r="J384" i="9"/>
  <c r="J456" i="9"/>
  <c r="H379" i="28"/>
  <c r="J524" i="9"/>
  <c r="H355" i="28"/>
  <c r="H331" i="28"/>
  <c r="J204" i="9"/>
  <c r="H319" i="28"/>
  <c r="J728" i="9"/>
  <c r="J82" i="9"/>
  <c r="H295" i="28"/>
  <c r="J496" i="9"/>
  <c r="H247" i="28"/>
  <c r="H235" i="28"/>
  <c r="J142" i="9"/>
  <c r="J514" i="9"/>
  <c r="J415" i="9"/>
  <c r="J18" i="9"/>
  <c r="J225" i="9"/>
  <c r="J691" i="9"/>
  <c r="H151" i="28"/>
  <c r="J581" i="9"/>
  <c r="H137" i="28"/>
  <c r="J308" i="9"/>
  <c r="J121" i="9"/>
  <c r="H115" i="28"/>
  <c r="J255" i="9"/>
  <c r="H67" i="28"/>
  <c r="J398" i="9"/>
  <c r="H43" i="28"/>
  <c r="J652" i="9"/>
  <c r="J69" i="9"/>
  <c r="H19" i="28"/>
  <c r="J368" i="9"/>
  <c r="H8" i="28"/>
  <c r="H5" i="28"/>
  <c r="H682" i="28"/>
  <c r="H634" i="28"/>
  <c r="I518" i="9"/>
  <c r="I695" i="9"/>
  <c r="H551" i="28"/>
  <c r="I251" i="9"/>
  <c r="T251" i="9" s="1"/>
  <c r="I62" i="9"/>
  <c r="I659" i="9"/>
  <c r="H467" i="28"/>
  <c r="H455" i="28"/>
  <c r="I287" i="9"/>
  <c r="H443" i="28"/>
  <c r="I389" i="9"/>
  <c r="I384" i="9"/>
  <c r="I524" i="9"/>
  <c r="H359" i="28"/>
  <c r="I552" i="9"/>
  <c r="H287" i="28"/>
  <c r="I496" i="9"/>
  <c r="H275" i="28"/>
  <c r="H227" i="28"/>
  <c r="I306" i="9"/>
  <c r="H179" i="28"/>
  <c r="I121" i="9"/>
  <c r="I213" i="9"/>
  <c r="H83" i="28"/>
  <c r="I475" i="9"/>
  <c r="H35" i="28"/>
  <c r="I311" i="9"/>
  <c r="H685" i="28"/>
  <c r="H649" i="28"/>
  <c r="G695" i="9"/>
  <c r="S695" i="9" s="1"/>
  <c r="H493" i="28"/>
  <c r="G241" i="9"/>
  <c r="G386" i="9"/>
  <c r="G355" i="9"/>
  <c r="G216" i="9"/>
  <c r="G208" i="9"/>
  <c r="G42" i="9"/>
  <c r="G320" i="9"/>
  <c r="G77" i="9"/>
  <c r="G323" i="9"/>
  <c r="H725" i="28"/>
  <c r="G21" i="9"/>
  <c r="S21" i="9" s="1"/>
  <c r="AA21" i="9" s="1"/>
  <c r="H724" i="28"/>
  <c r="K374" i="9"/>
  <c r="I515" i="9"/>
  <c r="K424" i="9"/>
  <c r="J190" i="9"/>
  <c r="I261" i="9"/>
  <c r="H305" i="28"/>
  <c r="H55" i="28"/>
  <c r="H611" i="28"/>
  <c r="H553" i="28"/>
  <c r="H403" i="28"/>
  <c r="H283" i="28"/>
  <c r="H155" i="28"/>
  <c r="H692" i="28"/>
  <c r="H370" i="28"/>
  <c r="H631" i="28"/>
  <c r="H335" i="28"/>
  <c r="H323" i="28"/>
  <c r="H259" i="28"/>
  <c r="K365" i="9"/>
  <c r="J297" i="9"/>
  <c r="I619" i="9"/>
  <c r="K35" i="9"/>
  <c r="K135" i="9"/>
  <c r="H518" i="28"/>
  <c r="H199" i="28"/>
  <c r="H91" i="28"/>
  <c r="K574" i="9"/>
  <c r="J388" i="9"/>
  <c r="K576" i="9"/>
  <c r="K268" i="9"/>
  <c r="K460" i="9"/>
  <c r="K223" i="9"/>
  <c r="H431" i="28"/>
  <c r="H242" i="28"/>
  <c r="H413" i="28"/>
  <c r="H356" i="28"/>
  <c r="H270" i="28"/>
  <c r="H258" i="28"/>
  <c r="H224" i="28"/>
  <c r="H164" i="28"/>
  <c r="H153" i="28"/>
  <c r="H32" i="28"/>
  <c r="H664" i="28"/>
  <c r="H652" i="28"/>
  <c r="H640" i="28"/>
  <c r="H628" i="28"/>
  <c r="H592" i="28"/>
  <c r="H580" i="28"/>
  <c r="H52" i="28"/>
  <c r="H40" i="28"/>
  <c r="H28" i="28"/>
  <c r="I93" i="9"/>
  <c r="H583" i="28"/>
  <c r="H503" i="28"/>
  <c r="H481" i="28"/>
  <c r="H391" i="28"/>
  <c r="H223" i="28"/>
  <c r="H211" i="28"/>
  <c r="H175" i="28"/>
  <c r="H7" i="28"/>
  <c r="H697" i="28"/>
  <c r="H99" i="28"/>
  <c r="H87" i="28"/>
  <c r="H63" i="28"/>
  <c r="K248" i="9"/>
  <c r="H187" i="28"/>
  <c r="K724" i="9"/>
  <c r="K17" i="9"/>
  <c r="K468" i="9"/>
  <c r="K128" i="9"/>
  <c r="J375" i="9"/>
  <c r="K380" i="9"/>
  <c r="K513" i="9"/>
  <c r="G400" i="9"/>
  <c r="H712" i="28"/>
  <c r="H183" i="28"/>
  <c r="H673" i="28"/>
  <c r="H619" i="28"/>
  <c r="H607" i="28"/>
  <c r="H491" i="28"/>
  <c r="H107" i="28"/>
  <c r="H41" i="28"/>
  <c r="H218" i="28"/>
  <c r="H206" i="28"/>
  <c r="H182" i="28"/>
  <c r="H170" i="28"/>
  <c r="H122" i="28"/>
  <c r="J14" i="9"/>
  <c r="K106" i="9"/>
  <c r="K641" i="9"/>
  <c r="J108" i="9"/>
  <c r="K408" i="9"/>
  <c r="K29" i="9"/>
  <c r="H704" i="28"/>
  <c r="K90" i="9"/>
  <c r="K215" i="9"/>
  <c r="J391" i="9"/>
  <c r="J605" i="9"/>
  <c r="K423" i="9"/>
  <c r="H717" i="28"/>
  <c r="H419" i="28"/>
  <c r="H722" i="28"/>
  <c r="H650" i="28"/>
  <c r="H595" i="28"/>
  <c r="H479" i="28"/>
  <c r="H433" i="28"/>
  <c r="H389" i="28"/>
  <c r="H377" i="28"/>
  <c r="H365" i="28"/>
  <c r="H221" i="28"/>
  <c r="H197" i="28"/>
  <c r="H117" i="28"/>
  <c r="H29" i="28"/>
  <c r="K79" i="9"/>
  <c r="K236" i="9"/>
  <c r="K568" i="9"/>
  <c r="K322" i="9"/>
  <c r="K516" i="9"/>
  <c r="K281" i="9"/>
  <c r="K477" i="9"/>
  <c r="H671" i="28"/>
  <c r="H409" i="28"/>
  <c r="H139" i="28"/>
  <c r="H360" i="28"/>
  <c r="H348" i="28"/>
  <c r="H511" i="28"/>
  <c r="H658" i="28"/>
  <c r="H407" i="28"/>
  <c r="H103" i="28"/>
  <c r="H79" i="28"/>
  <c r="H526" i="28"/>
  <c r="H394" i="28"/>
  <c r="H184" i="28"/>
  <c r="H136" i="28"/>
  <c r="K537" i="9"/>
  <c r="K683" i="9"/>
  <c r="H702" i="28"/>
  <c r="K449" i="9"/>
  <c r="H665" i="28"/>
  <c r="H329" i="28"/>
  <c r="H263" i="28"/>
  <c r="H441" i="28"/>
  <c r="H417" i="28"/>
  <c r="H361" i="28"/>
  <c r="H337" i="28"/>
  <c r="H325" i="28"/>
  <c r="H313" i="28"/>
  <c r="H301" i="28"/>
  <c r="H265" i="28"/>
  <c r="H253" i="28"/>
  <c r="H217" i="28"/>
  <c r="H193" i="28"/>
  <c r="H169" i="28"/>
  <c r="H145" i="28"/>
  <c r="H133" i="28"/>
  <c r="H97" i="28"/>
  <c r="H37" i="28"/>
  <c r="H555" i="28"/>
  <c r="H531" i="28"/>
  <c r="H507" i="28"/>
  <c r="H495" i="28"/>
  <c r="H435" i="28"/>
  <c r="H291" i="28"/>
  <c r="H231" i="28"/>
  <c r="H219" i="28"/>
  <c r="K185" i="9"/>
  <c r="K539" i="9"/>
  <c r="H451" i="28"/>
  <c r="H332" i="28"/>
  <c r="H56" i="28"/>
  <c r="H504" i="28"/>
  <c r="H468" i="28"/>
  <c r="H456" i="28"/>
  <c r="H432" i="28"/>
  <c r="H396" i="28"/>
  <c r="K116" i="9"/>
  <c r="J471" i="9"/>
  <c r="H229" i="28"/>
  <c r="G470" i="9"/>
  <c r="H420" i="28"/>
  <c r="H372" i="28"/>
  <c r="H172" i="28"/>
  <c r="H544" i="28"/>
  <c r="H522" i="28"/>
  <c r="H423" i="28"/>
  <c r="H705" i="28"/>
  <c r="H661" i="28"/>
  <c r="H637" i="28"/>
  <c r="H519" i="28"/>
  <c r="H473" i="28"/>
  <c r="H298" i="28"/>
  <c r="H286" i="28"/>
  <c r="H713" i="28"/>
  <c r="H666" i="28"/>
  <c r="H560" i="28"/>
  <c r="H393" i="28"/>
  <c r="H346" i="28"/>
  <c r="H322" i="28"/>
  <c r="H310" i="28"/>
  <c r="H238" i="28"/>
  <c r="H202" i="28"/>
  <c r="H190" i="28"/>
  <c r="H166" i="28"/>
  <c r="H130" i="28"/>
  <c r="H106" i="28"/>
  <c r="H58" i="28"/>
  <c r="H708" i="28"/>
  <c r="H684" i="28"/>
  <c r="H660" i="28"/>
  <c r="H612" i="28"/>
  <c r="H540" i="28"/>
  <c r="H516" i="28"/>
  <c r="H492" i="28"/>
  <c r="H480" i="28"/>
  <c r="H444" i="28"/>
  <c r="H384" i="28"/>
  <c r="H324" i="28"/>
  <c r="H312" i="28"/>
  <c r="H276" i="28"/>
  <c r="H240" i="28"/>
  <c r="H216" i="28"/>
  <c r="H204" i="28"/>
  <c r="K558" i="9"/>
  <c r="J254" i="9"/>
  <c r="K359" i="9"/>
  <c r="I714" i="9"/>
  <c r="G156" i="9"/>
  <c r="G708" i="9"/>
  <c r="I662" i="9"/>
  <c r="K581" i="9"/>
  <c r="J149" i="9"/>
  <c r="I674" i="9"/>
  <c r="I102" i="9"/>
  <c r="I82" i="9"/>
  <c r="G432" i="9"/>
  <c r="G666" i="9"/>
  <c r="H49" i="28"/>
  <c r="H241" i="28"/>
  <c r="K48" i="9"/>
  <c r="H453" i="28"/>
  <c r="H371" i="28"/>
  <c r="H119" i="28"/>
  <c r="H587" i="28"/>
  <c r="H510" i="28"/>
  <c r="H339" i="28"/>
  <c r="H255" i="28"/>
  <c r="H25" i="28"/>
  <c r="H716" i="28"/>
  <c r="H483" i="28"/>
  <c r="H378" i="28"/>
  <c r="H367" i="28"/>
  <c r="H249" i="28"/>
  <c r="H178" i="28"/>
  <c r="H118" i="28"/>
  <c r="H95" i="28"/>
  <c r="H12" i="28"/>
  <c r="H688" i="28"/>
  <c r="H571" i="28"/>
  <c r="H404" i="28"/>
  <c r="H177" i="28"/>
  <c r="H108" i="28"/>
  <c r="H72" i="28"/>
  <c r="H60" i="28"/>
  <c r="K506" i="9"/>
  <c r="K39" i="9"/>
  <c r="J467" i="9"/>
  <c r="K218" i="9"/>
  <c r="I677" i="9"/>
  <c r="I441" i="9"/>
  <c r="I567" i="9"/>
  <c r="I711" i="9"/>
  <c r="J12" i="9"/>
  <c r="G47" i="9"/>
  <c r="H61" i="28"/>
  <c r="H160" i="28"/>
  <c r="H499" i="28"/>
  <c r="H280" i="28"/>
  <c r="H563" i="28"/>
  <c r="H532" i="28"/>
  <c r="H327" i="28"/>
  <c r="H243" i="28"/>
  <c r="H134" i="28"/>
  <c r="H599" i="28"/>
  <c r="H575" i="28"/>
  <c r="H494" i="28"/>
  <c r="H459" i="28"/>
  <c r="H343" i="28"/>
  <c r="H320" i="28"/>
  <c r="H260" i="28"/>
  <c r="H248" i="28"/>
  <c r="H141" i="28"/>
  <c r="H23" i="28"/>
  <c r="H711" i="28"/>
  <c r="H699" i="28"/>
  <c r="H582" i="28"/>
  <c r="H415" i="28"/>
  <c r="H188" i="28"/>
  <c r="H646" i="28"/>
  <c r="H334" i="28"/>
  <c r="K342" i="9"/>
  <c r="K565" i="9"/>
  <c r="K671" i="9"/>
  <c r="K169" i="9"/>
  <c r="I246" i="9"/>
  <c r="I34" i="9"/>
  <c r="H73" i="28"/>
  <c r="H411" i="28"/>
  <c r="H476" i="28"/>
  <c r="J15" i="9"/>
  <c r="H598" i="28"/>
  <c r="H574" i="28"/>
  <c r="H550" i="28"/>
  <c r="H271" i="28"/>
  <c r="H212" i="28"/>
  <c r="H176" i="28"/>
  <c r="H152" i="28"/>
  <c r="H140" i="28"/>
  <c r="H46" i="28"/>
  <c r="H22" i="28"/>
  <c r="H593" i="28"/>
  <c r="H438" i="28"/>
  <c r="J639" i="9"/>
  <c r="K200" i="9"/>
  <c r="J114" i="9"/>
  <c r="I26" i="9"/>
  <c r="I728" i="9"/>
  <c r="G63" i="9"/>
  <c r="J301" i="9"/>
  <c r="J613" i="9"/>
  <c r="K16" i="9"/>
  <c r="J628" i="9"/>
  <c r="K356" i="9"/>
  <c r="I541" i="9"/>
  <c r="G610" i="9"/>
  <c r="H277" i="28"/>
  <c r="H437" i="28"/>
  <c r="H464" i="28"/>
  <c r="H723" i="28"/>
  <c r="H609" i="28"/>
  <c r="H585" i="28"/>
  <c r="H399" i="28"/>
  <c r="H387" i="28"/>
  <c r="H353" i="28"/>
  <c r="H246" i="28"/>
  <c r="H163" i="28"/>
  <c r="H104" i="28"/>
  <c r="H80" i="28"/>
  <c r="H68" i="28"/>
  <c r="H45" i="28"/>
  <c r="H604" i="28"/>
  <c r="H449" i="28"/>
  <c r="H234" i="28"/>
  <c r="H222" i="28"/>
  <c r="H210" i="28"/>
  <c r="H440" i="28"/>
  <c r="H428" i="28"/>
  <c r="H392" i="28"/>
  <c r="H568" i="28"/>
  <c r="K538" i="9"/>
  <c r="J571" i="9"/>
  <c r="J623" i="9"/>
  <c r="J692" i="9"/>
  <c r="J439" i="9"/>
  <c r="K271" i="9"/>
  <c r="I425" i="9"/>
  <c r="G497" i="9"/>
  <c r="I196" i="9"/>
  <c r="J158" i="9"/>
  <c r="H109" i="28"/>
  <c r="H408" i="28"/>
  <c r="H539" i="28"/>
  <c r="H429" i="28"/>
  <c r="H195" i="28"/>
  <c r="H689" i="28"/>
  <c r="H668" i="28"/>
  <c r="H632" i="28"/>
  <c r="H620" i="28"/>
  <c r="H608" i="28"/>
  <c r="H596" i="28"/>
  <c r="H502" i="28"/>
  <c r="H363" i="28"/>
  <c r="H174" i="28"/>
  <c r="H44" i="28"/>
  <c r="H20" i="28"/>
  <c r="H614" i="28"/>
  <c r="H460" i="28"/>
  <c r="H281" i="28"/>
  <c r="H269" i="28"/>
  <c r="H257" i="28"/>
  <c r="H128" i="28"/>
  <c r="K217" i="9"/>
  <c r="K22" i="9"/>
  <c r="J66" i="9"/>
  <c r="J160" i="9"/>
  <c r="I495" i="9"/>
  <c r="I559" i="9"/>
  <c r="G277" i="9"/>
  <c r="H205" i="28"/>
  <c r="H194" i="28"/>
  <c r="H547" i="28"/>
  <c r="H535" i="28"/>
  <c r="H385" i="28"/>
  <c r="H351" i="28"/>
  <c r="H292" i="28"/>
  <c r="H256" i="28"/>
  <c r="H185" i="28"/>
  <c r="H31" i="28"/>
  <c r="H578" i="28"/>
  <c r="H471" i="28"/>
  <c r="J553" i="9"/>
  <c r="I703" i="9"/>
  <c r="H615" i="28"/>
  <c r="H527" i="28"/>
  <c r="H121" i="28"/>
  <c r="H111" i="28"/>
  <c r="H687" i="28"/>
  <c r="H606" i="28"/>
  <c r="H558" i="28"/>
  <c r="H466" i="28"/>
  <c r="H315" i="28"/>
  <c r="H267" i="28"/>
  <c r="H148" i="28"/>
  <c r="H694" i="28"/>
  <c r="H647" i="28"/>
  <c r="H636" i="28"/>
  <c r="H589" i="28"/>
  <c r="H303" i="28"/>
  <c r="K705" i="9"/>
  <c r="J517" i="9"/>
  <c r="K597" i="9"/>
  <c r="H645" i="28"/>
  <c r="H603" i="28"/>
  <c r="H129" i="28"/>
  <c r="H90" i="28"/>
  <c r="H686" i="28"/>
  <c r="H605" i="28"/>
  <c r="H488" i="28"/>
  <c r="H454" i="28"/>
  <c r="H395" i="28"/>
  <c r="H326" i="28"/>
  <c r="H278" i="28"/>
  <c r="H207" i="28"/>
  <c r="H159" i="28"/>
  <c r="H64" i="28"/>
  <c r="H670" i="28"/>
  <c r="H314" i="28"/>
  <c r="H74" i="28"/>
  <c r="K645" i="9"/>
  <c r="K421" i="9"/>
  <c r="J410" i="9"/>
  <c r="H674" i="28"/>
  <c r="H447" i="28"/>
  <c r="H279" i="28"/>
  <c r="H718" i="28"/>
  <c r="H696" i="28"/>
  <c r="H663" i="28"/>
  <c r="H651" i="28"/>
  <c r="H639" i="28"/>
  <c r="H591" i="28"/>
  <c r="H579" i="28"/>
  <c r="H543" i="28"/>
  <c r="H463" i="28"/>
  <c r="H452" i="28"/>
  <c r="H405" i="28"/>
  <c r="H288" i="28"/>
  <c r="H228" i="28"/>
  <c r="H110" i="28"/>
  <c r="H586" i="28"/>
  <c r="H562" i="28"/>
  <c r="H538" i="28"/>
  <c r="H515" i="28"/>
  <c r="H336" i="28"/>
  <c r="H144" i="28"/>
  <c r="H132" i="28"/>
  <c r="H84" i="28"/>
  <c r="K395" i="9"/>
  <c r="H157" i="28"/>
  <c r="H380" i="28"/>
  <c r="H311" i="28"/>
  <c r="H239" i="28"/>
  <c r="H120" i="28"/>
  <c r="H85" i="28"/>
  <c r="H714" i="28"/>
  <c r="H655" i="28"/>
  <c r="H514" i="28"/>
  <c r="H490" i="28"/>
  <c r="H478" i="28"/>
  <c r="H442" i="28"/>
  <c r="H430" i="28"/>
  <c r="H406" i="28"/>
  <c r="H382" i="28"/>
  <c r="H347" i="28"/>
  <c r="H131" i="28"/>
  <c r="I293" i="9"/>
  <c r="H565" i="28"/>
  <c r="H681" i="28"/>
  <c r="H427" i="28"/>
  <c r="H138" i="28"/>
  <c r="H154" i="28"/>
  <c r="H600" i="28"/>
  <c r="J148" i="9"/>
  <c r="K701" i="9"/>
  <c r="J120" i="9"/>
  <c r="K100" i="9"/>
  <c r="J42" i="9"/>
  <c r="K647" i="9"/>
  <c r="J115" i="9"/>
  <c r="H721" i="28"/>
  <c r="H289" i="28"/>
  <c r="H676" i="28"/>
  <c r="H556" i="28"/>
  <c r="H250" i="28"/>
  <c r="H53" i="28"/>
  <c r="H657" i="28"/>
  <c r="H534" i="28"/>
  <c r="H299" i="28"/>
  <c r="H567" i="28"/>
  <c r="H706" i="28"/>
  <c r="J499" i="9"/>
  <c r="K72" i="9"/>
  <c r="K556" i="9"/>
  <c r="K455" i="9"/>
  <c r="J663" i="9"/>
  <c r="I202" i="9"/>
  <c r="I347" i="9"/>
  <c r="I65" i="9"/>
  <c r="H13" i="28"/>
  <c r="H521" i="28"/>
  <c r="H588" i="28"/>
  <c r="H523" i="28"/>
  <c r="H203" i="28"/>
  <c r="H42" i="28"/>
  <c r="H512" i="28"/>
  <c r="H344" i="28"/>
  <c r="K326" i="9"/>
  <c r="J643" i="9"/>
  <c r="K514" i="9"/>
  <c r="J585" i="9"/>
  <c r="J637" i="9"/>
  <c r="J288" i="9"/>
  <c r="J290" i="9"/>
  <c r="J197" i="9"/>
  <c r="K207" i="9"/>
  <c r="H622" i="28"/>
  <c r="H554" i="28"/>
  <c r="H448" i="28"/>
  <c r="H422" i="28"/>
  <c r="H192" i="28"/>
  <c r="H698" i="28"/>
  <c r="H690" i="28"/>
  <c r="H635" i="28"/>
  <c r="H618" i="28"/>
  <c r="H559" i="28"/>
  <c r="H383" i="28"/>
  <c r="H146" i="28"/>
  <c r="H127" i="28"/>
  <c r="H50" i="28"/>
  <c r="H627" i="28"/>
  <c r="H236" i="28"/>
  <c r="H75" i="28"/>
  <c r="K608" i="9"/>
  <c r="J233" i="9"/>
  <c r="J6" i="9"/>
  <c r="J279" i="9"/>
  <c r="J720" i="9"/>
  <c r="K685" i="9"/>
  <c r="H677" i="28"/>
  <c r="H470" i="28"/>
  <c r="J564" i="9"/>
  <c r="J512" i="9"/>
  <c r="J630" i="9"/>
  <c r="I688" i="9"/>
  <c r="I99" i="9"/>
  <c r="I167" i="9"/>
  <c r="H16" i="28"/>
  <c r="H616" i="28"/>
  <c r="H545" i="28"/>
  <c r="H418" i="28"/>
  <c r="J173" i="9"/>
  <c r="J126" i="9"/>
  <c r="K243" i="9"/>
  <c r="H644" i="28"/>
  <c r="J213" i="9"/>
  <c r="K453" i="9"/>
  <c r="H373" i="28"/>
  <c r="H501" i="28"/>
  <c r="H375" i="28"/>
  <c r="J140" i="9"/>
  <c r="J640" i="9"/>
  <c r="J351" i="9"/>
  <c r="K267" i="9"/>
  <c r="K27" i="9"/>
  <c r="I464" i="9"/>
  <c r="H307" i="28"/>
  <c r="J575" i="9"/>
  <c r="H34" i="28"/>
  <c r="S98" i="9"/>
  <c r="U574" i="9"/>
  <c r="U7" i="9"/>
  <c r="S199" i="9"/>
  <c r="H76" i="38"/>
  <c r="H66" i="38"/>
  <c r="S510" i="9"/>
  <c r="S518" i="9"/>
  <c r="AA518" i="9" s="1"/>
  <c r="D5" i="29"/>
  <c r="U418" i="9" l="1"/>
  <c r="U22" i="9"/>
  <c r="U288" i="9"/>
  <c r="U423" i="9"/>
  <c r="U518" i="9"/>
  <c r="U79" i="9"/>
  <c r="S163" i="9"/>
  <c r="U605" i="9"/>
  <c r="U651" i="9"/>
  <c r="T617" i="9"/>
  <c r="U170" i="9"/>
  <c r="T334" i="9"/>
  <c r="T368" i="9"/>
  <c r="T267" i="9"/>
  <c r="U573" i="9"/>
  <c r="S451" i="9"/>
  <c r="AA451" i="9" s="1"/>
  <c r="S183" i="9"/>
  <c r="T714" i="9"/>
  <c r="T581" i="9"/>
  <c r="U249" i="9"/>
  <c r="U238" i="9"/>
  <c r="S251" i="9"/>
  <c r="AA251" i="9" s="1"/>
  <c r="U85" i="9"/>
  <c r="T7" i="9"/>
  <c r="T193" i="9"/>
  <c r="U713" i="9"/>
  <c r="U251" i="9"/>
  <c r="U702" i="9"/>
  <c r="U37" i="9"/>
  <c r="S465" i="9"/>
  <c r="S636" i="9"/>
  <c r="U719" i="9"/>
  <c r="H369" i="28"/>
  <c r="H342" i="28"/>
  <c r="H300" i="28"/>
  <c r="H149" i="28"/>
  <c r="H135" i="28"/>
  <c r="H93" i="28"/>
  <c r="H65" i="28"/>
  <c r="H9" i="28"/>
  <c r="H161" i="28"/>
  <c r="H573" i="28"/>
  <c r="H368" i="28"/>
  <c r="H173" i="28"/>
  <c r="H566" i="28"/>
  <c r="H625" i="28"/>
  <c r="H530" i="28"/>
  <c r="H434" i="28"/>
  <c r="H421" i="28"/>
  <c r="H381" i="28"/>
  <c r="H340" i="28"/>
  <c r="H284" i="28"/>
  <c r="H147" i="28"/>
  <c r="H105" i="28"/>
  <c r="U222" i="9"/>
  <c r="H707" i="28"/>
  <c r="H362" i="28"/>
  <c r="H213" i="28"/>
  <c r="H638" i="28"/>
  <c r="H529" i="28"/>
  <c r="H475" i="28"/>
  <c r="H461" i="28"/>
  <c r="H626" i="28"/>
  <c r="H601" i="28"/>
  <c r="H309" i="28"/>
  <c r="H171" i="28"/>
  <c r="H36" i="28"/>
  <c r="H484" i="28"/>
  <c r="H388" i="28"/>
  <c r="H198" i="28"/>
  <c r="H76" i="28"/>
  <c r="H62" i="28"/>
  <c r="H623" i="28"/>
  <c r="H570" i="28"/>
  <c r="H528" i="28"/>
  <c r="H474" i="28"/>
  <c r="H352" i="28"/>
  <c r="H282" i="28"/>
  <c r="H59" i="38"/>
  <c r="H297" i="28"/>
  <c r="H720" i="28"/>
  <c r="H469" i="28"/>
  <c r="H21" i="28"/>
  <c r="H577" i="28"/>
  <c r="H48" i="28"/>
  <c r="H6" i="28"/>
  <c r="H486" i="28"/>
  <c r="H88" i="28"/>
  <c r="U210" i="9"/>
  <c r="H450" i="28"/>
  <c r="H436" i="28"/>
  <c r="H719" i="28"/>
  <c r="H656" i="28"/>
  <c r="H496" i="28"/>
  <c r="H414" i="28"/>
  <c r="H386" i="28"/>
  <c r="H264" i="28"/>
  <c r="H675" i="28"/>
  <c r="H513" i="28"/>
  <c r="H485" i="28"/>
  <c r="H472" i="28"/>
  <c r="H364" i="28"/>
  <c r="H294" i="28"/>
  <c r="H296" i="28"/>
  <c r="H113" i="28"/>
  <c r="H101" i="28"/>
  <c r="H4" i="28"/>
  <c r="H662" i="28"/>
  <c r="H594" i="28"/>
  <c r="H349" i="28"/>
  <c r="H321" i="28"/>
  <c r="H114" i="28"/>
  <c r="T200" i="9"/>
  <c r="U54" i="9"/>
  <c r="T358" i="9"/>
  <c r="T73" i="9"/>
  <c r="U642" i="9"/>
  <c r="T278" i="9"/>
  <c r="U184" i="9"/>
  <c r="H537" i="28"/>
  <c r="U179" i="9"/>
  <c r="J385" i="9"/>
  <c r="U385" i="9" s="1"/>
  <c r="H691" i="28"/>
  <c r="H654" i="28"/>
  <c r="I549" i="9"/>
  <c r="H290" i="28"/>
  <c r="H86" i="28"/>
  <c r="H17" i="28"/>
  <c r="H3" i="28"/>
  <c r="H633" i="28"/>
  <c r="G606" i="9"/>
  <c r="S606" i="9" s="1"/>
  <c r="AA606" i="9" s="1"/>
  <c r="H552" i="28"/>
  <c r="H497" i="28"/>
  <c r="H251" i="28"/>
  <c r="H237" i="28"/>
  <c r="U653" i="9"/>
  <c r="H306" i="28"/>
  <c r="H78" i="28"/>
  <c r="H533" i="28"/>
  <c r="H506" i="28"/>
  <c r="H397" i="28"/>
  <c r="H71" i="28"/>
  <c r="H400" i="28"/>
  <c r="H181" i="28"/>
  <c r="H168" i="28"/>
  <c r="H126" i="28"/>
  <c r="H98" i="28"/>
  <c r="H70" i="28"/>
  <c r="U618" i="9"/>
  <c r="U438" i="9"/>
  <c r="T326" i="9"/>
  <c r="T588" i="9"/>
  <c r="U265" i="9"/>
  <c r="H74" i="38"/>
  <c r="H667" i="28"/>
  <c r="H542" i="28"/>
  <c r="H505" i="28"/>
  <c r="H424" i="28"/>
  <c r="H15" i="28"/>
  <c r="H672" i="28"/>
  <c r="H482" i="28"/>
  <c r="H426" i="28"/>
  <c r="H180" i="28"/>
  <c r="H167" i="28"/>
  <c r="T323" i="9"/>
  <c r="T573" i="9"/>
  <c r="U82" i="9"/>
  <c r="U46" i="9"/>
  <c r="U341" i="9"/>
  <c r="H261" i="28"/>
  <c r="H82" i="28"/>
  <c r="H54" i="28"/>
  <c r="U188" i="9"/>
  <c r="U658" i="9"/>
  <c r="U664" i="9"/>
  <c r="H576" i="28"/>
  <c r="H517" i="28"/>
  <c r="H330" i="28"/>
  <c r="H302" i="28"/>
  <c r="H274" i="28"/>
  <c r="H165" i="28"/>
  <c r="H81" i="28"/>
  <c r="H11" i="28"/>
  <c r="U323" i="9"/>
  <c r="T569" i="9"/>
  <c r="U121" i="9"/>
  <c r="S588" i="9"/>
  <c r="U257" i="9"/>
  <c r="H233" i="28"/>
  <c r="H602" i="28"/>
  <c r="H525" i="28"/>
  <c r="H201" i="28"/>
  <c r="H366" i="28"/>
  <c r="H338" i="28"/>
  <c r="H189" i="28"/>
  <c r="H642" i="28"/>
  <c r="H465" i="28"/>
  <c r="H357" i="28"/>
  <c r="H273" i="28"/>
  <c r="H232" i="28"/>
  <c r="H191" i="28"/>
  <c r="H150" i="28"/>
  <c r="H94" i="28"/>
  <c r="H66" i="28"/>
  <c r="H10" i="28"/>
  <c r="H78" i="38"/>
  <c r="H72" i="38"/>
  <c r="H98" i="38"/>
  <c r="H92" i="38"/>
  <c r="H64" i="38"/>
  <c r="G719" i="9"/>
  <c r="S719" i="9" s="1"/>
  <c r="AA719" i="9" s="1"/>
  <c r="H50" i="38"/>
  <c r="H32" i="38"/>
  <c r="T510" i="9"/>
  <c r="G49" i="9"/>
  <c r="S49" i="9" s="1"/>
  <c r="AA49" i="9" s="1"/>
  <c r="T40" i="9"/>
  <c r="H45" i="38"/>
  <c r="H358" i="28"/>
  <c r="J662" i="9"/>
  <c r="U662" i="9" s="1"/>
  <c r="S567" i="9"/>
  <c r="AA567" i="9" s="1"/>
  <c r="K707" i="9"/>
  <c r="U431" i="9"/>
  <c r="T363" i="9"/>
  <c r="U569" i="9"/>
  <c r="H398" i="28"/>
  <c r="U103" i="9"/>
  <c r="U660" i="9"/>
  <c r="U291" i="9"/>
  <c r="T132" i="9"/>
  <c r="T448" i="9"/>
  <c r="S665" i="9"/>
  <c r="AA665" i="9" s="1"/>
  <c r="S521" i="9"/>
  <c r="S409" i="9"/>
  <c r="AA409" i="9" s="1"/>
  <c r="T715" i="9"/>
  <c r="S227" i="9"/>
  <c r="AA227" i="9" s="1"/>
  <c r="U62" i="9"/>
  <c r="U627" i="9"/>
  <c r="U508" i="9"/>
  <c r="H39" i="38"/>
  <c r="H316" i="28"/>
  <c r="U469" i="9"/>
  <c r="T249" i="9"/>
  <c r="U337" i="9"/>
  <c r="U442" i="9"/>
  <c r="U161" i="9"/>
  <c r="T636" i="9"/>
  <c r="H69" i="38"/>
  <c r="H38" i="38"/>
  <c r="K653" i="9"/>
  <c r="G486" i="9"/>
  <c r="X486" i="9" s="1"/>
  <c r="T220" i="9"/>
  <c r="T548" i="9"/>
  <c r="T222" i="9"/>
  <c r="H262" i="28"/>
  <c r="T352" i="9"/>
  <c r="U568" i="9"/>
  <c r="U300" i="9"/>
  <c r="U511" i="9"/>
  <c r="T85" i="9"/>
  <c r="T317" i="9"/>
  <c r="U269" i="9"/>
  <c r="T496" i="9"/>
  <c r="U24" i="9"/>
  <c r="U275" i="9"/>
  <c r="S556" i="9"/>
  <c r="T370" i="9"/>
  <c r="T54" i="9"/>
  <c r="T366" i="9"/>
  <c r="T481" i="9"/>
  <c r="U477" i="9"/>
  <c r="T226" i="9"/>
  <c r="T708" i="9"/>
  <c r="S242" i="9"/>
  <c r="AA242" i="9" s="1"/>
  <c r="S590" i="9"/>
  <c r="AA590" i="9" s="1"/>
  <c r="S653" i="9"/>
  <c r="AA653" i="9" s="1"/>
  <c r="T94" i="9"/>
  <c r="H88" i="38"/>
  <c r="H93" i="38"/>
  <c r="H85" i="38"/>
  <c r="H101" i="38"/>
  <c r="H14" i="38"/>
  <c r="H107" i="38"/>
  <c r="H106" i="38"/>
  <c r="H11" i="38"/>
  <c r="H23" i="38"/>
  <c r="H9" i="38"/>
  <c r="H22" i="38"/>
  <c r="S154" i="9"/>
  <c r="AA154" i="9" s="1"/>
  <c r="S549" i="9"/>
  <c r="U196" i="9"/>
  <c r="S218" i="9"/>
  <c r="AA218" i="9" s="1"/>
  <c r="S656" i="9"/>
  <c r="AA656" i="9" s="1"/>
  <c r="S221" i="9"/>
  <c r="T516" i="9"/>
  <c r="T416" i="9"/>
  <c r="S443" i="9"/>
  <c r="AA443" i="9" s="1"/>
  <c r="T52" i="9"/>
  <c r="T720" i="9"/>
  <c r="S487" i="9"/>
  <c r="AA487" i="9" s="1"/>
  <c r="S392" i="9"/>
  <c r="AA392" i="9" s="1"/>
  <c r="S489" i="9"/>
  <c r="AA489" i="9" s="1"/>
  <c r="S120" i="9"/>
  <c r="AA120" i="9" s="1"/>
  <c r="T551" i="9"/>
  <c r="T645" i="9"/>
  <c r="T66" i="9"/>
  <c r="T273" i="9"/>
  <c r="U233" i="9"/>
  <c r="S105" i="9"/>
  <c r="Y105" i="9" s="1"/>
  <c r="U304" i="9"/>
  <c r="U379" i="9"/>
  <c r="T194" i="9"/>
  <c r="U416" i="9"/>
  <c r="X416" i="9" s="1"/>
  <c r="T32" i="9"/>
  <c r="T369" i="9"/>
  <c r="T87" i="9"/>
  <c r="S408" i="9"/>
  <c r="AA408" i="9" s="1"/>
  <c r="T49" i="9"/>
  <c r="U581" i="9"/>
  <c r="T179" i="9"/>
  <c r="T78" i="9"/>
  <c r="U290" i="9"/>
  <c r="S444" i="9"/>
  <c r="AA444" i="9" s="1"/>
  <c r="H108" i="38"/>
  <c r="H105" i="38"/>
  <c r="H102" i="38"/>
  <c r="H95" i="38"/>
  <c r="H60" i="38"/>
  <c r="H57" i="38"/>
  <c r="H48" i="38"/>
  <c r="H36" i="38"/>
  <c r="H33" i="38"/>
  <c r="H110" i="38"/>
  <c r="H104" i="38"/>
  <c r="H100" i="38"/>
  <c r="H97" i="38"/>
  <c r="H94" i="38"/>
  <c r="H87" i="38"/>
  <c r="H71" i="38"/>
  <c r="H68" i="38"/>
  <c r="H109" i="38"/>
  <c r="H96" i="38"/>
  <c r="H31" i="38"/>
  <c r="H28" i="38"/>
  <c r="H25" i="38"/>
  <c r="H19" i="38"/>
  <c r="H16" i="38"/>
  <c r="H13" i="38"/>
  <c r="H6" i="38"/>
  <c r="H3" i="38"/>
  <c r="H86" i="38"/>
  <c r="H84" i="38"/>
  <c r="H53" i="38"/>
  <c r="H75" i="38"/>
  <c r="H52" i="38"/>
  <c r="H42" i="38"/>
  <c r="H30" i="38"/>
  <c r="H27" i="38"/>
  <c r="H24" i="38"/>
  <c r="H21" i="38"/>
  <c r="H18" i="38"/>
  <c r="H15" i="38"/>
  <c r="H12" i="38"/>
  <c r="H8" i="38"/>
  <c r="H5" i="38"/>
  <c r="H91" i="38"/>
  <c r="H55" i="38"/>
  <c r="H83" i="38"/>
  <c r="H63" i="38"/>
  <c r="H80" i="38"/>
  <c r="H77" i="38"/>
  <c r="H65" i="38"/>
  <c r="H51" i="38"/>
  <c r="H47" i="38"/>
  <c r="H44" i="38"/>
  <c r="H41" i="38"/>
  <c r="H2" i="38"/>
  <c r="H29" i="38"/>
  <c r="H26" i="38"/>
  <c r="H20" i="38"/>
  <c r="H17" i="38"/>
  <c r="H7" i="38"/>
  <c r="H4" i="38"/>
  <c r="H103" i="38"/>
  <c r="H99" i="38"/>
  <c r="H90" i="38"/>
  <c r="H89" i="38"/>
  <c r="H81" i="38"/>
  <c r="H79" i="38"/>
  <c r="H70" i="38"/>
  <c r="H58" i="38"/>
  <c r="H49" i="38"/>
  <c r="H43" i="38"/>
  <c r="H10" i="38"/>
  <c r="S356" i="9"/>
  <c r="AA356" i="9" s="1"/>
  <c r="S346" i="9"/>
  <c r="AA346" i="9" s="1"/>
  <c r="S177" i="9"/>
  <c r="AA177" i="9" s="1"/>
  <c r="S630" i="9"/>
  <c r="AA630" i="9" s="1"/>
  <c r="U546" i="9"/>
  <c r="U78" i="9"/>
  <c r="U231" i="9"/>
  <c r="U580" i="9"/>
  <c r="U153" i="9"/>
  <c r="U417" i="9"/>
  <c r="U461" i="9"/>
  <c r="U138" i="9"/>
  <c r="U499" i="9"/>
  <c r="U301" i="9"/>
  <c r="U190" i="9"/>
  <c r="U308" i="9"/>
  <c r="U230" i="9"/>
  <c r="U355" i="9"/>
  <c r="U488" i="9"/>
  <c r="U240" i="9"/>
  <c r="U241" i="9"/>
  <c r="U140" i="9"/>
  <c r="U358" i="9"/>
  <c r="U339" i="9"/>
  <c r="T64" i="9"/>
  <c r="T578" i="9"/>
  <c r="U214" i="9"/>
  <c r="U535" i="9"/>
  <c r="T44" i="9"/>
  <c r="U570" i="9"/>
  <c r="U16" i="9"/>
  <c r="X16" i="9" s="1"/>
  <c r="U345" i="9"/>
  <c r="T101" i="9"/>
  <c r="U264" i="9"/>
  <c r="S672" i="9"/>
  <c r="AA672" i="9" s="1"/>
  <c r="S314" i="9"/>
  <c r="AA314" i="9" s="1"/>
  <c r="T355" i="9"/>
  <c r="S26" i="9"/>
  <c r="AA26" i="9" s="1"/>
  <c r="S201" i="9"/>
  <c r="AA201" i="9" s="1"/>
  <c r="S381" i="9"/>
  <c r="AA381" i="9" s="1"/>
  <c r="S670" i="9"/>
  <c r="AA670" i="9" s="1"/>
  <c r="U330" i="9"/>
  <c r="S523" i="9"/>
  <c r="AA523" i="9" s="1"/>
  <c r="S207" i="9"/>
  <c r="AA207" i="9" s="1"/>
  <c r="S328" i="9"/>
  <c r="AA328" i="9" s="1"/>
  <c r="S401" i="9"/>
  <c r="AA401" i="9" s="1"/>
  <c r="S107" i="9"/>
  <c r="AA107" i="9" s="1"/>
  <c r="S289" i="9"/>
  <c r="AA289" i="9" s="1"/>
  <c r="S431" i="9"/>
  <c r="AA431" i="9" s="1"/>
  <c r="U532" i="9"/>
  <c r="S598" i="9"/>
  <c r="AA598" i="9" s="1"/>
  <c r="T224" i="9"/>
  <c r="U538" i="9"/>
  <c r="U135" i="9"/>
  <c r="T580" i="9"/>
  <c r="T660" i="9"/>
  <c r="T206" i="9"/>
  <c r="S503" i="9"/>
  <c r="AA503" i="9" s="1"/>
  <c r="U9" i="9"/>
  <c r="U476" i="9"/>
  <c r="U583" i="9"/>
  <c r="U274" i="9"/>
  <c r="U23" i="9"/>
  <c r="T46" i="9"/>
  <c r="T223" i="9"/>
  <c r="X510" i="9"/>
  <c r="U289" i="9"/>
  <c r="T37" i="9"/>
  <c r="U73" i="9"/>
  <c r="U478" i="9"/>
  <c r="U340" i="9"/>
  <c r="U223" i="9"/>
  <c r="T135" i="9"/>
  <c r="T601" i="9"/>
  <c r="U93" i="9"/>
  <c r="T555" i="9"/>
  <c r="T47" i="9"/>
  <c r="T80" i="9"/>
  <c r="X70" i="9"/>
  <c r="U164" i="9"/>
  <c r="T511" i="9"/>
  <c r="T21" i="9"/>
  <c r="T58" i="9"/>
  <c r="S191" i="9"/>
  <c r="AA191" i="9" s="1"/>
  <c r="AA199" i="9"/>
  <c r="T412" i="9"/>
  <c r="T533" i="9"/>
  <c r="U560" i="9"/>
  <c r="T290" i="9"/>
  <c r="S94" i="9"/>
  <c r="AA94" i="9" s="1"/>
  <c r="S690" i="9"/>
  <c r="AA690" i="9" s="1"/>
  <c r="S426" i="9"/>
  <c r="AA426" i="9" s="1"/>
  <c r="S184" i="9"/>
  <c r="U50" i="9"/>
  <c r="U363" i="9"/>
  <c r="S190" i="9"/>
  <c r="AA190" i="9" s="1"/>
  <c r="S66" i="9"/>
  <c r="AA66" i="9" s="1"/>
  <c r="S33" i="9"/>
  <c r="AA33" i="9" s="1"/>
  <c r="S729" i="9"/>
  <c r="AA729" i="9" s="1"/>
  <c r="T418" i="9"/>
  <c r="T685" i="9"/>
  <c r="S641" i="9"/>
  <c r="AA641" i="9" s="1"/>
  <c r="S306" i="9"/>
  <c r="AA306" i="9" s="1"/>
  <c r="S369" i="9"/>
  <c r="AA369" i="9" s="1"/>
  <c r="S196" i="9"/>
  <c r="T689" i="9"/>
  <c r="T417" i="9"/>
  <c r="T337" i="9"/>
  <c r="T230" i="9"/>
  <c r="T231" i="9"/>
  <c r="T153" i="9"/>
  <c r="U107" i="9"/>
  <c r="S157" i="9"/>
  <c r="AA157" i="9" s="1"/>
  <c r="U75" i="9"/>
  <c r="S515" i="9"/>
  <c r="AA515" i="9" s="1"/>
  <c r="S587" i="9"/>
  <c r="AA587" i="9" s="1"/>
  <c r="U267" i="9"/>
  <c r="S618" i="9"/>
  <c r="AA618" i="9" s="1"/>
  <c r="S707" i="9"/>
  <c r="AA707" i="9" s="1"/>
  <c r="S101" i="9"/>
  <c r="AA101" i="9" s="1"/>
  <c r="U621" i="9"/>
  <c r="T492" i="9"/>
  <c r="T28" i="9"/>
  <c r="X694" i="9"/>
  <c r="S151" i="9"/>
  <c r="AA151" i="9" s="1"/>
  <c r="S334" i="9"/>
  <c r="AA334" i="9" s="1"/>
  <c r="T629" i="9"/>
  <c r="T469" i="9"/>
  <c r="T22" i="9"/>
  <c r="T427" i="9"/>
  <c r="T169" i="9"/>
  <c r="S715" i="9"/>
  <c r="AA715" i="9" s="1"/>
  <c r="U55" i="9"/>
  <c r="U205" i="9"/>
  <c r="U629" i="9"/>
  <c r="T300" i="9"/>
  <c r="T51" i="9"/>
  <c r="T435" i="9"/>
  <c r="T205" i="9"/>
  <c r="S206" i="9"/>
  <c r="AA206" i="9" s="1"/>
  <c r="T651" i="9"/>
  <c r="S684" i="9"/>
  <c r="AA684" i="9" s="1"/>
  <c r="U626" i="9"/>
  <c r="U427" i="9"/>
  <c r="U63" i="9"/>
  <c r="U644" i="9"/>
  <c r="S274" i="9"/>
  <c r="AA274" i="9" s="1"/>
  <c r="T329" i="9"/>
  <c r="S632" i="9"/>
  <c r="AA632" i="9" s="1"/>
  <c r="S297" i="9"/>
  <c r="AA297" i="9" s="1"/>
  <c r="S386" i="9"/>
  <c r="AA386" i="9" s="1"/>
  <c r="U391" i="9"/>
  <c r="U13" i="9"/>
  <c r="U139" i="9"/>
  <c r="T609" i="9"/>
  <c r="T495" i="9"/>
  <c r="U376" i="9"/>
  <c r="U576" i="9"/>
  <c r="U444" i="9"/>
  <c r="U30" i="9"/>
  <c r="U117" i="9"/>
  <c r="U529" i="9"/>
  <c r="U527" i="9"/>
  <c r="T204" i="9"/>
  <c r="T644" i="9"/>
  <c r="U51" i="9"/>
  <c r="U445" i="9"/>
  <c r="T729" i="9"/>
  <c r="S76" i="9"/>
  <c r="AA76" i="9" s="1"/>
  <c r="X77" i="9"/>
  <c r="U375" i="9"/>
  <c r="T181" i="9"/>
  <c r="T43" i="9"/>
  <c r="T202" i="9"/>
  <c r="U517" i="9"/>
  <c r="U273" i="9"/>
  <c r="T175" i="9"/>
  <c r="T190" i="9"/>
  <c r="U472" i="9"/>
  <c r="U657" i="9"/>
  <c r="X607" i="9"/>
  <c r="T670" i="9"/>
  <c r="T183" i="9"/>
  <c r="T304" i="9"/>
  <c r="T454" i="9"/>
  <c r="T527" i="9"/>
  <c r="T172" i="9"/>
  <c r="T174" i="9"/>
  <c r="T50" i="9"/>
  <c r="S589" i="9"/>
  <c r="AA589" i="9" s="1"/>
  <c r="S706" i="9"/>
  <c r="AA706" i="9" s="1"/>
  <c r="S535" i="9"/>
  <c r="AA535" i="9" s="1"/>
  <c r="S59" i="9"/>
  <c r="AA59" i="9" s="1"/>
  <c r="S141" i="9"/>
  <c r="AA141" i="9" s="1"/>
  <c r="T10" i="9"/>
  <c r="S702" i="9"/>
  <c r="U562" i="9"/>
  <c r="X562" i="9"/>
  <c r="U101" i="9"/>
  <c r="U259" i="9"/>
  <c r="U494" i="9"/>
  <c r="U724" i="9"/>
  <c r="U676" i="9"/>
  <c r="U80" i="9"/>
  <c r="T18" i="9"/>
  <c r="T544" i="9"/>
  <c r="T655" i="9"/>
  <c r="T650" i="9"/>
  <c r="T105" i="9"/>
  <c r="T373" i="9"/>
  <c r="T724" i="9"/>
  <c r="T669" i="9"/>
  <c r="T494" i="9"/>
  <c r="T421" i="9"/>
  <c r="T298" i="9"/>
  <c r="T210" i="9"/>
  <c r="T593" i="9"/>
  <c r="T197" i="9"/>
  <c r="U665" i="9"/>
  <c r="T121" i="9"/>
  <c r="U377" i="9"/>
  <c r="U650" i="9"/>
  <c r="T291" i="9"/>
  <c r="T710" i="9"/>
  <c r="S468" i="9"/>
  <c r="AA468" i="9" s="1"/>
  <c r="T508" i="9"/>
  <c r="S288" i="9"/>
  <c r="S138" i="9"/>
  <c r="T192" i="9"/>
  <c r="T333" i="9"/>
  <c r="T428" i="9"/>
  <c r="S395" i="9"/>
  <c r="AA395" i="9" s="1"/>
  <c r="S257" i="9"/>
  <c r="S705" i="9"/>
  <c r="AA705" i="9" s="1"/>
  <c r="S372" i="9"/>
  <c r="AA372" i="9" s="1"/>
  <c r="T103" i="9"/>
  <c r="T240" i="9"/>
  <c r="S247" i="9"/>
  <c r="AA247" i="9" s="1"/>
  <c r="X233" i="9"/>
  <c r="AA203" i="9"/>
  <c r="X355" i="9"/>
  <c r="T371" i="9"/>
  <c r="T464" i="9"/>
  <c r="S666" i="9"/>
  <c r="AA666" i="9" s="1"/>
  <c r="U254" i="9"/>
  <c r="U652" i="9"/>
  <c r="U225" i="9"/>
  <c r="U39" i="9"/>
  <c r="U497" i="9"/>
  <c r="U483" i="9"/>
  <c r="U558" i="9"/>
  <c r="U492" i="9"/>
  <c r="U419" i="9"/>
  <c r="T444" i="9"/>
  <c r="T626" i="9"/>
  <c r="T117" i="9"/>
  <c r="T140" i="9"/>
  <c r="T39" i="9"/>
  <c r="T236" i="9"/>
  <c r="T476" i="9"/>
  <c r="S429" i="9"/>
  <c r="Y429" i="9" s="1"/>
  <c r="S407" i="9"/>
  <c r="AA407" i="9" s="1"/>
  <c r="T61" i="9"/>
  <c r="U151" i="9"/>
  <c r="U263" i="9"/>
  <c r="U470" i="9"/>
  <c r="U27" i="9"/>
  <c r="U331" i="9"/>
  <c r="U490" i="9"/>
  <c r="T331" i="9"/>
  <c r="S577" i="9"/>
  <c r="AA577" i="9" s="1"/>
  <c r="S592" i="9"/>
  <c r="AA592" i="9" s="1"/>
  <c r="U589" i="9"/>
  <c r="U206" i="9"/>
  <c r="U531" i="9"/>
  <c r="U175" i="9"/>
  <c r="U513" i="9"/>
  <c r="U689" i="9"/>
  <c r="U278" i="9"/>
  <c r="U701" i="9"/>
  <c r="U169" i="9"/>
  <c r="U343" i="9"/>
  <c r="U28" i="9"/>
  <c r="T301" i="9"/>
  <c r="T546" i="9"/>
  <c r="T138" i="9"/>
  <c r="T225" i="9"/>
  <c r="T529" i="9"/>
  <c r="T499" i="9"/>
  <c r="T308" i="9"/>
  <c r="T265" i="9"/>
  <c r="T483" i="9"/>
  <c r="T379" i="9"/>
  <c r="U364" i="9"/>
  <c r="U5" i="9"/>
  <c r="T583" i="9"/>
  <c r="T451" i="9"/>
  <c r="T274" i="9"/>
  <c r="T430" i="9"/>
  <c r="T461" i="9"/>
  <c r="T343" i="9"/>
  <c r="S208" i="9"/>
  <c r="AA208" i="9" s="1"/>
  <c r="U480" i="9"/>
  <c r="U723" i="9"/>
  <c r="U40" i="9"/>
  <c r="T657" i="9"/>
  <c r="T195" i="9"/>
  <c r="T163" i="9"/>
  <c r="S70" i="9"/>
  <c r="AA70" i="9" s="1"/>
  <c r="S234" i="9"/>
  <c r="AA234" i="9" s="1"/>
  <c r="S305" i="9"/>
  <c r="AA305" i="9" s="1"/>
  <c r="S682" i="9"/>
  <c r="AA682" i="9" s="1"/>
  <c r="S475" i="9"/>
  <c r="AA475" i="9" s="1"/>
  <c r="S488" i="9"/>
  <c r="S638" i="9"/>
  <c r="AA638" i="9" s="1"/>
  <c r="S459" i="9"/>
  <c r="AA459" i="9" s="1"/>
  <c r="S111" i="9"/>
  <c r="AA111" i="9" s="1"/>
  <c r="S142" i="9"/>
  <c r="AA142" i="9" s="1"/>
  <c r="U176" i="9"/>
  <c r="S368" i="9"/>
  <c r="AA368" i="9" s="1"/>
  <c r="U261" i="9"/>
  <c r="U615" i="9"/>
  <c r="U729" i="9"/>
  <c r="T23" i="9"/>
  <c r="S537" i="9"/>
  <c r="AA537" i="9" s="1"/>
  <c r="S432" i="9"/>
  <c r="AA432" i="9" s="1"/>
  <c r="U454" i="9"/>
  <c r="U428" i="9"/>
  <c r="U726" i="9"/>
  <c r="U482" i="9"/>
  <c r="T55" i="9"/>
  <c r="U344" i="9"/>
  <c r="U333" i="9"/>
  <c r="U421" i="9"/>
  <c r="U183" i="9"/>
  <c r="U625" i="9"/>
  <c r="U608" i="9"/>
  <c r="X184" i="9"/>
  <c r="U582" i="9"/>
  <c r="U20" i="9"/>
  <c r="T392" i="9"/>
  <c r="T242" i="9"/>
  <c r="T438" i="9"/>
  <c r="T718" i="9"/>
  <c r="T482" i="9"/>
  <c r="T383" i="9"/>
  <c r="T277" i="9"/>
  <c r="T344" i="9"/>
  <c r="T420" i="9"/>
  <c r="T726" i="9"/>
  <c r="T530" i="9"/>
  <c r="U192" i="9"/>
  <c r="T261" i="9"/>
  <c r="T384" i="9"/>
  <c r="U524" i="9"/>
  <c r="U388" i="9"/>
  <c r="U336" i="9"/>
  <c r="U722" i="9"/>
  <c r="U180" i="9"/>
  <c r="U534" i="9"/>
  <c r="T20" i="9"/>
  <c r="T647" i="9"/>
  <c r="T407" i="9"/>
  <c r="S181" i="9"/>
  <c r="AA181" i="9" s="1"/>
  <c r="S168" i="9"/>
  <c r="AA168" i="9" s="1"/>
  <c r="U98" i="9"/>
  <c r="Y98" i="9" s="1"/>
  <c r="T465" i="9"/>
  <c r="U189" i="9"/>
  <c r="T431" i="9"/>
  <c r="S243" i="9"/>
  <c r="AA243" i="9" s="1"/>
  <c r="T686" i="9"/>
  <c r="U45" i="9"/>
  <c r="U437" i="9"/>
  <c r="T57" i="9"/>
  <c r="T393" i="9"/>
  <c r="T478" i="9"/>
  <c r="U601" i="9"/>
  <c r="U410" i="9"/>
  <c r="U52" i="9"/>
  <c r="T109" i="9"/>
  <c r="U457" i="9"/>
  <c r="T450" i="9"/>
  <c r="T517" i="9"/>
  <c r="S53" i="9"/>
  <c r="AA53" i="9" s="1"/>
  <c r="S660" i="9"/>
  <c r="AA660" i="9" s="1"/>
  <c r="T82" i="9"/>
  <c r="T311" i="9"/>
  <c r="U525" i="9"/>
  <c r="U311" i="9"/>
  <c r="U717" i="9"/>
  <c r="U374" i="9"/>
  <c r="U519" i="9"/>
  <c r="U392" i="9"/>
  <c r="U486" i="9"/>
  <c r="U145" i="9"/>
  <c r="U95" i="9"/>
  <c r="T579" i="9"/>
  <c r="T320" i="9"/>
  <c r="T318" i="9"/>
  <c r="T292" i="9"/>
  <c r="T340" i="9"/>
  <c r="T113" i="9"/>
  <c r="S318" i="9"/>
  <c r="AA318" i="9" s="1"/>
  <c r="T276" i="9"/>
  <c r="U549" i="9"/>
  <c r="U276" i="9"/>
  <c r="T280" i="9"/>
  <c r="T107" i="9"/>
  <c r="T284" i="9"/>
  <c r="T259" i="9"/>
  <c r="T330" i="9"/>
  <c r="U197" i="9"/>
  <c r="U18" i="9"/>
  <c r="U450" i="9"/>
  <c r="U163" i="9"/>
  <c r="U123" i="9"/>
  <c r="U195" i="9"/>
  <c r="U718" i="9"/>
  <c r="T429" i="9"/>
  <c r="T547" i="9"/>
  <c r="T410" i="9"/>
  <c r="T281" i="9"/>
  <c r="T633" i="9"/>
  <c r="T457" i="9"/>
  <c r="S608" i="9"/>
  <c r="AA608" i="9" s="1"/>
  <c r="S555" i="9"/>
  <c r="AA555" i="9" s="1"/>
  <c r="S477" i="9"/>
  <c r="AA477" i="9" s="1"/>
  <c r="S651" i="9"/>
  <c r="S82" i="9"/>
  <c r="AA82" i="9" s="1"/>
  <c r="S585" i="9"/>
  <c r="AA585" i="9" s="1"/>
  <c r="T307" i="9"/>
  <c r="T654" i="9"/>
  <c r="U332" i="9"/>
  <c r="U43" i="9"/>
  <c r="U116" i="9"/>
  <c r="U320" i="9"/>
  <c r="U242" i="9"/>
  <c r="T25" i="9"/>
  <c r="T475" i="9"/>
  <c r="U383" i="9"/>
  <c r="U292" i="9"/>
  <c r="U150" i="9"/>
  <c r="T486" i="9"/>
  <c r="T665" i="9"/>
  <c r="T365" i="9"/>
  <c r="T534" i="9"/>
  <c r="T180" i="9"/>
  <c r="S239" i="9"/>
  <c r="AA239" i="9" s="1"/>
  <c r="T263" i="9"/>
  <c r="U367" i="9"/>
  <c r="X459" i="9"/>
  <c r="S304" i="9"/>
  <c r="S417" i="9"/>
  <c r="AA417" i="9" s="1"/>
  <c r="S697" i="9"/>
  <c r="AA697" i="9" s="1"/>
  <c r="S507" i="9"/>
  <c r="AA507" i="9" s="1"/>
  <c r="S223" i="9"/>
  <c r="AA223" i="9" s="1"/>
  <c r="S192" i="9"/>
  <c r="AA192" i="9" s="1"/>
  <c r="S501" i="9"/>
  <c r="AA501" i="9" s="1"/>
  <c r="S69" i="9"/>
  <c r="AA69" i="9" s="1"/>
  <c r="S15" i="9"/>
  <c r="AA15" i="9" s="1"/>
  <c r="S494" i="9"/>
  <c r="S195" i="9"/>
  <c r="AA195" i="9" s="1"/>
  <c r="S544" i="9"/>
  <c r="AA544" i="9" s="1"/>
  <c r="S633" i="9"/>
  <c r="S224" i="9"/>
  <c r="AA224" i="9" s="1"/>
  <c r="S285" i="9"/>
  <c r="AA285" i="9" s="1"/>
  <c r="S538" i="9"/>
  <c r="AA538" i="9" s="1"/>
  <c r="S56" i="9"/>
  <c r="AA56" i="9" s="1"/>
  <c r="S365" i="9"/>
  <c r="AA365" i="9" s="1"/>
  <c r="S570" i="9"/>
  <c r="AA570" i="9" s="1"/>
  <c r="S382" i="9"/>
  <c r="AA382" i="9" s="1"/>
  <c r="S371" i="9"/>
  <c r="AA371" i="9" s="1"/>
  <c r="S164" i="9"/>
  <c r="T309" i="9"/>
  <c r="U405" i="9"/>
  <c r="S607" i="9"/>
  <c r="AA607" i="9" s="1"/>
  <c r="S646" i="9"/>
  <c r="AA646" i="9" s="1"/>
  <c r="S212" i="9"/>
  <c r="AA212" i="9" s="1"/>
  <c r="S178" i="9"/>
  <c r="AA178" i="9" s="1"/>
  <c r="S185" i="9"/>
  <c r="AA185" i="9" s="1"/>
  <c r="S390" i="9"/>
  <c r="AA390" i="9" s="1"/>
  <c r="S259" i="9"/>
  <c r="S639" i="9"/>
  <c r="AA639" i="9" s="1"/>
  <c r="S160" i="9"/>
  <c r="AA160" i="9" s="1"/>
  <c r="S439" i="9"/>
  <c r="AA439" i="9" s="1"/>
  <c r="S566" i="9"/>
  <c r="AA566" i="9" s="1"/>
  <c r="S680" i="9"/>
  <c r="AA680" i="9" s="1"/>
  <c r="S425" i="9"/>
  <c r="AA425" i="9" s="1"/>
  <c r="S325" i="9"/>
  <c r="AA325" i="9" s="1"/>
  <c r="S335" i="9"/>
  <c r="AA335" i="9" s="1"/>
  <c r="S700" i="9"/>
  <c r="AA700" i="9" s="1"/>
  <c r="S404" i="9"/>
  <c r="AA404" i="9" s="1"/>
  <c r="S68" i="9"/>
  <c r="AA68" i="9" s="1"/>
  <c r="S373" i="9"/>
  <c r="AA373" i="9" s="1"/>
  <c r="S717" i="9"/>
  <c r="AA717" i="9" s="1"/>
  <c r="S64" i="9"/>
  <c r="AA64" i="9" s="1"/>
  <c r="S84" i="9"/>
  <c r="S81" i="9"/>
  <c r="AA81" i="9" s="1"/>
  <c r="U394" i="9"/>
  <c r="AA416" i="9"/>
  <c r="U185" i="9"/>
  <c r="S453" i="9"/>
  <c r="AA453" i="9" s="1"/>
  <c r="S397" i="9"/>
  <c r="AA397" i="9" s="1"/>
  <c r="S295" i="9"/>
  <c r="AA295" i="9" s="1"/>
  <c r="S18" i="9"/>
  <c r="S669" i="9"/>
  <c r="AA669" i="9" s="1"/>
  <c r="S46" i="9"/>
  <c r="AA46" i="9" s="1"/>
  <c r="S229" i="9"/>
  <c r="AA229" i="9" s="1"/>
  <c r="S226" i="9"/>
  <c r="AA226" i="9" s="1"/>
  <c r="S220" i="9"/>
  <c r="AA220" i="9" s="1"/>
  <c r="S50" i="9"/>
  <c r="AA50" i="9" s="1"/>
  <c r="T378" i="9"/>
  <c r="T217" i="9"/>
  <c r="T19" i="9"/>
  <c r="T725" i="9"/>
  <c r="T332" i="9"/>
  <c r="T6" i="9"/>
  <c r="T505" i="9"/>
  <c r="T612" i="9"/>
  <c r="T83" i="9"/>
  <c r="T390" i="9"/>
  <c r="T341" i="9"/>
  <c r="U378" i="9"/>
  <c r="U725" i="9"/>
  <c r="T286" i="9"/>
  <c r="S316" i="9"/>
  <c r="AA316" i="9" s="1"/>
  <c r="S603" i="9"/>
  <c r="AA603" i="9" s="1"/>
  <c r="S675" i="9"/>
  <c r="AA675" i="9" s="1"/>
  <c r="S493" i="9"/>
  <c r="AA493" i="9" s="1"/>
  <c r="S541" i="9"/>
  <c r="AA541" i="9" s="1"/>
  <c r="S658" i="9"/>
  <c r="S434" i="9"/>
  <c r="AA434" i="9" s="1"/>
  <c r="S711" i="9"/>
  <c r="AA711" i="9" s="1"/>
  <c r="S272" i="9"/>
  <c r="AA272" i="9" s="1"/>
  <c r="S228" i="9"/>
  <c r="AA228" i="9" s="1"/>
  <c r="S147" i="9"/>
  <c r="AA147" i="9" s="1"/>
  <c r="S367" i="9"/>
  <c r="AA367" i="9" s="1"/>
  <c r="U436" i="9"/>
  <c r="U155" i="9"/>
  <c r="U606" i="9"/>
  <c r="T409" i="9"/>
  <c r="U86" i="9"/>
  <c r="U152" i="9"/>
  <c r="T306" i="9"/>
  <c r="U353" i="9"/>
  <c r="U91" i="9"/>
  <c r="U422" i="9"/>
  <c r="T212" i="9"/>
  <c r="T474" i="9"/>
  <c r="T68" i="9"/>
  <c r="T155" i="9"/>
  <c r="T185" i="9"/>
  <c r="T673" i="9"/>
  <c r="T33" i="9"/>
  <c r="T147" i="9"/>
  <c r="U521" i="9"/>
  <c r="U362" i="9"/>
  <c r="U21" i="9"/>
  <c r="X21" i="9" s="1"/>
  <c r="U314" i="9"/>
  <c r="U666" i="9"/>
  <c r="U409" i="9"/>
  <c r="U68" i="9"/>
  <c r="U283" i="9"/>
  <c r="U380" i="9"/>
  <c r="U34" i="9"/>
  <c r="U619" i="9"/>
  <c r="U715" i="9"/>
  <c r="U296" i="9"/>
  <c r="T34" i="9"/>
  <c r="U408" i="9"/>
  <c r="T151" i="9"/>
  <c r="T408" i="9"/>
  <c r="U628" i="9"/>
  <c r="U126" i="9"/>
  <c r="T619" i="9"/>
  <c r="X367" i="9"/>
  <c r="S80" i="9"/>
  <c r="AA80" i="9" s="1"/>
  <c r="X339" i="9"/>
  <c r="U509" i="9"/>
  <c r="U279" i="9"/>
  <c r="U553" i="9"/>
  <c r="U124" i="9"/>
  <c r="U659" i="9"/>
  <c r="U212" i="9"/>
  <c r="U131" i="9"/>
  <c r="X521" i="9"/>
  <c r="T487" i="9"/>
  <c r="T456" i="9"/>
  <c r="T666" i="9"/>
  <c r="T606" i="9"/>
  <c r="T353" i="9"/>
  <c r="T458" i="9"/>
  <c r="T88" i="9"/>
  <c r="T279" i="9"/>
  <c r="U622" i="9"/>
  <c r="U577" i="9"/>
  <c r="U503" i="9"/>
  <c r="U551" i="9"/>
  <c r="U33" i="9"/>
  <c r="T422" i="9"/>
  <c r="S553" i="9"/>
  <c r="AA553" i="9" s="1"/>
  <c r="T8" i="9"/>
  <c r="T599" i="9"/>
  <c r="U61" i="9"/>
  <c r="U539" i="9"/>
  <c r="Y539" i="9" s="1"/>
  <c r="U596" i="9"/>
  <c r="U607" i="9"/>
  <c r="T539" i="9"/>
  <c r="S455" i="9"/>
  <c r="AA455" i="9" s="1"/>
  <c r="S428" i="9"/>
  <c r="AA428" i="9" s="1"/>
  <c r="S627" i="9"/>
  <c r="AA627" i="9" s="1"/>
  <c r="S173" i="9"/>
  <c r="AA173" i="9" s="1"/>
  <c r="S703" i="9"/>
  <c r="AA703" i="9" s="1"/>
  <c r="S581" i="9"/>
  <c r="AA581" i="9" s="1"/>
  <c r="T396" i="9"/>
  <c r="T144" i="9"/>
  <c r="T531" i="9"/>
  <c r="T727" i="9"/>
  <c r="T643" i="9"/>
  <c r="T24" i="9"/>
  <c r="U677" i="9"/>
  <c r="U104" i="9"/>
  <c r="S671" i="9"/>
  <c r="AA671" i="9" s="1"/>
  <c r="S563" i="9"/>
  <c r="AA563" i="9" s="1"/>
  <c r="S67" i="9"/>
  <c r="AA67" i="9" s="1"/>
  <c r="S32" i="9"/>
  <c r="S61" i="9"/>
  <c r="S88" i="9"/>
  <c r="AA88" i="9" s="1"/>
  <c r="S721" i="9"/>
  <c r="AA721" i="9" s="1"/>
  <c r="S463" i="9"/>
  <c r="AA463" i="9" s="1"/>
  <c r="S38" i="9"/>
  <c r="AA38" i="9" s="1"/>
  <c r="S102" i="9"/>
  <c r="AA102" i="9" s="1"/>
  <c r="U329" i="9"/>
  <c r="U309" i="9"/>
  <c r="S339" i="9"/>
  <c r="AA339" i="9" s="1"/>
  <c r="T69" i="9"/>
  <c r="U591" i="9"/>
  <c r="T126" i="9"/>
  <c r="T553" i="9"/>
  <c r="T385" i="9"/>
  <c r="T704" i="9"/>
  <c r="T168" i="9"/>
  <c r="T662" i="9"/>
  <c r="U456" i="9"/>
  <c r="U487" i="9"/>
  <c r="U370" i="9"/>
  <c r="U688" i="9"/>
  <c r="T380" i="9"/>
  <c r="T577" i="9"/>
  <c r="T394" i="9"/>
  <c r="S495" i="9"/>
  <c r="AA495" i="9" s="1"/>
  <c r="T558" i="9"/>
  <c r="T13" i="9"/>
  <c r="S394" i="9"/>
  <c r="AA394" i="9" s="1"/>
  <c r="S235" i="9"/>
  <c r="AA235" i="9" s="1"/>
  <c r="S474" i="9"/>
  <c r="AA474" i="9" s="1"/>
  <c r="S512" i="9"/>
  <c r="AA512" i="9" s="1"/>
  <c r="S85" i="9"/>
  <c r="AA85" i="9" s="1"/>
  <c r="S467" i="9"/>
  <c r="AA467" i="9" s="1"/>
  <c r="T591" i="9"/>
  <c r="T598" i="9"/>
  <c r="S354" i="9"/>
  <c r="AA354" i="9" s="1"/>
  <c r="S599" i="9"/>
  <c r="AA599" i="9" s="1"/>
  <c r="U720" i="9"/>
  <c r="U471" i="9"/>
  <c r="T659" i="9"/>
  <c r="T227" i="9"/>
  <c r="U243" i="9"/>
  <c r="U141" i="9"/>
  <c r="U361" i="9"/>
  <c r="U506" i="9"/>
  <c r="U600" i="9"/>
  <c r="X304" i="9"/>
  <c r="U448" i="9"/>
  <c r="U578" i="9"/>
  <c r="U708" i="9"/>
  <c r="U306" i="9"/>
  <c r="U484" i="9"/>
  <c r="U84" i="9"/>
  <c r="U420" i="9"/>
  <c r="X140" i="9"/>
  <c r="T576" i="9"/>
  <c r="T509" i="9"/>
  <c r="T683" i="9"/>
  <c r="T203" i="9"/>
  <c r="T485" i="9"/>
  <c r="T723" i="9"/>
  <c r="T506" i="9"/>
  <c r="T241" i="9"/>
  <c r="T490" i="9"/>
  <c r="T131" i="9"/>
  <c r="T646" i="9"/>
  <c r="T488" i="9"/>
  <c r="T91" i="9"/>
  <c r="T423" i="9"/>
  <c r="T296" i="9"/>
  <c r="T173" i="9"/>
  <c r="T164" i="9"/>
  <c r="T676" i="9"/>
  <c r="T150" i="9"/>
  <c r="S360" i="9"/>
  <c r="AA360" i="9" s="1"/>
  <c r="S155" i="9"/>
  <c r="AA155" i="9" s="1"/>
  <c r="S551" i="9"/>
  <c r="S452" i="9"/>
  <c r="AA452" i="9" s="1"/>
  <c r="S704" i="9"/>
  <c r="AA704" i="9" s="1"/>
  <c r="S146" i="9"/>
  <c r="S352" i="9"/>
  <c r="AA352" i="9" s="1"/>
  <c r="S654" i="9"/>
  <c r="S116" i="9"/>
  <c r="AA116" i="9" s="1"/>
  <c r="S167" i="9"/>
  <c r="AA167" i="9" s="1"/>
  <c r="U522" i="9"/>
  <c r="U681" i="9"/>
  <c r="S99" i="9"/>
  <c r="AA99" i="9" s="1"/>
  <c r="S349" i="9"/>
  <c r="Y349" i="9" s="1"/>
  <c r="S112" i="9"/>
  <c r="AA112" i="9" s="1"/>
  <c r="S162" i="9"/>
  <c r="AA162" i="9" s="1"/>
  <c r="S72" i="9"/>
  <c r="AA72" i="9" s="1"/>
  <c r="S40" i="9"/>
  <c r="AA40" i="9" s="1"/>
  <c r="S366" i="9"/>
  <c r="AA366" i="9" s="1"/>
  <c r="S104" i="9"/>
  <c r="U260" i="9"/>
  <c r="U616" i="9"/>
  <c r="U313" i="9"/>
  <c r="U727" i="9"/>
  <c r="S412" i="9"/>
  <c r="AA412" i="9" s="1"/>
  <c r="S643" i="9"/>
  <c r="AA643" i="9" s="1"/>
  <c r="U604" i="9"/>
  <c r="U412" i="9"/>
  <c r="U552" i="9"/>
  <c r="U156" i="9"/>
  <c r="U120" i="9"/>
  <c r="T552" i="9"/>
  <c r="U204" i="9"/>
  <c r="T503" i="9"/>
  <c r="T178" i="9"/>
  <c r="T628" i="9"/>
  <c r="U637" i="9"/>
  <c r="U133" i="9"/>
  <c r="U692" i="9"/>
  <c r="U609" i="9"/>
  <c r="U668" i="9"/>
  <c r="U683" i="9"/>
  <c r="U714" i="9"/>
  <c r="U597" i="9"/>
  <c r="T65" i="9"/>
  <c r="U108" i="9"/>
  <c r="S320" i="9"/>
  <c r="AA320" i="9" s="1"/>
  <c r="U203" i="9"/>
  <c r="X203" i="9" s="1"/>
  <c r="U587" i="9"/>
  <c r="U88" i="9"/>
  <c r="T106" i="9"/>
  <c r="T587" i="9"/>
  <c r="T688" i="9"/>
  <c r="S277" i="9"/>
  <c r="AA277" i="9" s="1"/>
  <c r="U623" i="9"/>
  <c r="T677" i="9"/>
  <c r="U415" i="9"/>
  <c r="U298" i="9"/>
  <c r="U458" i="9"/>
  <c r="U633" i="9"/>
  <c r="U202" i="9"/>
  <c r="U213" i="9"/>
  <c r="U643" i="9"/>
  <c r="T559" i="9"/>
  <c r="U255" i="9"/>
  <c r="T452" i="9"/>
  <c r="T596" i="9"/>
  <c r="T213" i="9"/>
  <c r="T389" i="9"/>
  <c r="U614" i="9"/>
  <c r="U411" i="9"/>
  <c r="U584" i="9"/>
  <c r="U326" i="9"/>
  <c r="T614" i="9"/>
  <c r="T104" i="9"/>
  <c r="T288" i="9"/>
  <c r="T610" i="9"/>
  <c r="T698" i="9"/>
  <c r="S461" i="9"/>
  <c r="AA461" i="9" s="1"/>
  <c r="S240" i="9"/>
  <c r="T48" i="9"/>
  <c r="U31" i="9"/>
  <c r="U253" i="9"/>
  <c r="U706" i="9"/>
  <c r="U533" i="9"/>
  <c r="U610" i="9"/>
  <c r="T17" i="9"/>
  <c r="X371" i="9"/>
  <c r="X209" i="9"/>
  <c r="T637" i="9"/>
  <c r="S450" i="9"/>
  <c r="AA450" i="9" s="1"/>
  <c r="S65" i="9"/>
  <c r="AA65" i="9" s="1"/>
  <c r="U181" i="9"/>
  <c r="U348" i="9"/>
  <c r="U505" i="9"/>
  <c r="U134" i="9"/>
  <c r="S136" i="9"/>
  <c r="AA136" i="9" s="1"/>
  <c r="S534" i="9"/>
  <c r="AA534" i="9" s="1"/>
  <c r="S519" i="9"/>
  <c r="AA519" i="9" s="1"/>
  <c r="S336" i="9"/>
  <c r="S95" i="9"/>
  <c r="AA95" i="9" s="1"/>
  <c r="S230" i="9"/>
  <c r="S179" i="9"/>
  <c r="AA179" i="9" s="1"/>
  <c r="S438" i="9"/>
  <c r="AA438" i="9" s="1"/>
  <c r="S301" i="9"/>
  <c r="AA301" i="9" s="1"/>
  <c r="S279" i="9"/>
  <c r="S458" i="9"/>
  <c r="AA458" i="9" s="1"/>
  <c r="S420" i="9"/>
  <c r="AA420" i="9" s="1"/>
  <c r="S482" i="9"/>
  <c r="AA482" i="9" s="1"/>
  <c r="S302" i="9"/>
  <c r="S87" i="9"/>
  <c r="AA87" i="9" s="1"/>
  <c r="T156" i="9"/>
  <c r="T590" i="9"/>
  <c r="T604" i="9"/>
  <c r="T692" i="9"/>
  <c r="T589" i="9"/>
  <c r="S710" i="9"/>
  <c r="AA710" i="9" s="1"/>
  <c r="U321" i="9"/>
  <c r="U132" i="9"/>
  <c r="U390" i="9"/>
  <c r="U386" i="9"/>
  <c r="X78" i="9"/>
  <c r="T116" i="9"/>
  <c r="T414" i="9"/>
  <c r="T302" i="9"/>
  <c r="S624" i="9"/>
  <c r="AA624" i="9" s="1"/>
  <c r="S447" i="9"/>
  <c r="AA447" i="9" s="1"/>
  <c r="S83" i="9"/>
  <c r="AA83" i="9" s="1"/>
  <c r="S479" i="9"/>
  <c r="AA479" i="9" s="1"/>
  <c r="S315" i="9"/>
  <c r="AA315" i="9" s="1"/>
  <c r="U49" i="9"/>
  <c r="T167" i="9"/>
  <c r="T703" i="9"/>
  <c r="X585" i="9"/>
  <c r="U146" i="9"/>
  <c r="U217" i="9"/>
  <c r="U19" i="9"/>
  <c r="T649" i="9"/>
  <c r="T542" i="9"/>
  <c r="T684" i="9"/>
  <c r="S552" i="9"/>
  <c r="S106" i="9"/>
  <c r="AA106" i="9" s="1"/>
  <c r="S713" i="9"/>
  <c r="AA713" i="9" s="1"/>
  <c r="S29" i="9"/>
  <c r="AA29" i="9" s="1"/>
  <c r="S108" i="9"/>
  <c r="AA108" i="9" s="1"/>
  <c r="S145" i="9"/>
  <c r="S615" i="9"/>
  <c r="U148" i="9"/>
  <c r="U447" i="9"/>
  <c r="T386" i="9"/>
  <c r="T357" i="9"/>
  <c r="T360" i="9"/>
  <c r="T321" i="9"/>
  <c r="T170" i="9"/>
  <c r="T5" i="9"/>
  <c r="S637" i="9"/>
  <c r="AA637" i="9" s="1"/>
  <c r="S200" i="9"/>
  <c r="AA200" i="9" s="1"/>
  <c r="S600" i="9"/>
  <c r="AA600" i="9" s="1"/>
  <c r="S28" i="9"/>
  <c r="S300" i="9"/>
  <c r="AA300" i="9" s="1"/>
  <c r="S626" i="9"/>
  <c r="S511" i="9"/>
  <c r="AA511" i="9" s="1"/>
  <c r="S679" i="9"/>
  <c r="U459" i="9"/>
  <c r="S319" i="9"/>
  <c r="AA319" i="9" s="1"/>
  <c r="U294" i="9"/>
  <c r="S601" i="9"/>
  <c r="AA601" i="9" s="1"/>
  <c r="U125" i="9"/>
  <c r="U360" i="9"/>
  <c r="X179" i="9"/>
  <c r="S527" i="9"/>
  <c r="U247" i="9"/>
  <c r="U426" i="9"/>
  <c r="S286" i="9"/>
  <c r="AA286" i="9" s="1"/>
  <c r="T142" i="9"/>
  <c r="AA565" i="9"/>
  <c r="U302" i="9"/>
  <c r="U59" i="9"/>
  <c r="S569" i="9"/>
  <c r="AA569" i="9" s="1"/>
  <c r="U599" i="9"/>
  <c r="U159" i="9"/>
  <c r="U624" i="9"/>
  <c r="U198" i="9"/>
  <c r="U617" i="9"/>
  <c r="U612" i="9"/>
  <c r="U258" i="9"/>
  <c r="U83" i="9"/>
  <c r="X119" i="9"/>
  <c r="X450" i="9"/>
  <c r="U357" i="9"/>
  <c r="U649" i="9"/>
  <c r="T146" i="9"/>
  <c r="T198" i="9"/>
  <c r="T148" i="9"/>
  <c r="T348" i="9"/>
  <c r="T219" i="9"/>
  <c r="T466" i="9"/>
  <c r="S441" i="9"/>
  <c r="AA441" i="9" s="1"/>
  <c r="S490" i="9"/>
  <c r="U464" i="9"/>
  <c r="U542" i="9"/>
  <c r="U130" i="9"/>
  <c r="U219" i="9"/>
  <c r="U168" i="9"/>
  <c r="T130" i="9"/>
  <c r="U704" i="9"/>
  <c r="X434" i="9"/>
  <c r="U703" i="9"/>
  <c r="U504" i="9"/>
  <c r="T258" i="9"/>
  <c r="T504" i="9"/>
  <c r="T364" i="9"/>
  <c r="T214" i="9"/>
  <c r="U44" i="9"/>
  <c r="U342" i="9"/>
  <c r="T342" i="9"/>
  <c r="T447" i="9"/>
  <c r="T350" i="9"/>
  <c r="S345" i="9"/>
  <c r="S350" i="9"/>
  <c r="AA350" i="9" s="1"/>
  <c r="S698" i="9"/>
  <c r="AA698" i="9" s="1"/>
  <c r="S506" i="9"/>
  <c r="AA506" i="9" s="1"/>
  <c r="S712" i="9"/>
  <c r="AA712" i="9" s="1"/>
  <c r="S294" i="9"/>
  <c r="AA294" i="9" s="1"/>
  <c r="T199" i="9"/>
  <c r="X230" i="9"/>
  <c r="X386" i="9"/>
  <c r="T623" i="9"/>
  <c r="T63" i="9"/>
  <c r="S139" i="9"/>
  <c r="S117" i="9"/>
  <c r="AA117" i="9" s="1"/>
  <c r="U611" i="9"/>
  <c r="S661" i="9"/>
  <c r="AA661" i="9" s="1"/>
  <c r="T615" i="9"/>
  <c r="U48" i="9"/>
  <c r="T562" i="9"/>
  <c r="X709" i="9"/>
  <c r="X426" i="9"/>
  <c r="T133" i="9"/>
  <c r="T411" i="9"/>
  <c r="T253" i="9"/>
  <c r="T433" i="9"/>
  <c r="S528" i="9"/>
  <c r="AA528" i="9" s="1"/>
  <c r="S361" i="9"/>
  <c r="AA361" i="9" s="1"/>
  <c r="S384" i="9"/>
  <c r="AA384" i="9" s="1"/>
  <c r="T75" i="9"/>
  <c r="X489" i="9"/>
  <c r="U530" i="9"/>
  <c r="U194" i="9"/>
  <c r="U236" i="9"/>
  <c r="U699" i="9"/>
  <c r="U430" i="9"/>
  <c r="S338" i="9"/>
  <c r="AA338" i="9" s="1"/>
  <c r="X10" i="9"/>
  <c r="X603" i="9"/>
  <c r="S725" i="9"/>
  <c r="AA725" i="9" s="1"/>
  <c r="S542" i="9"/>
  <c r="AA542" i="9" s="1"/>
  <c r="S445" i="9"/>
  <c r="S312" i="9"/>
  <c r="AA312" i="9" s="1"/>
  <c r="T79" i="9"/>
  <c r="T652" i="9"/>
  <c r="T571" i="9"/>
  <c r="T243" i="9"/>
  <c r="T600" i="9"/>
  <c r="T30" i="9"/>
  <c r="S597" i="9"/>
  <c r="S39" i="9"/>
  <c r="AA39" i="9" s="1"/>
  <c r="S165" i="9"/>
  <c r="AA165" i="9" s="1"/>
  <c r="S564" i="9"/>
  <c r="AA564" i="9" s="1"/>
  <c r="S663" i="9"/>
  <c r="AA663" i="9" s="1"/>
  <c r="T41" i="9"/>
  <c r="T305" i="9"/>
  <c r="T381" i="9"/>
  <c r="T376" i="9"/>
  <c r="T139" i="9"/>
  <c r="X397" i="9"/>
  <c r="AA539" i="9"/>
  <c r="X178" i="9"/>
  <c r="T621" i="9"/>
  <c r="S402" i="9"/>
  <c r="AA402" i="9" s="1"/>
  <c r="S153" i="9"/>
  <c r="S343" i="9"/>
  <c r="AA343" i="9" s="1"/>
  <c r="S481" i="9"/>
  <c r="AA481" i="9" s="1"/>
  <c r="S233" i="9"/>
  <c r="AA233" i="9" s="1"/>
  <c r="S103" i="9"/>
  <c r="S476" i="9"/>
  <c r="AA476" i="9" s="1"/>
  <c r="S579" i="9"/>
  <c r="AA579" i="9" s="1"/>
  <c r="T16" i="9"/>
  <c r="S526" i="9"/>
  <c r="AA526" i="9" s="1"/>
  <c r="S60" i="9"/>
  <c r="AA60" i="9" s="1"/>
  <c r="S37" i="9"/>
  <c r="AA37" i="9" s="1"/>
  <c r="T391" i="9"/>
  <c r="T597" i="9"/>
  <c r="X458" i="9"/>
  <c r="T699" i="9"/>
  <c r="T568" i="9"/>
  <c r="S442" i="9"/>
  <c r="X579" i="9"/>
  <c r="X333" i="9"/>
  <c r="X560" i="9"/>
  <c r="X642" i="9"/>
  <c r="X457" i="9"/>
  <c r="X606" i="9"/>
  <c r="T38" i="9"/>
  <c r="T255" i="9"/>
  <c r="T668" i="9"/>
  <c r="T638" i="9"/>
  <c r="T31" i="9"/>
  <c r="T656" i="9"/>
  <c r="T584" i="9"/>
  <c r="S378" i="9"/>
  <c r="AA378" i="9" s="1"/>
  <c r="X357" i="9"/>
  <c r="S91" i="9"/>
  <c r="AA91" i="9" s="1"/>
  <c r="S54" i="9"/>
  <c r="AA54" i="9" s="1"/>
  <c r="S6" i="9"/>
  <c r="AA6" i="9" s="1"/>
  <c r="S504" i="9"/>
  <c r="AA504" i="9" s="1"/>
  <c r="S5" i="9"/>
  <c r="AA5" i="9" s="1"/>
  <c r="S617" i="9"/>
  <c r="AA617" i="9" s="1"/>
  <c r="S584" i="9"/>
  <c r="AA584" i="9" s="1"/>
  <c r="T268" i="9"/>
  <c r="T72" i="9"/>
  <c r="T640" i="9"/>
  <c r="T522" i="9"/>
  <c r="T266" i="9"/>
  <c r="U528" i="9"/>
  <c r="T694" i="9"/>
  <c r="U315" i="9"/>
  <c r="S583" i="9"/>
  <c r="AA583" i="9" s="1"/>
  <c r="S380" i="9"/>
  <c r="AA380" i="9" s="1"/>
  <c r="S353" i="9"/>
  <c r="AA353" i="9" s="1"/>
  <c r="S582" i="9"/>
  <c r="AA582" i="9" s="1"/>
  <c r="S34" i="9"/>
  <c r="AA34" i="9" s="1"/>
  <c r="S57" i="9"/>
  <c r="AA57" i="9" s="1"/>
  <c r="S134" i="9"/>
  <c r="S464" i="9"/>
  <c r="AA464" i="9" s="1"/>
  <c r="S267" i="9"/>
  <c r="S158" i="9"/>
  <c r="AA158" i="9" s="1"/>
  <c r="X261" i="9"/>
  <c r="X356" i="9"/>
  <c r="AA16" i="9"/>
  <c r="T415" i="9"/>
  <c r="T14" i="9"/>
  <c r="T713" i="9"/>
  <c r="T526" i="9"/>
  <c r="S255" i="9"/>
  <c r="AA255" i="9" s="1"/>
  <c r="S258" i="9"/>
  <c r="AA258" i="9" s="1"/>
  <c r="S348" i="9"/>
  <c r="AA348" i="9" s="1"/>
  <c r="S714" i="9"/>
  <c r="AA714" i="9" s="1"/>
  <c r="S313" i="9"/>
  <c r="AA313" i="9" s="1"/>
  <c r="S24" i="9"/>
  <c r="T216" i="9"/>
  <c r="U566" i="9"/>
  <c r="U716" i="9"/>
  <c r="X403" i="9"/>
  <c r="U656" i="9"/>
  <c r="X85" i="9"/>
  <c r="U191" i="9"/>
  <c r="U74" i="9"/>
  <c r="U29" i="9"/>
  <c r="U559" i="9"/>
  <c r="T535" i="9"/>
  <c r="T622" i="9"/>
  <c r="T565" i="9"/>
  <c r="T328" i="9"/>
  <c r="T29" i="9"/>
  <c r="T184" i="9"/>
  <c r="T484" i="9"/>
  <c r="S194" i="9"/>
  <c r="AA194" i="9" s="1"/>
  <c r="S175" i="9"/>
  <c r="AA175" i="9" s="1"/>
  <c r="S214" i="9"/>
  <c r="AA214" i="9" s="1"/>
  <c r="S253" i="9"/>
  <c r="AA253" i="9" s="1"/>
  <c r="S699" i="9"/>
  <c r="AA699" i="9" s="1"/>
  <c r="S701" i="9"/>
  <c r="S13" i="9"/>
  <c r="S169" i="9"/>
  <c r="AA169" i="9" s="1"/>
  <c r="S568" i="9"/>
  <c r="AA568" i="9" s="1"/>
  <c r="S576" i="9"/>
  <c r="S205" i="9"/>
  <c r="AA205" i="9" s="1"/>
  <c r="S644" i="9"/>
  <c r="AA644" i="9" s="1"/>
  <c r="S303" i="9"/>
  <c r="AA303" i="9" s="1"/>
  <c r="U462" i="9"/>
  <c r="X394" i="9"/>
  <c r="S351" i="9"/>
  <c r="AA351" i="9" s="1"/>
  <c r="S616" i="9"/>
  <c r="AA616" i="9" s="1"/>
  <c r="X539" i="9"/>
  <c r="U144" i="9"/>
  <c r="U389" i="9"/>
  <c r="T141" i="9"/>
  <c r="T108" i="9"/>
  <c r="U42" i="9"/>
  <c r="U319" i="9"/>
  <c r="U106" i="9"/>
  <c r="U698" i="9"/>
  <c r="U433" i="9"/>
  <c r="T513" i="9"/>
  <c r="U671" i="9"/>
  <c r="T550" i="9"/>
  <c r="T455" i="9"/>
  <c r="T442" i="9"/>
  <c r="T440" i="9"/>
  <c r="T245" i="9"/>
  <c r="T595" i="9"/>
  <c r="T145" i="9"/>
  <c r="T398" i="9"/>
  <c r="T382" i="9"/>
  <c r="T171" i="9"/>
  <c r="U245" i="9"/>
  <c r="U166" i="9"/>
  <c r="U89" i="9"/>
  <c r="S311" i="9"/>
  <c r="AA311" i="9" s="1"/>
  <c r="S398" i="9"/>
  <c r="AA398" i="9" s="1"/>
  <c r="S262" i="9"/>
  <c r="AA262" i="9" s="1"/>
  <c r="S457" i="9"/>
  <c r="S696" i="9"/>
  <c r="Y696" i="9" s="1"/>
  <c r="S718" i="9"/>
  <c r="S422" i="9"/>
  <c r="S172" i="9"/>
  <c r="AA172" i="9" s="1"/>
  <c r="U280" i="9"/>
  <c r="T136" i="9"/>
  <c r="U694" i="9"/>
  <c r="T470" i="9"/>
  <c r="U354" i="9"/>
  <c r="S113" i="9"/>
  <c r="AA113" i="9" s="1"/>
  <c r="U439" i="9"/>
  <c r="U193" i="9"/>
  <c r="U460" i="9"/>
  <c r="S30" i="9"/>
  <c r="AA30" i="9" s="1"/>
  <c r="S604" i="9"/>
  <c r="S186" i="9"/>
  <c r="AA186" i="9" s="1"/>
  <c r="S545" i="9"/>
  <c r="AA545" i="9" s="1"/>
  <c r="T187" i="9"/>
  <c r="U563" i="9"/>
  <c r="U675" i="9"/>
  <c r="T12" i="9"/>
  <c r="S359" i="9"/>
  <c r="AA359" i="9" s="1"/>
  <c r="T664" i="9"/>
  <c r="U654" i="9"/>
  <c r="X477" i="9"/>
  <c r="U466" i="9"/>
  <c r="X95" i="9"/>
  <c r="X311" i="9"/>
  <c r="T538" i="9"/>
  <c r="T648" i="9"/>
  <c r="T618" i="9"/>
  <c r="S122" i="9"/>
  <c r="AA122" i="9" s="1"/>
  <c r="S543" i="9"/>
  <c r="AA543" i="9" s="1"/>
  <c r="S268" i="9"/>
  <c r="AA268" i="9" s="1"/>
  <c r="S620" i="9"/>
  <c r="AA620" i="9" s="1"/>
  <c r="S310" i="9"/>
  <c r="AA310" i="9" s="1"/>
  <c r="S244" i="9"/>
  <c r="S691" i="9"/>
  <c r="AA691" i="9" s="1"/>
  <c r="S498" i="9"/>
  <c r="AA498" i="9" s="1"/>
  <c r="S376" i="9"/>
  <c r="AA376" i="9" s="1"/>
  <c r="S448" i="9"/>
  <c r="S558" i="9"/>
  <c r="S554" i="9"/>
  <c r="S667" i="9"/>
  <c r="AA667" i="9" s="1"/>
  <c r="S631" i="9"/>
  <c r="AA631" i="9" s="1"/>
  <c r="S327" i="9"/>
  <c r="AA327" i="9" s="1"/>
  <c r="S575" i="9"/>
  <c r="AA575" i="9" s="1"/>
  <c r="S246" i="9"/>
  <c r="AA246" i="9" s="1"/>
  <c r="S572" i="9"/>
  <c r="Y572" i="9" s="1"/>
  <c r="S115" i="9"/>
  <c r="AA115" i="9" s="1"/>
  <c r="S522" i="9"/>
  <c r="S293" i="9"/>
  <c r="AA293" i="9" s="1"/>
  <c r="S92" i="9"/>
  <c r="AA92" i="9" s="1"/>
  <c r="S270" i="9"/>
  <c r="AA270" i="9" s="1"/>
  <c r="S110" i="9"/>
  <c r="AA110" i="9" s="1"/>
  <c r="S250" i="9"/>
  <c r="AA250" i="9" s="1"/>
  <c r="T439" i="9"/>
  <c r="T247" i="9"/>
  <c r="T460" i="9"/>
  <c r="T434" i="9"/>
  <c r="T693" i="9"/>
  <c r="U77" i="9"/>
  <c r="U537" i="9"/>
  <c r="U446" i="9"/>
  <c r="U693" i="9"/>
  <c r="U711" i="9"/>
  <c r="U32" i="9"/>
  <c r="S625" i="9"/>
  <c r="S548" i="9"/>
  <c r="AA548" i="9" s="1"/>
  <c r="S557" i="9"/>
  <c r="AA557" i="9" s="1"/>
  <c r="S202" i="9"/>
  <c r="AA202" i="9" s="1"/>
  <c r="S509" i="9"/>
  <c r="S269" i="9"/>
  <c r="S673" i="9"/>
  <c r="X673" i="9" s="1"/>
  <c r="S135" i="9"/>
  <c r="S403" i="9"/>
  <c r="AA403" i="9" s="1"/>
  <c r="X595" i="9"/>
  <c r="S324" i="9"/>
  <c r="AA324" i="9" s="1"/>
  <c r="S276" i="9"/>
  <c r="AA276" i="9" s="1"/>
  <c r="S232" i="9"/>
  <c r="AA232" i="9" s="1"/>
  <c r="S650" i="9"/>
  <c r="S71" i="9"/>
  <c r="AA71" i="9" s="1"/>
  <c r="S11" i="9"/>
  <c r="AA11" i="9" s="1"/>
  <c r="S586" i="9"/>
  <c r="AA586" i="9" s="1"/>
  <c r="S655" i="9"/>
  <c r="AA655" i="9" s="1"/>
  <c r="S628" i="9"/>
  <c r="AA628" i="9" s="1"/>
  <c r="S726" i="9"/>
  <c r="AA726" i="9" s="1"/>
  <c r="S462" i="9"/>
  <c r="AA462" i="9" s="1"/>
  <c r="S322" i="9"/>
  <c r="AA322" i="9" s="1"/>
  <c r="S280" i="9"/>
  <c r="AA280" i="9" s="1"/>
  <c r="U111" i="9"/>
  <c r="S424" i="9"/>
  <c r="AA424" i="9" s="1"/>
  <c r="S662" i="9"/>
  <c r="AA662" i="9" s="1"/>
  <c r="T339" i="9"/>
  <c r="U312" i="9"/>
  <c r="U598" i="9"/>
  <c r="U199" i="9"/>
  <c r="Y199" i="9" s="1"/>
  <c r="S562" i="9"/>
  <c r="AA562" i="9" s="1"/>
  <c r="T289" i="9"/>
  <c r="T707" i="9"/>
  <c r="U171" i="9"/>
  <c r="T123" i="9"/>
  <c r="X451" i="9"/>
  <c r="T254" i="9"/>
  <c r="T81" i="9"/>
  <c r="U209" i="9"/>
  <c r="U440" i="9"/>
  <c r="U371" i="9"/>
  <c r="U81" i="9"/>
  <c r="S379" i="9"/>
  <c r="AA379" i="9" s="1"/>
  <c r="S499" i="9"/>
  <c r="AA499" i="9" s="1"/>
  <c r="T377" i="9"/>
  <c r="S405" i="9"/>
  <c r="U372" i="9"/>
  <c r="U395" i="9"/>
  <c r="U465" i="9"/>
  <c r="U404" i="9"/>
  <c r="U232" i="9"/>
  <c r="U710" i="9"/>
  <c r="U38" i="9"/>
  <c r="X246" i="9"/>
  <c r="X392" i="9"/>
  <c r="U71" i="9"/>
  <c r="X55" i="9"/>
  <c r="X693" i="9"/>
  <c r="T653" i="9"/>
  <c r="T696" i="9"/>
  <c r="T388" i="9"/>
  <c r="T77" i="9"/>
  <c r="T639" i="9"/>
  <c r="T209" i="9"/>
  <c r="T419" i="9"/>
  <c r="T680" i="9"/>
  <c r="T285" i="9"/>
  <c r="T143" i="9"/>
  <c r="T437" i="9"/>
  <c r="T229" i="9"/>
  <c r="U229" i="9"/>
  <c r="S613" i="9"/>
  <c r="AA613" i="9" s="1"/>
  <c r="S127" i="9"/>
  <c r="AA127" i="9" s="1"/>
  <c r="S596" i="9"/>
  <c r="S621" i="9"/>
  <c r="S263" i="9"/>
  <c r="AA263" i="9" s="1"/>
  <c r="U147" i="9"/>
  <c r="S358" i="9"/>
  <c r="AA358" i="9" s="1"/>
  <c r="S688" i="9"/>
  <c r="AA688" i="9" s="1"/>
  <c r="U545" i="9"/>
  <c r="S93" i="9"/>
  <c r="U382" i="9"/>
  <c r="T641" i="9"/>
  <c r="U443" i="9"/>
  <c r="U221" i="9"/>
  <c r="Y221" i="9" s="1"/>
  <c r="X375" i="9"/>
  <c r="T221" i="9"/>
  <c r="T627" i="9"/>
  <c r="T701" i="9"/>
  <c r="T585" i="9"/>
  <c r="T480" i="9"/>
  <c r="T445" i="9"/>
  <c r="S540" i="9"/>
  <c r="AA540" i="9" s="1"/>
  <c r="S62" i="9"/>
  <c r="AA62" i="9" s="1"/>
  <c r="S137" i="9"/>
  <c r="AA137" i="9" s="1"/>
  <c r="S611" i="9"/>
  <c r="AA611" i="9" s="1"/>
  <c r="S189" i="9"/>
  <c r="AA189" i="9" s="1"/>
  <c r="S520" i="9"/>
  <c r="AA520" i="9" s="1"/>
  <c r="U526" i="9"/>
  <c r="S694" i="9"/>
  <c r="AA694" i="9" s="1"/>
  <c r="T157" i="9"/>
  <c r="U449" i="9"/>
  <c r="U498" i="9"/>
  <c r="U686" i="9"/>
  <c r="X586" i="9"/>
  <c r="S48" i="9"/>
  <c r="AA48" i="9" s="1"/>
  <c r="X538" i="9"/>
  <c r="T524" i="9"/>
  <c r="X563" i="9"/>
  <c r="U557" i="9"/>
  <c r="U285" i="9"/>
  <c r="U317" i="9"/>
  <c r="T166" i="9"/>
  <c r="U173" i="9"/>
  <c r="S355" i="9"/>
  <c r="X164" i="9"/>
  <c r="T570" i="9"/>
  <c r="T717" i="9"/>
  <c r="T345" i="9"/>
  <c r="T84" i="9"/>
  <c r="T557" i="9"/>
  <c r="T98" i="9"/>
  <c r="U384" i="9"/>
  <c r="U595" i="9"/>
  <c r="U648" i="9"/>
  <c r="X482" i="9"/>
  <c r="AA510" i="9"/>
  <c r="X647" i="9"/>
  <c r="S470" i="9"/>
  <c r="AA470" i="9" s="1"/>
  <c r="X227" i="9"/>
  <c r="X250" i="9"/>
  <c r="X33" i="9"/>
  <c r="U489" i="9"/>
  <c r="X331" i="9"/>
  <c r="X625" i="9"/>
  <c r="X132" i="9"/>
  <c r="U687" i="9"/>
  <c r="X118" i="9"/>
  <c r="T162" i="9"/>
  <c r="T275" i="9"/>
  <c r="T282" i="9"/>
  <c r="T620" i="9"/>
  <c r="T502" i="9"/>
  <c r="T691" i="9"/>
  <c r="T678" i="9"/>
  <c r="T672" i="9"/>
  <c r="T211" i="9"/>
  <c r="T387" i="9"/>
  <c r="T119" i="9"/>
  <c r="T554" i="9"/>
  <c r="T165" i="9"/>
  <c r="T564" i="9"/>
  <c r="T188" i="9"/>
  <c r="T327" i="9"/>
  <c r="T602" i="9"/>
  <c r="T575" i="9"/>
  <c r="T400" i="9"/>
  <c r="T500" i="9"/>
  <c r="T115" i="9"/>
  <c r="T663" i="9"/>
  <c r="T97" i="9"/>
  <c r="T186" i="9"/>
  <c r="T401" i="9"/>
  <c r="U122" i="9"/>
  <c r="U268" i="9"/>
  <c r="U620" i="9"/>
  <c r="U678" i="9"/>
  <c r="U705" i="9"/>
  <c r="U387" i="9"/>
  <c r="U322" i="9"/>
  <c r="U631" i="9"/>
  <c r="U473" i="9"/>
  <c r="U246" i="9"/>
  <c r="U400" i="9"/>
  <c r="U500" i="9"/>
  <c r="U536" i="9"/>
  <c r="U293" i="9"/>
  <c r="U186" i="9"/>
  <c r="U679" i="9"/>
  <c r="U479" i="9"/>
  <c r="S454" i="9"/>
  <c r="AA454" i="9" s="1"/>
  <c r="S720" i="9"/>
  <c r="AA720" i="9" s="1"/>
  <c r="S724" i="9"/>
  <c r="AA724" i="9" s="1"/>
  <c r="S502" i="9"/>
  <c r="AA502" i="9" s="1"/>
  <c r="S357" i="9"/>
  <c r="AA357" i="9" s="1"/>
  <c r="S456" i="9"/>
  <c r="S187" i="9"/>
  <c r="AA187" i="9" s="1"/>
  <c r="S460" i="9"/>
  <c r="AA460" i="9" s="1"/>
  <c r="S252" i="9"/>
  <c r="AA252" i="9" s="1"/>
  <c r="S248" i="9"/>
  <c r="AA248" i="9" s="1"/>
  <c r="S642" i="9"/>
  <c r="AA642" i="9" s="1"/>
  <c r="S375" i="9"/>
  <c r="AA375" i="9" s="1"/>
  <c r="S121" i="9"/>
  <c r="AA121" i="9" s="1"/>
  <c r="S123" i="9"/>
  <c r="AA123" i="9" s="1"/>
  <c r="S90" i="9"/>
  <c r="Y90" i="9" s="1"/>
  <c r="S723" i="9"/>
  <c r="AA723" i="9" s="1"/>
  <c r="S591" i="9"/>
  <c r="U154" i="9"/>
  <c r="U406" i="9"/>
  <c r="S609" i="9"/>
  <c r="AA609" i="9" s="1"/>
  <c r="S89" i="9"/>
  <c r="U334" i="9"/>
  <c r="X431" i="9"/>
  <c r="T27" i="9"/>
  <c r="T158" i="9"/>
  <c r="S27" i="9"/>
  <c r="T176" i="9"/>
  <c r="U369" i="9"/>
  <c r="U200" i="9"/>
  <c r="U307" i="9"/>
  <c r="U8" i="9"/>
  <c r="T719" i="9"/>
  <c r="X677" i="9"/>
  <c r="T493" i="9"/>
  <c r="T613" i="9"/>
  <c r="T592" i="9"/>
  <c r="T129" i="9"/>
  <c r="T235" i="9"/>
  <c r="T561" i="9"/>
  <c r="T161" i="9"/>
  <c r="T128" i="9"/>
  <c r="T635" i="9"/>
  <c r="T76" i="9"/>
  <c r="T234" i="9"/>
  <c r="T556" i="9"/>
  <c r="T346" i="9"/>
  <c r="T397" i="9"/>
  <c r="T215" i="9"/>
  <c r="T453" i="9"/>
  <c r="T110" i="9"/>
  <c r="U112" i="9"/>
  <c r="U493" i="9"/>
  <c r="U592" i="9"/>
  <c r="U235" i="9"/>
  <c r="U635" i="9"/>
  <c r="U335" i="9"/>
  <c r="U712" i="9"/>
  <c r="U215" i="9"/>
  <c r="U295" i="9"/>
  <c r="U661" i="9"/>
  <c r="T315" i="9"/>
  <c r="S12" i="9"/>
  <c r="AA12" i="9" s="1"/>
  <c r="S377" i="9"/>
  <c r="AA377" i="9" s="1"/>
  <c r="S210" i="9"/>
  <c r="AA210" i="9" s="1"/>
  <c r="S292" i="9"/>
  <c r="AA292" i="9" s="1"/>
  <c r="S264" i="9"/>
  <c r="S399" i="9"/>
  <c r="AA399" i="9" s="1"/>
  <c r="S341" i="9"/>
  <c r="S635" i="9"/>
  <c r="AA635" i="9" s="1"/>
  <c r="S330" i="9"/>
  <c r="S393" i="9"/>
  <c r="AA393" i="9" s="1"/>
  <c r="S171" i="9"/>
  <c r="S100" i="9"/>
  <c r="AA100" i="9" s="1"/>
  <c r="S128" i="9"/>
  <c r="AA128" i="9" s="1"/>
  <c r="S547" i="9"/>
  <c r="AA547" i="9" s="1"/>
  <c r="S197" i="9"/>
  <c r="AA197" i="9" s="1"/>
  <c r="T260" i="9"/>
  <c r="U707" i="9"/>
  <c r="S309" i="9"/>
  <c r="T616" i="9"/>
  <c r="S574" i="9"/>
  <c r="AA574" i="9" s="1"/>
  <c r="T436" i="9"/>
  <c r="T354" i="9"/>
  <c r="S411" i="9"/>
  <c r="AA411" i="9" s="1"/>
  <c r="S96" i="9"/>
  <c r="AA96" i="9" s="1"/>
  <c r="X134" i="9"/>
  <c r="U424" i="9"/>
  <c r="T631" i="9"/>
  <c r="S396" i="9"/>
  <c r="AA396" i="9" s="1"/>
  <c r="U575" i="9"/>
  <c r="X57" i="9"/>
  <c r="U272" i="9"/>
  <c r="U327" i="9"/>
  <c r="X609" i="9"/>
  <c r="X546" i="9"/>
  <c r="U602" i="9"/>
  <c r="X222" i="9"/>
  <c r="X658" i="9"/>
  <c r="X297" i="9"/>
  <c r="X442" i="9"/>
  <c r="T473" i="9"/>
  <c r="X123" i="9"/>
  <c r="S273" i="9"/>
  <c r="AA273" i="9" s="1"/>
  <c r="X469" i="9"/>
  <c r="S51" i="9"/>
  <c r="AA51" i="9" s="1"/>
  <c r="S278" i="9"/>
  <c r="AA278" i="9" s="1"/>
  <c r="S225" i="9"/>
  <c r="S533" i="9"/>
  <c r="X530" i="9"/>
  <c r="S266" i="9"/>
  <c r="AA266" i="9" s="1"/>
  <c r="T682" i="9"/>
  <c r="U100" i="9"/>
  <c r="S44" i="9"/>
  <c r="AA44" i="9" s="1"/>
  <c r="S129" i="9"/>
  <c r="AA129" i="9" s="1"/>
  <c r="S329" i="9"/>
  <c r="S58" i="9"/>
  <c r="AA58" i="9" s="1"/>
  <c r="S387" i="9"/>
  <c r="AA387" i="9" s="1"/>
  <c r="S516" i="9"/>
  <c r="AA516" i="9" s="1"/>
  <c r="S215" i="9"/>
  <c r="S472" i="9"/>
  <c r="S284" i="9"/>
  <c r="AA284" i="9" s="1"/>
  <c r="S418" i="9"/>
  <c r="AA418" i="9" s="1"/>
  <c r="T294" i="9"/>
  <c r="T312" i="9"/>
  <c r="U396" i="9"/>
  <c r="U65" i="9"/>
  <c r="T118" i="9"/>
  <c r="T246" i="9"/>
  <c r="U244" i="9"/>
  <c r="S144" i="9"/>
  <c r="AA144" i="9" s="1"/>
  <c r="S531" i="9"/>
  <c r="AA531" i="9" s="1"/>
  <c r="U663" i="9"/>
  <c r="U211" i="9"/>
  <c r="U128" i="9"/>
  <c r="U667" i="9"/>
  <c r="U543" i="9"/>
  <c r="T679" i="9"/>
  <c r="T536" i="9"/>
  <c r="T479" i="9"/>
  <c r="S473" i="9"/>
  <c r="AA473" i="9" s="1"/>
  <c r="U53" i="9"/>
  <c r="S449" i="9"/>
  <c r="AA449" i="9" s="1"/>
  <c r="S676" i="9"/>
  <c r="AA676" i="9" s="1"/>
  <c r="S385" i="9"/>
  <c r="AA385" i="9" s="1"/>
  <c r="S140" i="9"/>
  <c r="S131" i="9"/>
  <c r="AA131" i="9" s="1"/>
  <c r="S332" i="9"/>
  <c r="AA332" i="9" s="1"/>
  <c r="X525" i="9"/>
  <c r="X89" i="9"/>
  <c r="S132" i="9"/>
  <c r="AA132" i="9" s="1"/>
  <c r="X395" i="9"/>
  <c r="U672" i="9"/>
  <c r="T572" i="9"/>
  <c r="U691" i="9"/>
  <c r="U162" i="9"/>
  <c r="X567" i="9"/>
  <c r="U266" i="9"/>
  <c r="U554" i="9"/>
  <c r="T264" i="9"/>
  <c r="T134" i="9"/>
  <c r="X130" i="9"/>
  <c r="X454" i="9"/>
  <c r="S261" i="9"/>
  <c r="AA261" i="9" s="1"/>
  <c r="X112" i="9"/>
  <c r="X56" i="9"/>
  <c r="U287" i="9"/>
  <c r="U72" i="9"/>
  <c r="S14" i="9"/>
  <c r="AA14" i="9" s="1"/>
  <c r="U262" i="9"/>
  <c r="U303" i="9"/>
  <c r="U401" i="9"/>
  <c r="U310" i="9"/>
  <c r="S222" i="9"/>
  <c r="AA222" i="9" s="1"/>
  <c r="S118" i="9"/>
  <c r="AA118" i="9" s="1"/>
  <c r="X66" i="9"/>
  <c r="U640" i="9"/>
  <c r="X424" i="9"/>
  <c r="S525" i="9"/>
  <c r="AA525" i="9" s="1"/>
  <c r="S546" i="9"/>
  <c r="S180" i="9"/>
  <c r="S413" i="9"/>
  <c r="AA413" i="9" s="1"/>
  <c r="T89" i="9"/>
  <c r="T293" i="9"/>
  <c r="U119" i="9"/>
  <c r="U282" i="9"/>
  <c r="T196" i="9"/>
  <c r="U97" i="9"/>
  <c r="U165" i="9"/>
  <c r="T303" i="9"/>
  <c r="S193" i="9"/>
  <c r="AA193" i="9" s="1"/>
  <c r="X369" i="9"/>
  <c r="U351" i="9"/>
  <c r="U115" i="9"/>
  <c r="X616" i="9"/>
  <c r="X83" i="9"/>
  <c r="T549" i="9"/>
  <c r="X534" i="9"/>
  <c r="X218" i="9"/>
  <c r="T149" i="9"/>
  <c r="T667" i="9"/>
  <c r="T498" i="9"/>
  <c r="T310" i="9"/>
  <c r="T322" i="9"/>
  <c r="T351" i="9"/>
  <c r="X342" i="9"/>
  <c r="X727" i="9"/>
  <c r="T127" i="9"/>
  <c r="T603" i="9"/>
  <c r="T36" i="9"/>
  <c r="T463" i="9"/>
  <c r="T295" i="9"/>
  <c r="T299" i="9"/>
  <c r="T96" i="9"/>
  <c r="U347" i="9"/>
  <c r="U58" i="9"/>
  <c r="U129" i="9"/>
  <c r="U127" i="9"/>
  <c r="U561" i="9"/>
  <c r="U356" i="9"/>
  <c r="U220" i="9"/>
  <c r="U10" i="9"/>
  <c r="U603" i="9"/>
  <c r="U234" i="9"/>
  <c r="U60" i="9"/>
  <c r="U468" i="9"/>
  <c r="U297" i="9"/>
  <c r="U36" i="9"/>
  <c r="U397" i="9"/>
  <c r="U463" i="9"/>
  <c r="U453" i="9"/>
  <c r="U177" i="9"/>
  <c r="U299" i="9"/>
  <c r="Y299" i="9" s="1"/>
  <c r="U110" i="9"/>
  <c r="U35" i="9"/>
  <c r="U96" i="9"/>
  <c r="S290" i="9"/>
  <c r="AA290" i="9" s="1"/>
  <c r="S529" i="9"/>
  <c r="AA529" i="9" s="1"/>
  <c r="S238" i="9"/>
  <c r="AA238" i="9" s="1"/>
  <c r="S204" i="9"/>
  <c r="AA204" i="9" s="1"/>
  <c r="S480" i="9"/>
  <c r="AA480" i="9" s="1"/>
  <c r="S282" i="9"/>
  <c r="AA282" i="9" s="1"/>
  <c r="S435" i="9"/>
  <c r="AA435" i="9" s="1"/>
  <c r="S514" i="9"/>
  <c r="AA514" i="9" s="1"/>
  <c r="S677" i="9"/>
  <c r="AA677" i="9" s="1"/>
  <c r="S678" i="9"/>
  <c r="S307" i="9"/>
  <c r="AA307" i="9" s="1"/>
  <c r="S149" i="9"/>
  <c r="AA149" i="9" s="1"/>
  <c r="S722" i="9"/>
  <c r="AA722" i="9" s="1"/>
  <c r="S383" i="9"/>
  <c r="AA383" i="9" s="1"/>
  <c r="S580" i="9"/>
  <c r="S364" i="9"/>
  <c r="AA364" i="9" s="1"/>
  <c r="S52" i="9"/>
  <c r="AA52" i="9" s="1"/>
  <c r="S265" i="9"/>
  <c r="AA265" i="9" s="1"/>
  <c r="S86" i="9"/>
  <c r="S623" i="9"/>
  <c r="S308" i="9"/>
  <c r="AA308" i="9" s="1"/>
  <c r="S437" i="9"/>
  <c r="S492" i="9"/>
  <c r="S249" i="9"/>
  <c r="Y249" i="9" s="1"/>
  <c r="S254" i="9"/>
  <c r="AA254" i="9" s="1"/>
  <c r="T406" i="9"/>
  <c r="X306" i="9"/>
  <c r="X479" i="9"/>
  <c r="X515" i="9"/>
  <c r="T122" i="9"/>
  <c r="X352" i="9"/>
  <c r="X194" i="9"/>
  <c r="X637" i="9"/>
  <c r="T706" i="9"/>
  <c r="S245" i="9"/>
  <c r="AA245" i="9" s="1"/>
  <c r="X180" i="9"/>
  <c r="X498" i="9"/>
  <c r="X109" i="9"/>
  <c r="X488" i="9"/>
  <c r="X663" i="9"/>
  <c r="X378" i="9"/>
  <c r="X393" i="9"/>
  <c r="X467" i="9"/>
  <c r="T244" i="9"/>
  <c r="T712" i="9"/>
  <c r="T349" i="9"/>
  <c r="T543" i="9"/>
  <c r="AA299" i="9"/>
  <c r="S42" i="9"/>
  <c r="AA42" i="9" s="1"/>
  <c r="T671" i="9"/>
  <c r="T269" i="9"/>
  <c r="T257" i="9"/>
  <c r="T237" i="9"/>
  <c r="T687" i="9"/>
  <c r="T489" i="9"/>
  <c r="T446" i="9"/>
  <c r="T45" i="9"/>
  <c r="T191" i="9"/>
  <c r="T716" i="9"/>
  <c r="T395" i="9"/>
  <c r="U328" i="9"/>
  <c r="U567" i="9"/>
  <c r="U41" i="9"/>
  <c r="U550" i="9"/>
  <c r="U143" i="9"/>
  <c r="U690" i="9"/>
  <c r="S471" i="9"/>
  <c r="AA471" i="9" s="1"/>
  <c r="S166" i="9"/>
  <c r="AA166" i="9" s="1"/>
  <c r="X584" i="9"/>
  <c r="X84" i="9"/>
  <c r="AA221" i="9"/>
  <c r="T272" i="9"/>
  <c r="X45" i="9"/>
  <c r="X440" i="9"/>
  <c r="T514" i="9"/>
  <c r="T705" i="9"/>
  <c r="S130" i="9"/>
  <c r="AA130" i="9" s="1"/>
  <c r="X54" i="9"/>
  <c r="X553" i="9"/>
  <c r="X452" i="9"/>
  <c r="S35" i="9"/>
  <c r="AA35" i="9" s="1"/>
  <c r="T100" i="9"/>
  <c r="T399" i="9"/>
  <c r="T160" i="9"/>
  <c r="T449" i="9"/>
  <c r="T700" i="9"/>
  <c r="T467" i="9"/>
  <c r="T563" i="9"/>
  <c r="T316" i="9"/>
  <c r="T70" i="9"/>
  <c r="T403" i="9"/>
  <c r="T594" i="9"/>
  <c r="T404" i="9"/>
  <c r="T459" i="9"/>
  <c r="T114" i="9"/>
  <c r="T207" i="9"/>
  <c r="T540" i="9"/>
  <c r="T256" i="9"/>
  <c r="T182" i="9"/>
  <c r="T521" i="9"/>
  <c r="T201" i="9"/>
  <c r="T189" i="9"/>
  <c r="T520" i="9"/>
  <c r="T462" i="9"/>
  <c r="T523" i="9"/>
  <c r="T658" i="9"/>
  <c r="T11" i="9"/>
  <c r="T250" i="9"/>
  <c r="T545" i="9"/>
  <c r="U588" i="9"/>
  <c r="Y588" i="9" s="1"/>
  <c r="U399" i="9"/>
  <c r="U674" i="9"/>
  <c r="U316" i="9"/>
  <c r="U26" i="9"/>
  <c r="U634" i="9"/>
  <c r="U70" i="9"/>
  <c r="U403" i="9"/>
  <c r="U586" i="9"/>
  <c r="U594" i="9"/>
  <c r="U187" i="9"/>
  <c r="U540" i="9"/>
  <c r="U182" i="9"/>
  <c r="U201" i="9"/>
  <c r="U520" i="9"/>
  <c r="U102" i="9"/>
  <c r="U523" i="9"/>
  <c r="Y523" i="9" s="1"/>
  <c r="U516" i="9"/>
  <c r="U286" i="9"/>
  <c r="S78" i="9"/>
  <c r="AA78" i="9" s="1"/>
  <c r="S55" i="9"/>
  <c r="Y55" i="9" s="1"/>
  <c r="S231" i="9"/>
  <c r="AA231" i="9" s="1"/>
  <c r="X351" i="9"/>
  <c r="S674" i="9"/>
  <c r="AA674" i="9" s="1"/>
  <c r="S634" i="9"/>
  <c r="S198" i="9"/>
  <c r="AA198" i="9" s="1"/>
  <c r="S283" i="9"/>
  <c r="S505" i="9"/>
  <c r="AA505" i="9" s="1"/>
  <c r="S612" i="9"/>
  <c r="AA612" i="9" s="1"/>
  <c r="S478" i="9"/>
  <c r="AA478" i="9" s="1"/>
  <c r="S374" i="9"/>
  <c r="AA374" i="9" s="1"/>
  <c r="S648" i="9"/>
  <c r="AA648" i="9" s="1"/>
  <c r="S423" i="9"/>
  <c r="X423" i="9" s="1"/>
  <c r="S517" i="9"/>
  <c r="S508" i="9"/>
  <c r="AA508" i="9" s="1"/>
  <c r="X645" i="9"/>
  <c r="S687" i="9"/>
  <c r="AA687" i="9" s="1"/>
  <c r="S571" i="9"/>
  <c r="AA571" i="9" s="1"/>
  <c r="S410" i="9"/>
  <c r="AA410" i="9" s="1"/>
  <c r="S41" i="9"/>
  <c r="AA41" i="9" s="1"/>
  <c r="S161" i="9"/>
  <c r="AA161" i="9" s="1"/>
  <c r="X591" i="9"/>
  <c r="T152" i="9"/>
  <c r="S260" i="9"/>
  <c r="AA260" i="9" s="1"/>
  <c r="S287" i="9"/>
  <c r="AA287" i="9" s="1"/>
  <c r="T424" i="9"/>
  <c r="S281" i="9"/>
  <c r="AA281" i="9" s="1"/>
  <c r="S109" i="9"/>
  <c r="AA109" i="9" s="1"/>
  <c r="S20" i="9"/>
  <c r="U501" i="9"/>
  <c r="X213" i="9"/>
  <c r="S213" i="9"/>
  <c r="S727" i="9"/>
  <c r="AA727" i="9" s="1"/>
  <c r="X36" i="9"/>
  <c r="X619" i="9"/>
  <c r="S652" i="9"/>
  <c r="AA652" i="9" s="1"/>
  <c r="S683" i="9"/>
  <c r="AA683" i="9" s="1"/>
  <c r="X524" i="9"/>
  <c r="X317" i="9"/>
  <c r="S317" i="9"/>
  <c r="AA317" i="9" s="1"/>
  <c r="S427" i="9"/>
  <c r="X414" i="9"/>
  <c r="S414" i="9"/>
  <c r="AA414" i="9" s="1"/>
  <c r="S681" i="9"/>
  <c r="S362" i="9"/>
  <c r="AA362" i="9" s="1"/>
  <c r="S530" i="9"/>
  <c r="AA530" i="9" s="1"/>
  <c r="T218" i="9"/>
  <c r="X500" i="9"/>
  <c r="S500" i="9"/>
  <c r="AA500" i="9" s="1"/>
  <c r="S97" i="9"/>
  <c r="AA97" i="9" s="1"/>
  <c r="X437" i="9"/>
  <c r="U207" i="9"/>
  <c r="Y207" i="9" s="1"/>
  <c r="X207" i="9"/>
  <c r="T356" i="9"/>
  <c r="S22" i="9"/>
  <c r="X22" i="9"/>
  <c r="T630" i="9"/>
  <c r="X480" i="9"/>
  <c r="X626" i="9"/>
  <c r="U709" i="9"/>
  <c r="S133" i="9"/>
  <c r="AA133" i="9" s="1"/>
  <c r="X345" i="9"/>
  <c r="T468" i="9"/>
  <c r="X552" i="9"/>
  <c r="X300" i="9"/>
  <c r="X412" i="9"/>
  <c r="X145" i="9"/>
  <c r="X232" i="9"/>
  <c r="S469" i="9"/>
  <c r="AA469" i="9" s="1"/>
  <c r="U6" i="9"/>
  <c r="X6" i="9"/>
  <c r="S31" i="9"/>
  <c r="X31" i="9"/>
  <c r="X159" i="9"/>
  <c r="S159" i="9"/>
  <c r="AA159" i="9" s="1"/>
  <c r="S17" i="9"/>
  <c r="AA17" i="9" s="1"/>
  <c r="U346" i="9"/>
  <c r="T112" i="9"/>
  <c r="X390" i="9"/>
  <c r="X332" i="9"/>
  <c r="AA556" i="9"/>
  <c r="U224" i="9"/>
  <c r="U218" i="9"/>
  <c r="X241" i="9"/>
  <c r="X513" i="9"/>
  <c r="S513" i="9"/>
  <c r="AA513" i="9" s="1"/>
  <c r="U92" i="9"/>
  <c r="X511" i="9"/>
  <c r="X409" i="9"/>
  <c r="X29" i="9"/>
  <c r="X35" i="9"/>
  <c r="X51" i="9"/>
  <c r="X376" i="9"/>
  <c r="S433" i="9"/>
  <c r="AA433" i="9" s="1"/>
  <c r="X433" i="9"/>
  <c r="S629" i="9"/>
  <c r="AA629" i="9" s="1"/>
  <c r="X629" i="9"/>
  <c r="S391" i="9"/>
  <c r="X391" i="9"/>
  <c r="U99" i="9"/>
  <c r="X99" i="9"/>
  <c r="U325" i="9"/>
  <c r="X325" i="9"/>
  <c r="X380" i="9"/>
  <c r="X80" i="9"/>
  <c r="X43" i="9"/>
  <c r="S43" i="9"/>
  <c r="AA43" i="9" s="1"/>
  <c r="X710" i="9"/>
  <c r="S614" i="9"/>
  <c r="X614" i="9"/>
  <c r="X28" i="9"/>
  <c r="U228" i="9"/>
  <c r="X30" i="9"/>
  <c r="X604" i="9"/>
  <c r="S484" i="9"/>
  <c r="AA484" i="9" s="1"/>
  <c r="X484" i="9"/>
  <c r="S342" i="9"/>
  <c r="AA342" i="9" s="1"/>
  <c r="U646" i="9"/>
  <c r="X646" i="9"/>
  <c r="T92" i="9"/>
  <c r="T566" i="9"/>
  <c r="X91" i="9"/>
  <c r="X319" i="9"/>
  <c r="T518" i="9"/>
  <c r="U368" i="9"/>
  <c r="X702" i="9"/>
  <c r="T512" i="9"/>
  <c r="T324" i="9"/>
  <c r="U515" i="9"/>
  <c r="U721" i="9"/>
  <c r="X655" i="9"/>
  <c r="S326" i="9"/>
  <c r="T271" i="9"/>
  <c r="T721" i="9"/>
  <c r="T728" i="9"/>
  <c r="T711" i="9"/>
  <c r="X471" i="9"/>
  <c r="U160" i="9"/>
  <c r="U114" i="9"/>
  <c r="T441" i="9"/>
  <c r="T347" i="9"/>
  <c r="X100" i="9"/>
  <c r="U639" i="9"/>
  <c r="T102" i="9"/>
  <c r="X449" i="9"/>
  <c r="X564" i="9"/>
  <c r="X326" i="9"/>
  <c r="T541" i="9"/>
  <c r="U467" i="9"/>
  <c r="T674" i="9"/>
  <c r="S497" i="9"/>
  <c r="AA497" i="9" s="1"/>
  <c r="X497" i="9"/>
  <c r="X537" i="9"/>
  <c r="T695" i="9"/>
  <c r="X225" i="9"/>
  <c r="X665" i="9"/>
  <c r="U632" i="9"/>
  <c r="U510" i="9"/>
  <c r="Y510" i="9" s="1"/>
  <c r="T425" i="9"/>
  <c r="T62" i="9"/>
  <c r="U728" i="9"/>
  <c r="X398" i="9"/>
  <c r="U398" i="9"/>
  <c r="X411" i="9"/>
  <c r="AA636" i="9"/>
  <c r="U512" i="9"/>
  <c r="S610" i="9"/>
  <c r="T287" i="9"/>
  <c r="U252" i="9"/>
  <c r="X494" i="9"/>
  <c r="T586" i="9"/>
  <c r="AA183" i="9"/>
  <c r="U630" i="9"/>
  <c r="X42" i="9"/>
  <c r="T26" i="9"/>
  <c r="T567" i="9"/>
  <c r="S400" i="9"/>
  <c r="U76" i="9"/>
  <c r="X113" i="9"/>
  <c r="U695" i="9"/>
  <c r="Y695" i="9" s="1"/>
  <c r="X278" i="9"/>
  <c r="X399" i="9"/>
  <c r="T208" i="9"/>
  <c r="T35" i="9"/>
  <c r="T248" i="9"/>
  <c r="S561" i="9"/>
  <c r="AA561" i="9" s="1"/>
  <c r="S119" i="9"/>
  <c r="AA119" i="9" s="1"/>
  <c r="S692" i="9"/>
  <c r="AA692" i="9" s="1"/>
  <c r="S622" i="9"/>
  <c r="AA622" i="9" s="1"/>
  <c r="X117" i="9"/>
  <c r="S150" i="9"/>
  <c r="S560" i="9"/>
  <c r="AA560" i="9" s="1"/>
  <c r="S8" i="9"/>
  <c r="AA8" i="9" s="1"/>
  <c r="S219" i="9"/>
  <c r="S344" i="9"/>
  <c r="AA344" i="9" s="1"/>
  <c r="S148" i="9"/>
  <c r="S689" i="9"/>
  <c r="AA689" i="9" s="1"/>
  <c r="S170" i="9"/>
  <c r="S559" i="9"/>
  <c r="AA559" i="9" s="1"/>
  <c r="S9" i="9"/>
  <c r="AA9" i="9" s="1"/>
  <c r="S296" i="9"/>
  <c r="AA296" i="9" s="1"/>
  <c r="S389" i="9"/>
  <c r="AA389" i="9" s="1"/>
  <c r="S647" i="9"/>
  <c r="AA647" i="9" s="1"/>
  <c r="X419" i="9"/>
  <c r="S217" i="9"/>
  <c r="AA217" i="9" s="1"/>
  <c r="S649" i="9"/>
  <c r="S291" i="9"/>
  <c r="S10" i="9"/>
  <c r="AA10" i="9" s="1"/>
  <c r="S593" i="9"/>
  <c r="AA593" i="9" s="1"/>
  <c r="X657" i="9"/>
  <c r="S573" i="9"/>
  <c r="X573" i="9" s="1"/>
  <c r="S74" i="9"/>
  <c r="AA74" i="9" s="1"/>
  <c r="S728" i="9"/>
  <c r="AA728" i="9" s="1"/>
  <c r="T154" i="9"/>
  <c r="T74" i="9"/>
  <c r="T111" i="9"/>
  <c r="T319" i="9"/>
  <c r="T432" i="9"/>
  <c r="S664" i="9"/>
  <c r="AA664" i="9" s="1"/>
  <c r="X439" i="9"/>
  <c r="X81" i="9"/>
  <c r="X38" i="9"/>
  <c r="U137" i="9"/>
  <c r="X624" i="9"/>
  <c r="X26" i="9"/>
  <c r="X631" i="9"/>
  <c r="U556" i="9"/>
  <c r="U636" i="9"/>
  <c r="Y636" i="9" s="1"/>
  <c r="X507" i="9"/>
  <c r="X269" i="9"/>
  <c r="X722" i="9"/>
  <c r="T86" i="9"/>
  <c r="T137" i="9"/>
  <c r="T537" i="9"/>
  <c r="T270" i="9"/>
  <c r="S256" i="9"/>
  <c r="AA256" i="9" s="1"/>
  <c r="T560" i="9"/>
  <c r="T582" i="9"/>
  <c r="T697" i="9"/>
  <c r="T374" i="9"/>
  <c r="U555" i="9"/>
  <c r="U277" i="9"/>
  <c r="U655" i="9"/>
  <c r="U407" i="9"/>
  <c r="U47" i="9"/>
  <c r="U413" i="9"/>
  <c r="U647" i="9"/>
  <c r="U174" i="9"/>
  <c r="X111" i="9"/>
  <c r="S388" i="9"/>
  <c r="AA388" i="9" s="1"/>
  <c r="S321" i="9"/>
  <c r="S337" i="9"/>
  <c r="AA337" i="9" s="1"/>
  <c r="X580" i="9"/>
  <c r="U256" i="9"/>
  <c r="X299" i="9"/>
  <c r="U366" i="9"/>
  <c r="U359" i="9"/>
  <c r="U94" i="9"/>
  <c r="X185" i="9"/>
  <c r="X238" i="9"/>
  <c r="U67" i="9"/>
  <c r="U248" i="9"/>
  <c r="U270" i="9"/>
  <c r="U434" i="9"/>
  <c r="X551" i="9"/>
  <c r="X402" i="9"/>
  <c r="T67" i="9"/>
  <c r="T690" i="9"/>
  <c r="T42" i="9"/>
  <c r="S77" i="9"/>
  <c r="T477" i="9"/>
  <c r="U548" i="9"/>
  <c r="U491" i="9"/>
  <c r="T611" i="9"/>
  <c r="T675" i="9"/>
  <c r="T297" i="9"/>
  <c r="U64" i="9"/>
  <c r="U441" i="9"/>
  <c r="X529" i="9"/>
  <c r="U250" i="9"/>
  <c r="U208" i="9"/>
  <c r="T367" i="9"/>
  <c r="U682" i="9"/>
  <c r="U216" i="9"/>
  <c r="T372" i="9"/>
  <c r="T177" i="9"/>
  <c r="S421" i="9"/>
  <c r="AA421" i="9" s="1"/>
  <c r="S709" i="9"/>
  <c r="AA709" i="9" s="1"/>
  <c r="U432" i="9"/>
  <c r="U11" i="9"/>
  <c r="X549" i="9"/>
  <c r="U700" i="9"/>
  <c r="T491" i="9"/>
  <c r="T362" i="9"/>
  <c r="T228" i="9"/>
  <c r="T632" i="9"/>
  <c r="S209" i="9"/>
  <c r="U227" i="9"/>
  <c r="Y227" i="9" s="1"/>
  <c r="S271" i="9"/>
  <c r="AA271" i="9" s="1"/>
  <c r="S75" i="9"/>
  <c r="AA75" i="9" s="1"/>
  <c r="U226" i="9"/>
  <c r="X307" i="9"/>
  <c r="S524" i="9"/>
  <c r="AA524" i="9" s="1"/>
  <c r="S619" i="9"/>
  <c r="AA619" i="9" s="1"/>
  <c r="X144" i="9"/>
  <c r="X574" i="9"/>
  <c r="U474" i="9"/>
  <c r="X474" i="9"/>
  <c r="X314" i="9"/>
  <c r="X252" i="9"/>
  <c r="S708" i="9"/>
  <c r="X708" i="9"/>
  <c r="X643" i="9"/>
  <c r="S36" i="9"/>
  <c r="AA36" i="9" s="1"/>
  <c r="U502" i="9"/>
  <c r="U495" i="9"/>
  <c r="X287" i="9"/>
  <c r="X681" i="9"/>
  <c r="X630" i="9"/>
  <c r="X162" i="9"/>
  <c r="X615" i="9"/>
  <c r="X674" i="9"/>
  <c r="X161" i="9"/>
  <c r="X408" i="9"/>
  <c r="U365" i="9"/>
  <c r="AA465" i="9"/>
  <c r="S174" i="9"/>
  <c r="AA174" i="9" s="1"/>
  <c r="X174" i="9"/>
  <c r="X362" i="9"/>
  <c r="X284" i="9"/>
  <c r="X652" i="9"/>
  <c r="X88" i="9"/>
  <c r="X221" i="9"/>
  <c r="X594" i="9"/>
  <c r="S640" i="9"/>
  <c r="AA640" i="9" s="1"/>
  <c r="S182" i="9"/>
  <c r="S491" i="9"/>
  <c r="X116" i="9"/>
  <c r="S340" i="9"/>
  <c r="AA340" i="9" s="1"/>
  <c r="T99" i="9"/>
  <c r="U475" i="9"/>
  <c r="U579" i="9"/>
  <c r="U670" i="9"/>
  <c r="S211" i="9"/>
  <c r="S114" i="9"/>
  <c r="AA114" i="9" s="1"/>
  <c r="T53" i="9"/>
  <c r="T325" i="9"/>
  <c r="X200" i="9"/>
  <c r="X32" i="9"/>
  <c r="T515" i="9"/>
  <c r="S216" i="9"/>
  <c r="S152" i="9"/>
  <c r="S595" i="9"/>
  <c r="S436" i="9"/>
  <c r="AA436" i="9" s="1"/>
  <c r="T125" i="9"/>
  <c r="U15" i="9"/>
  <c r="T519" i="9"/>
  <c r="X656" i="9"/>
  <c r="X406" i="9"/>
  <c r="X413" i="9"/>
  <c r="X336" i="9"/>
  <c r="U425" i="9"/>
  <c r="U669" i="9"/>
  <c r="X192" i="9"/>
  <c r="X131" i="9"/>
  <c r="X438" i="9"/>
  <c r="X651" i="9"/>
  <c r="X632" i="9"/>
  <c r="AA163" i="9"/>
  <c r="X691" i="9"/>
  <c r="X152" i="9"/>
  <c r="X5" i="9"/>
  <c r="X53" i="9"/>
  <c r="X570" i="9"/>
  <c r="X379" i="9"/>
  <c r="X160" i="9"/>
  <c r="X670" i="9"/>
  <c r="T426" i="9"/>
  <c r="S406" i="9"/>
  <c r="AA406" i="9" s="1"/>
  <c r="S483" i="9"/>
  <c r="AA483" i="9" s="1"/>
  <c r="S685" i="9"/>
  <c r="AA685" i="9" s="1"/>
  <c r="S143" i="9"/>
  <c r="S446" i="9"/>
  <c r="AA446" i="9" s="1"/>
  <c r="S45" i="9"/>
  <c r="AA45" i="9" s="1"/>
  <c r="S686" i="9"/>
  <c r="S693" i="9"/>
  <c r="S716" i="9"/>
  <c r="X636" i="9"/>
  <c r="S73" i="9"/>
  <c r="AA73" i="9" s="1"/>
  <c r="T605" i="9"/>
  <c r="T608" i="9"/>
  <c r="T239" i="9"/>
  <c r="T56" i="9"/>
  <c r="T722" i="9"/>
  <c r="U284" i="9"/>
  <c r="U281" i="9"/>
  <c r="U239" i="9"/>
  <c r="U56" i="9"/>
  <c r="S125" i="9"/>
  <c r="AA125" i="9" s="1"/>
  <c r="U157" i="9"/>
  <c r="U305" i="9"/>
  <c r="S578" i="9"/>
  <c r="U136" i="9"/>
  <c r="X366" i="9"/>
  <c r="U57" i="9"/>
  <c r="U565" i="9"/>
  <c r="X565" i="9" s="1"/>
  <c r="U271" i="9"/>
  <c r="U172" i="9"/>
  <c r="X516" i="9"/>
  <c r="X293" i="9"/>
  <c r="U593" i="9"/>
  <c r="X420" i="9"/>
  <c r="X509" i="9"/>
  <c r="T71" i="9"/>
  <c r="S602" i="9"/>
  <c r="AA602" i="9" s="1"/>
  <c r="S298" i="9"/>
  <c r="AA298" i="9" s="1"/>
  <c r="T262" i="9"/>
  <c r="T124" i="9"/>
  <c r="U109" i="9"/>
  <c r="T90" i="9"/>
  <c r="T336" i="9"/>
  <c r="T507" i="9"/>
  <c r="T709" i="9"/>
  <c r="T93" i="9"/>
  <c r="T405" i="9"/>
  <c r="X436" i="9"/>
  <c r="U452" i="9"/>
  <c r="X296" i="9"/>
  <c r="X182" i="9"/>
  <c r="S485" i="9"/>
  <c r="AA485" i="9" s="1"/>
  <c r="X485" i="9"/>
  <c r="S124" i="9"/>
  <c r="AA124" i="9" s="1"/>
  <c r="X124" i="9"/>
  <c r="X550" i="9"/>
  <c r="S550" i="9"/>
  <c r="AA550" i="9" s="1"/>
  <c r="X7" i="9"/>
  <c r="S7" i="9"/>
  <c r="X526" i="9"/>
  <c r="S126" i="9"/>
  <c r="AA126" i="9" s="1"/>
  <c r="U541" i="9"/>
  <c r="U338" i="9"/>
  <c r="X435" i="9"/>
  <c r="U435" i="9"/>
  <c r="X229" i="9"/>
  <c r="X713" i="9"/>
  <c r="X692" i="9"/>
  <c r="X142" i="9"/>
  <c r="X337" i="9"/>
  <c r="S19" i="9"/>
  <c r="U167" i="9"/>
  <c r="X167" i="9"/>
  <c r="U507" i="9"/>
  <c r="U481" i="9"/>
  <c r="X481" i="9"/>
  <c r="U25" i="9"/>
  <c r="X87" i="9"/>
  <c r="U87" i="9"/>
  <c r="X321" i="9"/>
  <c r="X418" i="9"/>
  <c r="X441" i="9"/>
  <c r="X649" i="9"/>
  <c r="S275" i="9"/>
  <c r="X689" i="9"/>
  <c r="X170" i="9"/>
  <c r="X344" i="9"/>
  <c r="S419" i="9"/>
  <c r="S659" i="9"/>
  <c r="AA659" i="9" s="1"/>
  <c r="X388" i="9"/>
  <c r="AA98" i="9"/>
  <c r="S594" i="9"/>
  <c r="X396" i="9"/>
  <c r="S236" i="9"/>
  <c r="X158" i="9"/>
  <c r="U158" i="9"/>
  <c r="X340" i="9"/>
  <c r="X193" i="9"/>
  <c r="X640" i="9"/>
  <c r="X728" i="9"/>
  <c r="X74" i="9"/>
  <c r="X334" i="9"/>
  <c r="X39" i="9"/>
  <c r="S657" i="9"/>
  <c r="AA657" i="9" s="1"/>
  <c r="X14" i="9"/>
  <c r="U14" i="9"/>
  <c r="S323" i="9"/>
  <c r="AA323" i="9" s="1"/>
  <c r="X323" i="9"/>
  <c r="U142" i="9"/>
  <c r="U69" i="9"/>
  <c r="X496" i="9"/>
  <c r="U496" i="9"/>
  <c r="S63" i="9"/>
  <c r="AA63" i="9" s="1"/>
  <c r="X308" i="9"/>
  <c r="U544" i="9"/>
  <c r="X292" i="9"/>
  <c r="S47" i="9"/>
  <c r="Y518" i="9"/>
  <c r="S23" i="9"/>
  <c r="AA23" i="9" s="1"/>
  <c r="S430" i="9"/>
  <c r="S331" i="9"/>
  <c r="S25" i="9"/>
  <c r="S363" i="9"/>
  <c r="T443" i="9"/>
  <c r="T361" i="9"/>
  <c r="T501" i="9"/>
  <c r="U455" i="9"/>
  <c r="U641" i="9"/>
  <c r="U645" i="9"/>
  <c r="U373" i="9"/>
  <c r="X600" i="9"/>
  <c r="X273" i="9"/>
  <c r="X139" i="9"/>
  <c r="X566" i="9"/>
  <c r="X359" i="9"/>
  <c r="X92" i="9"/>
  <c r="X288" i="9"/>
  <c r="X177" i="9"/>
  <c r="X592" i="9"/>
  <c r="X219" i="9"/>
  <c r="X726" i="9"/>
  <c r="X175" i="9"/>
  <c r="X189" i="9"/>
  <c r="T375" i="9"/>
  <c r="T642" i="9"/>
  <c r="X723" i="9"/>
  <c r="S440" i="9"/>
  <c r="AA440" i="9" s="1"/>
  <c r="X245" i="9"/>
  <c r="X27" i="9"/>
  <c r="U66" i="9"/>
  <c r="X226" i="9"/>
  <c r="X155" i="9"/>
  <c r="X82" i="9"/>
  <c r="S176" i="9"/>
  <c r="AA176" i="9" s="1"/>
  <c r="U113" i="9"/>
  <c r="U680" i="9"/>
  <c r="T607" i="9"/>
  <c r="S466" i="9"/>
  <c r="AA466" i="9" s="1"/>
  <c r="S347" i="9"/>
  <c r="S370" i="9"/>
  <c r="AA370" i="9" s="1"/>
  <c r="U485" i="9"/>
  <c r="S237" i="9"/>
  <c r="AA237" i="9" s="1"/>
  <c r="S496" i="9"/>
  <c r="AA496" i="9" s="1"/>
  <c r="S415" i="9"/>
  <c r="S645" i="9"/>
  <c r="AA645" i="9" s="1"/>
  <c r="S79" i="9"/>
  <c r="AA79" i="9" s="1"/>
  <c r="S536" i="9"/>
  <c r="T574" i="9"/>
  <c r="T15" i="9"/>
  <c r="U393" i="9"/>
  <c r="S188" i="9"/>
  <c r="X188" i="9" s="1"/>
  <c r="S668" i="9"/>
  <c r="U697" i="9"/>
  <c r="AA588" i="9"/>
  <c r="U590" i="9"/>
  <c r="Y590" i="9" s="1"/>
  <c r="X350" i="9"/>
  <c r="U350" i="9"/>
  <c r="AA695" i="9"/>
  <c r="X302" i="9"/>
  <c r="X518" i="9"/>
  <c r="U613" i="9"/>
  <c r="S156" i="9"/>
  <c r="X156" i="9"/>
  <c r="AA549" i="9"/>
  <c r="U12" i="9"/>
  <c r="X504" i="9"/>
  <c r="U514" i="9"/>
  <c r="X121" i="9"/>
  <c r="U571" i="9"/>
  <c r="X417" i="9"/>
  <c r="X648" i="9"/>
  <c r="U324" i="9"/>
  <c r="X343" i="9"/>
  <c r="U564" i="9"/>
  <c r="U585" i="9"/>
  <c r="U149" i="9"/>
  <c r="U237" i="9"/>
  <c r="X237" i="9"/>
  <c r="X468" i="9"/>
  <c r="X69" i="9"/>
  <c r="X605" i="9"/>
  <c r="S605" i="9"/>
  <c r="X135" i="9"/>
  <c r="U547" i="9"/>
  <c r="S241" i="9"/>
  <c r="X157" i="9"/>
  <c r="S532" i="9"/>
  <c r="S333" i="9"/>
  <c r="Y288" i="9" l="1"/>
  <c r="Y251" i="9"/>
  <c r="X251" i="9"/>
  <c r="Y76" i="9"/>
  <c r="Y665" i="9"/>
  <c r="X163" i="9"/>
  <c r="Y465" i="9"/>
  <c r="Y658" i="9"/>
  <c r="X120" i="9"/>
  <c r="Y651" i="9"/>
  <c r="Y451" i="9"/>
  <c r="Y569" i="9"/>
  <c r="Y257" i="9"/>
  <c r="Y567" i="9"/>
  <c r="Y702" i="9"/>
  <c r="X49" i="9"/>
  <c r="Y170" i="9"/>
  <c r="Y416" i="9"/>
  <c r="Y356" i="9"/>
  <c r="Y183" i="9"/>
  <c r="X487" i="9"/>
  <c r="Y291" i="9"/>
  <c r="Y346" i="9"/>
  <c r="Y184" i="9"/>
  <c r="Y431" i="9"/>
  <c r="Y405" i="9"/>
  <c r="X653" i="9"/>
  <c r="Y49" i="9"/>
  <c r="S486" i="9"/>
  <c r="AA486" i="9" s="1"/>
  <c r="Y653" i="9"/>
  <c r="X105" i="9"/>
  <c r="Y556" i="9"/>
  <c r="Y65" i="9"/>
  <c r="X153" i="9"/>
  <c r="Y151" i="9"/>
  <c r="AA105" i="9"/>
  <c r="X24" i="9"/>
  <c r="Y304" i="9"/>
  <c r="Y521" i="9"/>
  <c r="X443" i="9"/>
  <c r="X341" i="9"/>
  <c r="Y66" i="9"/>
  <c r="Y670" i="9"/>
  <c r="X330" i="9"/>
  <c r="Y301" i="9"/>
  <c r="X103" i="9"/>
  <c r="Y437" i="9"/>
  <c r="Y135" i="9"/>
  <c r="X716" i="9"/>
  <c r="Y140" i="9"/>
  <c r="AA521" i="9"/>
  <c r="Y632" i="9"/>
  <c r="Y269" i="9"/>
  <c r="Y179" i="9"/>
  <c r="X660" i="9"/>
  <c r="X208" i="9"/>
  <c r="Y475" i="9"/>
  <c r="X662" i="9"/>
  <c r="Y549" i="9"/>
  <c r="Y26" i="9"/>
  <c r="X154" i="9"/>
  <c r="X242" i="9"/>
  <c r="Y355" i="9"/>
  <c r="Y660" i="9"/>
  <c r="Y656" i="9"/>
  <c r="X275" i="9"/>
  <c r="Y487" i="9"/>
  <c r="Y409" i="9"/>
  <c r="Y177" i="9"/>
  <c r="Y196" i="9"/>
  <c r="Y621" i="9"/>
  <c r="X638" i="9"/>
  <c r="X365" i="9"/>
  <c r="Y94" i="9"/>
  <c r="Y218" i="9"/>
  <c r="Y442" i="9"/>
  <c r="Y289" i="9"/>
  <c r="Y392" i="9"/>
  <c r="Y546" i="9"/>
  <c r="Y59" i="9"/>
  <c r="Y630" i="9"/>
  <c r="Y489" i="9"/>
  <c r="Y328" i="9"/>
  <c r="Y488" i="9"/>
  <c r="Y641" i="9"/>
  <c r="X432" i="9"/>
  <c r="Y444" i="9"/>
  <c r="Y226" i="9"/>
  <c r="X313" i="9"/>
  <c r="Y37" i="9"/>
  <c r="X37" i="9"/>
  <c r="Y434" i="9"/>
  <c r="Y230" i="9"/>
  <c r="Y368" i="9"/>
  <c r="Y620" i="9"/>
  <c r="X141" i="9"/>
  <c r="Y493" i="9"/>
  <c r="Y408" i="9"/>
  <c r="Y157" i="9"/>
  <c r="Y112" i="9"/>
  <c r="Y93" i="9"/>
  <c r="Y306" i="9"/>
  <c r="AA304" i="9"/>
  <c r="Y544" i="9"/>
  <c r="Y445" i="9"/>
  <c r="X138" i="9"/>
  <c r="Y718" i="9"/>
  <c r="Y584" i="9"/>
  <c r="X492" i="9"/>
  <c r="Y178" i="9"/>
  <c r="Y507" i="9"/>
  <c r="X151" i="9"/>
  <c r="AA349" i="9"/>
  <c r="Y697" i="9"/>
  <c r="Y427" i="9"/>
  <c r="X190" i="9"/>
  <c r="X706" i="9"/>
  <c r="Y16" i="9"/>
  <c r="Y402" i="9"/>
  <c r="Y393" i="9"/>
  <c r="X445" i="9"/>
  <c r="AA445" i="9"/>
  <c r="Y150" i="9"/>
  <c r="X690" i="9"/>
  <c r="Y240" i="9"/>
  <c r="Y305" i="9"/>
  <c r="Y517" i="9"/>
  <c r="Y228" i="9"/>
  <c r="Y626" i="9"/>
  <c r="Y582" i="9"/>
  <c r="X535" i="9"/>
  <c r="Y580" i="9"/>
  <c r="AA288" i="9"/>
  <c r="X247" i="9"/>
  <c r="X183" i="9"/>
  <c r="Y585" i="9"/>
  <c r="X572" i="9"/>
  <c r="Y472" i="9"/>
  <c r="Y164" i="9"/>
  <c r="Y345" i="9"/>
  <c r="Y381" i="9"/>
  <c r="Y638" i="9"/>
  <c r="Y138" i="9"/>
  <c r="X274" i="9"/>
  <c r="X464" i="9"/>
  <c r="Y27" i="9"/>
  <c r="Y173" i="9"/>
  <c r="Y201" i="9"/>
  <c r="Y72" i="9"/>
  <c r="Y141" i="9"/>
  <c r="AA702" i="9"/>
  <c r="AA230" i="9"/>
  <c r="Y598" i="9"/>
  <c r="Y535" i="9"/>
  <c r="X381" i="9"/>
  <c r="X675" i="9"/>
  <c r="X444" i="9"/>
  <c r="Y395" i="9"/>
  <c r="Y589" i="9"/>
  <c r="X601" i="9"/>
  <c r="X569" i="9"/>
  <c r="Y113" i="9"/>
  <c r="X583" i="9"/>
  <c r="Y83" i="9"/>
  <c r="Y568" i="9"/>
  <c r="Y713" i="9"/>
  <c r="Y601" i="9"/>
  <c r="AA651" i="9"/>
  <c r="Y401" i="9"/>
  <c r="X264" i="9"/>
  <c r="X589" i="9"/>
  <c r="X429" i="9"/>
  <c r="X196" i="9"/>
  <c r="Y468" i="9"/>
  <c r="Y6" i="9"/>
  <c r="X267" i="9"/>
  <c r="X448" i="9"/>
  <c r="Y29" i="9"/>
  <c r="Y167" i="9"/>
  <c r="AA429" i="9"/>
  <c r="AA196" i="9"/>
  <c r="X253" i="9"/>
  <c r="X101" i="9"/>
  <c r="Y206" i="9"/>
  <c r="X320" i="9"/>
  <c r="Y390" i="9"/>
  <c r="Y538" i="9"/>
  <c r="Y715" i="9"/>
  <c r="Y461" i="9"/>
  <c r="X462" i="9"/>
  <c r="Y247" i="9"/>
  <c r="Y276" i="9"/>
  <c r="X289" i="9"/>
  <c r="Y672" i="9"/>
  <c r="Y33" i="9"/>
  <c r="Y503" i="9"/>
  <c r="X107" i="9"/>
  <c r="X650" i="9"/>
  <c r="Y314" i="9"/>
  <c r="X279" i="9"/>
  <c r="X223" i="9"/>
  <c r="Y32" i="9"/>
  <c r="Y259" i="9"/>
  <c r="Y5" i="9"/>
  <c r="Y302" i="9"/>
  <c r="Y458" i="9"/>
  <c r="Y684" i="9"/>
  <c r="AA626" i="9"/>
  <c r="Y190" i="9"/>
  <c r="Y46" i="9"/>
  <c r="Y499" i="9"/>
  <c r="AA32" i="9"/>
  <c r="X499" i="9"/>
  <c r="Y28" i="9"/>
  <c r="X191" i="9"/>
  <c r="Y380" i="9"/>
  <c r="X715" i="9"/>
  <c r="X259" i="9"/>
  <c r="Y581" i="9"/>
  <c r="X684" i="9"/>
  <c r="X581" i="9"/>
  <c r="X543" i="9"/>
  <c r="Y707" i="9"/>
  <c r="X212" i="9"/>
  <c r="Y185" i="9"/>
  <c r="AA257" i="9"/>
  <c r="AA184" i="9"/>
  <c r="Y343" i="9"/>
  <c r="X46" i="9"/>
  <c r="Y69" i="9"/>
  <c r="Y101" i="9"/>
  <c r="Y618" i="9"/>
  <c r="AA302" i="9"/>
  <c r="Y627" i="9"/>
  <c r="Y382" i="9"/>
  <c r="Y372" i="9"/>
  <c r="Y202" i="9"/>
  <c r="Y363" i="9"/>
  <c r="Y142" i="9"/>
  <c r="Y610" i="9"/>
  <c r="Y369" i="9"/>
  <c r="Y675" i="9"/>
  <c r="Y587" i="9"/>
  <c r="Y608" i="9"/>
  <c r="Y30" i="9"/>
  <c r="Y474" i="9"/>
  <c r="Y67" i="9"/>
  <c r="Y13" i="9"/>
  <c r="X577" i="9"/>
  <c r="Y534" i="9"/>
  <c r="X86" i="9"/>
  <c r="X490" i="9"/>
  <c r="Y459" i="9"/>
  <c r="X618" i="9"/>
  <c r="Y225" i="9"/>
  <c r="Y238" i="9"/>
  <c r="Y574" i="9"/>
  <c r="Y20" i="9"/>
  <c r="Y386" i="9"/>
  <c r="Y423" i="9"/>
  <c r="Y541" i="9"/>
  <c r="Y678" i="9"/>
  <c r="Y494" i="9"/>
  <c r="Y50" i="9"/>
  <c r="Y253" i="9"/>
  <c r="Y637" i="9"/>
  <c r="Y91" i="9"/>
  <c r="Y80" i="9"/>
  <c r="X633" i="9"/>
  <c r="Y422" i="9"/>
  <c r="Y319" i="9"/>
  <c r="Y168" i="9"/>
  <c r="X59" i="9"/>
  <c r="X372" i="9"/>
  <c r="Y224" i="9"/>
  <c r="Y297" i="9"/>
  <c r="Y53" i="9"/>
  <c r="AA240" i="9"/>
  <c r="Y625" i="9"/>
  <c r="Y117" i="9"/>
  <c r="Y426" i="9"/>
  <c r="Y107" i="9"/>
  <c r="Y325" i="9"/>
  <c r="Y154" i="9"/>
  <c r="Y682" i="9"/>
  <c r="Y82" i="9"/>
  <c r="Y111" i="9"/>
  <c r="Y576" i="9"/>
  <c r="Y139" i="9"/>
  <c r="X557" i="9"/>
  <c r="Y350" i="9"/>
  <c r="X582" i="9"/>
  <c r="X50" i="9"/>
  <c r="Y223" i="9"/>
  <c r="AA138" i="9"/>
  <c r="Y515" i="9"/>
  <c r="AA488" i="9"/>
  <c r="Y705" i="9"/>
  <c r="Y428" i="9"/>
  <c r="Y646" i="9"/>
  <c r="Y234" i="9"/>
  <c r="AA259" i="9"/>
  <c r="Y158" i="9"/>
  <c r="Y136" i="9"/>
  <c r="Y21" i="9"/>
  <c r="Y700" i="9"/>
  <c r="Y512" i="9"/>
  <c r="Y501" i="9"/>
  <c r="Y334" i="9"/>
  <c r="Y723" i="9"/>
  <c r="Y666" i="9"/>
  <c r="Y274" i="9"/>
  <c r="Y417" i="9"/>
  <c r="Y552" i="9"/>
  <c r="X620" i="9"/>
  <c r="Y56" i="9"/>
  <c r="Y165" i="9"/>
  <c r="Y533" i="9"/>
  <c r="X181" i="9"/>
  <c r="Y729" i="9"/>
  <c r="Y704" i="9"/>
  <c r="Y712" i="9"/>
  <c r="Y123" i="9"/>
  <c r="X272" i="9"/>
  <c r="Y335" i="9"/>
  <c r="Y558" i="9"/>
  <c r="Y527" i="9"/>
  <c r="Y615" i="9"/>
  <c r="X717" i="9"/>
  <c r="Y235" i="9"/>
  <c r="X701" i="9"/>
  <c r="Y193" i="9"/>
  <c r="X206" i="9"/>
  <c r="Y341" i="9"/>
  <c r="AA576" i="9"/>
  <c r="Y180" i="9"/>
  <c r="Y592" i="9"/>
  <c r="Y18" i="9"/>
  <c r="X712" i="9"/>
  <c r="X688" i="9"/>
  <c r="Y506" i="9"/>
  <c r="X724" i="9"/>
  <c r="AA330" i="9"/>
  <c r="Y491" i="9"/>
  <c r="Y706" i="9"/>
  <c r="X150" i="9"/>
  <c r="Y92" i="9"/>
  <c r="Y220" i="9"/>
  <c r="X285" i="9"/>
  <c r="Y279" i="9"/>
  <c r="Y663" i="9"/>
  <c r="Y424" i="9"/>
  <c r="Y591" i="9"/>
  <c r="Y51" i="9"/>
  <c r="X353" i="9"/>
  <c r="Y102" i="9"/>
  <c r="Y462" i="9"/>
  <c r="Y633" i="9"/>
  <c r="Y617" i="9"/>
  <c r="Y189" i="9"/>
  <c r="AA341" i="9"/>
  <c r="X719" i="9"/>
  <c r="Y332" i="9"/>
  <c r="AA139" i="9"/>
  <c r="Y557" i="9"/>
  <c r="Y537" i="9"/>
  <c r="Y145" i="9"/>
  <c r="X627" i="9"/>
  <c r="X72" i="9"/>
  <c r="Y339" i="9"/>
  <c r="Y441" i="9"/>
  <c r="X447" i="9"/>
  <c r="Y711" i="9"/>
  <c r="Y563" i="9"/>
  <c r="Y84" i="9"/>
  <c r="Y450" i="9"/>
  <c r="Y480" i="9"/>
  <c r="Y330" i="9"/>
  <c r="Y407" i="9"/>
  <c r="Y103" i="9"/>
  <c r="Y86" i="9"/>
  <c r="X575" i="9"/>
  <c r="X608" i="9"/>
  <c r="X44" i="9"/>
  <c r="X533" i="9"/>
  <c r="AA225" i="9"/>
  <c r="AA103" i="9"/>
  <c r="X705" i="9"/>
  <c r="Y452" i="9"/>
  <c r="AA633" i="9"/>
  <c r="Y70" i="9"/>
  <c r="X704" i="9"/>
  <c r="Y155" i="9"/>
  <c r="Y200" i="9"/>
  <c r="Y116" i="9"/>
  <c r="Y192" i="9"/>
  <c r="Y607" i="9"/>
  <c r="Y628" i="9"/>
  <c r="X215" i="9"/>
  <c r="Y703" i="9"/>
  <c r="Y258" i="9"/>
  <c r="X679" i="9"/>
  <c r="X108" i="9"/>
  <c r="Y671" i="9"/>
  <c r="Y553" i="9"/>
  <c r="Y447" i="9"/>
  <c r="Y699" i="9"/>
  <c r="X243" i="9"/>
  <c r="Y12" i="9"/>
  <c r="X93" i="9"/>
  <c r="AA93" i="9"/>
  <c r="Y195" i="9"/>
  <c r="Y555" i="9"/>
  <c r="Y477" i="9"/>
  <c r="Y283" i="9"/>
  <c r="X316" i="9"/>
  <c r="Y717" i="9"/>
  <c r="Y242" i="9"/>
  <c r="Y203" i="9"/>
  <c r="X461" i="9"/>
  <c r="AA558" i="9"/>
  <c r="Y455" i="9"/>
  <c r="X202" i="9"/>
  <c r="X718" i="9"/>
  <c r="X687" i="9"/>
  <c r="X98" i="9"/>
  <c r="AA650" i="9"/>
  <c r="Y679" i="9"/>
  <c r="Y307" i="9"/>
  <c r="Y122" i="9"/>
  <c r="Y229" i="9"/>
  <c r="Y464" i="9"/>
  <c r="Y181" i="9"/>
  <c r="X301" i="9"/>
  <c r="X531" i="9"/>
  <c r="Y163" i="9"/>
  <c r="Y320" i="9"/>
  <c r="Y132" i="9"/>
  <c r="X168" i="9"/>
  <c r="Y175" i="9"/>
  <c r="AA696" i="9"/>
  <c r="X349" i="9"/>
  <c r="Y236" i="9"/>
  <c r="Y172" i="9"/>
  <c r="Y239" i="9"/>
  <c r="Y495" i="9"/>
  <c r="Y205" i="9"/>
  <c r="Y570" i="9"/>
  <c r="Y453" i="9"/>
  <c r="Y351" i="9"/>
  <c r="Y38" i="9"/>
  <c r="Y448" i="9"/>
  <c r="Y457" i="9"/>
  <c r="Y624" i="9"/>
  <c r="Y336" i="9"/>
  <c r="X506" i="9"/>
  <c r="Y191" i="9"/>
  <c r="X65" i="9"/>
  <c r="X318" i="9"/>
  <c r="Y669" i="9"/>
  <c r="AA345" i="9"/>
  <c r="X286" i="9"/>
  <c r="X463" i="9"/>
  <c r="X329" i="9"/>
  <c r="Y710" i="9"/>
  <c r="Y566" i="9"/>
  <c r="Y318" i="9"/>
  <c r="Y603" i="9"/>
  <c r="Y511" i="9"/>
  <c r="Y108" i="9"/>
  <c r="X276" i="9"/>
  <c r="AA490" i="9"/>
  <c r="X558" i="9"/>
  <c r="Y564" i="9"/>
  <c r="X327" i="9"/>
  <c r="Y121" i="9"/>
  <c r="Y548" i="9"/>
  <c r="Y639" i="9"/>
  <c r="AA679" i="9"/>
  <c r="Y397" i="9"/>
  <c r="Y476" i="9"/>
  <c r="X262" i="9"/>
  <c r="Y479" i="9"/>
  <c r="Y81" i="9"/>
  <c r="X522" i="9"/>
  <c r="X354" i="9"/>
  <c r="X240" i="9"/>
  <c r="Y15" i="9"/>
  <c r="Y490" i="9"/>
  <c r="X385" i="9"/>
  <c r="X283" i="9"/>
  <c r="AA442" i="9"/>
  <c r="Y373" i="9"/>
  <c r="Y57" i="9"/>
  <c r="X428" i="9"/>
  <c r="Y353" i="9"/>
  <c r="X195" i="9"/>
  <c r="Y54" i="9"/>
  <c r="Y371" i="9"/>
  <c r="Y144" i="9"/>
  <c r="Y643" i="9"/>
  <c r="Y243" i="9"/>
  <c r="Y438" i="9"/>
  <c r="Y231" i="9"/>
  <c r="X644" i="9"/>
  <c r="X173" i="9"/>
  <c r="Y724" i="9"/>
  <c r="X258" i="9"/>
  <c r="Y394" i="9"/>
  <c r="AA494" i="9"/>
  <c r="X146" i="9"/>
  <c r="Y367" i="9"/>
  <c r="AA615" i="9"/>
  <c r="Y599" i="9"/>
  <c r="X64" i="9"/>
  <c r="Y219" i="9"/>
  <c r="AA164" i="9"/>
  <c r="Y467" i="9"/>
  <c r="AA28" i="9"/>
  <c r="Y504" i="9"/>
  <c r="Y420" i="9"/>
  <c r="AA84" i="9"/>
  <c r="Y212" i="9"/>
  <c r="Y727" i="9"/>
  <c r="Y577" i="9"/>
  <c r="X460" i="9"/>
  <c r="Y673" i="9"/>
  <c r="AA533" i="9"/>
  <c r="AA621" i="9"/>
  <c r="X542" i="9"/>
  <c r="Y39" i="9"/>
  <c r="AA145" i="9"/>
  <c r="Y295" i="9"/>
  <c r="X493" i="9"/>
  <c r="Y385" i="9"/>
  <c r="Y88" i="9"/>
  <c r="Y366" i="9"/>
  <c r="AA336" i="9"/>
  <c r="Y24" i="9"/>
  <c r="AA24" i="9"/>
  <c r="Y233" i="9"/>
  <c r="Y120" i="9"/>
  <c r="X621" i="9"/>
  <c r="Y439" i="9"/>
  <c r="Y210" i="9"/>
  <c r="Y311" i="9"/>
  <c r="X187" i="9"/>
  <c r="Y354" i="9"/>
  <c r="AA522" i="9"/>
  <c r="X277" i="9"/>
  <c r="Y160" i="9"/>
  <c r="AA673" i="9"/>
  <c r="Y613" i="9"/>
  <c r="X13" i="9"/>
  <c r="Y481" i="9"/>
  <c r="Y89" i="9"/>
  <c r="Y68" i="9"/>
  <c r="AA658" i="9"/>
  <c r="Y433" i="9"/>
  <c r="X517" i="9"/>
  <c r="X315" i="9"/>
  <c r="AA422" i="9"/>
  <c r="AA552" i="9"/>
  <c r="X303" i="9"/>
  <c r="Y261" i="9"/>
  <c r="Y315" i="9"/>
  <c r="AA135" i="9"/>
  <c r="Y403" i="9"/>
  <c r="Y404" i="9"/>
  <c r="Y152" i="9"/>
  <c r="Y379" i="9"/>
  <c r="Y509" i="9"/>
  <c r="Y244" i="9"/>
  <c r="Y616" i="9"/>
  <c r="Y631" i="9"/>
  <c r="Y384" i="9"/>
  <c r="AA27" i="9"/>
  <c r="Y321" i="9"/>
  <c r="Y263" i="9"/>
  <c r="Y309" i="9"/>
  <c r="Y104" i="9"/>
  <c r="X587" i="9"/>
  <c r="X407" i="9"/>
  <c r="X263" i="9"/>
  <c r="AA448" i="9"/>
  <c r="Y575" i="9"/>
  <c r="Y482" i="9"/>
  <c r="X597" i="9"/>
  <c r="Y412" i="9"/>
  <c r="Y360" i="9"/>
  <c r="X361" i="9"/>
  <c r="Y61" i="9"/>
  <c r="Y596" i="9"/>
  <c r="Y526" i="9"/>
  <c r="X18" i="9"/>
  <c r="Y34" i="9"/>
  <c r="Y146" i="9"/>
  <c r="Y398" i="9"/>
  <c r="AA244" i="9"/>
  <c r="AA61" i="9"/>
  <c r="X519" i="9"/>
  <c r="X61" i="9"/>
  <c r="Y551" i="9"/>
  <c r="X598" i="9"/>
  <c r="Y413" i="9"/>
  <c r="X34" i="9"/>
  <c r="Y40" i="9"/>
  <c r="X235" i="9"/>
  <c r="AA509" i="9"/>
  <c r="Y375" i="9"/>
  <c r="X666" i="9"/>
  <c r="AA279" i="9"/>
  <c r="Y456" i="9"/>
  <c r="AA18" i="9"/>
  <c r="AA55" i="9"/>
  <c r="X382" i="9"/>
  <c r="Y294" i="9"/>
  <c r="Y85" i="9"/>
  <c r="Y701" i="9"/>
  <c r="Y147" i="9"/>
  <c r="Y698" i="9"/>
  <c r="X707" i="9"/>
  <c r="Y361" i="9"/>
  <c r="Y686" i="9"/>
  <c r="X294" i="9"/>
  <c r="AA146" i="9"/>
  <c r="AA701" i="9"/>
  <c r="Y87" i="9"/>
  <c r="X40" i="9"/>
  <c r="Y100" i="9"/>
  <c r="Y134" i="9"/>
  <c r="Y597" i="9"/>
  <c r="X654" i="9"/>
  <c r="Y600" i="9"/>
  <c r="X610" i="9"/>
  <c r="X205" i="9"/>
  <c r="AA572" i="9"/>
  <c r="Y519" i="9"/>
  <c r="Y714" i="9"/>
  <c r="Y95" i="9"/>
  <c r="X725" i="9"/>
  <c r="Y148" i="9"/>
  <c r="AA134" i="9"/>
  <c r="Y300" i="9"/>
  <c r="Y303" i="9"/>
  <c r="AA654" i="9"/>
  <c r="AA269" i="9"/>
  <c r="Y194" i="9"/>
  <c r="Y545" i="9"/>
  <c r="X503" i="9"/>
  <c r="Y654" i="9"/>
  <c r="Y454" i="9"/>
  <c r="Y642" i="9"/>
  <c r="X678" i="9"/>
  <c r="Y44" i="9"/>
  <c r="X545" i="9"/>
  <c r="X71" i="9"/>
  <c r="X377" i="9"/>
  <c r="Y623" i="9"/>
  <c r="X527" i="9"/>
  <c r="X540" i="9"/>
  <c r="Y377" i="9"/>
  <c r="Y595" i="9"/>
  <c r="AA597" i="9"/>
  <c r="AA457" i="9"/>
  <c r="Y255" i="9"/>
  <c r="AA527" i="9"/>
  <c r="X104" i="9"/>
  <c r="Y260" i="9"/>
  <c r="Y725" i="9"/>
  <c r="AA104" i="9"/>
  <c r="Y352" i="9"/>
  <c r="X260" i="9"/>
  <c r="X465" i="9"/>
  <c r="X68" i="9"/>
  <c r="X721" i="9"/>
  <c r="Y246" i="9"/>
  <c r="X255" i="9"/>
  <c r="X249" i="9"/>
  <c r="X714" i="9"/>
  <c r="X599" i="9"/>
  <c r="AA89" i="9"/>
  <c r="Y547" i="9"/>
  <c r="X199" i="9"/>
  <c r="X374" i="9"/>
  <c r="Y644" i="9"/>
  <c r="Y58" i="9"/>
  <c r="Y232" i="9"/>
  <c r="X596" i="9"/>
  <c r="X676" i="9"/>
  <c r="Y272" i="9"/>
  <c r="Y688" i="9"/>
  <c r="X698" i="9"/>
  <c r="Y338" i="9"/>
  <c r="Y418" i="9"/>
  <c r="Y579" i="9"/>
  <c r="Y471" i="9"/>
  <c r="X422" i="9"/>
  <c r="Y77" i="9"/>
  <c r="Y655" i="9"/>
  <c r="X400" i="9"/>
  <c r="Y378" i="9"/>
  <c r="X476" i="9"/>
  <c r="Y99" i="9"/>
  <c r="Y540" i="9"/>
  <c r="Y162" i="9"/>
  <c r="Y543" i="9"/>
  <c r="X405" i="9"/>
  <c r="AA405" i="9"/>
  <c r="Y250" i="9"/>
  <c r="AA580" i="9"/>
  <c r="Y667" i="9"/>
  <c r="Y312" i="9"/>
  <c r="AA551" i="9"/>
  <c r="Y285" i="9"/>
  <c r="Y71" i="9"/>
  <c r="X473" i="9"/>
  <c r="Y137" i="9"/>
  <c r="Y662" i="9"/>
  <c r="AA423" i="9"/>
  <c r="X90" i="9"/>
  <c r="X588" i="9"/>
  <c r="Y313" i="9"/>
  <c r="Y609" i="9"/>
  <c r="Y720" i="9"/>
  <c r="X197" i="9"/>
  <c r="Y270" i="9"/>
  <c r="Y213" i="9"/>
  <c r="Y691" i="9"/>
  <c r="Y293" i="9"/>
  <c r="Y604" i="9"/>
  <c r="X265" i="9"/>
  <c r="X122" i="9"/>
  <c r="Y265" i="9"/>
  <c r="Y463" i="9"/>
  <c r="X94" i="9"/>
  <c r="Y171" i="9"/>
  <c r="X661" i="9"/>
  <c r="X328" i="9"/>
  <c r="X634" i="9"/>
  <c r="X623" i="9"/>
  <c r="AA625" i="9"/>
  <c r="AA13" i="9"/>
  <c r="Y650" i="9"/>
  <c r="X60" i="9"/>
  <c r="Y542" i="9"/>
  <c r="X389" i="9"/>
  <c r="Y8" i="9"/>
  <c r="Y554" i="9"/>
  <c r="Y500" i="9"/>
  <c r="Y42" i="9"/>
  <c r="AA170" i="9"/>
  <c r="X198" i="9"/>
  <c r="X129" i="9"/>
  <c r="Y358" i="9"/>
  <c r="X128" i="9"/>
  <c r="Y359" i="9"/>
  <c r="Y520" i="9"/>
  <c r="X266" i="9"/>
  <c r="Y327" i="9"/>
  <c r="X384" i="9"/>
  <c r="Y153" i="9"/>
  <c r="X106" i="9"/>
  <c r="Y432" i="9"/>
  <c r="X281" i="9"/>
  <c r="AA283" i="9"/>
  <c r="X133" i="9"/>
  <c r="Y661" i="9"/>
  <c r="AA249" i="9"/>
  <c r="X358" i="9"/>
  <c r="Y284" i="9"/>
  <c r="Y374" i="9"/>
  <c r="Y264" i="9"/>
  <c r="AA355" i="9"/>
  <c r="X671" i="9"/>
  <c r="Y612" i="9"/>
  <c r="Y611" i="9"/>
  <c r="X528" i="9"/>
  <c r="X695" i="9"/>
  <c r="Y522" i="9"/>
  <c r="X348" i="9"/>
  <c r="X201" i="9"/>
  <c r="Y562" i="9"/>
  <c r="Y17" i="9"/>
  <c r="Y211" i="9"/>
  <c r="X214" i="9"/>
  <c r="X335" i="9"/>
  <c r="Y528" i="9"/>
  <c r="AA718" i="9"/>
  <c r="X611" i="9"/>
  <c r="Y214" i="9"/>
  <c r="Y357" i="9"/>
  <c r="Y245" i="9"/>
  <c r="X210" i="9"/>
  <c r="X239" i="9"/>
  <c r="X268" i="9"/>
  <c r="Y685" i="9"/>
  <c r="Y362" i="9"/>
  <c r="X165" i="9"/>
  <c r="X58" i="9"/>
  <c r="X672" i="9"/>
  <c r="Y531" i="9"/>
  <c r="Y14" i="9"/>
  <c r="AA427" i="9"/>
  <c r="Y267" i="9"/>
  <c r="X628" i="9"/>
  <c r="Y443" i="9"/>
  <c r="AA267" i="9"/>
  <c r="X576" i="9"/>
  <c r="Y583" i="9"/>
  <c r="X169" i="9"/>
  <c r="Y48" i="9"/>
  <c r="AA596" i="9"/>
  <c r="Y62" i="9"/>
  <c r="AA90" i="9"/>
  <c r="Y324" i="9"/>
  <c r="Y60" i="9"/>
  <c r="Y396" i="9"/>
  <c r="Y262" i="9"/>
  <c r="AA554" i="9"/>
  <c r="Y110" i="9"/>
  <c r="Y498" i="9"/>
  <c r="Y169" i="9"/>
  <c r="AA329" i="9"/>
  <c r="AA153" i="9"/>
  <c r="X554" i="9"/>
  <c r="X62" i="9"/>
  <c r="Y256" i="9"/>
  <c r="Y676" i="9"/>
  <c r="AA456" i="9"/>
  <c r="X310" i="9"/>
  <c r="Y292" i="9"/>
  <c r="X404" i="9"/>
  <c r="X280" i="9"/>
  <c r="X711" i="9"/>
  <c r="X48" i="9"/>
  <c r="Y298" i="9"/>
  <c r="Y182" i="9"/>
  <c r="Y268" i="9"/>
  <c r="Y648" i="9"/>
  <c r="Y389" i="9"/>
  <c r="Y525" i="9"/>
  <c r="Y635" i="9"/>
  <c r="Y187" i="9"/>
  <c r="Y329" i="9"/>
  <c r="Y149" i="9"/>
  <c r="Y414" i="9"/>
  <c r="Y586" i="9"/>
  <c r="Y280" i="9"/>
  <c r="Y186" i="9"/>
  <c r="X125" i="9"/>
  <c r="Y559" i="9"/>
  <c r="X290" i="9"/>
  <c r="AA678" i="9"/>
  <c r="X171" i="9"/>
  <c r="AA573" i="9"/>
  <c r="AA517" i="9"/>
  <c r="X720" i="9"/>
  <c r="X248" i="9"/>
  <c r="X231" i="9"/>
  <c r="Y106" i="9"/>
  <c r="Y278" i="9"/>
  <c r="AA604" i="9"/>
  <c r="X309" i="9"/>
  <c r="X478" i="9"/>
  <c r="Y619" i="9"/>
  <c r="X312" i="9"/>
  <c r="Y677" i="9"/>
  <c r="X147" i="9"/>
  <c r="X234" i="9"/>
  <c r="X559" i="9"/>
  <c r="AA591" i="9"/>
  <c r="X472" i="9"/>
  <c r="X502" i="9"/>
  <c r="X110" i="9"/>
  <c r="Y252" i="9"/>
  <c r="X568" i="9"/>
  <c r="X115" i="9"/>
  <c r="AA309" i="9"/>
  <c r="X696" i="9"/>
  <c r="Y449" i="9"/>
  <c r="X491" i="9"/>
  <c r="Y290" i="9"/>
  <c r="Y161" i="9"/>
  <c r="Y516" i="9"/>
  <c r="Y726" i="9"/>
  <c r="X667" i="9"/>
  <c r="Y310" i="9"/>
  <c r="X322" i="9"/>
  <c r="Y376" i="9"/>
  <c r="Y399" i="9"/>
  <c r="Y348" i="9"/>
  <c r="AA182" i="9"/>
  <c r="Y11" i="9"/>
  <c r="Y460" i="9"/>
  <c r="Y45" i="9"/>
  <c r="Y43" i="9"/>
  <c r="X270" i="9"/>
  <c r="AA20" i="9"/>
  <c r="X456" i="9"/>
  <c r="AA623" i="9"/>
  <c r="Y197" i="9"/>
  <c r="Y478" i="9"/>
  <c r="X20" i="9"/>
  <c r="X401" i="9"/>
  <c r="Y127" i="9"/>
  <c r="AA86" i="9"/>
  <c r="Y606" i="9"/>
  <c r="Y248" i="9"/>
  <c r="Y692" i="9"/>
  <c r="Y115" i="9"/>
  <c r="Y690" i="9"/>
  <c r="Y514" i="9"/>
  <c r="Y573" i="9"/>
  <c r="Y560" i="9"/>
  <c r="X295" i="9"/>
  <c r="Y109" i="9"/>
  <c r="Y593" i="9"/>
  <c r="Y647" i="9"/>
  <c r="Y400" i="9"/>
  <c r="X8" i="9"/>
  <c r="X137" i="9"/>
  <c r="X548" i="9"/>
  <c r="X683" i="9"/>
  <c r="AA140" i="9"/>
  <c r="X244" i="9"/>
  <c r="Y322" i="9"/>
  <c r="AA219" i="9"/>
  <c r="Y64" i="9"/>
  <c r="Y9" i="9"/>
  <c r="X9" i="9"/>
  <c r="Y130" i="9"/>
  <c r="Y505" i="9"/>
  <c r="Y128" i="9"/>
  <c r="Y97" i="9"/>
  <c r="AA291" i="9"/>
  <c r="Y365" i="9"/>
  <c r="Y622" i="9"/>
  <c r="Y198" i="9"/>
  <c r="X470" i="9"/>
  <c r="AA437" i="9"/>
  <c r="Y131" i="9"/>
  <c r="Y266" i="9"/>
  <c r="X635" i="9"/>
  <c r="Y721" i="9"/>
  <c r="Y217" i="9"/>
  <c r="Y286" i="9"/>
  <c r="Y513" i="9"/>
  <c r="Y470" i="9"/>
  <c r="Y694" i="9"/>
  <c r="Y277" i="9"/>
  <c r="AA472" i="9"/>
  <c r="X700" i="9"/>
  <c r="Y308" i="9"/>
  <c r="X291" i="9"/>
  <c r="Y719" i="9"/>
  <c r="AA546" i="9"/>
  <c r="X368" i="9"/>
  <c r="Y271" i="9"/>
  <c r="Y281" i="9"/>
  <c r="Y502" i="9"/>
  <c r="X114" i="9"/>
  <c r="Y387" i="9"/>
  <c r="Y216" i="9"/>
  <c r="X186" i="9"/>
  <c r="Y25" i="9"/>
  <c r="Y524" i="9"/>
  <c r="Y664" i="9"/>
  <c r="Y342" i="9"/>
  <c r="Y497" i="9"/>
  <c r="Y411" i="9"/>
  <c r="AA171" i="9"/>
  <c r="X555" i="9"/>
  <c r="Y530" i="9"/>
  <c r="Y215" i="9"/>
  <c r="Y689" i="9"/>
  <c r="AA215" i="9"/>
  <c r="Y41" i="9"/>
  <c r="X421" i="9"/>
  <c r="Y561" i="9"/>
  <c r="Y629" i="9"/>
  <c r="AA264" i="9"/>
  <c r="AA400" i="9"/>
  <c r="Y74" i="9"/>
  <c r="Y273" i="9"/>
  <c r="AA77" i="9"/>
  <c r="X664" i="9"/>
  <c r="X211" i="9"/>
  <c r="Y565" i="9"/>
  <c r="X520" i="9"/>
  <c r="X495" i="9"/>
  <c r="X102" i="9"/>
  <c r="Y159" i="9"/>
  <c r="Y36" i="9"/>
  <c r="Y129" i="9"/>
  <c r="Y118" i="9"/>
  <c r="X446" i="9"/>
  <c r="AA634" i="9"/>
  <c r="Y687" i="9"/>
  <c r="Y119" i="9"/>
  <c r="X204" i="9"/>
  <c r="Y222" i="9"/>
  <c r="X669" i="9"/>
  <c r="Y133" i="9"/>
  <c r="X12" i="9"/>
  <c r="AA491" i="9"/>
  <c r="X373" i="9"/>
  <c r="X76" i="9"/>
  <c r="X254" i="9"/>
  <c r="AA180" i="9"/>
  <c r="X505" i="9"/>
  <c r="Y204" i="9"/>
  <c r="X97" i="9"/>
  <c r="X96" i="9"/>
  <c r="X613" i="9"/>
  <c r="X67" i="9"/>
  <c r="Y634" i="9"/>
  <c r="Y174" i="9"/>
  <c r="X387" i="9"/>
  <c r="AA150" i="9"/>
  <c r="Y473" i="9"/>
  <c r="AA213" i="9"/>
  <c r="Y722" i="9"/>
  <c r="Y484" i="9"/>
  <c r="Y237" i="9"/>
  <c r="Y347" i="9"/>
  <c r="Y254" i="9"/>
  <c r="X172" i="9"/>
  <c r="X41" i="9"/>
  <c r="X612" i="9"/>
  <c r="Y388" i="9"/>
  <c r="X512" i="9"/>
  <c r="Y287" i="9"/>
  <c r="X166" i="9"/>
  <c r="X228" i="9"/>
  <c r="Y436" i="9"/>
  <c r="X427" i="9"/>
  <c r="X11" i="9"/>
  <c r="Y406" i="9"/>
  <c r="Y435" i="9"/>
  <c r="AA211" i="9"/>
  <c r="Y208" i="9"/>
  <c r="X75" i="9"/>
  <c r="Y508" i="9"/>
  <c r="Y316" i="9"/>
  <c r="X364" i="9"/>
  <c r="Y96" i="9"/>
  <c r="AA152" i="9"/>
  <c r="X523" i="9"/>
  <c r="X217" i="9"/>
  <c r="X556" i="9"/>
  <c r="AA492" i="9"/>
  <c r="Y529" i="9"/>
  <c r="X475" i="9"/>
  <c r="AA321" i="9"/>
  <c r="Y78" i="9"/>
  <c r="X383" i="9"/>
  <c r="Y166" i="9"/>
  <c r="Y282" i="9"/>
  <c r="Y52" i="9"/>
  <c r="Y571" i="9"/>
  <c r="Y125" i="9"/>
  <c r="X508" i="9"/>
  <c r="X622" i="9"/>
  <c r="X282" i="9"/>
  <c r="Y410" i="9"/>
  <c r="X220" i="9"/>
  <c r="Y364" i="9"/>
  <c r="AA595" i="9"/>
  <c r="X136" i="9"/>
  <c r="Y114" i="9"/>
  <c r="Y683" i="9"/>
  <c r="Y383" i="9"/>
  <c r="Y35" i="9"/>
  <c r="X682" i="9"/>
  <c r="X79" i="9"/>
  <c r="X453" i="9"/>
  <c r="Y344" i="9"/>
  <c r="X271" i="9"/>
  <c r="Y317" i="9"/>
  <c r="Y492" i="9"/>
  <c r="Y674" i="9"/>
  <c r="AA148" i="9"/>
  <c r="X590" i="9"/>
  <c r="AA610" i="9"/>
  <c r="X697" i="9"/>
  <c r="Y296" i="9"/>
  <c r="Y469" i="9"/>
  <c r="AA391" i="9"/>
  <c r="Y391" i="9"/>
  <c r="X501" i="9"/>
  <c r="X305" i="9"/>
  <c r="X148" i="9"/>
  <c r="Y337" i="9"/>
  <c r="Y440" i="9"/>
  <c r="Y124" i="9"/>
  <c r="Y652" i="9"/>
  <c r="Y176" i="9"/>
  <c r="Y323" i="9"/>
  <c r="Y126" i="9"/>
  <c r="AA326" i="9"/>
  <c r="Y326" i="9"/>
  <c r="AA31" i="9"/>
  <c r="Y31" i="9"/>
  <c r="AA22" i="9"/>
  <c r="Y22" i="9"/>
  <c r="AA681" i="9"/>
  <c r="Y681" i="9"/>
  <c r="Y446" i="9"/>
  <c r="X602" i="9"/>
  <c r="AA614" i="9"/>
  <c r="Y614" i="9"/>
  <c r="Y421" i="9"/>
  <c r="Y709" i="9"/>
  <c r="Y10" i="9"/>
  <c r="X126" i="9"/>
  <c r="AA209" i="9"/>
  <c r="Y209" i="9"/>
  <c r="X256" i="9"/>
  <c r="AA649" i="9"/>
  <c r="Y649" i="9"/>
  <c r="Y728" i="9"/>
  <c r="Y75" i="9"/>
  <c r="X17" i="9"/>
  <c r="X224" i="9"/>
  <c r="X483" i="9"/>
  <c r="X686" i="9"/>
  <c r="AA686" i="9"/>
  <c r="AA708" i="9"/>
  <c r="Y708" i="9"/>
  <c r="X593" i="9"/>
  <c r="AA693" i="9"/>
  <c r="Y693" i="9"/>
  <c r="Y483" i="9"/>
  <c r="Y602" i="9"/>
  <c r="X370" i="9"/>
  <c r="X641" i="9"/>
  <c r="X685" i="9"/>
  <c r="Y485" i="9"/>
  <c r="Y640" i="9"/>
  <c r="AA216" i="9"/>
  <c r="X216" i="9"/>
  <c r="X73" i="9"/>
  <c r="Y340" i="9"/>
  <c r="X143" i="9"/>
  <c r="AA143" i="9"/>
  <c r="Y143" i="9"/>
  <c r="Y425" i="9"/>
  <c r="X425" i="9"/>
  <c r="Y466" i="9"/>
  <c r="Y578" i="9"/>
  <c r="AA578" i="9"/>
  <c r="Y73" i="9"/>
  <c r="X25" i="9"/>
  <c r="X578" i="9"/>
  <c r="Y370" i="9"/>
  <c r="X15" i="9"/>
  <c r="Y23" i="9"/>
  <c r="AA716" i="9"/>
  <c r="Y716" i="9"/>
  <c r="X298" i="9"/>
  <c r="Y659" i="9"/>
  <c r="X455" i="9"/>
  <c r="Y63" i="9"/>
  <c r="X659" i="9"/>
  <c r="Y550" i="9"/>
  <c r="AA668" i="9"/>
  <c r="X668" i="9"/>
  <c r="Y668" i="9"/>
  <c r="Y645" i="9"/>
  <c r="X544" i="9"/>
  <c r="AA430" i="9"/>
  <c r="Y430" i="9"/>
  <c r="AA25" i="9"/>
  <c r="X571" i="9"/>
  <c r="AA188" i="9"/>
  <c r="Y188" i="9"/>
  <c r="AA347" i="9"/>
  <c r="X347" i="9"/>
  <c r="AA236" i="9"/>
  <c r="Y496" i="9"/>
  <c r="X338" i="9"/>
  <c r="X23" i="9"/>
  <c r="X149" i="9"/>
  <c r="X514" i="9"/>
  <c r="X47" i="9"/>
  <c r="AA47" i="9"/>
  <c r="Y275" i="9"/>
  <c r="AA275" i="9"/>
  <c r="X541" i="9"/>
  <c r="AA7" i="9"/>
  <c r="Y7" i="9"/>
  <c r="Y657" i="9"/>
  <c r="X430" i="9"/>
  <c r="AA419" i="9"/>
  <c r="Y419" i="9"/>
  <c r="X536" i="9"/>
  <c r="AA536" i="9"/>
  <c r="Y536" i="9"/>
  <c r="Y680" i="9"/>
  <c r="X680" i="9"/>
  <c r="AA19" i="9"/>
  <c r="Y19" i="9"/>
  <c r="X547" i="9"/>
  <c r="AA363" i="9"/>
  <c r="X363" i="9"/>
  <c r="X63" i="9"/>
  <c r="AA594" i="9"/>
  <c r="Y594" i="9"/>
  <c r="X19" i="9"/>
  <c r="Y47" i="9"/>
  <c r="AA331" i="9"/>
  <c r="Y331" i="9"/>
  <c r="X236" i="9"/>
  <c r="Y415" i="9"/>
  <c r="AA415" i="9"/>
  <c r="X415" i="9"/>
  <c r="X176" i="9"/>
  <c r="Y79" i="9"/>
  <c r="Y605" i="9"/>
  <c r="AA605" i="9"/>
  <c r="X532" i="9"/>
  <c r="Y532" i="9"/>
  <c r="AA532" i="9"/>
  <c r="AA333" i="9"/>
  <c r="Y333" i="9"/>
  <c r="AA241" i="9"/>
  <c r="Y241" i="9"/>
  <c r="X324" i="9"/>
  <c r="AA156" i="9"/>
  <c r="Y156" i="9"/>
  <c r="Y486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EmployeeExport" description="Connexion à la requête « EmployeeExport » dans le classeur." type="5" refreshedVersion="0" background="1">
    <dbPr connection="Provider=Microsoft.Mashup.OleDb.1;Data Source=$Workbook$;Location=EmployeeExport;Extended Properties=&quot;&quot;" command="SELECT * FROM [EmployeeExport]"/>
  </connection>
  <connection id="2" xr16:uid="{00000000-0015-0000-FFFF-FFFF01000000}" keepAlive="1" name="Requête - EmployeeExport (2)" description="Connexion à la requête « EmployeeExport (2) » dans le classeur." type="5" refreshedVersion="0" background="1">
    <dbPr connection="Provider=Microsoft.Mashup.OleDb.1;Data Source=$Workbook$;Location=&quot;EmployeeExport (2)&quot;;Extended Properties=&quot;&quot;" command="SELECT * FROM [EmployeeExport (2)]"/>
  </connection>
  <connection id="3" xr16:uid="{00000000-0015-0000-FFFF-FFFF02000000}" keepAlive="1" name="Requête - Timesheet check" description="Connexion à la requête « Timesheet check » dans le classeur." type="5" refreshedVersion="6" background="1" saveData="1">
    <dbPr connection="Provider=Microsoft.Mashup.OleDb.1;Data Source=$Workbook$;Location=&quot;Timesheet check&quot;;Extended Properties=&quot;&quot;" command="SELECT * FROM [Timesheet check]"/>
  </connection>
  <connection id="4" xr16:uid="{00000000-0015-0000-FFFF-FFFF03000000}" keepAlive="1" name="Requête - Timesheet check (2)" description="Connexion à la requête « Timesheet check (2) » dans le classeur." type="5" refreshedVersion="6" background="1" saveData="1">
    <dbPr connection="Provider=Microsoft.Mashup.OleDb.1;Data Source=$Workbook$;Location=&quot;Timesheet check (2)&quot;;Extended Properties=&quot;&quot;" command="SELECT * FROM [Timesheet check (2)]"/>
  </connection>
  <connection id="5" xr16:uid="{00000000-0015-0000-FFFF-FFFF04000000}" keepAlive="1" name="Requête - TS_WaitingMailOfIntent" description="Connexion à la requête « TS_WaitingMailOfIntent » dans le classeur." type="5" refreshedVersion="6" background="1" saveData="1">
    <dbPr connection="Provider=Microsoft.Mashup.OleDb.1;Data Source=$Workbook$;Location=TS_WaitingMailOfIntent;Extended Properties=&quot;&quot;" command="SELECT * FROM [TS_WaitingMailOfIntent]"/>
  </connection>
</connections>
</file>

<file path=xl/sharedStrings.xml><?xml version="1.0" encoding="utf-8"?>
<sst xmlns="http://schemas.openxmlformats.org/spreadsheetml/2006/main" count="16094" uniqueCount="1899">
  <si>
    <t>Manager ou CDM concerné</t>
  </si>
  <si>
    <t>Delta prod days brut</t>
  </si>
  <si>
    <t>Alice GUILABERT</t>
  </si>
  <si>
    <t>Antoine DENIE</t>
  </si>
  <si>
    <t>Fayçal YAKOUBI</t>
  </si>
  <si>
    <t>Maria OUELLAJ</t>
  </si>
  <si>
    <t>Florence NOIZET</t>
  </si>
  <si>
    <t>Charles PARIS</t>
  </si>
  <si>
    <t>Yves REMBERT</t>
  </si>
  <si>
    <t>Boris WASIER</t>
  </si>
  <si>
    <t>Valentin DAVAUDET</t>
  </si>
  <si>
    <t>Amine BENNEKROUF</t>
  </si>
  <si>
    <t>Julia FRANCO</t>
  </si>
  <si>
    <t>Willy TAN</t>
  </si>
  <si>
    <t>Karim ISKANDER</t>
  </si>
  <si>
    <t>Théo ROCH</t>
  </si>
  <si>
    <t>Jonathan GERARDIN</t>
  </si>
  <si>
    <t>Antoine FROMENTIN</t>
  </si>
  <si>
    <t>Nicolas MURAT</t>
  </si>
  <si>
    <t>Jonathan SARPAUX</t>
  </si>
  <si>
    <t>Flora BRUYERE</t>
  </si>
  <si>
    <t>Christophe LOEUR</t>
  </si>
  <si>
    <t>Quentin QUONIAM</t>
  </si>
  <si>
    <t>Valérie WITTORSKI</t>
  </si>
  <si>
    <t>Marion PLESSIS-LUCIANI</t>
  </si>
  <si>
    <t>Ignacio MARTIN VELASCO</t>
  </si>
  <si>
    <t>Yosr ABIDA</t>
  </si>
  <si>
    <t>Roman ESQUERRE</t>
  </si>
  <si>
    <t>Rémi TANIWAKI</t>
  </si>
  <si>
    <t>François FONTESPIS-LOSTE</t>
  </si>
  <si>
    <t>Florent MATHE</t>
  </si>
  <si>
    <t>Godefroy DENORMANDIE</t>
  </si>
  <si>
    <t>Timothée CARRICO</t>
  </si>
  <si>
    <t>Fatima Zohra OUTALHA</t>
  </si>
  <si>
    <t>Julien FLOCH</t>
  </si>
  <si>
    <t>Jimmy GUERIN</t>
  </si>
  <si>
    <t>Julie FERRANDO</t>
  </si>
  <si>
    <t>Mathilde JÉGOU</t>
  </si>
  <si>
    <t>Pierre NARCE</t>
  </si>
  <si>
    <t>Gaël PEZIER</t>
  </si>
  <si>
    <t>Marie CHAMOUSSET</t>
  </si>
  <si>
    <t>Sina MOVAGHAR</t>
  </si>
  <si>
    <t>Louis-Marie LAFONT</t>
  </si>
  <si>
    <t>Fabrice AUSTRUY</t>
  </si>
  <si>
    <t>Marius LIBERT</t>
  </si>
  <si>
    <t>Margot KOHL</t>
  </si>
  <si>
    <t>Guillaume VAQUERO</t>
  </si>
  <si>
    <t>Amaury LECOMTE</t>
  </si>
  <si>
    <t>Philibert DE MONTILLE</t>
  </si>
  <si>
    <t>Marion LARHANTEC</t>
  </si>
  <si>
    <t>Farah MOHAMADI</t>
  </si>
  <si>
    <t>Nicolas FARNY</t>
  </si>
  <si>
    <t>Ange KAMDEM</t>
  </si>
  <si>
    <t>Soline LE BLEVEC</t>
  </si>
  <si>
    <t>Yuri HOFTE</t>
  </si>
  <si>
    <t>Pierre MONCHALIN</t>
  </si>
  <si>
    <t>Jean-Baptiste DUBOIS</t>
  </si>
  <si>
    <t>Marin PIGANEAU</t>
  </si>
  <si>
    <t>Lamiae DRIDRI</t>
  </si>
  <si>
    <t>Solène MENARD</t>
  </si>
  <si>
    <t>Alexia BROS</t>
  </si>
  <si>
    <t>Camille DURAND</t>
  </si>
  <si>
    <t>Anthony CORNU</t>
  </si>
  <si>
    <t>Yannick TAUPIAC</t>
  </si>
  <si>
    <t>Arthur BIGNIER</t>
  </si>
  <si>
    <t>Pauline SAUNIER</t>
  </si>
  <si>
    <t>Laura JEANNIN</t>
  </si>
  <si>
    <t>Cédric GUICHARD</t>
  </si>
  <si>
    <t>Kevin MAURICE</t>
  </si>
  <si>
    <t>Clément VINCENT</t>
  </si>
  <si>
    <t>Etienne BELLITTO</t>
  </si>
  <si>
    <t>Azza LASSOUED</t>
  </si>
  <si>
    <t>Guillaume PICARD</t>
  </si>
  <si>
    <t>Nolwenn DELORD</t>
  </si>
  <si>
    <t>Hélène CHATROUSSE</t>
  </si>
  <si>
    <t>Harrison LECHEVALLIER</t>
  </si>
  <si>
    <t>Gaël LACOSTE</t>
  </si>
  <si>
    <t>Martin FLOURENS</t>
  </si>
  <si>
    <t>Théophile PAHLAWAN</t>
  </si>
  <si>
    <t>Marine SELY</t>
  </si>
  <si>
    <t>Rebecca LARRIVEE</t>
  </si>
  <si>
    <t>Quentin DUMONT</t>
  </si>
  <si>
    <t>Alicia JAFFRE</t>
  </si>
  <si>
    <t>Matthieu SENN</t>
  </si>
  <si>
    <t>Anthony LORA</t>
  </si>
  <si>
    <t>Zineb MEZGUELDI</t>
  </si>
  <si>
    <t>Pierre LEJEUNE</t>
  </si>
  <si>
    <t>Laurent BELLEFIN</t>
  </si>
  <si>
    <t>Benoit DARDE</t>
  </si>
  <si>
    <t>Ombeline NEYRAND</t>
  </si>
  <si>
    <t>Sandrine CHAILLEY</t>
  </si>
  <si>
    <t>Jad ZGHEIB</t>
  </si>
  <si>
    <t>Emilie DURAND</t>
  </si>
  <si>
    <t>Lucas-Pierre CAPELLE</t>
  </si>
  <si>
    <t>Florence ESPITALIER</t>
  </si>
  <si>
    <t>Thibault MORISSEAU</t>
  </si>
  <si>
    <t>Marine GATELLIER</t>
  </si>
  <si>
    <t>Guillaume CHASSARD</t>
  </si>
  <si>
    <t>Marc DE MONTGOLFIER</t>
  </si>
  <si>
    <t>Nombre de jours ouvrés</t>
  </si>
  <si>
    <t>WAVEKEEPER</t>
  </si>
  <si>
    <t>FAP/Pxxx</t>
  </si>
  <si>
    <t>PXX</t>
  </si>
  <si>
    <t>Δ</t>
  </si>
  <si>
    <t>/!\ NE FILTREZ PAS POUR TOUS SVP :)</t>
  </si>
  <si>
    <t>Company number</t>
  </si>
  <si>
    <t>Consultant</t>
  </si>
  <si>
    <t xml:space="preserve">FAUX
</t>
  </si>
  <si>
    <t xml:space="preserve">A corriger ? </t>
  </si>
  <si>
    <t>Prod. days WK</t>
  </si>
  <si>
    <t>Maint. Days</t>
  </si>
  <si>
    <t>Non prod. days WK</t>
  </si>
  <si>
    <t>Paid leave days WK</t>
  </si>
  <si>
    <t>Unpaid leave days WK</t>
  </si>
  <si>
    <t>Justification</t>
  </si>
  <si>
    <t>Prod. days FAP</t>
  </si>
  <si>
    <t>Non prod. days FAP</t>
  </si>
  <si>
    <t>Paid leave days FAP</t>
  </si>
  <si>
    <t>Prod PXX</t>
  </si>
  <si>
    <t>Improd PXX</t>
  </si>
  <si>
    <t>Congé PXX</t>
  </si>
  <si>
    <t>Prod. days</t>
  </si>
  <si>
    <t>Non prod. days</t>
  </si>
  <si>
    <t>Paid leave days</t>
  </si>
  <si>
    <t>Mail d'intention</t>
  </si>
  <si>
    <t>Contrôle de l'imputation (old)</t>
  </si>
  <si>
    <t>Contrôle</t>
  </si>
  <si>
    <t>Impact congés</t>
  </si>
  <si>
    <t>Intention</t>
  </si>
  <si>
    <t>Delta prod days avec intention</t>
  </si>
  <si>
    <t>Statut</t>
  </si>
  <si>
    <t>Jours éventuellement récupérables/optimisables</t>
  </si>
  <si>
    <t>Jours récupérés/optimisés</t>
  </si>
  <si>
    <t>Colonne1</t>
  </si>
  <si>
    <t>Variance justification</t>
  </si>
  <si>
    <t>000010405</t>
  </si>
  <si>
    <t>Arthur MORIN</t>
  </si>
  <si>
    <t>000015165</t>
  </si>
  <si>
    <t>Chorouq EL AFFAS</t>
  </si>
  <si>
    <t>000016517</t>
  </si>
  <si>
    <t>Elise RIBEIRO</t>
  </si>
  <si>
    <t>000010022</t>
  </si>
  <si>
    <t>000013055</t>
  </si>
  <si>
    <t>Faustine TIRINZONI</t>
  </si>
  <si>
    <t>000021198</t>
  </si>
  <si>
    <t>Guillaume BARRÉ</t>
  </si>
  <si>
    <t>000008374</t>
  </si>
  <si>
    <t>Optimisation en cours d'investigation </t>
  </si>
  <si>
    <t>000013978</t>
  </si>
  <si>
    <t>000012209</t>
  </si>
  <si>
    <t>000021749</t>
  </si>
  <si>
    <t>Florian CHATELIER</t>
  </si>
  <si>
    <t>000022397</t>
  </si>
  <si>
    <t>Victor SULLY</t>
  </si>
  <si>
    <t>Ok, pas optimisable </t>
  </si>
  <si>
    <t>Mécénat</t>
  </si>
  <si>
    <t>000021843</t>
  </si>
  <si>
    <t>Victor CLOUD</t>
  </si>
  <si>
    <t>effort mission pour décrocher suite (mission signée jusque octobre)</t>
  </si>
  <si>
    <t>000021129</t>
  </si>
  <si>
    <t>Rose MEREL</t>
  </si>
  <si>
    <t>000020704</t>
  </si>
  <si>
    <t>Wiam BENABDERRAZAK</t>
  </si>
  <si>
    <t>000015230</t>
  </si>
  <si>
    <t>Nathan BALIX</t>
  </si>
  <si>
    <t>Ok, optimisé </t>
  </si>
  <si>
    <t>000021126</t>
  </si>
  <si>
    <t>Maxence ROBICHON</t>
  </si>
  <si>
    <t>000021985</t>
  </si>
  <si>
    <t>Zine Eddine LAARFI</t>
  </si>
  <si>
    <t>000021656</t>
  </si>
  <si>
    <t>Adam AQUESBI</t>
  </si>
  <si>
    <t>000022150</t>
  </si>
  <si>
    <t>Pierre PIQUÉ</t>
  </si>
  <si>
    <t>000022194</t>
  </si>
  <si>
    <t>Antoine POULET</t>
  </si>
  <si>
    <t>Démarrage vraiment très tardif sur BNPP (transformation de PE non fac)</t>
  </si>
  <si>
    <t>000018026</t>
  </si>
  <si>
    <t>Alexia WEHRLE</t>
  </si>
  <si>
    <t>Mission interne cellule Biz</t>
  </si>
  <si>
    <t>000020773</t>
  </si>
  <si>
    <t>Boris LE FOLL</t>
  </si>
  <si>
    <t>000017238</t>
  </si>
  <si>
    <t>Gaëtan DENISSE</t>
  </si>
  <si>
    <t>000020567</t>
  </si>
  <si>
    <t>Lilian GUILLOU</t>
  </si>
  <si>
    <t>000015860</t>
  </si>
  <si>
    <t>Maud WITMEYER</t>
  </si>
  <si>
    <t>000021049</t>
  </si>
  <si>
    <t>Mehdi BENNANI</t>
  </si>
  <si>
    <t>000014548</t>
  </si>
  <si>
    <t>Mickael GRAÇA</t>
  </si>
  <si>
    <t>000017279</t>
  </si>
  <si>
    <t>Romain BOYER</t>
  </si>
  <si>
    <t>000021679</t>
  </si>
  <si>
    <t>Sarah OLGARD</t>
  </si>
  <si>
    <t>000016288</t>
  </si>
  <si>
    <t>Paul BERTSCHY</t>
  </si>
  <si>
    <t xml:space="preserve">Décalage démarrage mission </t>
  </si>
  <si>
    <t>000016959</t>
  </si>
  <si>
    <t>Etienne ARLEN</t>
  </si>
  <si>
    <t>000017016</t>
  </si>
  <si>
    <t>Guillaume BAILLY</t>
  </si>
  <si>
    <t>000017847</t>
  </si>
  <si>
    <t>Ilyes RAKZA</t>
  </si>
  <si>
    <t>000021715</t>
  </si>
  <si>
    <t>Jacques KLEIN</t>
  </si>
  <si>
    <t>000017063</t>
  </si>
  <si>
    <t>Julie DUBOIS</t>
  </si>
  <si>
    <t>000020675</t>
  </si>
  <si>
    <t>Khadija BOUKOUMASS</t>
  </si>
  <si>
    <t>000015543</t>
  </si>
  <si>
    <t>Mustafa HENCHIRI</t>
  </si>
  <si>
    <t>000020792</t>
  </si>
  <si>
    <t>Nicolas POISSON</t>
  </si>
  <si>
    <t>000021193</t>
  </si>
  <si>
    <t>Cherif HAMDINI</t>
  </si>
  <si>
    <t>000021526</t>
  </si>
  <si>
    <t>Alexandre BONZI</t>
  </si>
  <si>
    <t>000017666</t>
  </si>
  <si>
    <t>Aurélie LAW-YEN</t>
  </si>
  <si>
    <t>000018171</t>
  </si>
  <si>
    <t>Florian BIERRE</t>
  </si>
  <si>
    <t>000021687</t>
  </si>
  <si>
    <t>Ihda LAHRECH</t>
  </si>
  <si>
    <t>000005735</t>
  </si>
  <si>
    <t>Corrigé</t>
  </si>
  <si>
    <t>000020512</t>
  </si>
  <si>
    <t>Lyna Imane AMROUCHE</t>
  </si>
  <si>
    <t>000018132</t>
  </si>
  <si>
    <t>Léontine LANDO</t>
  </si>
  <si>
    <t>000013954</t>
  </si>
  <si>
    <t>Maxime ROZIER</t>
  </si>
  <si>
    <t>000014758</t>
  </si>
  <si>
    <t>Philippe TRAN</t>
  </si>
  <si>
    <t>Rien à traiter</t>
  </si>
  <si>
    <t>000021561</t>
  </si>
  <si>
    <t>Arnaud COUTANTIN</t>
  </si>
  <si>
    <t>000016337</t>
  </si>
  <si>
    <t>Bastien GUYOT</t>
  </si>
  <si>
    <t>000020393</t>
  </si>
  <si>
    <t>Emmanuel DJIKI FONDJA</t>
  </si>
  <si>
    <t>000017649</t>
  </si>
  <si>
    <t>Gabriel DARCOS</t>
  </si>
  <si>
    <t>000017226</t>
  </si>
  <si>
    <t>Ismaël ZIAD</t>
  </si>
  <si>
    <t>000021634</t>
  </si>
  <si>
    <t>Kenza H'SAIN</t>
  </si>
  <si>
    <t>000021231</t>
  </si>
  <si>
    <t>Florian FRESNEAU</t>
  </si>
  <si>
    <t>000016077</t>
  </si>
  <si>
    <t>Adam BENICHOU</t>
  </si>
  <si>
    <t>Accès AXA supprimés, Adam ne pouvait pas contribuer depuis son PC WS. Godefroy a donné comme directive de n'imputer qu'à partir du jour où les accès ont été débloqués pour être aligné avec les achats</t>
  </si>
  <si>
    <t>000021677</t>
  </si>
  <si>
    <t>Meryem GAIZI</t>
  </si>
  <si>
    <t>000020640</t>
  </si>
  <si>
    <t>Rania HADOUCHI</t>
  </si>
  <si>
    <t>000022138</t>
  </si>
  <si>
    <t>Clara PIFFAUT</t>
  </si>
  <si>
    <t>000020523</t>
  </si>
  <si>
    <t>Emma DUPONT</t>
  </si>
  <si>
    <t>000017420</t>
  </si>
  <si>
    <t>Arthur TRIFFAULT</t>
  </si>
  <si>
    <t>000020608</t>
  </si>
  <si>
    <t>Luca RINGUET</t>
  </si>
  <si>
    <t>000021554</t>
  </si>
  <si>
    <t>Maxence RADIGOIS</t>
  </si>
  <si>
    <t>000021481</t>
  </si>
  <si>
    <t>Nicolas BRAUNSHAUSEN</t>
  </si>
  <si>
    <t>000020791</t>
  </si>
  <si>
    <t>Olivia TORTOSA</t>
  </si>
  <si>
    <t>000020775</t>
  </si>
  <si>
    <t>Tristan DARRIGOL</t>
  </si>
  <si>
    <t>000020967</t>
  </si>
  <si>
    <t>Armand BRIQUET</t>
  </si>
  <si>
    <t>000021710</t>
  </si>
  <si>
    <t>Hélène DE FORAS</t>
  </si>
  <si>
    <t>000016801</t>
  </si>
  <si>
    <t>Eloi MANGEZ</t>
  </si>
  <si>
    <t xml:space="preserve">Démissions et sortie de mission anticipée </t>
  </si>
  <si>
    <t>000016253</t>
  </si>
  <si>
    <t>Charafeddine REBOUZE</t>
  </si>
  <si>
    <t>000014291</t>
  </si>
  <si>
    <t>Eric SELVA</t>
  </si>
  <si>
    <t>000000314</t>
  </si>
  <si>
    <t>000013752</t>
  </si>
  <si>
    <t>Fanny EZINGEARD</t>
  </si>
  <si>
    <t>000014637</t>
  </si>
  <si>
    <t>Hugo CAILLEUX</t>
  </si>
  <si>
    <t>000011704</t>
  </si>
  <si>
    <t>Arrêt</t>
  </si>
  <si>
    <t>000015545</t>
  </si>
  <si>
    <t>Lucas BRUGUIERE</t>
  </si>
  <si>
    <t>000016104</t>
  </si>
  <si>
    <t>Mahi JORIO</t>
  </si>
  <si>
    <t>000014890</t>
  </si>
  <si>
    <t>Théo BEKHEDDA</t>
  </si>
  <si>
    <t>000016422</t>
  </si>
  <si>
    <t>Aiman BOUYAHYA</t>
  </si>
  <si>
    <t>Autres </t>
  </si>
  <si>
    <t>000012663</t>
  </si>
  <si>
    <t>Anthony D'AGOSTINI</t>
  </si>
  <si>
    <t>000012547</t>
  </si>
  <si>
    <t>Cétia BAILLARD</t>
  </si>
  <si>
    <t>000012645</t>
  </si>
  <si>
    <t>David HASSAN</t>
  </si>
  <si>
    <t>000014401</t>
  </si>
  <si>
    <t>Emilie BERNARD</t>
  </si>
  <si>
    <t>000016539</t>
  </si>
  <si>
    <t>Julien KRIEGER</t>
  </si>
  <si>
    <t>000015551</t>
  </si>
  <si>
    <t>Maryam ABRO</t>
  </si>
  <si>
    <t>000016450</t>
  </si>
  <si>
    <t>Maëva ATTRAIT</t>
  </si>
  <si>
    <t>000012118</t>
  </si>
  <si>
    <t>Raúl MARTINEZ</t>
  </si>
  <si>
    <t>000014959</t>
  </si>
  <si>
    <t>Solène MORENO</t>
  </si>
  <si>
    <t>000020423</t>
  </si>
  <si>
    <t>Valentine LAGARDE</t>
  </si>
  <si>
    <t>000021287</t>
  </si>
  <si>
    <t>Antoine SANFILIPPO</t>
  </si>
  <si>
    <t>000020417</t>
  </si>
  <si>
    <t>Clara CHELLY</t>
  </si>
  <si>
    <t>000020776</t>
  </si>
  <si>
    <t>Jessica PANARONI</t>
  </si>
  <si>
    <t>000016032</t>
  </si>
  <si>
    <t>Bintou SELLIN</t>
  </si>
  <si>
    <t>Décalage démarrage mission Hermès, passé en MI</t>
  </si>
  <si>
    <t>000013605</t>
  </si>
  <si>
    <t>Clara HUYGHE</t>
  </si>
  <si>
    <t>Rotation de Christian, c'est lui qui a pris les jours pour imputer en juin finalement.</t>
  </si>
  <si>
    <t>000018106</t>
  </si>
  <si>
    <t>Maxence BACQUART</t>
  </si>
  <si>
    <t>000021512</t>
  </si>
  <si>
    <t>Nathan GLATTLI</t>
  </si>
  <si>
    <t>000003769</t>
  </si>
  <si>
    <t>Andrew SENKWENDA</t>
  </si>
  <si>
    <t>000021170</t>
  </si>
  <si>
    <t>Pierre-Alexandre CLERC</t>
  </si>
  <si>
    <t>000016189</t>
  </si>
  <si>
    <t>Grégoire LAMBERT</t>
  </si>
  <si>
    <t>000015300</t>
  </si>
  <si>
    <t>Lauryne PANZANI</t>
  </si>
  <si>
    <t>000013823</t>
  </si>
  <si>
    <t>Geoffrey MERCIEUX</t>
  </si>
  <si>
    <t>000015463</t>
  </si>
  <si>
    <t>Sawan-Lounès MOKHTARI</t>
  </si>
  <si>
    <t>000011978</t>
  </si>
  <si>
    <t>000005719</t>
  </si>
  <si>
    <t>Florent COUET</t>
  </si>
  <si>
    <t>000010091</t>
  </si>
  <si>
    <t>Jean CHENARD</t>
  </si>
  <si>
    <t>000011674</t>
  </si>
  <si>
    <t>000018090</t>
  </si>
  <si>
    <t>Saad EL MAHDI</t>
  </si>
  <si>
    <t>000013582</t>
  </si>
  <si>
    <t>Sébastien AKRICH</t>
  </si>
  <si>
    <t>000012100</t>
  </si>
  <si>
    <t>000022404</t>
  </si>
  <si>
    <t>Antonin COLLOT</t>
  </si>
  <si>
    <t>Martin BELLOT</t>
  </si>
  <si>
    <t>000016510</t>
  </si>
  <si>
    <t>Anas SAMKAOUI</t>
  </si>
  <si>
    <t>000014550</t>
  </si>
  <si>
    <t>Antoine BLANQUET</t>
  </si>
  <si>
    <t>000016416</t>
  </si>
  <si>
    <t>Hanoé CORNET</t>
  </si>
  <si>
    <t>000015040</t>
  </si>
  <si>
    <t>Ibrahima DIEYE</t>
  </si>
  <si>
    <t>000016367</t>
  </si>
  <si>
    <t>Lionel LI</t>
  </si>
  <si>
    <t>000020604</t>
  </si>
  <si>
    <t>Mohamed Amine RASSO</t>
  </si>
  <si>
    <t>000014906</t>
  </si>
  <si>
    <t>Mossaab MOUSTAGHIT</t>
  </si>
  <si>
    <t>000005587</t>
  </si>
  <si>
    <t>000014486</t>
  </si>
  <si>
    <t>Serenah RAJAONSON</t>
  </si>
  <si>
    <t>000017062</t>
  </si>
  <si>
    <t>Thomas LAINE</t>
  </si>
  <si>
    <t>000012755</t>
  </si>
  <si>
    <t>Anthony GROHAR</t>
  </si>
  <si>
    <t>Imputations non soumises avant son départ en congés</t>
  </si>
  <si>
    <t>000020317</t>
  </si>
  <si>
    <t>Léo APPELGHEM</t>
  </si>
  <si>
    <t>jours offerts au client</t>
  </si>
  <si>
    <t>000020844</t>
  </si>
  <si>
    <t>Issam HALILE</t>
  </si>
  <si>
    <t>000008643</t>
  </si>
  <si>
    <t>000022013</t>
  </si>
  <si>
    <t>Yannis TOUAHRI</t>
  </si>
  <si>
    <t>CTO School, collab qui n'avait pas prévenu</t>
  </si>
  <si>
    <t>000020874</t>
  </si>
  <si>
    <t>Hanaa AL ZAHABI</t>
  </si>
  <si>
    <t>000016536</t>
  </si>
  <si>
    <t>Doriane FERREIRA</t>
  </si>
  <si>
    <t>000012687</t>
  </si>
  <si>
    <t>Téo TOUZÉ</t>
  </si>
  <si>
    <t>000013565</t>
  </si>
  <si>
    <t>formations</t>
  </si>
  <si>
    <t>000020498</t>
  </si>
  <si>
    <t>Aymene CHAKIR</t>
  </si>
  <si>
    <t>000021824</t>
  </si>
  <si>
    <t>Chloé LAHAUSSOIS</t>
  </si>
  <si>
    <t>000014352</t>
  </si>
  <si>
    <t>Yasmine SANHAJI</t>
  </si>
  <si>
    <t>Formation Copilot non anticipée (3J)</t>
  </si>
  <si>
    <t>000017516</t>
  </si>
  <si>
    <t>Daniel BUTSANETS</t>
  </si>
  <si>
    <t>000021910</t>
  </si>
  <si>
    <t>Kim VARNAI</t>
  </si>
  <si>
    <t>Arret maladie plus long que prévu</t>
  </si>
  <si>
    <t>000017015</t>
  </si>
  <si>
    <t>Evan GOUGET</t>
  </si>
  <si>
    <t>000020570</t>
  </si>
  <si>
    <t>Federico GARCIA VELEZ</t>
  </si>
  <si>
    <t>000017773</t>
  </si>
  <si>
    <t>Florian BOSSARD</t>
  </si>
  <si>
    <t>000016434</t>
  </si>
  <si>
    <t>Pierre HUANG</t>
  </si>
  <si>
    <t>000018123</t>
  </si>
  <si>
    <t>Monsef MECHKAR</t>
  </si>
  <si>
    <t>000021738</t>
  </si>
  <si>
    <t>Benoit POTIER</t>
  </si>
  <si>
    <t>000021552</t>
  </si>
  <si>
    <t>Khaled MEDJKOUH</t>
  </si>
  <si>
    <t>000021750</t>
  </si>
  <si>
    <t>Justin GOASDOUE</t>
  </si>
  <si>
    <t>formation</t>
  </si>
  <si>
    <t>000021401</t>
  </si>
  <si>
    <t>Laura SEYMARC</t>
  </si>
  <si>
    <t>Formation non anticipée, déjà clôturé chez le client</t>
  </si>
  <si>
    <t>000022330</t>
  </si>
  <si>
    <t>Violette PELGRIMS SEVRAIN</t>
  </si>
  <si>
    <t>000022445</t>
  </si>
  <si>
    <t>Julien BENAROCHE</t>
  </si>
  <si>
    <t>000022271</t>
  </si>
  <si>
    <t>Najiba EL FATIH</t>
  </si>
  <si>
    <t>000015522</t>
  </si>
  <si>
    <t>Pauline TRUONG</t>
  </si>
  <si>
    <t>000015530</t>
  </si>
  <si>
    <t>Jocelyn AUFFRET</t>
  </si>
  <si>
    <t>000022297</t>
  </si>
  <si>
    <t>Samuel TILLIER</t>
  </si>
  <si>
    <t>000009028</t>
  </si>
  <si>
    <t>Victor BUCAILLE</t>
  </si>
  <si>
    <t>000012479</t>
  </si>
  <si>
    <t>000013106</t>
  </si>
  <si>
    <t>Brandon QUINNE</t>
  </si>
  <si>
    <t>000013729</t>
  </si>
  <si>
    <t>Christian DEMBO</t>
  </si>
  <si>
    <t>000017209</t>
  </si>
  <si>
    <t>Clara MILLERO</t>
  </si>
  <si>
    <t>000012185</t>
  </si>
  <si>
    <t>Julien LERY</t>
  </si>
  <si>
    <t>000014586</t>
  </si>
  <si>
    <t>000013966</t>
  </si>
  <si>
    <t>Matteo BROWANG</t>
  </si>
  <si>
    <t>000010266</t>
  </si>
  <si>
    <t>Mohammed BENCHEKROUN</t>
  </si>
  <si>
    <t>000012491</t>
  </si>
  <si>
    <t>Léa GOUTIERRE</t>
  </si>
  <si>
    <t>000004584</t>
  </si>
  <si>
    <t>Louis DUFLOT</t>
  </si>
  <si>
    <t>000013898</t>
  </si>
  <si>
    <t>Julie ERNOTTE</t>
  </si>
  <si>
    <t>000018049</t>
  </si>
  <si>
    <t>Anis TERKI</t>
  </si>
  <si>
    <t>000021558</t>
  </si>
  <si>
    <t>Marine THUNET</t>
  </si>
  <si>
    <t>000022284</t>
  </si>
  <si>
    <t>Dina MAAROUFI</t>
  </si>
  <si>
    <t>1J optimisé chez Amadeus, le reste CTO School</t>
  </si>
  <si>
    <t>000020262</t>
  </si>
  <si>
    <t>Fabien LABORDE</t>
  </si>
  <si>
    <t>000020887</t>
  </si>
  <si>
    <t>Juan Pablo DUQUE ESCOBAR</t>
  </si>
  <si>
    <t>000021309</t>
  </si>
  <si>
    <t>Louise CAIGNAERT</t>
  </si>
  <si>
    <t>000022008</t>
  </si>
  <si>
    <t>Antoine MONFORT</t>
  </si>
  <si>
    <t>000020575</t>
  </si>
  <si>
    <t>Guillaume CAMPAN</t>
  </si>
  <si>
    <t>000020455</t>
  </si>
  <si>
    <t>Emna BEN AMMAR</t>
  </si>
  <si>
    <t>000020767</t>
  </si>
  <si>
    <t>Gabriel BERTIN</t>
  </si>
  <si>
    <t>000022128</t>
  </si>
  <si>
    <t>Ghita EL IDRISSI RAJA</t>
  </si>
  <si>
    <t>000016906</t>
  </si>
  <si>
    <t>Marouane ZERHOUNI</t>
  </si>
  <si>
    <t>000020891</t>
  </si>
  <si>
    <t>Matthew DAVID</t>
  </si>
  <si>
    <t>000013529</t>
  </si>
  <si>
    <t>Naser Nihad HASSANI</t>
  </si>
  <si>
    <t>000022085</t>
  </si>
  <si>
    <t>Nikolai MARINICHEV</t>
  </si>
  <si>
    <t>000000026</t>
  </si>
  <si>
    <t>000021768</t>
  </si>
  <si>
    <t>Jacques FOS</t>
  </si>
  <si>
    <t>000021791</t>
  </si>
  <si>
    <t>Matthieu LANNE</t>
  </si>
  <si>
    <t>000011166</t>
  </si>
  <si>
    <t>Benoit RICHARD</t>
  </si>
  <si>
    <t>000017615</t>
  </si>
  <si>
    <t>Fabien DALMER</t>
  </si>
  <si>
    <t>000004891</t>
  </si>
  <si>
    <t>Florian DELECOLLE</t>
  </si>
  <si>
    <t>Vu avec Florian</t>
  </si>
  <si>
    <t>000015137</t>
  </si>
  <si>
    <t>Hicham LARAQUI</t>
  </si>
  <si>
    <t>000017828</t>
  </si>
  <si>
    <t>Manon ACHARD-TORTUL</t>
  </si>
  <si>
    <t>000013984</t>
  </si>
  <si>
    <t>Jules LEBEDEFF</t>
  </si>
  <si>
    <t>000021446</t>
  </si>
  <si>
    <t>Alexandre BENNES</t>
  </si>
  <si>
    <t>000020633</t>
  </si>
  <si>
    <t>Hélène KONDRATIEFF</t>
  </si>
  <si>
    <t>Vérane CHOAIN</t>
  </si>
  <si>
    <t>000017281</t>
  </si>
  <si>
    <t>Majd FASSI FEHRI</t>
  </si>
  <si>
    <t>000017765</t>
  </si>
  <si>
    <t>Nicolas GUILLERMAIN</t>
  </si>
  <si>
    <t>000011478</t>
  </si>
  <si>
    <t>Salomé YAKOUBI</t>
  </si>
  <si>
    <t>000001603</t>
  </si>
  <si>
    <t>Christine ERVE</t>
  </si>
  <si>
    <t>000000254</t>
  </si>
  <si>
    <t>000014895</t>
  </si>
  <si>
    <t>Félix VITAS</t>
  </si>
  <si>
    <t>2j de formation "s'affirmer et convaincre"</t>
  </si>
  <si>
    <t>000000495</t>
  </si>
  <si>
    <t>000014171</t>
  </si>
  <si>
    <t>Sihem HACHI</t>
  </si>
  <si>
    <t>000000140</t>
  </si>
  <si>
    <t>Julien ROUSSON</t>
  </si>
  <si>
    <t>000015240</t>
  </si>
  <si>
    <t>Thomas MEIER VERSCHAEVE</t>
  </si>
  <si>
    <t>2J de formation validé par le client</t>
  </si>
  <si>
    <t>000000180</t>
  </si>
  <si>
    <t>000004350</t>
  </si>
  <si>
    <t>Othmane KHARBACH</t>
  </si>
  <si>
    <t>000004136</t>
  </si>
  <si>
    <t>000000149</t>
  </si>
  <si>
    <t>Pierre RENALDO</t>
  </si>
  <si>
    <t>000000972</t>
  </si>
  <si>
    <t>000002559</t>
  </si>
  <si>
    <t>Vianney TUARZE</t>
  </si>
  <si>
    <t>000000142</t>
  </si>
  <si>
    <t>000001371</t>
  </si>
  <si>
    <t>Alban DE BELENET</t>
  </si>
  <si>
    <t>000005717</t>
  </si>
  <si>
    <t>000000582</t>
  </si>
  <si>
    <t>Franck LENORMAND</t>
  </si>
  <si>
    <t>000017222</t>
  </si>
  <si>
    <t>Yohan JUNGER</t>
  </si>
  <si>
    <t>000000529</t>
  </si>
  <si>
    <t>Joris RABADAN</t>
  </si>
  <si>
    <t>000021324</t>
  </si>
  <si>
    <t>Jérôme VU THAN</t>
  </si>
  <si>
    <t>000000034</t>
  </si>
  <si>
    <t>Michel BERNARD</t>
  </si>
  <si>
    <t>000017686</t>
  </si>
  <si>
    <t>Youssef MOUSSAID</t>
  </si>
  <si>
    <t>Sortie de mission</t>
  </si>
  <si>
    <t>000003962</t>
  </si>
  <si>
    <t>000010723</t>
  </si>
  <si>
    <t>Alexandre FERON</t>
  </si>
  <si>
    <t>000011656</t>
  </si>
  <si>
    <t>Alexandre VAN WESEL</t>
  </si>
  <si>
    <t>000010061</t>
  </si>
  <si>
    <t>000013111</t>
  </si>
  <si>
    <t>000012773</t>
  </si>
  <si>
    <t>Lamine LALAMI</t>
  </si>
  <si>
    <t>000009815</t>
  </si>
  <si>
    <t>Marion GERIN-ROZE</t>
  </si>
  <si>
    <t>000009827</t>
  </si>
  <si>
    <t>Mathilde RANINI</t>
  </si>
  <si>
    <t>000008424</t>
  </si>
  <si>
    <t>Mehdi BEN CHAABANE</t>
  </si>
  <si>
    <t>000012084</t>
  </si>
  <si>
    <t>000012872</t>
  </si>
  <si>
    <t>Oumar THIAM</t>
  </si>
  <si>
    <t>000010982</t>
  </si>
  <si>
    <t>000011579</t>
  </si>
  <si>
    <t>Yassine BOUSSAID</t>
  </si>
  <si>
    <t>000015471</t>
  </si>
  <si>
    <t>Anthony TRAN</t>
  </si>
  <si>
    <t>Mail d'intention </t>
  </si>
  <si>
    <t>En cours d'investigation pour récup mails d'intention</t>
  </si>
  <si>
    <t>000014976</t>
  </si>
  <si>
    <t>Charbel BAAKLINI</t>
  </si>
  <si>
    <t>000014440</t>
  </si>
  <si>
    <t>Clément GILLET</t>
  </si>
  <si>
    <t>000015979</t>
  </si>
  <si>
    <t>Emilie BERGALA</t>
  </si>
  <si>
    <t>000014556</t>
  </si>
  <si>
    <t>Ezechiel OUATTARA</t>
  </si>
  <si>
    <t>000012807</t>
  </si>
  <si>
    <t>Fabian CHAUVIN</t>
  </si>
  <si>
    <t>000016733</t>
  </si>
  <si>
    <t>Louis ROLLET</t>
  </si>
  <si>
    <t>000015648</t>
  </si>
  <si>
    <t>Ludivine ISSENMANN</t>
  </si>
  <si>
    <t>000015608</t>
  </si>
  <si>
    <t>Marie-Claude EL KHOURY</t>
  </si>
  <si>
    <t>000012325</t>
  </si>
  <si>
    <t>Maxime BOS</t>
  </si>
  <si>
    <t>000014689</t>
  </si>
  <si>
    <t>Mélissa BLANCHE</t>
  </si>
  <si>
    <t>000013242</t>
  </si>
  <si>
    <t>Youssef ZMAROU</t>
  </si>
  <si>
    <t>000007122</t>
  </si>
  <si>
    <t>Fabrice BARROS</t>
  </si>
  <si>
    <t>000015100</t>
  </si>
  <si>
    <t>Mathieu POIRIER</t>
  </si>
  <si>
    <t>000020265</t>
  </si>
  <si>
    <t>Tasnim GHARBI</t>
  </si>
  <si>
    <t>000022136</t>
  </si>
  <si>
    <t>Clément QUENTIN</t>
  </si>
  <si>
    <t>000021790</t>
  </si>
  <si>
    <t>Géraud ROUQUAYROL</t>
  </si>
  <si>
    <t>000021429</t>
  </si>
  <si>
    <t>Léo BATAILLE</t>
  </si>
  <si>
    <t>000022446</t>
  </si>
  <si>
    <t>Tom SALON</t>
  </si>
  <si>
    <t>000021109</t>
  </si>
  <si>
    <t>Kenza BADDOU</t>
  </si>
  <si>
    <t>000021640</t>
  </si>
  <si>
    <t>Nilany KARUNATHASAN</t>
  </si>
  <si>
    <t>000021947</t>
  </si>
  <si>
    <t>Théo TRÉVALINET</t>
  </si>
  <si>
    <t>000013510</t>
  </si>
  <si>
    <t>Dylan LAMANT</t>
  </si>
  <si>
    <t>000012782</t>
  </si>
  <si>
    <t>Guillaume COURTEMANCHE</t>
  </si>
  <si>
    <t>000022387</t>
  </si>
  <si>
    <t>Ronan CHOQUER</t>
  </si>
  <si>
    <t>Garance HOURCADE</t>
  </si>
  <si>
    <t>000020788</t>
  </si>
  <si>
    <t>Yoël POPOVIC</t>
  </si>
  <si>
    <t>000011251</t>
  </si>
  <si>
    <t>000010584</t>
  </si>
  <si>
    <t>Congé imprévu + formation et séminaire SIPMA</t>
  </si>
  <si>
    <t>000012796</t>
  </si>
  <si>
    <t>Edouard PETIT</t>
  </si>
  <si>
    <t>000022525</t>
  </si>
  <si>
    <t>Abir BADREDDINE</t>
  </si>
  <si>
    <t>000021845</t>
  </si>
  <si>
    <t>Sadri HANCER</t>
  </si>
  <si>
    <t>Arrêt maladie</t>
  </si>
  <si>
    <t>000012098</t>
  </si>
  <si>
    <t>Loïc BENOIT</t>
  </si>
  <si>
    <t>000012797</t>
  </si>
  <si>
    <t>Léopold PETITJEAN</t>
  </si>
  <si>
    <t>000014705</t>
  </si>
  <si>
    <t>Thibault GRELLET</t>
  </si>
  <si>
    <t>000013991</t>
  </si>
  <si>
    <t>Hamza SARIH</t>
  </si>
  <si>
    <t>Jours de formation non remontés et DO déjà prévenu</t>
  </si>
  <si>
    <t>000003145</t>
  </si>
  <si>
    <t>Elodie CHOUTEAU</t>
  </si>
  <si>
    <t>Jours business non renseignés dans les Pxx - 2 fois 0,5 j récupérés chez Total et Afpa</t>
  </si>
  <si>
    <t>000003271</t>
  </si>
  <si>
    <t>000007371</t>
  </si>
  <si>
    <t>000012392</t>
  </si>
  <si>
    <t>000012487</t>
  </si>
  <si>
    <t>Mamadou-Cheick KANTÉ</t>
  </si>
  <si>
    <t>000013400</t>
  </si>
  <si>
    <t>Pierre ATTIVISSIMO</t>
  </si>
  <si>
    <t>000013348</t>
  </si>
  <si>
    <t>Taha NOURBAY</t>
  </si>
  <si>
    <t>000021035</t>
  </si>
  <si>
    <t>Simon HAMEL-MONTHEAN</t>
  </si>
  <si>
    <t>000022226</t>
  </si>
  <si>
    <t>Hugo CLÉMENT</t>
  </si>
  <si>
    <t>000022365</t>
  </si>
  <si>
    <t>Marianne OBEID</t>
  </si>
  <si>
    <t>000021264</t>
  </si>
  <si>
    <t>Agathe ALLIROL--BINET</t>
  </si>
  <si>
    <t>000021024</t>
  </si>
  <si>
    <t>Enzo BOSCHER</t>
  </si>
  <si>
    <t>000020833</t>
  </si>
  <si>
    <t>Eva DUCAY</t>
  </si>
  <si>
    <t>000003695</t>
  </si>
  <si>
    <t>Clément PIQUE</t>
  </si>
  <si>
    <t>000013744</t>
  </si>
  <si>
    <t>Tamara YOYOTTE</t>
  </si>
  <si>
    <t>000003667</t>
  </si>
  <si>
    <t>Faustine COMBAULT</t>
  </si>
  <si>
    <t>000004841</t>
  </si>
  <si>
    <t>000003455</t>
  </si>
  <si>
    <t>Jacqueline TAN</t>
  </si>
  <si>
    <t>000003277</t>
  </si>
  <si>
    <t>000003079</t>
  </si>
  <si>
    <t>Michael MILLOT</t>
  </si>
  <si>
    <t>000021374</t>
  </si>
  <si>
    <t>Maximilien HOXHA</t>
  </si>
  <si>
    <t>Mission qui n'a pas encore démarrée</t>
  </si>
  <si>
    <t>000015505</t>
  </si>
  <si>
    <t>000005850</t>
  </si>
  <si>
    <t>000020502</t>
  </si>
  <si>
    <t>Anne ROUSSEL</t>
  </si>
  <si>
    <t>000017879</t>
  </si>
  <si>
    <t>Zakaria TOUM BENCHEKROUN</t>
  </si>
  <si>
    <t>2j d'arrêt non anticipé</t>
  </si>
  <si>
    <t>000022500</t>
  </si>
  <si>
    <t>Estelle LOESCH</t>
  </si>
  <si>
    <t>000022103</t>
  </si>
  <si>
    <t>Louise PAURISE</t>
  </si>
  <si>
    <t>000014538</t>
  </si>
  <si>
    <t>Mathis FOUERE</t>
  </si>
  <si>
    <t>000017925</t>
  </si>
  <si>
    <t>Mattéo BERODIER</t>
  </si>
  <si>
    <t>000017948</t>
  </si>
  <si>
    <t>Robert JOHNSON</t>
  </si>
  <si>
    <t>000009536</t>
  </si>
  <si>
    <t>Alexandre PENLOUP</t>
  </si>
  <si>
    <t>000020848</t>
  </si>
  <si>
    <t>Alexia BESNARD</t>
  </si>
  <si>
    <t>000022001</t>
  </si>
  <si>
    <t>Elodie BOUISSET</t>
  </si>
  <si>
    <t>000021154</t>
  </si>
  <si>
    <t>Hugo FERUGLIO</t>
  </si>
  <si>
    <t>000016988</t>
  </si>
  <si>
    <t>Ladislas BISCHOFF</t>
  </si>
  <si>
    <t>000017809</t>
  </si>
  <si>
    <t>Antoine THIRION</t>
  </si>
  <si>
    <t>000017607</t>
  </si>
  <si>
    <t>Nicolas GAILLARD</t>
  </si>
  <si>
    <t>000020509</t>
  </si>
  <si>
    <t>Paul VERGNAUD</t>
  </si>
  <si>
    <t>000018136</t>
  </si>
  <si>
    <t>Theodora CAUCHOIS</t>
  </si>
  <si>
    <t>000021863</t>
  </si>
  <si>
    <t>Loïck CUER</t>
  </si>
  <si>
    <t>000017502</t>
  </si>
  <si>
    <t>Zakaria NATIJI</t>
  </si>
  <si>
    <t>000017858</t>
  </si>
  <si>
    <t>Florent COLAS</t>
  </si>
  <si>
    <t>000021468</t>
  </si>
  <si>
    <t>Gwénola ROBET</t>
  </si>
  <si>
    <t>000021663</t>
  </si>
  <si>
    <t>Margaux MALSCH</t>
  </si>
  <si>
    <t>000020642</t>
  </si>
  <si>
    <t>Marine CERTALDI</t>
  </si>
  <si>
    <t>000021400</t>
  </si>
  <si>
    <t>Othman BARGACH</t>
  </si>
  <si>
    <t>000020801</t>
  </si>
  <si>
    <t>Pierre MEGALLI</t>
  </si>
  <si>
    <t>000020839</t>
  </si>
  <si>
    <t>Ryan VICENTE</t>
  </si>
  <si>
    <t>000021653</t>
  </si>
  <si>
    <t>Yann RENAUD</t>
  </si>
  <si>
    <t>000014443</t>
  </si>
  <si>
    <t>Clara GESLOT</t>
  </si>
  <si>
    <t>RAT</t>
  </si>
  <si>
    <t>000001605</t>
  </si>
  <si>
    <t>Corinne VOLLET</t>
  </si>
  <si>
    <t>Full improd</t>
  </si>
  <si>
    <t>000013272</t>
  </si>
  <si>
    <t>Formations présentielles</t>
  </si>
  <si>
    <t>000014359</t>
  </si>
  <si>
    <t>Kévin PLESSIS-FRAISSARD</t>
  </si>
  <si>
    <t>000011283</t>
  </si>
  <si>
    <t>000013960</t>
  </si>
  <si>
    <t>Philippine LARROZE</t>
  </si>
  <si>
    <t>000010406</t>
  </si>
  <si>
    <t>OK, mail d'intention corrigé </t>
  </si>
  <si>
    <t>000013407</t>
  </si>
  <si>
    <t>Raphael FRANCIS</t>
  </si>
  <si>
    <t>000013393</t>
  </si>
  <si>
    <t>000012169</t>
  </si>
  <si>
    <t>000021595</t>
  </si>
  <si>
    <t>Marin GAILLARD</t>
  </si>
  <si>
    <t>Fin de mission</t>
  </si>
  <si>
    <t>000015669</t>
  </si>
  <si>
    <t>Barthélémy LOMBARD</t>
  </si>
  <si>
    <t>000015447</t>
  </si>
  <si>
    <t>Dounia LOUDARI</t>
  </si>
  <si>
    <t>000020850</t>
  </si>
  <si>
    <t>Edouard BERGE</t>
  </si>
  <si>
    <t>000012778</t>
  </si>
  <si>
    <t>Thibault ESPIE</t>
  </si>
  <si>
    <t>000016281</t>
  </si>
  <si>
    <t>Léo TAVERNIER</t>
  </si>
  <si>
    <t>000021819</t>
  </si>
  <si>
    <t>Gauthier MUGUET</t>
  </si>
  <si>
    <t>Sortie de mission non prévue + 1/2 journée de formation</t>
  </si>
  <si>
    <t>000015844</t>
  </si>
  <si>
    <t>Robin JONCOURT</t>
  </si>
  <si>
    <t>000010238</t>
  </si>
  <si>
    <t>000009094</t>
  </si>
  <si>
    <t>000009788</t>
  </si>
  <si>
    <t>Mehdi BETTICHE</t>
  </si>
  <si>
    <t>000017293</t>
  </si>
  <si>
    <t>Thomas LEFEBVRE</t>
  </si>
  <si>
    <t xml:space="preserve">1J récupéré </t>
  </si>
  <si>
    <t>000010834</t>
  </si>
  <si>
    <t>Logan PROTAS</t>
  </si>
  <si>
    <t>000014543</t>
  </si>
  <si>
    <t>Marc SIDORENKO</t>
  </si>
  <si>
    <t>000012787</t>
  </si>
  <si>
    <t>000001571</t>
  </si>
  <si>
    <t>Pierre BAZYDLO</t>
  </si>
  <si>
    <t>000012126</t>
  </si>
  <si>
    <t>Skander BAHRI</t>
  </si>
  <si>
    <t>000013164</t>
  </si>
  <si>
    <t>Swan CAILLAUD</t>
  </si>
  <si>
    <t>000017981</t>
  </si>
  <si>
    <t>Sofiane MAHFOUDI</t>
  </si>
  <si>
    <t>000016529</t>
  </si>
  <si>
    <t>Baptiste PETITJEAN</t>
  </si>
  <si>
    <t>000015799</t>
  </si>
  <si>
    <t>Dino DUNIA</t>
  </si>
  <si>
    <t>000018010</t>
  </si>
  <si>
    <t>Edgar GÉANT</t>
  </si>
  <si>
    <t>000014892</t>
  </si>
  <si>
    <t>Elisa MEIRELES</t>
  </si>
  <si>
    <t>000020991</t>
  </si>
  <si>
    <t>Nicolas JAUNE</t>
  </si>
  <si>
    <t>000022213</t>
  </si>
  <si>
    <t>Hugo LACHIVER</t>
  </si>
  <si>
    <t>000017802</t>
  </si>
  <si>
    <t>Aurèle GARNIER</t>
  </si>
  <si>
    <t>000018100</t>
  </si>
  <si>
    <t>Navya DENNIS</t>
  </si>
  <si>
    <t>000012173</t>
  </si>
  <si>
    <t>Alanis HYON-LE GOURRIEREC</t>
  </si>
  <si>
    <t>000016710</t>
  </si>
  <si>
    <t>Etienne BUANNIC</t>
  </si>
  <si>
    <t>000020610</t>
  </si>
  <si>
    <t>Thomas LUDGER</t>
  </si>
  <si>
    <t>000020680</t>
  </si>
  <si>
    <t>Geoffroy MONTCEL</t>
  </si>
  <si>
    <t>000017530</t>
  </si>
  <si>
    <t>Nisrine SBIRA</t>
  </si>
  <si>
    <t>000015688</t>
  </si>
  <si>
    <t>Rémi SPINELLI</t>
  </si>
  <si>
    <t>000014901</t>
  </si>
  <si>
    <t>Thomas DOUKHAN</t>
  </si>
  <si>
    <t>000013146</t>
  </si>
  <si>
    <t>Thomas MARTINEAU</t>
  </si>
  <si>
    <t>000014909</t>
  </si>
  <si>
    <t>William BALASTRE</t>
  </si>
  <si>
    <t>000014539</t>
  </si>
  <si>
    <t>Alexia VACHERON</t>
  </si>
  <si>
    <t>Pas optimisable</t>
  </si>
  <si>
    <t>000011445</t>
  </si>
  <si>
    <t>000013544</t>
  </si>
  <si>
    <t>Camil ADJIBADE</t>
  </si>
  <si>
    <t>000011376</t>
  </si>
  <si>
    <t>Edouard DEPERY</t>
  </si>
  <si>
    <t>8j en intercontrat, 1j CP non prévu</t>
  </si>
  <si>
    <t>000013873</t>
  </si>
  <si>
    <t>Florian HOUDEBINE</t>
  </si>
  <si>
    <t>000022233</t>
  </si>
  <si>
    <t>Nicolas CORMERAIS</t>
  </si>
  <si>
    <t>000012368</t>
  </si>
  <si>
    <t>Marine AIRIAUD</t>
  </si>
  <si>
    <t>000014602</t>
  </si>
  <si>
    <t>Sébastien ANDREUX</t>
  </si>
  <si>
    <t>000000580</t>
  </si>
  <si>
    <t>Sébastien TOURNOIS</t>
  </si>
  <si>
    <t>000008135</t>
  </si>
  <si>
    <t>Clémence HERNANDEZ</t>
  </si>
  <si>
    <t>000012043</t>
  </si>
  <si>
    <t>000021925</t>
  </si>
  <si>
    <t>Carla COMPÈRE</t>
  </si>
  <si>
    <t>000013402</t>
  </si>
  <si>
    <t>000011315</t>
  </si>
  <si>
    <t>000012779</t>
  </si>
  <si>
    <t>Rachel FANHAN</t>
  </si>
  <si>
    <t>Formation CDM</t>
  </si>
  <si>
    <t>000016886</t>
  </si>
  <si>
    <t>Gaël ASTIER</t>
  </si>
  <si>
    <t>000020735</t>
  </si>
  <si>
    <t>Tom WILTBERGER</t>
  </si>
  <si>
    <t>000014806</t>
  </si>
  <si>
    <t>Alexia OTTMANN</t>
  </si>
  <si>
    <t>000013131</t>
  </si>
  <si>
    <t>Adrien VEAUX</t>
  </si>
  <si>
    <t>000017056</t>
  </si>
  <si>
    <t>Clément SOONEKINDT</t>
  </si>
  <si>
    <t>000016238</t>
  </si>
  <si>
    <t>Aymeric DE LA BRETESCHE</t>
  </si>
  <si>
    <t>000016872</t>
  </si>
  <si>
    <t>Gwenaëlle BOULET</t>
  </si>
  <si>
    <t>0.5J récupéré chez C.A.</t>
  </si>
  <si>
    <t>000022016</t>
  </si>
  <si>
    <t>Paul BARBASTE</t>
  </si>
  <si>
    <t>Déjà optimisé</t>
  </si>
  <si>
    <t>000014688</t>
  </si>
  <si>
    <t>Remy DAO</t>
  </si>
  <si>
    <t>000014593</t>
  </si>
  <si>
    <t>Walid LAAZIRI</t>
  </si>
  <si>
    <t>000017908</t>
  </si>
  <si>
    <t>Jean BAKALOGLOU</t>
  </si>
  <si>
    <t>000018019</t>
  </si>
  <si>
    <t>Nicolas CASADEVALL</t>
  </si>
  <si>
    <t>000016159</t>
  </si>
  <si>
    <t>Victor LEBIEZ</t>
  </si>
  <si>
    <t>000021997</t>
  </si>
  <si>
    <t>Karim BERCAND</t>
  </si>
  <si>
    <t>000022058</t>
  </si>
  <si>
    <t>Zakaria EL MOUJOUD</t>
  </si>
  <si>
    <t>000014704</t>
  </si>
  <si>
    <t>Achraf LEABERRAT</t>
  </si>
  <si>
    <t>000020786</t>
  </si>
  <si>
    <t>Alae EL KETTANI</t>
  </si>
  <si>
    <t>000015483</t>
  </si>
  <si>
    <t>Antoine ALTAZIN</t>
  </si>
  <si>
    <t>000016270</t>
  </si>
  <si>
    <t>Antoine FLAMENT</t>
  </si>
  <si>
    <t>000014468</t>
  </si>
  <si>
    <t>Cindy MOUAHBA</t>
  </si>
  <si>
    <t>000015378</t>
  </si>
  <si>
    <t>Etienne CRUPEL</t>
  </si>
  <si>
    <t>000016336</t>
  </si>
  <si>
    <t>Léna AGAR</t>
  </si>
  <si>
    <t>000016065</t>
  </si>
  <si>
    <t>Mickael OLMOS-GINEZ</t>
  </si>
  <si>
    <t>000013590</t>
  </si>
  <si>
    <t>Saifeddine EL MADANI</t>
  </si>
  <si>
    <t>000000155</t>
  </si>
  <si>
    <t>Eric CHAURAND</t>
  </si>
  <si>
    <t>000007140</t>
  </si>
  <si>
    <t>Philip BESSIERE</t>
  </si>
  <si>
    <t>000007137</t>
  </si>
  <si>
    <t>Sofiane OUALLOUCHE</t>
  </si>
  <si>
    <t>000014723</t>
  </si>
  <si>
    <t>Emil KABIROV</t>
  </si>
  <si>
    <t>000014512</t>
  </si>
  <si>
    <t>Léo BLÉTOUX</t>
  </si>
  <si>
    <t>000021783</t>
  </si>
  <si>
    <t>Paul MOREL</t>
  </si>
  <si>
    <t>000015872</t>
  </si>
  <si>
    <t>Amina CHELYAH</t>
  </si>
  <si>
    <t>000014511</t>
  </si>
  <si>
    <t>Aida SARR</t>
  </si>
  <si>
    <t>000013431</t>
  </si>
  <si>
    <t>Erwan TESSON</t>
  </si>
  <si>
    <t>000021478</t>
  </si>
  <si>
    <t>Maxence ARELLA</t>
  </si>
  <si>
    <t>000014276</t>
  </si>
  <si>
    <t>Mouaad ALIOUANE</t>
  </si>
  <si>
    <t>000015601</t>
  </si>
  <si>
    <t>Olympe LOISEAU</t>
  </si>
  <si>
    <t>000020849</t>
  </si>
  <si>
    <t>Romain THIEBAUT</t>
  </si>
  <si>
    <t>000021602</t>
  </si>
  <si>
    <t>Sacha DI COSTANZO</t>
  </si>
  <si>
    <t>000014266</t>
  </si>
  <si>
    <t>Thomas BENETREAU</t>
  </si>
  <si>
    <t>000013057</t>
  </si>
  <si>
    <t>Théo LINARD</t>
  </si>
  <si>
    <t>000022022</t>
  </si>
  <si>
    <t>Virgil NAUDET</t>
  </si>
  <si>
    <t>000017017</t>
  </si>
  <si>
    <t>Claire LAVIELLE</t>
  </si>
  <si>
    <t>000020488</t>
  </si>
  <si>
    <t>Kaïla BEN ALI</t>
  </si>
  <si>
    <t>000017242</t>
  </si>
  <si>
    <t>Chadine BENSOUDA-KORAICHI</t>
  </si>
  <si>
    <t>000016509</t>
  </si>
  <si>
    <t>François OTTO-HEDUY</t>
  </si>
  <si>
    <t>000020739</t>
  </si>
  <si>
    <t>Frédéric ROUSSEL</t>
  </si>
  <si>
    <t>000020303</t>
  </si>
  <si>
    <t>Gauthier MAIROT</t>
  </si>
  <si>
    <t>Double MT de MNU qui nous fait du mal et génère régulièrement des bouts d'improd</t>
  </si>
  <si>
    <t>000011711</t>
  </si>
  <si>
    <t>Alexis POUJOL</t>
  </si>
  <si>
    <t>000021443</t>
  </si>
  <si>
    <t>Mehdi ARFAOUI</t>
  </si>
  <si>
    <t>000018055</t>
  </si>
  <si>
    <t>Saad AIT MELLOUK</t>
  </si>
  <si>
    <t>000013439</t>
  </si>
  <si>
    <t>Jean CRESP</t>
  </si>
  <si>
    <t>000017899</t>
  </si>
  <si>
    <t>Yasmine DRIDI</t>
  </si>
  <si>
    <t>000021807</t>
  </si>
  <si>
    <t>Adam SFAXI</t>
  </si>
  <si>
    <t>000021801</t>
  </si>
  <si>
    <t>Mohammed Adel BOUGUESRI</t>
  </si>
  <si>
    <t>0,5</t>
  </si>
  <si>
    <t>000011480</t>
  </si>
  <si>
    <t>Livia BOURDIT</t>
  </si>
  <si>
    <t>000022286</t>
  </si>
  <si>
    <t>Alexandre PARTOUCHE</t>
  </si>
  <si>
    <t>000021439</t>
  </si>
  <si>
    <t>Marie CORTES</t>
  </si>
  <si>
    <t>000021555</t>
  </si>
  <si>
    <t>Ousmane BAH</t>
  </si>
  <si>
    <t>000021893</t>
  </si>
  <si>
    <t>Victor RIOS</t>
  </si>
  <si>
    <t>000017914</t>
  </si>
  <si>
    <t>Axel PENTIER</t>
  </si>
  <si>
    <t>000018067</t>
  </si>
  <si>
    <t>Idriss EL QUASSIMI</t>
  </si>
  <si>
    <t>000016955</t>
  </si>
  <si>
    <t>Marie Océane NIACAVERE</t>
  </si>
  <si>
    <t>000020734</t>
  </si>
  <si>
    <t>Nathan FAUDEIL</t>
  </si>
  <si>
    <t>000013621</t>
  </si>
  <si>
    <t>Laura RODRIGUEZ</t>
  </si>
  <si>
    <t>000013681</t>
  </si>
  <si>
    <t>Benjamin SCHYNS</t>
  </si>
  <si>
    <t>000014495</t>
  </si>
  <si>
    <t>Camille LESAGE</t>
  </si>
  <si>
    <t>000016292</t>
  </si>
  <si>
    <t>Candice DABRIOU</t>
  </si>
  <si>
    <t>000015158</t>
  </si>
  <si>
    <t>Emma DELIGEARD</t>
  </si>
  <si>
    <t>000015055</t>
  </si>
  <si>
    <t>Ilyana MOMBO</t>
  </si>
  <si>
    <t>000005528</t>
  </si>
  <si>
    <t>Arnaud LAYEC</t>
  </si>
  <si>
    <t>000009731</t>
  </si>
  <si>
    <t>000022410</t>
  </si>
  <si>
    <t>Grégoire LE PARGNEUX</t>
  </si>
  <si>
    <t>000012946</t>
  </si>
  <si>
    <t>Shayan KHAN</t>
  </si>
  <si>
    <t>va imputer ce jour en congé</t>
  </si>
  <si>
    <t>000013824</t>
  </si>
  <si>
    <t>Bastien PELISSIER</t>
  </si>
  <si>
    <t>0,5j optimisé</t>
  </si>
  <si>
    <t>000021730</t>
  </si>
  <si>
    <t>Rime SELLAM</t>
  </si>
  <si>
    <t>000021217</t>
  </si>
  <si>
    <t>Adrien SEMAAN</t>
  </si>
  <si>
    <t>000020990</t>
  </si>
  <si>
    <t>Alexandre LOUVET MIAJA</t>
  </si>
  <si>
    <t>000021844</t>
  </si>
  <si>
    <t>Clotilde SAMANIEGO</t>
  </si>
  <si>
    <t>000017829</t>
  </si>
  <si>
    <t>Nicolas VANDERSTIGEL</t>
  </si>
  <si>
    <t>000014993</t>
  </si>
  <si>
    <t>Ismael DE BUYST</t>
  </si>
  <si>
    <t>000021759</t>
  </si>
  <si>
    <t>Kiruthika TANIGASSALAME</t>
  </si>
  <si>
    <t>000021027</t>
  </si>
  <si>
    <t>Virginie DEVAMBE</t>
  </si>
  <si>
    <t>000017957</t>
  </si>
  <si>
    <t>Ruiya LI</t>
  </si>
  <si>
    <t>000021604</t>
  </si>
  <si>
    <t>Thibaud VOISIN</t>
  </si>
  <si>
    <t>000020609</t>
  </si>
  <si>
    <t>Thibault TEISSEIRE</t>
  </si>
  <si>
    <t>000022309</t>
  </si>
  <si>
    <t>Lucas BORGOGNO</t>
  </si>
  <si>
    <t>Martin ALLEAUME</t>
  </si>
  <si>
    <t>000014104</t>
  </si>
  <si>
    <t>Amira STOLERU</t>
  </si>
  <si>
    <t>000022234</t>
  </si>
  <si>
    <t>Kaixin XU</t>
  </si>
  <si>
    <t>000022106</t>
  </si>
  <si>
    <t>Antoine ROGER</t>
  </si>
  <si>
    <t>000020518</t>
  </si>
  <si>
    <t>Matthieu BARBEAU</t>
  </si>
  <si>
    <t>000021980</t>
  </si>
  <si>
    <t>Paul GILLES</t>
  </si>
  <si>
    <t>000021167</t>
  </si>
  <si>
    <t>Alban DUSSART</t>
  </si>
  <si>
    <t>000021005</t>
  </si>
  <si>
    <t>Alberto MARITAN</t>
  </si>
  <si>
    <t>000021948</t>
  </si>
  <si>
    <t>Arthur BAUDIER</t>
  </si>
  <si>
    <t>000020563</t>
  </si>
  <si>
    <t>Carmen OSANLOU</t>
  </si>
  <si>
    <t>000021900</t>
  </si>
  <si>
    <t>Logan MBOYO</t>
  </si>
  <si>
    <t>000021039</t>
  </si>
  <si>
    <t>Lucas LE PAGE</t>
  </si>
  <si>
    <t>000004853</t>
  </si>
  <si>
    <t>David RENAUDIN</t>
  </si>
  <si>
    <t>000021616</t>
  </si>
  <si>
    <t>Thomas RIVOAL</t>
  </si>
  <si>
    <t>000021135</t>
  </si>
  <si>
    <t>Walid DAHMANI</t>
  </si>
  <si>
    <t>000013065</t>
  </si>
  <si>
    <t>Solène PINEL</t>
  </si>
  <si>
    <t>000022306</t>
  </si>
  <si>
    <t>Maxence VAN HOECKE</t>
  </si>
  <si>
    <t>000021066</t>
  </si>
  <si>
    <t>Abdoul NDIAYE</t>
  </si>
  <si>
    <t>000013175</t>
  </si>
  <si>
    <t>000020787</t>
  </si>
  <si>
    <t>François DESAULLE</t>
  </si>
  <si>
    <t>000021832</t>
  </si>
  <si>
    <t>Maxence LAUVERNIER</t>
  </si>
  <si>
    <t>000021520</t>
  </si>
  <si>
    <t>Mehdi BOUMEKOUEZ</t>
  </si>
  <si>
    <t>000017408</t>
  </si>
  <si>
    <t>Rafael VAZQUEZ MORAES</t>
  </si>
  <si>
    <t>000013342</t>
  </si>
  <si>
    <t>Myriam GUERRAOUI</t>
  </si>
  <si>
    <t>000017587</t>
  </si>
  <si>
    <t>Clara BOUCHENY</t>
  </si>
  <si>
    <t>000013162</t>
  </si>
  <si>
    <t>Dinu-Marius NOROC</t>
  </si>
  <si>
    <t>000021392</t>
  </si>
  <si>
    <t>Gaspard COUERBE</t>
  </si>
  <si>
    <t>000014394</t>
  </si>
  <si>
    <t>Hakim REHHALI</t>
  </si>
  <si>
    <t>000021286</t>
  </si>
  <si>
    <t>Morgane BOMPART</t>
  </si>
  <si>
    <t>000016773</t>
  </si>
  <si>
    <t>Quentin LE MOAL</t>
  </si>
  <si>
    <t>000013365</t>
  </si>
  <si>
    <t>Julie PEYRUCQ</t>
  </si>
  <si>
    <t>000010908</t>
  </si>
  <si>
    <t>Sarah LEVI DIT BOCHI</t>
  </si>
  <si>
    <t>000020752</t>
  </si>
  <si>
    <t>Adama NANA</t>
  </si>
  <si>
    <t>000020650</t>
  </si>
  <si>
    <t>Alessio LIN</t>
  </si>
  <si>
    <t>000017061</t>
  </si>
  <si>
    <t>Amine GUENNOUNI</t>
  </si>
  <si>
    <t>000021970</t>
  </si>
  <si>
    <t>Hajar ARIF</t>
  </si>
  <si>
    <t>000017797</t>
  </si>
  <si>
    <t>Hugo LOPEZ</t>
  </si>
  <si>
    <t>000014623</t>
  </si>
  <si>
    <t>Julien KHERROUBI</t>
  </si>
  <si>
    <t>000015574</t>
  </si>
  <si>
    <t>Mohamed Arselan MESLOUH</t>
  </si>
  <si>
    <t>000017219</t>
  </si>
  <si>
    <t>Shirley REVILLIER</t>
  </si>
  <si>
    <t>000015201</t>
  </si>
  <si>
    <t>Théo CUOQ</t>
  </si>
  <si>
    <t>000005634</t>
  </si>
  <si>
    <t>000009154</t>
  </si>
  <si>
    <t>000008120</t>
  </si>
  <si>
    <t>000008251</t>
  </si>
  <si>
    <t>000009608</t>
  </si>
  <si>
    <t>000005556</t>
  </si>
  <si>
    <t>000010231</t>
  </si>
  <si>
    <t>000021153</t>
  </si>
  <si>
    <t>Hugo MAITRE</t>
  </si>
  <si>
    <t>Communication / Marketing Mécénat Croix Rouge</t>
  </si>
  <si>
    <t>000016808</t>
  </si>
  <si>
    <t>Baptiste DURAND</t>
  </si>
  <si>
    <t>000018081</t>
  </si>
  <si>
    <t>Bryan AGGOUN</t>
  </si>
  <si>
    <t>000020266</t>
  </si>
  <si>
    <t>Georges WYBO</t>
  </si>
  <si>
    <t>000010778</t>
  </si>
  <si>
    <t>000002812</t>
  </si>
  <si>
    <t>Julien BLEAS</t>
  </si>
  <si>
    <t>000015983</t>
  </si>
  <si>
    <t>Mohamed DIALLO</t>
  </si>
  <si>
    <t>000005753</t>
  </si>
  <si>
    <t>Paul WALLOIS</t>
  </si>
  <si>
    <t>000013202</t>
  </si>
  <si>
    <t>Tara FOLI</t>
  </si>
  <si>
    <t>000011191</t>
  </si>
  <si>
    <t>000015321</t>
  </si>
  <si>
    <t>Victor LAMBART</t>
  </si>
  <si>
    <t>000011959</t>
  </si>
  <si>
    <t>Estelle DEVYS</t>
  </si>
  <si>
    <t>000015332</t>
  </si>
  <si>
    <t>Omar ELALAMI</t>
  </si>
  <si>
    <t>000013550</t>
  </si>
  <si>
    <t>Ghislain KICINSKI</t>
  </si>
  <si>
    <t>000017419</t>
  </si>
  <si>
    <t>David THIAW-WING-KAÏ</t>
  </si>
  <si>
    <t>000016525</t>
  </si>
  <si>
    <t>Perrine YOUINOU</t>
  </si>
  <si>
    <t>000014614</t>
  </si>
  <si>
    <t>Quentin ARÉ</t>
  </si>
  <si>
    <t>000001548</t>
  </si>
  <si>
    <t>Suthiya YUN</t>
  </si>
  <si>
    <t>000017569</t>
  </si>
  <si>
    <t>Valentina DIAZ-GRANADOS ORJUELA</t>
  </si>
  <si>
    <t>000016995</t>
  </si>
  <si>
    <t>Youssef HILMI</t>
  </si>
  <si>
    <t>000020832</t>
  </si>
  <si>
    <t>Achille BILLAUT</t>
  </si>
  <si>
    <t>000013361</t>
  </si>
  <si>
    <t>Anas BELRHAZI</t>
  </si>
  <si>
    <t>000014094</t>
  </si>
  <si>
    <t>Anthony SZAFIR</t>
  </si>
  <si>
    <t>000013946</t>
  </si>
  <si>
    <t>Axel VALERY</t>
  </si>
  <si>
    <t>000013220</t>
  </si>
  <si>
    <t>Florent DE BORTOLI</t>
  </si>
  <si>
    <t>000013437</t>
  </si>
  <si>
    <t>000013336</t>
  </si>
  <si>
    <t>Lorys HAMADACHE</t>
  </si>
  <si>
    <t>000020379</t>
  </si>
  <si>
    <t>Sarah SIMON</t>
  </si>
  <si>
    <t>000013549</t>
  </si>
  <si>
    <t>000014243</t>
  </si>
  <si>
    <t>Rida KAOURI</t>
  </si>
  <si>
    <t>000009302</t>
  </si>
  <si>
    <t>Enguerrand NASSIET</t>
  </si>
  <si>
    <t>000010113</t>
  </si>
  <si>
    <t>000010968</t>
  </si>
  <si>
    <t>000014527</t>
  </si>
  <si>
    <t>Pauline CARLIEZ</t>
  </si>
  <si>
    <t>Cellule Biz</t>
  </si>
  <si>
    <t>000020703</t>
  </si>
  <si>
    <t>Stanislas DUBE</t>
  </si>
  <si>
    <t>000012541</t>
  </si>
  <si>
    <t>000011179</t>
  </si>
  <si>
    <t>000010388</t>
  </si>
  <si>
    <t>000006130</t>
  </si>
  <si>
    <t>Raphaël CHOKRON</t>
  </si>
  <si>
    <t>000009138</t>
  </si>
  <si>
    <t>000022107</t>
  </si>
  <si>
    <t>Aymen GMAR CHEBLI</t>
  </si>
  <si>
    <t>000020946</t>
  </si>
  <si>
    <t>Jules REYPENS</t>
  </si>
  <si>
    <t>Congés pas rentrés</t>
  </si>
  <si>
    <t>000017191</t>
  </si>
  <si>
    <t>Lounès BENZAHI</t>
  </si>
  <si>
    <t>000021128</t>
  </si>
  <si>
    <t>Maxime BOURGAIN</t>
  </si>
  <si>
    <t>000017306</t>
  </si>
  <si>
    <t>Miguel ADERALDO</t>
  </si>
  <si>
    <t>000015421</t>
  </si>
  <si>
    <t>Oumaima AHOUZI</t>
  </si>
  <si>
    <t>000017451</t>
  </si>
  <si>
    <t>Valentin CHANAL</t>
  </si>
  <si>
    <t>000020507</t>
  </si>
  <si>
    <t>Yasmine BELHADJ SALAH</t>
  </si>
  <si>
    <t>000022449</t>
  </si>
  <si>
    <t>Esther FABRE</t>
  </si>
  <si>
    <t>000022528</t>
  </si>
  <si>
    <t>Louis ALLIOT</t>
  </si>
  <si>
    <t>000020842</t>
  </si>
  <si>
    <t>Cendrine BOUZET</t>
  </si>
  <si>
    <t>Arret maladie</t>
  </si>
  <si>
    <t>000013441</t>
  </si>
  <si>
    <t>Charlotte GRIGNON</t>
  </si>
  <si>
    <t>Congés sans solde</t>
  </si>
  <si>
    <t>000021623</t>
  </si>
  <si>
    <t>Cindy DESPOIS</t>
  </si>
  <si>
    <t>000013105</t>
  </si>
  <si>
    <t>Jean-Baptiste PHILIPPE</t>
  </si>
  <si>
    <t>000011205</t>
  </si>
  <si>
    <t>Loic PENNEC</t>
  </si>
  <si>
    <t>000015106</t>
  </si>
  <si>
    <t>Mathias MASSARD</t>
  </si>
  <si>
    <t>000014877</t>
  </si>
  <si>
    <t>Mathieu BOUCHET</t>
  </si>
  <si>
    <t>000014099</t>
  </si>
  <si>
    <t>Oussama IHIA</t>
  </si>
  <si>
    <t>000015007</t>
  </si>
  <si>
    <t>Samuel CANICAVE</t>
  </si>
  <si>
    <t>000013734</t>
  </si>
  <si>
    <t>Sofia ASMI</t>
  </si>
  <si>
    <t>000015616</t>
  </si>
  <si>
    <t>Stanislas BERGEN</t>
  </si>
  <si>
    <t>000005672</t>
  </si>
  <si>
    <t>000001604</t>
  </si>
  <si>
    <t>Richard MEUNIER</t>
  </si>
  <si>
    <t>000004057</t>
  </si>
  <si>
    <t>000021071</t>
  </si>
  <si>
    <t>Louis BLONDOT</t>
  </si>
  <si>
    <t>000014666</t>
  </si>
  <si>
    <t>Hugo STEPHAN</t>
  </si>
  <si>
    <t>000000139</t>
  </si>
  <si>
    <t>Laurent ORTUNIO</t>
  </si>
  <si>
    <t>000004085</t>
  </si>
  <si>
    <t>Mathieu BACHY</t>
  </si>
  <si>
    <t>000000055</t>
  </si>
  <si>
    <t>000016535</t>
  </si>
  <si>
    <t>Arthur ESKOULOV</t>
  </si>
  <si>
    <t>000017650</t>
  </si>
  <si>
    <t>Aymane LAMHAMDI</t>
  </si>
  <si>
    <t>000018110</t>
  </si>
  <si>
    <t>Aymeric LABEDAN</t>
  </si>
  <si>
    <t>000016097</t>
  </si>
  <si>
    <t>Ilan BOUAZIZ</t>
  </si>
  <si>
    <t>000022105</t>
  </si>
  <si>
    <t>Raylane GUESSOUM</t>
  </si>
  <si>
    <t>000021163</t>
  </si>
  <si>
    <t>Axelle RIEU</t>
  </si>
  <si>
    <t>000014627</t>
  </si>
  <si>
    <t>Zaineb HARRIZI</t>
  </si>
  <si>
    <t>000016421</t>
  </si>
  <si>
    <t>Oscar MARZE</t>
  </si>
  <si>
    <t>000017496</t>
  </si>
  <si>
    <t>Steephan PONNUDURAI</t>
  </si>
  <si>
    <t>000021499</t>
  </si>
  <si>
    <t>Thibault BROU</t>
  </si>
  <si>
    <t>000007374</t>
  </si>
  <si>
    <t>Geneviève DAVID</t>
  </si>
  <si>
    <t>000007372</t>
  </si>
  <si>
    <t>000022337</t>
  </si>
  <si>
    <t>Lucas VACHER</t>
  </si>
  <si>
    <t>000022364</t>
  </si>
  <si>
    <t>Hugo DEVOILLE</t>
  </si>
  <si>
    <t>000017314</t>
  </si>
  <si>
    <t>Antoine PETIT</t>
  </si>
  <si>
    <t>000012607</t>
  </si>
  <si>
    <t>Cécile GEOFFROY</t>
  </si>
  <si>
    <t>000012598</t>
  </si>
  <si>
    <t>Hugo DUBESSET</t>
  </si>
  <si>
    <t>000021469</t>
  </si>
  <si>
    <t>Florian CHEVEREAU</t>
  </si>
  <si>
    <t>000020478</t>
  </si>
  <si>
    <t>Ioana MAZILU</t>
  </si>
  <si>
    <t>000016987</t>
  </si>
  <si>
    <t>Laura DUBOIS</t>
  </si>
  <si>
    <t>000005050</t>
  </si>
  <si>
    <t>000006062</t>
  </si>
  <si>
    <t>000015407</t>
  </si>
  <si>
    <t>Yoann BELLAICHE</t>
  </si>
  <si>
    <t>000020415</t>
  </si>
  <si>
    <t>Simon HERVE</t>
  </si>
  <si>
    <t>000014297</t>
  </si>
  <si>
    <t>Victoire MALINOVSKY</t>
  </si>
  <si>
    <t>000022485</t>
  </si>
  <si>
    <t>Adrien DUBOIS</t>
  </si>
  <si>
    <t>000021377</t>
  </si>
  <si>
    <t>Anouchka BETTENDORF</t>
  </si>
  <si>
    <t>0,5 de congés</t>
  </si>
  <si>
    <t>000016530</t>
  </si>
  <si>
    <t>Badr KHAOUDI</t>
  </si>
  <si>
    <t xml:space="preserve">En attente de créa de la ligne pour imputation </t>
  </si>
  <si>
    <t>000016466</t>
  </si>
  <si>
    <t>Baptiste DESJOBERT</t>
  </si>
  <si>
    <t>000016813</t>
  </si>
  <si>
    <t>César MICHELET</t>
  </si>
  <si>
    <t>000021553</t>
  </si>
  <si>
    <t>Doriane GIBOYAU</t>
  </si>
  <si>
    <t>000017060</t>
  </si>
  <si>
    <t>Alex KRIEF</t>
  </si>
  <si>
    <t>000018004</t>
  </si>
  <si>
    <t>Rémi PAL</t>
  </si>
  <si>
    <t>000017827</t>
  </si>
  <si>
    <t>Tarek MOULEKAF</t>
  </si>
  <si>
    <t>000022068</t>
  </si>
  <si>
    <t>Mathilde MORISSET</t>
  </si>
  <si>
    <t>000015713</t>
  </si>
  <si>
    <t>Amine BOUHELAL</t>
  </si>
  <si>
    <t>000016745</t>
  </si>
  <si>
    <t>Diego Eduardo ORTIZ VIGIL</t>
  </si>
  <si>
    <t>000016164</t>
  </si>
  <si>
    <t>Jihene OUERTANI</t>
  </si>
  <si>
    <t>000015506</t>
  </si>
  <si>
    <t>Julien XYPOLITAS</t>
  </si>
  <si>
    <t>000016107</t>
  </si>
  <si>
    <t>Nicolas QUERSONNIER</t>
  </si>
  <si>
    <t>000013379</t>
  </si>
  <si>
    <t>Mahmoud AZENKOUK</t>
  </si>
  <si>
    <t>000021373</t>
  </si>
  <si>
    <t>Maylis PIGNON</t>
  </si>
  <si>
    <t>000014427</t>
  </si>
  <si>
    <t>Ramz TSOULI</t>
  </si>
  <si>
    <t>000021477</t>
  </si>
  <si>
    <t>Mathis RATTIER</t>
  </si>
  <si>
    <t>000017786</t>
  </si>
  <si>
    <t>Youssef BEN ABDELGHENI</t>
  </si>
  <si>
    <t>000021793</t>
  </si>
  <si>
    <t>Abdelali TEMSAMANI</t>
  </si>
  <si>
    <t>000014448</t>
  </si>
  <si>
    <t>Adrien BEGEL</t>
  </si>
  <si>
    <t>000014960</t>
  </si>
  <si>
    <t>Alejandro TORRES TORO</t>
  </si>
  <si>
    <t>000016527</t>
  </si>
  <si>
    <t>Alphonse MELTZ</t>
  </si>
  <si>
    <t>000015697</t>
  </si>
  <si>
    <t>Bettina ETIÉVANT</t>
  </si>
  <si>
    <t>000017355</t>
  </si>
  <si>
    <t>Joseph DERIAUX</t>
  </si>
  <si>
    <t>000015180</t>
  </si>
  <si>
    <t>Quentin LE TURDU</t>
  </si>
  <si>
    <t>000015357</t>
  </si>
  <si>
    <t>Rabah Amir CHENOUF</t>
  </si>
  <si>
    <t>000013915</t>
  </si>
  <si>
    <t>Thanusan SATHIAKUMAR</t>
  </si>
  <si>
    <t>000016993</t>
  </si>
  <si>
    <t>Arthur LATOURRETTE</t>
  </si>
  <si>
    <t>000021777</t>
  </si>
  <si>
    <t>Ines FTOUHA</t>
  </si>
  <si>
    <t>000020861</t>
  </si>
  <si>
    <t>Luiza SOSSAI</t>
  </si>
  <si>
    <t>000020813</t>
  </si>
  <si>
    <t>Malo AUGIER DE CREMIERS</t>
  </si>
  <si>
    <t>000022200</t>
  </si>
  <si>
    <t>Mathys LE MANACH</t>
  </si>
  <si>
    <t>000021261</t>
  </si>
  <si>
    <t>Ramzi BENKHENNICHE</t>
  </si>
  <si>
    <t>000021860</t>
  </si>
  <si>
    <t>Salim ZAHIDI</t>
  </si>
  <si>
    <t>000009670</t>
  </si>
  <si>
    <t>000021265</t>
  </si>
  <si>
    <t>Arthur LEBAS</t>
  </si>
  <si>
    <t>000021210</t>
  </si>
  <si>
    <t>Caroline PITT</t>
  </si>
  <si>
    <t>000021751</t>
  </si>
  <si>
    <t>Christ Elysée KONAN</t>
  </si>
  <si>
    <t>000018063</t>
  </si>
  <si>
    <t>Maxime VASANTHAKUMAR</t>
  </si>
  <si>
    <t>000021480</t>
  </si>
  <si>
    <t>Noé BRUMELOT</t>
  </si>
  <si>
    <t>000022270</t>
  </si>
  <si>
    <t>Othmane CHAQROUNI</t>
  </si>
  <si>
    <t>000020334</t>
  </si>
  <si>
    <t>Rania EL BOURAQUI</t>
  </si>
  <si>
    <t>000016035</t>
  </si>
  <si>
    <t>Anne-Sophie COULON</t>
  </si>
  <si>
    <t>000015503</t>
  </si>
  <si>
    <t>Arnaud BOUGES</t>
  </si>
  <si>
    <t>000018150</t>
  </si>
  <si>
    <t>Cloé LAURENCE</t>
  </si>
  <si>
    <t>000018023</t>
  </si>
  <si>
    <t>Firas OUHAICHI</t>
  </si>
  <si>
    <t>000011393</t>
  </si>
  <si>
    <t>000015012</t>
  </si>
  <si>
    <t>Louis SIMON</t>
  </si>
  <si>
    <t>000021384</t>
  </si>
  <si>
    <t>Omar BOUKAZZAR</t>
  </si>
  <si>
    <t>000017843</t>
  </si>
  <si>
    <t>Oumaima BENAYAD</t>
  </si>
  <si>
    <t>000013173</t>
  </si>
  <si>
    <t>Eloïse LAGOUARDAT-MASSIROLLES</t>
  </si>
  <si>
    <t>000013340</t>
  </si>
  <si>
    <t>Thomas GALLOIS</t>
  </si>
  <si>
    <t>000020765</t>
  </si>
  <si>
    <t>Assmae BELLAGNECH</t>
  </si>
  <si>
    <t>000020886</t>
  </si>
  <si>
    <t>Hugo BELOT-DELORO</t>
  </si>
  <si>
    <t>000020328</t>
  </si>
  <si>
    <t>Julien GOUJON</t>
  </si>
  <si>
    <t>000021568</t>
  </si>
  <si>
    <t>Mora Abdul Jabbar KORA ZAKI</t>
  </si>
  <si>
    <t>000015514</t>
  </si>
  <si>
    <t>Rahma BERRIMA</t>
  </si>
  <si>
    <t>000002574</t>
  </si>
  <si>
    <t>Anne DUFAUX</t>
  </si>
  <si>
    <t>000002594</t>
  </si>
  <si>
    <t>Eric LUBERT</t>
  </si>
  <si>
    <t>000017472</t>
  </si>
  <si>
    <t>Aya BOUZBIB</t>
  </si>
  <si>
    <t>000008430</t>
  </si>
  <si>
    <t>000017583</t>
  </si>
  <si>
    <t>Romain KERLOC'H</t>
  </si>
  <si>
    <t>000022307</t>
  </si>
  <si>
    <t>Jérémie LAMBA</t>
  </si>
  <si>
    <t>000008853</t>
  </si>
  <si>
    <t>000005566</t>
  </si>
  <si>
    <t>000005243</t>
  </si>
  <si>
    <t>Clotilde FOUACHE</t>
  </si>
  <si>
    <t>000020468</t>
  </si>
  <si>
    <t>Camille PAYET</t>
  </si>
  <si>
    <t>000021362</t>
  </si>
  <si>
    <t>Adovi FOLLY-ABLA</t>
  </si>
  <si>
    <t>000008963</t>
  </si>
  <si>
    <t>000020537</t>
  </si>
  <si>
    <t>Manal BOUAZZAOUI</t>
  </si>
  <si>
    <t>000018037</t>
  </si>
  <si>
    <t>Junjun LIU</t>
  </si>
  <si>
    <t>000012528</t>
  </si>
  <si>
    <t>000014309</t>
  </si>
  <si>
    <t>Sabah MOSTEFAOUI</t>
  </si>
  <si>
    <t>000011950</t>
  </si>
  <si>
    <t>Jordan NOÉ</t>
  </si>
  <si>
    <t>000017866</t>
  </si>
  <si>
    <t>Théo JOBBÉ-DUVAL</t>
  </si>
  <si>
    <t>000004106</t>
  </si>
  <si>
    <t>000008659</t>
  </si>
  <si>
    <t>000000005</t>
  </si>
  <si>
    <t>Jean BADIN</t>
  </si>
  <si>
    <t>000002639</t>
  </si>
  <si>
    <t>Nicolas THIERRY</t>
  </si>
  <si>
    <t>000000123</t>
  </si>
  <si>
    <t>Fabrice JACQUES</t>
  </si>
  <si>
    <t>000000988</t>
  </si>
  <si>
    <t>000009273</t>
  </si>
  <si>
    <t>000000049</t>
  </si>
  <si>
    <t>Hubert GUIGUE</t>
  </si>
  <si>
    <t>000002654</t>
  </si>
  <si>
    <t>000003799</t>
  </si>
  <si>
    <t>000017409</t>
  </si>
  <si>
    <t>Charles BERGÉ</t>
  </si>
  <si>
    <t>000017672</t>
  </si>
  <si>
    <t>Hamza BENYEMNA</t>
  </si>
  <si>
    <t>000020426</t>
  </si>
  <si>
    <t>Michel TARLIN</t>
  </si>
  <si>
    <t>000020485</t>
  </si>
  <si>
    <t>Mohamed HENNOUS</t>
  </si>
  <si>
    <t>000021522</t>
  </si>
  <si>
    <t>Oumeima FRIOUI</t>
  </si>
  <si>
    <t>000017918</t>
  </si>
  <si>
    <t>Paul BERGMANN</t>
  </si>
  <si>
    <t>000017965</t>
  </si>
  <si>
    <t>Quentin ILLY</t>
  </si>
  <si>
    <t>000002633</t>
  </si>
  <si>
    <t>Mohammed LAFENDI</t>
  </si>
  <si>
    <t>000012088</t>
  </si>
  <si>
    <t>000016749</t>
  </si>
  <si>
    <t>Dylan SEETALOO</t>
  </si>
  <si>
    <t>000011987</t>
  </si>
  <si>
    <t>Sébastien BACHELLIER</t>
  </si>
  <si>
    <t>Non</t>
  </si>
  <si>
    <t>000009171</t>
  </si>
  <si>
    <t>000020712</t>
  </si>
  <si>
    <t>Pascal MONIN</t>
  </si>
  <si>
    <t>000012314</t>
  </si>
  <si>
    <t>000005181</t>
  </si>
  <si>
    <t>Franck LEMARCHAND</t>
  </si>
  <si>
    <t>000017198</t>
  </si>
  <si>
    <t>Tom DUPONT</t>
  </si>
  <si>
    <t>000013189</t>
  </si>
  <si>
    <t>Arthur GRIMONT</t>
  </si>
  <si>
    <t>000018130</t>
  </si>
  <si>
    <t>Emma DIZIÈRE</t>
  </si>
  <si>
    <t>000020992</t>
  </si>
  <si>
    <t>Héloïse DE CASTELNAU</t>
  </si>
  <si>
    <t>000018042</t>
  </si>
  <si>
    <t>Melissa KAROUI</t>
  </si>
  <si>
    <t>000011614</t>
  </si>
  <si>
    <t>Ali BOUJDARIA</t>
  </si>
  <si>
    <t>000020492</t>
  </si>
  <si>
    <t>Brendan KERMARREC</t>
  </si>
  <si>
    <t>000021000</t>
  </si>
  <si>
    <t>Vincent GOULART</t>
  </si>
  <si>
    <t>000011127</t>
  </si>
  <si>
    <t>000008133</t>
  </si>
  <si>
    <t>Maxime SOUPIN</t>
  </si>
  <si>
    <t>000005515</t>
  </si>
  <si>
    <t>000017268</t>
  </si>
  <si>
    <t>Luka JOVANOVIC</t>
  </si>
  <si>
    <t>000009310</t>
  </si>
  <si>
    <t>000000473</t>
  </si>
  <si>
    <t>Ronan CARON</t>
  </si>
  <si>
    <t>000005788</t>
  </si>
  <si>
    <t>000020877</t>
  </si>
  <si>
    <t>Cathleen MONDESIR</t>
  </si>
  <si>
    <t>000022267</t>
  </si>
  <si>
    <t>Maud GUILLERMIN</t>
  </si>
  <si>
    <t>000021678</t>
  </si>
  <si>
    <t>Daniel CRUZ</t>
  </si>
  <si>
    <t>000016140</t>
  </si>
  <si>
    <t>Doriane RENVOISÉ</t>
  </si>
  <si>
    <t>000021040</t>
  </si>
  <si>
    <t>Katarina PUCELJ</t>
  </si>
  <si>
    <t>000021642</t>
  </si>
  <si>
    <t>Léa DEPRET</t>
  </si>
  <si>
    <t>000021345</t>
  </si>
  <si>
    <t>Maden FAGON</t>
  </si>
  <si>
    <t>Staffing tardif puis ensuite staffing non facturé</t>
  </si>
  <si>
    <t>000022126</t>
  </si>
  <si>
    <t>Mattéo LEMONNIER</t>
  </si>
  <si>
    <t>000018113</t>
  </si>
  <si>
    <t>Oscar SFILIGOI</t>
  </si>
  <si>
    <t>000021539</t>
  </si>
  <si>
    <t>Théo JAOUDET</t>
  </si>
  <si>
    <t>(Tous)</t>
  </si>
  <si>
    <t>Étiquettes de lignes</t>
  </si>
  <si>
    <t>Somme de Delta prod days avec intention</t>
  </si>
  <si>
    <r>
      <t xml:space="preserve">IMPACT TACE 
</t>
    </r>
    <r>
      <rPr>
        <sz val="8"/>
        <color theme="1"/>
        <rFont val="Aptos"/>
        <family val="2"/>
        <scheme val="minor"/>
      </rPr>
      <t>(point de %)</t>
    </r>
  </si>
  <si>
    <t/>
  </si>
  <si>
    <t>Squad A</t>
  </si>
  <si>
    <t>points de TACE</t>
  </si>
  <si>
    <t>Squad B</t>
  </si>
  <si>
    <t>Squad C</t>
  </si>
  <si>
    <t>Squad D</t>
  </si>
  <si>
    <t>Squad E</t>
  </si>
  <si>
    <t>Squad F</t>
  </si>
  <si>
    <t>Squad G</t>
  </si>
  <si>
    <t>Squad H</t>
  </si>
  <si>
    <t>Total général</t>
  </si>
  <si>
    <t>Date</t>
  </si>
  <si>
    <t>Tâche/Nom affiché</t>
  </si>
  <si>
    <t>Collaborateur/Nom affiché</t>
  </si>
  <si>
    <t>Montant imputé</t>
  </si>
  <si>
    <t>Collaborateur/CD Manager</t>
  </si>
  <si>
    <t>INT0033 - En attente de Mail d'intention</t>
  </si>
  <si>
    <t>Matricule</t>
  </si>
  <si>
    <t>Collaborateur</t>
  </si>
  <si>
    <t>CD Manager</t>
  </si>
  <si>
    <t>M</t>
  </si>
  <si>
    <t>B</t>
  </si>
  <si>
    <t>N</t>
  </si>
  <si>
    <t>Absences</t>
  </si>
  <si>
    <t>Avail</t>
  </si>
  <si>
    <t>Contract type</t>
  </si>
  <si>
    <t>Jun</t>
  </si>
  <si>
    <t>CDI</t>
  </si>
  <si>
    <t>000017673</t>
  </si>
  <si>
    <t>Dac-An VO</t>
  </si>
  <si>
    <t>Contrat de professionnalisation</t>
  </si>
  <si>
    <t>000021363</t>
  </si>
  <si>
    <t>Guillaume FORTEMPS</t>
  </si>
  <si>
    <t>Apprentissage</t>
  </si>
  <si>
    <t>000021333</t>
  </si>
  <si>
    <t>Camille KURTH</t>
  </si>
  <si>
    <t>000021476</t>
  </si>
  <si>
    <t>Nicolas CIMINO</t>
  </si>
  <si>
    <t>000021471</t>
  </si>
  <si>
    <t>Tom MOUTON</t>
  </si>
  <si>
    <t>000021051</t>
  </si>
  <si>
    <t>Augustin COBENA</t>
  </si>
  <si>
    <t>000021447</t>
  </si>
  <si>
    <t>Laura CARUSO</t>
  </si>
  <si>
    <t>Stagiaire</t>
  </si>
  <si>
    <t>000021718</t>
  </si>
  <si>
    <t>Matteo VICENTE</t>
  </si>
  <si>
    <t>000021681</t>
  </si>
  <si>
    <t>Alessandro SVETONI</t>
  </si>
  <si>
    <t>000021674</t>
  </si>
  <si>
    <t>Vincent TOSSOU</t>
  </si>
  <si>
    <t>000021672</t>
  </si>
  <si>
    <t>Julien JEANTILS</t>
  </si>
  <si>
    <t>000021660</t>
  </si>
  <si>
    <t>Baptiste GUIDO</t>
  </si>
  <si>
    <t>000021711</t>
  </si>
  <si>
    <t>Baptiste CUCHET</t>
  </si>
  <si>
    <t>000021705</t>
  </si>
  <si>
    <t>Sami JANATI</t>
  </si>
  <si>
    <t>000021748</t>
  </si>
  <si>
    <t>Chiara SCHIMIZZI</t>
  </si>
  <si>
    <t>000021758</t>
  </si>
  <si>
    <t>Louis BONNET</t>
  </si>
  <si>
    <t>000021765</t>
  </si>
  <si>
    <t>Nathan TRIAS</t>
  </si>
  <si>
    <t>000021769</t>
  </si>
  <si>
    <t>Elea WARSKOTTE</t>
  </si>
  <si>
    <t>000021772</t>
  </si>
  <si>
    <t>Briac ROUDAUT</t>
  </si>
  <si>
    <t>000021773</t>
  </si>
  <si>
    <t>Gabby Pavel WATCHO KEUGONG</t>
  </si>
  <si>
    <t>000021774</t>
  </si>
  <si>
    <t>Lina SEBTI</t>
  </si>
  <si>
    <t>000021785</t>
  </si>
  <si>
    <t>Hamza TBATOU</t>
  </si>
  <si>
    <t>000021822</t>
  </si>
  <si>
    <t>Léopold BAUDRY</t>
  </si>
  <si>
    <t>000021816</t>
  </si>
  <si>
    <t>Louis RETHO</t>
  </si>
  <si>
    <t>000021841</t>
  </si>
  <si>
    <t>Brayan MUSIC</t>
  </si>
  <si>
    <t>000021840</t>
  </si>
  <si>
    <t>Nathan BERTRAND</t>
  </si>
  <si>
    <t>000021849</t>
  </si>
  <si>
    <t>Grégoire DESROUSSEAUX</t>
  </si>
  <si>
    <t>000021875</t>
  </si>
  <si>
    <t>Julian BASSET</t>
  </si>
  <si>
    <t>000021871</t>
  </si>
  <si>
    <t>Yung THOR</t>
  </si>
  <si>
    <t>000021859</t>
  </si>
  <si>
    <t>Yanis FROUJY</t>
  </si>
  <si>
    <t>000021788</t>
  </si>
  <si>
    <t>Charlotte BALESTA</t>
  </si>
  <si>
    <t>000021361</t>
  </si>
  <si>
    <t>Edouard FRANCOIS</t>
  </si>
  <si>
    <t>000021775</t>
  </si>
  <si>
    <t>François-Xavier HERANDE</t>
  </si>
  <si>
    <t>000021680</t>
  </si>
  <si>
    <t>Sarra BEN SMIDA</t>
  </si>
  <si>
    <t>000021676</t>
  </si>
  <si>
    <t>Emna CHAARI</t>
  </si>
  <si>
    <t>000021911</t>
  </si>
  <si>
    <t>Julien CHERDIEU D'ALEXIS</t>
  </si>
  <si>
    <t>000021917</t>
  </si>
  <si>
    <t>Clarysse MODESTE</t>
  </si>
  <si>
    <t>000021927</t>
  </si>
  <si>
    <t>Aya DAMOUN</t>
  </si>
  <si>
    <t>000021926</t>
  </si>
  <si>
    <t>Lily ROCKMAN</t>
  </si>
  <si>
    <t>000021929</t>
  </si>
  <si>
    <t>Angela COLAS</t>
  </si>
  <si>
    <t>000021941</t>
  </si>
  <si>
    <t>Youssef SIDHOM</t>
  </si>
  <si>
    <t>000021945</t>
  </si>
  <si>
    <t>Laure PENG</t>
  </si>
  <si>
    <t>000021944</t>
  </si>
  <si>
    <t>Apolline LE GUENIC</t>
  </si>
  <si>
    <t>000021940</t>
  </si>
  <si>
    <t>Samantha BIENNASSIS</t>
  </si>
  <si>
    <t>000021965</t>
  </si>
  <si>
    <t>Meriem BOUSSAADIA</t>
  </si>
  <si>
    <t>000022005</t>
  </si>
  <si>
    <t>Alex ROUSSEL</t>
  </si>
  <si>
    <t>000022028</t>
  </si>
  <si>
    <t>Nassim AYNOUNI</t>
  </si>
  <si>
    <t>000022038</t>
  </si>
  <si>
    <t>Raphael SASSINE</t>
  </si>
  <si>
    <t>000021942</t>
  </si>
  <si>
    <t>Mehdi JANATI IDRISSI</t>
  </si>
  <si>
    <t>000018014</t>
  </si>
  <si>
    <t>Malak KOMAIRI</t>
  </si>
  <si>
    <t>000022051</t>
  </si>
  <si>
    <t>Matthieu SCHULER</t>
  </si>
  <si>
    <t>000022056</t>
  </si>
  <si>
    <t>Nora SAUVAGET</t>
  </si>
  <si>
    <t>000022066</t>
  </si>
  <si>
    <t>Lilian GUIHUR</t>
  </si>
  <si>
    <t>000022064</t>
  </si>
  <si>
    <t>Yannis BRAHIMI</t>
  </si>
  <si>
    <t>000022077</t>
  </si>
  <si>
    <t>Ghassene BEN SLIMENE</t>
  </si>
  <si>
    <t>000021838</t>
  </si>
  <si>
    <t>Emma PADIN</t>
  </si>
  <si>
    <t>000022079</t>
  </si>
  <si>
    <t>Sarra DRISS</t>
  </si>
  <si>
    <t>000022111</t>
  </si>
  <si>
    <t>Alexandre CHAUCHARD</t>
  </si>
  <si>
    <t>000022108</t>
  </si>
  <si>
    <t>Hector MELL MARIOLLE</t>
  </si>
  <si>
    <t>000022158</t>
  </si>
  <si>
    <t>Martin LUCAS</t>
  </si>
  <si>
    <t>000022180</t>
  </si>
  <si>
    <t>Mouhameth Doudou KA</t>
  </si>
  <si>
    <t>000022131</t>
  </si>
  <si>
    <t>Marie-Maguelone BONNET</t>
  </si>
  <si>
    <t>000021716</t>
  </si>
  <si>
    <t>Antoine PELERIN</t>
  </si>
  <si>
    <t>000022193</t>
  </si>
  <si>
    <t>Florian PARFANT</t>
  </si>
  <si>
    <t>000022198</t>
  </si>
  <si>
    <t>Yesmine BETTAIEB</t>
  </si>
  <si>
    <t>000022199</t>
  </si>
  <si>
    <t>Amine BENHADAR</t>
  </si>
  <si>
    <t>000022210</t>
  </si>
  <si>
    <t>Oussama ANANE</t>
  </si>
  <si>
    <t>000022211</t>
  </si>
  <si>
    <t>Marc LEMAISTRE</t>
  </si>
  <si>
    <t>000022212</t>
  </si>
  <si>
    <t>Elyes BESBES</t>
  </si>
  <si>
    <t>000022228</t>
  </si>
  <si>
    <t>Ruben CTORZA</t>
  </si>
  <si>
    <t>000022227</t>
  </si>
  <si>
    <t>Thomas BEGHINI</t>
  </si>
  <si>
    <t>000022235</t>
  </si>
  <si>
    <t>William BRISA</t>
  </si>
  <si>
    <t>000022273</t>
  </si>
  <si>
    <t>Inès CASANOVA</t>
  </si>
  <si>
    <t>000022266</t>
  </si>
  <si>
    <t>Mansour JBILOU</t>
  </si>
  <si>
    <t>000022275</t>
  </si>
  <si>
    <t>Maximilien BELLIER</t>
  </si>
  <si>
    <t>000022292</t>
  </si>
  <si>
    <t>Germain LECLERC</t>
  </si>
  <si>
    <t>000022305</t>
  </si>
  <si>
    <t>Célia SANCHEZ</t>
  </si>
  <si>
    <t>000022320</t>
  </si>
  <si>
    <t>Paul ITURBIDE</t>
  </si>
  <si>
    <t>000022350</t>
  </si>
  <si>
    <t>Mathéo BREGIER</t>
  </si>
  <si>
    <t>000022369</t>
  </si>
  <si>
    <t>Carla WATINE</t>
  </si>
  <si>
    <t>000022390</t>
  </si>
  <si>
    <t>Marie KOLIBAS</t>
  </si>
  <si>
    <t>000022389</t>
  </si>
  <si>
    <t>Enguerrand BEITZ</t>
  </si>
  <si>
    <t>000022363</t>
  </si>
  <si>
    <t>Léo DANIELS</t>
  </si>
  <si>
    <t>000022050</t>
  </si>
  <si>
    <t>Solène SEITE</t>
  </si>
  <si>
    <t>000021799</t>
  </si>
  <si>
    <t>Mohamed BENGRICHE</t>
  </si>
  <si>
    <t>000022411</t>
  </si>
  <si>
    <t>Vangah VONOPOU</t>
  </si>
  <si>
    <t>000022416</t>
  </si>
  <si>
    <t>Juliette LESTARD</t>
  </si>
  <si>
    <t>000022425</t>
  </si>
  <si>
    <t>Élise DERNE</t>
  </si>
  <si>
    <t>000022287</t>
  </si>
  <si>
    <t>Basile BOURGUE</t>
  </si>
  <si>
    <t>000022439</t>
  </si>
  <si>
    <t>Djatil KRICHENANE</t>
  </si>
  <si>
    <t>000022438</t>
  </si>
  <si>
    <t>Alix KREMER</t>
  </si>
  <si>
    <t>000022436</t>
  </si>
  <si>
    <t>Dan OLLIVIER-MREJEN</t>
  </si>
  <si>
    <t>000022458</t>
  </si>
  <si>
    <t>Arthur TCHOKOKAM</t>
  </si>
  <si>
    <t>000022474</t>
  </si>
  <si>
    <t>Lyna ANIN</t>
  </si>
  <si>
    <t>000022486</t>
  </si>
  <si>
    <t>Maya CHAANINE</t>
  </si>
  <si>
    <t>000022502</t>
  </si>
  <si>
    <t>Caroline LIU</t>
  </si>
  <si>
    <t>000022367</t>
  </si>
  <si>
    <t>Hélaine FIGUEIRA</t>
  </si>
  <si>
    <t>Clémence LAGU</t>
  </si>
  <si>
    <t>000022347</t>
  </si>
  <si>
    <t>Myrtille KNOCKAERT</t>
  </si>
  <si>
    <t>000022519</t>
  </si>
  <si>
    <t>Jossua THUILLER</t>
  </si>
  <si>
    <t>000022522</t>
  </si>
  <si>
    <t>Anaëlle RIOU</t>
  </si>
  <si>
    <t>000022520</t>
  </si>
  <si>
    <t>Harry BROUDEHOUX</t>
  </si>
  <si>
    <t>000022524</t>
  </si>
  <si>
    <t>Lucas DELAGARDE</t>
  </si>
  <si>
    <t>000022532</t>
  </si>
  <si>
    <t>Solal OUADAH</t>
  </si>
  <si>
    <t>000022535</t>
  </si>
  <si>
    <t>Antoine GUERRIN</t>
  </si>
  <si>
    <t>000022285</t>
  </si>
  <si>
    <t>Sara HADDAR</t>
  </si>
  <si>
    <t>000022552</t>
  </si>
  <si>
    <t>Pierre GROSSHANS FILLOUX</t>
  </si>
  <si>
    <t>000022560</t>
  </si>
  <si>
    <t>Noé THOUVENEL</t>
  </si>
  <si>
    <t>000022545</t>
  </si>
  <si>
    <t>Riad SLEIMAN</t>
  </si>
  <si>
    <t>000022448</t>
  </si>
  <si>
    <t>Fred Herman DJEUGA FEUTHEU</t>
  </si>
  <si>
    <t>000022526</t>
  </si>
  <si>
    <t>Julien BIZIEUX</t>
  </si>
  <si>
    <t>000022493</t>
  </si>
  <si>
    <t>Ryan OUYED</t>
  </si>
  <si>
    <t>000022539</t>
  </si>
  <si>
    <t>Patrícia FONSECA GOMES</t>
  </si>
  <si>
    <t>000022572</t>
  </si>
  <si>
    <t>Marie MESTDAGH</t>
  </si>
  <si>
    <t>000022609</t>
  </si>
  <si>
    <t>Zineb BABAHOUARI</t>
  </si>
  <si>
    <t>000022514</t>
  </si>
  <si>
    <t>Louis ORDIONI</t>
  </si>
  <si>
    <t>000022344</t>
  </si>
  <si>
    <t>Thomas DOS SANTOS</t>
  </si>
  <si>
    <t>000021413</t>
  </si>
  <si>
    <t>Isaure BERGE</t>
  </si>
  <si>
    <t>000020743</t>
  </si>
  <si>
    <t>Tomás GONZÁLEZ</t>
  </si>
  <si>
    <t>000022605</t>
  </si>
  <si>
    <t>Hechmi KACHOURI</t>
  </si>
  <si>
    <t>000022635</t>
  </si>
  <si>
    <t>Maxime HAËM</t>
  </si>
  <si>
    <t>000022640</t>
  </si>
  <si>
    <t>Corentin SPRIET</t>
  </si>
  <si>
    <t>000022645</t>
  </si>
  <si>
    <t>Jules COLLONGUES</t>
  </si>
  <si>
    <t>000022647</t>
  </si>
  <si>
    <t>M'Hal MOHAMED HOSSAM</t>
  </si>
  <si>
    <t>000022649</t>
  </si>
  <si>
    <t>Cica Charlène ODUNLAMI</t>
  </si>
  <si>
    <t>000022648</t>
  </si>
  <si>
    <t>Théophile DONATO</t>
  </si>
  <si>
    <t>Matricule cabinet</t>
  </si>
  <si>
    <t>Type d'imputation</t>
  </si>
  <si>
    <t>absence</t>
  </si>
  <si>
    <t>non_invoiceable_leave</t>
  </si>
  <si>
    <t>leave</t>
  </si>
  <si>
    <t>sale order</t>
  </si>
  <si>
    <t>internal</t>
  </si>
  <si>
    <t>internal_product</t>
  </si>
  <si>
    <t>Nom</t>
  </si>
  <si>
    <t>B WK</t>
  </si>
  <si>
    <t>N WK</t>
  </si>
  <si>
    <t>Paid leave WK</t>
  </si>
  <si>
    <t>Unpaid leave WK</t>
  </si>
  <si>
    <t>Vérif total jours</t>
  </si>
  <si>
    <t>Grade</t>
  </si>
  <si>
    <t>CDM</t>
  </si>
  <si>
    <t>Squad</t>
  </si>
  <si>
    <t>Type de mission</t>
  </si>
  <si>
    <t>Ali DOLANBAY</t>
  </si>
  <si>
    <t>Romain GRABOT</t>
  </si>
  <si>
    <t>Geraud ROUQUAYROL</t>
  </si>
  <si>
    <t>Théo TREVALINET</t>
  </si>
  <si>
    <t>Paul BEAUVAL</t>
  </si>
  <si>
    <t>Zakaria El MOUJOUD</t>
  </si>
  <si>
    <t>Hugo CLEMENT</t>
  </si>
  <si>
    <t>Adnane SENNOUNE</t>
  </si>
  <si>
    <t>Groupe</t>
  </si>
  <si>
    <t>Chef perf</t>
  </si>
  <si>
    <t>Squad Leader</t>
  </si>
  <si>
    <t>Solène Ménard</t>
  </si>
  <si>
    <t>Alexis BROS</t>
  </si>
  <si>
    <t>Victoire Malinovsky</t>
  </si>
  <si>
    <t>Nicolas Farny</t>
  </si>
  <si>
    <t>Jonathan Sarpaux</t>
  </si>
  <si>
    <t>Marion Plessis-Luciani</t>
  </si>
  <si>
    <t>Marion Larhantec</t>
  </si>
  <si>
    <t>Thibault Morisseau</t>
  </si>
  <si>
    <t>Lucas-Pierre Capelle</t>
  </si>
  <si>
    <t>Alice FAUROUX</t>
  </si>
  <si>
    <t>Gwenaëlle DEPLANTE</t>
  </si>
  <si>
    <t>Isadora NGUYEN VAN KHAN</t>
  </si>
  <si>
    <t>Patrick HIRIGOYEN</t>
  </si>
  <si>
    <t>Frédéric CHAN</t>
  </si>
  <si>
    <t>Ecart entre WK et pXX</t>
  </si>
  <si>
    <t>Étiquettes de colonnes</t>
  </si>
  <si>
    <t>Delta Octobre</t>
  </si>
  <si>
    <t>Delta novembre</t>
  </si>
  <si>
    <t>Delta décembre</t>
  </si>
  <si>
    <t>Delta janvier</t>
  </si>
  <si>
    <t>Delta  février</t>
  </si>
  <si>
    <t>Delta total</t>
  </si>
  <si>
    <t>Somme de Delta Octobre</t>
  </si>
  <si>
    <t>Somme de Delta novembre</t>
  </si>
  <si>
    <t>Somme de Delta décembre</t>
  </si>
  <si>
    <t>Somme de Delta janvier</t>
  </si>
  <si>
    <t>Somme de Delta  février</t>
  </si>
  <si>
    <t>Somme de Delta total</t>
  </si>
  <si>
    <t>Eva ROSILIO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</si>
</sst>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_€_-;\-* #,##0.00\ _€_-;_-* &quot;-&quot;??\ _€_-;_-@_-"/>
    <numFmt numFmtId="165" formatCode="d\.m\.yy;@"/>
    <numFmt numFmtId="166" formatCode="_-* #,##0.0\ _€_-;\-* #,##0.0\ _€_-;_-* &quot;-&quot;??\ _€_-;_-@_-"/>
    <numFmt numFmtId="167" formatCode="yyyy\-mm\-dd"/>
    <numFmt numFmtId="168" formatCode="0.0"/>
  </numFmts>
  <fonts count="22">
    <font>
      <sz val="11"/>
      <color theme="1"/>
      <name val="Aptos"/>
      <family val="2"/>
      <scheme val="minor"/>
    </font>
    <font>
      <sz val="11"/>
      <color theme="1"/>
      <name val="Aptos"/>
      <family val="2"/>
      <scheme val="minor"/>
    </font>
    <font>
      <sz val="10"/>
      <name val="Arial"/>
      <family val="2"/>
    </font>
    <font>
      <sz val="8"/>
      <color theme="0"/>
      <name val="Tahoma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8"/>
      <name val="Aptos"/>
      <family val="2"/>
      <scheme val="minor"/>
    </font>
    <font>
      <b/>
      <sz val="11"/>
      <color theme="1"/>
      <name val="Aptos"/>
      <family val="2"/>
      <scheme val="minor"/>
    </font>
    <font>
      <sz val="11"/>
      <color theme="0"/>
      <name val="Aptos"/>
      <family val="2"/>
    </font>
    <font>
      <sz val="11"/>
      <color theme="1"/>
      <name val="Aptos"/>
      <family val="2"/>
    </font>
    <font>
      <sz val="11"/>
      <name val="Aptos"/>
      <family val="2"/>
    </font>
    <font>
      <b/>
      <sz val="8"/>
      <color theme="0"/>
      <name val="Aptos"/>
      <family val="2"/>
    </font>
    <font>
      <b/>
      <sz val="8"/>
      <name val="Aptos"/>
      <family val="2"/>
    </font>
    <font>
      <b/>
      <sz val="8"/>
      <color rgb="FFFF0000"/>
      <name val="Aptos"/>
      <family val="2"/>
    </font>
    <font>
      <b/>
      <sz val="11"/>
      <color rgb="FFFF0000"/>
      <name val="Aptos"/>
      <family val="2"/>
    </font>
    <font>
      <sz val="8"/>
      <color theme="0"/>
      <name val="Aptos"/>
      <family val="2"/>
    </font>
    <font>
      <sz val="8"/>
      <color theme="1"/>
      <name val="Aptos"/>
      <family val="2"/>
    </font>
    <font>
      <sz val="8"/>
      <name val="Aptos"/>
      <family val="2"/>
    </font>
    <font>
      <b/>
      <sz val="8"/>
      <color theme="0"/>
      <name val="Aptos"/>
      <family val="2"/>
      <scheme val="minor"/>
    </font>
    <font>
      <sz val="8"/>
      <color theme="1"/>
      <name val="Aptos"/>
      <family val="2"/>
      <scheme val="minor"/>
    </font>
    <font>
      <sz val="8"/>
      <color rgb="FF000000"/>
      <name val="Aptos"/>
      <family val="2"/>
    </font>
    <font>
      <sz val="11"/>
      <color rgb="FF000000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4" fillId="0" borderId="0"/>
    <xf numFmtId="0" fontId="5" fillId="0" borderId="0"/>
    <xf numFmtId="0" fontId="5" fillId="0" borderId="0"/>
    <xf numFmtId="0" fontId="1" fillId="0" borderId="0"/>
  </cellStyleXfs>
  <cellXfs count="128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pivotButton="1"/>
    <xf numFmtId="0" fontId="0" fillId="0" borderId="3" xfId="0" applyBorder="1"/>
    <xf numFmtId="0" fontId="0" fillId="0" borderId="4" xfId="0" applyBorder="1"/>
    <xf numFmtId="0" fontId="0" fillId="0" borderId="0" xfId="0" applyAlignment="1">
      <alignment wrapText="1"/>
    </xf>
    <xf numFmtId="0" fontId="0" fillId="0" borderId="5" xfId="0" applyBorder="1"/>
    <xf numFmtId="0" fontId="7" fillId="0" borderId="0" xfId="0" applyFont="1"/>
    <xf numFmtId="49" fontId="0" fillId="0" borderId="0" xfId="0" applyNumberFormat="1" applyAlignment="1">
      <alignment wrapText="1"/>
    </xf>
    <xf numFmtId="0" fontId="0" fillId="0" borderId="2" xfId="0" applyBorder="1"/>
    <xf numFmtId="4" fontId="0" fillId="0" borderId="0" xfId="0" applyNumberFormat="1" applyAlignment="1">
      <alignment wrapText="1"/>
    </xf>
    <xf numFmtId="167" fontId="0" fillId="0" borderId="0" xfId="0" applyNumberFormat="1" applyAlignment="1">
      <alignment wrapText="1"/>
    </xf>
    <xf numFmtId="0" fontId="7" fillId="9" borderId="0" xfId="0" applyFont="1" applyFill="1"/>
    <xf numFmtId="0" fontId="8" fillId="0" borderId="0" xfId="0" applyFont="1"/>
    <xf numFmtId="0" fontId="9" fillId="0" borderId="0" xfId="0" applyFont="1"/>
    <xf numFmtId="0" fontId="10" fillId="8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0" borderId="0" xfId="2" applyFont="1"/>
    <xf numFmtId="0" fontId="12" fillId="0" borderId="0" xfId="2" applyFont="1" applyAlignment="1">
      <alignment horizontal="center"/>
    </xf>
    <xf numFmtId="0" fontId="12" fillId="0" borderId="0" xfId="2" applyFont="1" applyAlignment="1">
      <alignment horizontal="left"/>
    </xf>
    <xf numFmtId="0" fontId="12" fillId="0" borderId="0" xfId="2" applyFont="1" applyAlignment="1">
      <alignment horizontal="left" vertical="center"/>
    </xf>
    <xf numFmtId="0" fontId="11" fillId="3" borderId="0" xfId="2" applyFont="1" applyFill="1" applyAlignment="1">
      <alignment horizontal="center"/>
    </xf>
    <xf numFmtId="0" fontId="11" fillId="5" borderId="0" xfId="2" applyFont="1" applyFill="1" applyAlignment="1">
      <alignment horizontal="center"/>
    </xf>
    <xf numFmtId="0" fontId="13" fillId="0" borderId="0" xfId="2" applyFont="1" applyAlignment="1">
      <alignment horizontal="center"/>
    </xf>
    <xf numFmtId="0" fontId="11" fillId="0" borderId="0" xfId="2" applyFont="1" applyAlignment="1">
      <alignment horizontal="center"/>
    </xf>
    <xf numFmtId="0" fontId="12" fillId="0" borderId="0" xfId="2" applyFont="1"/>
    <xf numFmtId="0" fontId="12" fillId="0" borderId="0" xfId="2" applyFont="1" applyAlignment="1">
      <alignment wrapText="1"/>
    </xf>
    <xf numFmtId="0" fontId="14" fillId="0" borderId="0" xfId="0" applyFont="1"/>
    <xf numFmtId="0" fontId="9" fillId="0" borderId="0" xfId="0" applyFont="1" applyAlignment="1">
      <alignment vertical="center"/>
    </xf>
    <xf numFmtId="166" fontId="16" fillId="0" borderId="0" xfId="1" applyNumberFormat="1" applyFont="1" applyFill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left" indent="1"/>
    </xf>
    <xf numFmtId="0" fontId="0" fillId="0" borderId="6" xfId="0" applyBorder="1"/>
    <xf numFmtId="0" fontId="0" fillId="0" borderId="11" xfId="0" applyBorder="1"/>
    <xf numFmtId="0" fontId="0" fillId="0" borderId="12" xfId="0" applyBorder="1" applyAlignment="1">
      <alignment horizontal="left" indent="1"/>
    </xf>
    <xf numFmtId="0" fontId="0" fillId="0" borderId="13" xfId="0" applyBorder="1"/>
    <xf numFmtId="0" fontId="0" fillId="0" borderId="15" xfId="0" applyBorder="1"/>
    <xf numFmtId="168" fontId="7" fillId="14" borderId="14" xfId="0" applyNumberFormat="1" applyFont="1" applyFill="1" applyBorder="1" applyAlignment="1">
      <alignment horizontal="right" vertical="center"/>
    </xf>
    <xf numFmtId="0" fontId="0" fillId="0" borderId="10" xfId="0" applyBorder="1" applyAlignment="1">
      <alignment horizontal="left"/>
    </xf>
    <xf numFmtId="0" fontId="0" fillId="0" borderId="6" xfId="0" pivotButton="1" applyBorder="1"/>
    <xf numFmtId="0" fontId="0" fillId="0" borderId="6" xfId="0" applyBorder="1" applyAlignment="1">
      <alignment horizontal="left"/>
    </xf>
    <xf numFmtId="168" fontId="0" fillId="0" borderId="0" xfId="0" applyNumberFormat="1"/>
    <xf numFmtId="0" fontId="3" fillId="2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 vertical="center"/>
    </xf>
    <xf numFmtId="0" fontId="15" fillId="6" borderId="7" xfId="0" applyFont="1" applyFill="1" applyBorder="1" applyAlignment="1">
      <alignment horizontal="center" vertical="center" wrapText="1"/>
    </xf>
    <xf numFmtId="0" fontId="15" fillId="6" borderId="8" xfId="0" applyFont="1" applyFill="1" applyBorder="1" applyAlignment="1">
      <alignment horizontal="left" vertical="center"/>
    </xf>
    <xf numFmtId="165" fontId="15" fillId="6" borderId="8" xfId="0" applyNumberFormat="1" applyFont="1" applyFill="1" applyBorder="1" applyAlignment="1">
      <alignment horizontal="center" vertical="center" wrapText="1"/>
    </xf>
    <xf numFmtId="0" fontId="15" fillId="10" borderId="8" xfId="0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 vertical="center" wrapText="1"/>
    </xf>
    <xf numFmtId="0" fontId="15" fillId="4" borderId="8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5" fillId="7" borderId="8" xfId="0" applyFont="1" applyFill="1" applyBorder="1" applyAlignment="1">
      <alignment horizontal="center" vertical="center" wrapText="1"/>
    </xf>
    <xf numFmtId="0" fontId="15" fillId="12" borderId="8" xfId="0" applyFont="1" applyFill="1" applyBorder="1" applyAlignment="1">
      <alignment horizontal="center" vertical="center" wrapText="1"/>
    </xf>
    <xf numFmtId="0" fontId="15" fillId="12" borderId="9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wrapText="1"/>
    </xf>
    <xf numFmtId="0" fontId="9" fillId="0" borderId="6" xfId="0" applyFont="1" applyBorder="1" applyAlignment="1">
      <alignment wrapText="1"/>
    </xf>
    <xf numFmtId="0" fontId="9" fillId="0" borderId="6" xfId="0" applyFont="1" applyBorder="1"/>
    <xf numFmtId="0" fontId="9" fillId="0" borderId="6" xfId="0" applyFont="1" applyBorder="1" applyAlignment="1">
      <alignment horizontal="center"/>
    </xf>
    <xf numFmtId="168" fontId="9" fillId="0" borderId="6" xfId="0" applyNumberFormat="1" applyFont="1" applyBorder="1" applyAlignment="1">
      <alignment horizontal="center"/>
    </xf>
    <xf numFmtId="166" fontId="16" fillId="11" borderId="6" xfId="1" applyNumberFormat="1" applyFont="1" applyFill="1" applyBorder="1" applyAlignment="1" applyProtection="1">
      <alignment horizontal="center" vertical="center"/>
      <protection locked="0"/>
    </xf>
    <xf numFmtId="0" fontId="9" fillId="11" borderId="6" xfId="0" applyFont="1" applyFill="1" applyBorder="1" applyProtection="1">
      <protection locked="0"/>
    </xf>
    <xf numFmtId="0" fontId="9" fillId="11" borderId="6" xfId="0" applyFont="1" applyFill="1" applyBorder="1"/>
    <xf numFmtId="0" fontId="9" fillId="2" borderId="6" xfId="0" applyFont="1" applyFill="1" applyBorder="1"/>
    <xf numFmtId="0" fontId="9" fillId="11" borderId="6" xfId="0" applyFont="1" applyFill="1" applyBorder="1" applyAlignment="1">
      <alignment wrapText="1"/>
    </xf>
    <xf numFmtId="166" fontId="16" fillId="11" borderId="6" xfId="1" applyNumberFormat="1" applyFont="1" applyFill="1" applyBorder="1" applyAlignment="1" applyProtection="1">
      <alignment horizontal="center" vertical="center" wrapText="1"/>
      <protection locked="0"/>
    </xf>
    <xf numFmtId="0" fontId="9" fillId="11" borderId="6" xfId="0" applyFont="1" applyFill="1" applyBorder="1" applyAlignment="1" applyProtection="1">
      <alignment wrapText="1"/>
      <protection locked="0"/>
    </xf>
    <xf numFmtId="0" fontId="9" fillId="11" borderId="6" xfId="0" applyFont="1" applyFill="1" applyBorder="1" applyAlignment="1" applyProtection="1">
      <alignment vertical="center"/>
      <protection locked="0"/>
    </xf>
    <xf numFmtId="0" fontId="9" fillId="11" borderId="6" xfId="0" applyFont="1" applyFill="1" applyBorder="1" applyAlignment="1" applyProtection="1">
      <alignment horizontal="right"/>
      <protection locked="0"/>
    </xf>
    <xf numFmtId="0" fontId="9" fillId="11" borderId="6" xfId="0" applyFont="1" applyFill="1" applyBorder="1" applyAlignment="1" applyProtection="1">
      <alignment horizontal="center"/>
      <protection locked="0"/>
    </xf>
    <xf numFmtId="0" fontId="9" fillId="0" borderId="6" xfId="0" applyFont="1" applyBorder="1" applyAlignment="1">
      <alignment vertical="center"/>
    </xf>
    <xf numFmtId="0" fontId="9" fillId="0" borderId="6" xfId="0" applyFont="1" applyBorder="1" applyAlignment="1">
      <alignment horizontal="center" vertical="center"/>
    </xf>
    <xf numFmtId="168" fontId="9" fillId="0" borderId="6" xfId="0" applyNumberFormat="1" applyFont="1" applyBorder="1" applyAlignment="1">
      <alignment horizontal="center" vertical="center"/>
    </xf>
    <xf numFmtId="0" fontId="16" fillId="11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 wrapText="1"/>
    </xf>
    <xf numFmtId="0" fontId="9" fillId="0" borderId="12" xfId="0" applyFont="1" applyBorder="1" applyAlignment="1">
      <alignment wrapText="1"/>
    </xf>
    <xf numFmtId="0" fontId="9" fillId="0" borderId="13" xfId="0" applyFont="1" applyBorder="1" applyAlignment="1">
      <alignment wrapText="1"/>
    </xf>
    <xf numFmtId="0" fontId="9" fillId="0" borderId="13" xfId="0" applyFont="1" applyBorder="1"/>
    <xf numFmtId="0" fontId="9" fillId="0" borderId="13" xfId="0" applyFont="1" applyBorder="1" applyAlignment="1">
      <alignment horizontal="center"/>
    </xf>
    <xf numFmtId="0" fontId="16" fillId="11" borderId="6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11" borderId="6" xfId="0" applyFont="1" applyFill="1" applyBorder="1" applyAlignment="1">
      <alignment horizontal="center" wrapText="1"/>
    </xf>
    <xf numFmtId="166" fontId="17" fillId="11" borderId="6" xfId="1" applyNumberFormat="1" applyFont="1" applyFill="1" applyBorder="1" applyAlignment="1" applyProtection="1">
      <alignment horizontal="center" vertical="center"/>
      <protection locked="0"/>
    </xf>
    <xf numFmtId="0" fontId="16" fillId="11" borderId="6" xfId="0" applyFont="1" applyFill="1" applyBorder="1" applyAlignment="1" applyProtection="1">
      <alignment horizontal="center"/>
      <protection locked="0"/>
    </xf>
    <xf numFmtId="166" fontId="17" fillId="11" borderId="6" xfId="1" applyNumberFormat="1" applyFont="1" applyFill="1" applyBorder="1" applyAlignment="1" applyProtection="1">
      <alignment horizontal="center" vertical="center" wrapText="1"/>
      <protection locked="0"/>
    </xf>
    <xf numFmtId="0" fontId="16" fillId="11" borderId="11" xfId="0" applyFont="1" applyFill="1" applyBorder="1" applyAlignment="1" applyProtection="1">
      <alignment wrapText="1"/>
      <protection locked="0"/>
    </xf>
    <xf numFmtId="0" fontId="16" fillId="0" borderId="0" xfId="0" applyFont="1" applyAlignment="1">
      <alignment wrapText="1"/>
    </xf>
    <xf numFmtId="0" fontId="16" fillId="11" borderId="11" xfId="0" applyFont="1" applyFill="1" applyBorder="1" applyAlignment="1">
      <alignment wrapText="1"/>
    </xf>
    <xf numFmtId="0" fontId="16" fillId="11" borderId="11" xfId="0" applyFont="1" applyFill="1" applyBorder="1" applyProtection="1">
      <protection locked="0"/>
    </xf>
    <xf numFmtId="0" fontId="16" fillId="11" borderId="11" xfId="0" applyFont="1" applyFill="1" applyBorder="1" applyAlignment="1" applyProtection="1">
      <alignment horizontal="left" wrapText="1"/>
      <protection locked="0"/>
    </xf>
    <xf numFmtId="0" fontId="20" fillId="11" borderId="11" xfId="0" applyFont="1" applyFill="1" applyBorder="1" applyAlignment="1">
      <alignment wrapText="1"/>
    </xf>
    <xf numFmtId="166" fontId="16" fillId="11" borderId="11" xfId="1" applyNumberFormat="1" applyFont="1" applyFill="1" applyBorder="1" applyAlignment="1" applyProtection="1">
      <alignment horizontal="left" vertical="center"/>
      <protection locked="0"/>
    </xf>
    <xf numFmtId="16" fontId="16" fillId="11" borderId="11" xfId="0" applyNumberFormat="1" applyFont="1" applyFill="1" applyBorder="1" applyAlignment="1" applyProtection="1">
      <alignment wrapText="1"/>
      <protection locked="0"/>
    </xf>
    <xf numFmtId="0" fontId="16" fillId="11" borderId="11" xfId="0" applyFont="1" applyFill="1" applyBorder="1" applyAlignment="1">
      <alignment horizontal="center" wrapText="1"/>
    </xf>
    <xf numFmtId="0" fontId="16" fillId="11" borderId="11" xfId="0" applyFont="1" applyFill="1" applyBorder="1" applyAlignment="1" applyProtection="1">
      <alignment horizontal="right"/>
      <protection locked="0"/>
    </xf>
    <xf numFmtId="0" fontId="16" fillId="11" borderId="11" xfId="0" applyFont="1" applyFill="1" applyBorder="1"/>
    <xf numFmtId="0" fontId="16" fillId="11" borderId="11" xfId="0" quotePrefix="1" applyFont="1" applyFill="1" applyBorder="1" applyAlignment="1" applyProtection="1">
      <alignment wrapText="1"/>
      <protection locked="0"/>
    </xf>
    <xf numFmtId="0" fontId="16" fillId="11" borderId="16" xfId="0" applyFont="1" applyFill="1" applyBorder="1" applyAlignment="1" applyProtection="1">
      <alignment wrapText="1"/>
      <protection locked="0"/>
    </xf>
    <xf numFmtId="166" fontId="16" fillId="11" borderId="13" xfId="1" applyNumberFormat="1" applyFont="1" applyFill="1" applyBorder="1" applyAlignment="1" applyProtection="1">
      <alignment horizontal="center" vertical="center"/>
      <protection locked="0"/>
    </xf>
    <xf numFmtId="0" fontId="21" fillId="0" borderId="11" xfId="0" applyFont="1" applyBorder="1" applyAlignment="1">
      <alignment wrapText="1"/>
    </xf>
    <xf numFmtId="0" fontId="9" fillId="11" borderId="11" xfId="0" applyFont="1" applyFill="1" applyBorder="1" applyProtection="1">
      <protection locked="0"/>
    </xf>
    <xf numFmtId="0" fontId="9" fillId="11" borderId="11" xfId="0" applyFont="1" applyFill="1" applyBorder="1"/>
    <xf numFmtId="0" fontId="9" fillId="11" borderId="11" xfId="0" applyFont="1" applyFill="1" applyBorder="1" applyAlignment="1" applyProtection="1">
      <alignment vertical="center"/>
      <protection locked="0"/>
    </xf>
    <xf numFmtId="0" fontId="9" fillId="11" borderId="11" xfId="0" applyFont="1" applyFill="1" applyBorder="1" applyAlignment="1" applyProtection="1">
      <alignment horizontal="center"/>
      <protection locked="0"/>
    </xf>
    <xf numFmtId="0" fontId="9" fillId="11" borderId="16" xfId="0" applyFont="1" applyFill="1" applyBorder="1" applyProtection="1">
      <protection locked="0"/>
    </xf>
    <xf numFmtId="168" fontId="0" fillId="0" borderId="6" xfId="0" applyNumberFormat="1" applyBorder="1"/>
    <xf numFmtId="0" fontId="9" fillId="11" borderId="17" xfId="0" applyFont="1" applyFill="1" applyBorder="1" applyProtection="1">
      <protection locked="0"/>
    </xf>
    <xf numFmtId="0" fontId="9" fillId="15" borderId="6" xfId="0" applyFont="1" applyFill="1" applyBorder="1" applyAlignment="1">
      <alignment wrapText="1"/>
    </xf>
    <xf numFmtId="168" fontId="9" fillId="0" borderId="13" xfId="0" applyNumberFormat="1" applyFont="1" applyBorder="1" applyAlignment="1">
      <alignment horizontal="center"/>
    </xf>
    <xf numFmtId="0" fontId="9" fillId="0" borderId="11" xfId="0" applyFont="1" applyBorder="1"/>
    <xf numFmtId="0" fontId="9" fillId="11" borderId="0" xfId="0" applyFont="1" applyFill="1" applyProtection="1">
      <protection locked="0"/>
    </xf>
    <xf numFmtId="0" fontId="16" fillId="11" borderId="0" xfId="0" applyFont="1" applyFill="1" applyAlignment="1">
      <alignment horizontal="center"/>
    </xf>
    <xf numFmtId="166" fontId="16" fillId="11" borderId="0" xfId="1" applyNumberFormat="1" applyFont="1" applyFill="1" applyBorder="1" applyAlignment="1" applyProtection="1">
      <alignment horizontal="center" vertical="center" wrapText="1"/>
      <protection locked="0"/>
    </xf>
    <xf numFmtId="0" fontId="9" fillId="11" borderId="13" xfId="0" applyFont="1" applyFill="1" applyBorder="1"/>
    <xf numFmtId="0" fontId="9" fillId="11" borderId="0" xfId="0" applyFont="1" applyFill="1"/>
    <xf numFmtId="0" fontId="9" fillId="11" borderId="16" xfId="0" applyFont="1" applyFill="1" applyBorder="1"/>
    <xf numFmtId="0" fontId="16" fillId="11" borderId="0" xfId="0" applyFont="1" applyFill="1" applyAlignment="1" applyProtection="1">
      <alignment wrapText="1"/>
      <protection locked="0"/>
    </xf>
    <xf numFmtId="0" fontId="11" fillId="10" borderId="0" xfId="2" applyFont="1" applyFill="1" applyAlignment="1">
      <alignment horizontal="center"/>
    </xf>
    <xf numFmtId="0" fontId="11" fillId="4" borderId="0" xfId="2" applyFont="1" applyFill="1" applyAlignment="1">
      <alignment horizontal="center"/>
    </xf>
    <xf numFmtId="0" fontId="11" fillId="5" borderId="0" xfId="2" applyFont="1" applyFill="1" applyAlignment="1">
      <alignment horizontal="center"/>
    </xf>
    <xf numFmtId="0" fontId="18" fillId="2" borderId="0" xfId="2" applyFont="1" applyFill="1" applyAlignment="1">
      <alignment horizontal="center"/>
    </xf>
    <xf numFmtId="0" fontId="7" fillId="13" borderId="14" xfId="0" applyFont="1" applyFill="1" applyBorder="1" applyAlignment="1">
      <alignment horizontal="center" vertical="center" wrapText="1"/>
    </xf>
    <xf numFmtId="0" fontId="7" fillId="13" borderId="15" xfId="0" applyFont="1" applyFill="1" applyBorder="1" applyAlignment="1">
      <alignment horizontal="center" vertical="center" wrapText="1"/>
    </xf>
  </cellXfs>
  <cellStyles count="8">
    <cellStyle name="Milliers" xfId="1" builtinId="3"/>
    <cellStyle name="Milliers 2" xfId="3" xr:uid="{00000000-0005-0000-0000-000001000000}"/>
    <cellStyle name="Normal" xfId="0" builtinId="0"/>
    <cellStyle name="Normal 2" xfId="2" xr:uid="{00000000-0005-0000-0000-000003000000}"/>
    <cellStyle name="Normal 2 2" xfId="7" xr:uid="{A124A499-0E17-4D01-A103-8FF143A6CC05}"/>
    <cellStyle name="Normal 3" xfId="4" xr:uid="{00000000-0005-0000-0000-000004000000}"/>
    <cellStyle name="Normal 4" xfId="5" xr:uid="{DE8F2530-3E8A-4FF5-AB50-0F9E692F0F99}"/>
    <cellStyle name="Normal 6" xfId="6" xr:uid="{EE4D4E57-C3C4-4741-95AD-59DF71041E39}"/>
  </cellStyles>
  <dxfs count="118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minor"/>
      </font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minor"/>
      </font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4" formatCode="#,##0.00"/>
      <alignment horizontal="general" vertical="bottom" textRotation="0" wrapText="1" indent="0" justifyLastLine="0" shrinkToFit="0" readingOrder="0"/>
    </dxf>
    <dxf>
      <numFmt numFmtId="167" formatCode="yyyy\-mm\-dd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minor"/>
      </font>
    </dxf>
    <dxf>
      <font>
        <strike val="0"/>
        <outline val="0"/>
        <shadow val="0"/>
        <u val="none"/>
        <vertAlign val="baseline"/>
        <sz val="8"/>
        <name val="Aptos"/>
        <family val="2"/>
        <scheme val="none"/>
      </font>
      <numFmt numFmtId="0" formatCode="General"/>
      <fill>
        <patternFill patternType="solid">
          <fgColor indexed="64"/>
          <bgColor theme="9"/>
        </patternFill>
      </fill>
      <alignment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9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fill>
        <patternFill patternType="solid">
          <fgColor indexed="64"/>
          <bgColor theme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fill>
        <patternFill patternType="solid">
          <fgColor indexed="64"/>
          <bgColor theme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ptos"/>
        <scheme val="none"/>
      </font>
      <fill>
        <patternFill patternType="solid">
          <fgColor indexed="64"/>
          <bgColor theme="9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168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fill>
        <patternFill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fill>
        <patternFill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fill>
        <patternFill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ptos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869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[Check imputations - juin25.xlsm]Feuil5!Tableau croisé dynamique7</c:name>
    <c:fmtId val="3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Feuil5!$B$3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713-496B-880A-D0D5CCE3B57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713-496B-880A-D0D5CCE3B57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713-496B-880A-D0D5CCE3B57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713-496B-880A-D0D5CCE3B57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713-496B-880A-D0D5CCE3B57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713-496B-880A-D0D5CCE3B5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Feuil5!$A$4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Feuil5!$B$4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38E-4793-892B-47A49616682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750887</xdr:colOff>
      <xdr:row>0</xdr:row>
      <xdr:rowOff>115887</xdr:rowOff>
    </xdr:from>
    <xdr:to>
      <xdr:col>8</xdr:col>
      <xdr:colOff>790575</xdr:colOff>
      <xdr:row>12</xdr:row>
      <xdr:rowOff>19050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0F031949-F0B0-58B2-CB78-273201244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tes/WOP-CTO-CDM/Shared%20Documents/Performance%20CTO/Cl&#244;ture/24-11/Check%20imputations%20-%20nov2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igiplace.sharepoint.com/sites/WOP-CTO-CDM/Shared%20Documents/Performance%20CTO/Cl&#244;ture/25-01/Check%20imputations%20-%20jan25.xlsm" TargetMode="External"/><Relationship Id="rId1" Type="http://schemas.openxmlformats.org/officeDocument/2006/relationships/externalLinkPath" Target="/sites/WOP-CTO-CDM/Shared%20Documents/Performance%20CTO/Cl&#244;ture/25-01/Check%20imputations%20-%20jan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s"/>
      <sheetName val="TCD delta prod days"/>
      <sheetName val="Delta prod days sept. oct. nov."/>
      <sheetName val="INPUT Intention"/>
      <sheetName val="INPUT PXX"/>
      <sheetName val="INPUT brut WK"/>
      <sheetName val="INPUT WK par collab"/>
      <sheetName val="Parametres"/>
    </sheetNames>
    <sheetDataSet>
      <sheetData sheetId="0"/>
      <sheetData sheetId="1"/>
      <sheetData sheetId="2">
        <row r="1">
          <cell r="A1" t="str">
            <v>Étiquettes de lignes</v>
          </cell>
          <cell r="D1" t="str">
            <v>Delta novembre</v>
          </cell>
        </row>
        <row r="2">
          <cell r="A2" t="str">
            <v>Florent MATHE</v>
          </cell>
          <cell r="D2">
            <v>-19.5</v>
          </cell>
        </row>
        <row r="3">
          <cell r="A3" t="str">
            <v>Yuri HOFTE</v>
          </cell>
          <cell r="D3">
            <v>-18.7</v>
          </cell>
        </row>
        <row r="4">
          <cell r="A4" t="str">
            <v>Louis-Marie LAFONT</v>
          </cell>
          <cell r="D4">
            <v>-15</v>
          </cell>
        </row>
        <row r="5">
          <cell r="A5" t="str">
            <v>Quentin QUONIAM</v>
          </cell>
          <cell r="D5">
            <v>-13</v>
          </cell>
        </row>
        <row r="6">
          <cell r="A6" t="str">
            <v>Nicolas MURAT</v>
          </cell>
          <cell r="D6">
            <v>-12.5</v>
          </cell>
        </row>
        <row r="7">
          <cell r="A7" t="str">
            <v>Sina MOVAGHAR</v>
          </cell>
          <cell r="D7">
            <v>-12</v>
          </cell>
        </row>
        <row r="8">
          <cell r="A8" t="str">
            <v>Marin PIGANEAU</v>
          </cell>
          <cell r="D8">
            <v>-11.5</v>
          </cell>
        </row>
        <row r="9">
          <cell r="A9" t="str">
            <v>Timothée CARRICO</v>
          </cell>
          <cell r="D9">
            <v>-10</v>
          </cell>
        </row>
        <row r="10">
          <cell r="A10" t="str">
            <v>Boris WASIER</v>
          </cell>
          <cell r="D10">
            <v>-9.5</v>
          </cell>
        </row>
        <row r="11">
          <cell r="A11" t="str">
            <v>François FONTESPIS-LOSTE</v>
          </cell>
          <cell r="D11">
            <v>-8.5</v>
          </cell>
        </row>
        <row r="12">
          <cell r="A12" t="str">
            <v>Antoine DENIE</v>
          </cell>
          <cell r="D12">
            <v>-8</v>
          </cell>
        </row>
        <row r="13">
          <cell r="A13" t="str">
            <v>Yves REMBERT</v>
          </cell>
          <cell r="D13">
            <v>-7.5</v>
          </cell>
        </row>
        <row r="14">
          <cell r="A14" t="str">
            <v>Margot KOHL</v>
          </cell>
          <cell r="D14">
            <v>-6.5</v>
          </cell>
        </row>
        <row r="15">
          <cell r="A15" t="str">
            <v>Pierre NARCE</v>
          </cell>
          <cell r="D15">
            <v>-6.5</v>
          </cell>
        </row>
        <row r="16">
          <cell r="A16" t="str">
            <v>Anthony CORNU</v>
          </cell>
          <cell r="D16">
            <v>-6</v>
          </cell>
        </row>
        <row r="17">
          <cell r="A17" t="str">
            <v>Camille DURAND</v>
          </cell>
          <cell r="D17">
            <v>-6</v>
          </cell>
        </row>
        <row r="18">
          <cell r="A18" t="str">
            <v>Florence ESPITALIER</v>
          </cell>
          <cell r="D18">
            <v>-5.5</v>
          </cell>
        </row>
        <row r="19">
          <cell r="A19" t="str">
            <v>Isadora NGUYEN VAN KHAN</v>
          </cell>
          <cell r="D19">
            <v>-5</v>
          </cell>
        </row>
        <row r="20">
          <cell r="A20" t="str">
            <v>Marius LIBERT</v>
          </cell>
          <cell r="D20">
            <v>-5</v>
          </cell>
        </row>
        <row r="21">
          <cell r="A21" t="str">
            <v>Théo ROCH</v>
          </cell>
          <cell r="D21">
            <v>-5</v>
          </cell>
        </row>
        <row r="22">
          <cell r="A22" t="str">
            <v>Fatima Zohra OUTALHA</v>
          </cell>
          <cell r="D22">
            <v>-4.5</v>
          </cell>
        </row>
        <row r="23">
          <cell r="A23" t="str">
            <v>Maria OUELLAJ</v>
          </cell>
          <cell r="D23">
            <v>-4.5</v>
          </cell>
        </row>
        <row r="24">
          <cell r="A24" t="str">
            <v>Flora BRUYERE</v>
          </cell>
          <cell r="D24">
            <v>-4</v>
          </cell>
        </row>
        <row r="25">
          <cell r="A25" t="str">
            <v>Frédéric CHAN</v>
          </cell>
          <cell r="D25">
            <v>-4</v>
          </cell>
        </row>
        <row r="26">
          <cell r="A26" t="str">
            <v>Guillaume PICARD</v>
          </cell>
          <cell r="D26">
            <v>-4</v>
          </cell>
        </row>
        <row r="27">
          <cell r="A27" t="str">
            <v>Jonathan SARPAUX</v>
          </cell>
          <cell r="D27">
            <v>-4</v>
          </cell>
        </row>
        <row r="28">
          <cell r="A28" t="str">
            <v>Fayçal YAKOUBI</v>
          </cell>
          <cell r="D28">
            <v>-2.5</v>
          </cell>
        </row>
        <row r="29">
          <cell r="A29" t="str">
            <v>Lamiae DRIDRI</v>
          </cell>
          <cell r="D29">
            <v>-2</v>
          </cell>
        </row>
        <row r="30">
          <cell r="A30" t="str">
            <v>Roman ESQUERRE</v>
          </cell>
          <cell r="D30">
            <v>-2</v>
          </cell>
        </row>
        <row r="31">
          <cell r="A31" t="str">
            <v>Julia FRANCO</v>
          </cell>
          <cell r="D31">
            <v>-1.5</v>
          </cell>
        </row>
        <row r="32">
          <cell r="A32" t="str">
            <v>Matthieu SENN</v>
          </cell>
          <cell r="D32">
            <v>-1.5</v>
          </cell>
        </row>
        <row r="33">
          <cell r="A33" t="str">
            <v>Pierre MONCHALIN</v>
          </cell>
          <cell r="D33">
            <v>-1.5</v>
          </cell>
        </row>
        <row r="34">
          <cell r="A34" t="str">
            <v>Thibault MORISSEAU</v>
          </cell>
          <cell r="D34">
            <v>-1.5</v>
          </cell>
        </row>
        <row r="35">
          <cell r="A35" t="str">
            <v>Cédric GUICHARD</v>
          </cell>
          <cell r="D35">
            <v>-1</v>
          </cell>
        </row>
        <row r="36">
          <cell r="A36" t="str">
            <v>Julie FERRANDO</v>
          </cell>
          <cell r="D36">
            <v>-1</v>
          </cell>
        </row>
        <row r="37">
          <cell r="A37" t="str">
            <v>Karim ISKANDER</v>
          </cell>
          <cell r="D37">
            <v>-1</v>
          </cell>
        </row>
        <row r="38">
          <cell r="A38" t="str">
            <v>Rémi TANIWAKI</v>
          </cell>
          <cell r="D38">
            <v>-1</v>
          </cell>
        </row>
        <row r="39">
          <cell r="A39" t="str">
            <v>Solène MENARD</v>
          </cell>
          <cell r="D39">
            <v>-1</v>
          </cell>
        </row>
        <row r="40">
          <cell r="A40" t="str">
            <v>Valérie WITTORSKI</v>
          </cell>
          <cell r="D40">
            <v>-1</v>
          </cell>
        </row>
        <row r="41">
          <cell r="A41" t="str">
            <v>Yosr ABIDA</v>
          </cell>
          <cell r="D41">
            <v>-1</v>
          </cell>
        </row>
        <row r="42">
          <cell r="A42" t="str">
            <v>Jonathan GERARDIN</v>
          </cell>
          <cell r="D42">
            <v>-0.5</v>
          </cell>
        </row>
        <row r="43">
          <cell r="A43" t="str">
            <v>Marine SELY</v>
          </cell>
          <cell r="D43">
            <v>-0.5</v>
          </cell>
        </row>
        <row r="44">
          <cell r="A44" t="str">
            <v>Philibert DE MONTILLE</v>
          </cell>
          <cell r="D44">
            <v>-0.5</v>
          </cell>
        </row>
        <row r="45">
          <cell r="A45" t="str">
            <v>Alice FAUROUX</v>
          </cell>
          <cell r="D45">
            <v>0</v>
          </cell>
        </row>
        <row r="46">
          <cell r="A46" t="str">
            <v>Amine BENNEKROUF</v>
          </cell>
          <cell r="D46">
            <v>0</v>
          </cell>
        </row>
        <row r="47">
          <cell r="A47" t="str">
            <v>Anthony LORA</v>
          </cell>
          <cell r="D47">
            <v>0</v>
          </cell>
        </row>
        <row r="48">
          <cell r="A48" t="str">
            <v>Clément VINCENT</v>
          </cell>
          <cell r="D48">
            <v>0</v>
          </cell>
        </row>
        <row r="49">
          <cell r="A49" t="str">
            <v>Etienne BELLITTO</v>
          </cell>
          <cell r="D49">
            <v>0</v>
          </cell>
        </row>
        <row r="50">
          <cell r="A50" t="str">
            <v>Eva ROSILIO</v>
          </cell>
          <cell r="D50">
            <v>0</v>
          </cell>
        </row>
        <row r="51">
          <cell r="A51" t="str">
            <v>Faustine COMBAULT</v>
          </cell>
          <cell r="D51">
            <v>0</v>
          </cell>
        </row>
        <row r="52">
          <cell r="A52" t="str">
            <v>Faustine TIRINZONI</v>
          </cell>
          <cell r="D52">
            <v>0</v>
          </cell>
        </row>
        <row r="53">
          <cell r="A53" t="str">
            <v>Guillaume CHASSARD</v>
          </cell>
          <cell r="D53">
            <v>0</v>
          </cell>
        </row>
        <row r="54">
          <cell r="A54" t="str">
            <v>Gwenaëlle DEPLANTE</v>
          </cell>
          <cell r="D54">
            <v>0</v>
          </cell>
        </row>
        <row r="55">
          <cell r="A55" t="str">
            <v>Hélène CHATROUSSE</v>
          </cell>
          <cell r="D55">
            <v>0</v>
          </cell>
        </row>
        <row r="56">
          <cell r="A56" t="str">
            <v>Ignacio MARTIN VELASCO</v>
          </cell>
          <cell r="D56">
            <v>0</v>
          </cell>
        </row>
        <row r="57">
          <cell r="A57" t="str">
            <v>Jimmy GUERIN</v>
          </cell>
          <cell r="D57">
            <v>0</v>
          </cell>
        </row>
        <row r="58">
          <cell r="A58" t="str">
            <v>Marie CHAMOUSSET</v>
          </cell>
          <cell r="D58">
            <v>0</v>
          </cell>
        </row>
        <row r="59">
          <cell r="A59" t="str">
            <v>Marion GERIN-ROZE</v>
          </cell>
          <cell r="D59">
            <v>0</v>
          </cell>
        </row>
        <row r="60">
          <cell r="A60" t="str">
            <v>Mathilde JÉGOU</v>
          </cell>
          <cell r="D60">
            <v>0</v>
          </cell>
        </row>
        <row r="61">
          <cell r="A61" t="str">
            <v>Nolwenn DELORD</v>
          </cell>
          <cell r="D61">
            <v>0</v>
          </cell>
        </row>
        <row r="62">
          <cell r="A62" t="str">
            <v>Othmane KHARBACH</v>
          </cell>
          <cell r="D62">
            <v>0</v>
          </cell>
        </row>
        <row r="63">
          <cell r="A63" t="str">
            <v>Pauline SAUNIER</v>
          </cell>
          <cell r="D63">
            <v>0</v>
          </cell>
        </row>
        <row r="64">
          <cell r="A64" t="str">
            <v>Sandrine CHAILLEY</v>
          </cell>
          <cell r="D64">
            <v>0</v>
          </cell>
        </row>
        <row r="65">
          <cell r="A65" t="str">
            <v>Théophile PAHLAWAN</v>
          </cell>
          <cell r="D65">
            <v>0</v>
          </cell>
        </row>
        <row r="66">
          <cell r="A66" t="str">
            <v>Vérane CHOAIN</v>
          </cell>
          <cell r="D66">
            <v>0</v>
          </cell>
        </row>
        <row r="67">
          <cell r="A67" t="str">
            <v>Zineb MEZGUELDI</v>
          </cell>
          <cell r="D67">
            <v>0</v>
          </cell>
        </row>
        <row r="68">
          <cell r="A68" t="str">
            <v>Alice GUILABERT</v>
          </cell>
          <cell r="D68">
            <v>0</v>
          </cell>
        </row>
        <row r="69">
          <cell r="A69" t="str">
            <v>Azza LASSOUED</v>
          </cell>
          <cell r="D69">
            <v>0</v>
          </cell>
        </row>
        <row r="70">
          <cell r="A70" t="str">
            <v>Benoit DARDE</v>
          </cell>
          <cell r="D70">
            <v>0</v>
          </cell>
        </row>
        <row r="71">
          <cell r="A71" t="str">
            <v>Farah MOHAMADI</v>
          </cell>
          <cell r="D71">
            <v>0</v>
          </cell>
        </row>
        <row r="72">
          <cell r="A72" t="str">
            <v>Marc DE MONTGOLFIER</v>
          </cell>
          <cell r="D72">
            <v>0</v>
          </cell>
        </row>
        <row r="73">
          <cell r="A73" t="str">
            <v>Gaël LACOSTE</v>
          </cell>
          <cell r="D73">
            <v>0.5</v>
          </cell>
        </row>
        <row r="74">
          <cell r="A74" t="str">
            <v>Jad ZGHEIB</v>
          </cell>
          <cell r="D74">
            <v>0.5</v>
          </cell>
        </row>
        <row r="75">
          <cell r="A75" t="str">
            <v>Patrick HIRIGOYEN</v>
          </cell>
          <cell r="D75">
            <v>0.5</v>
          </cell>
        </row>
        <row r="76">
          <cell r="A76" t="str">
            <v>Gaël PEZIER</v>
          </cell>
          <cell r="D76">
            <v>1</v>
          </cell>
        </row>
        <row r="77">
          <cell r="A77" t="str">
            <v>Ombeline NEYRAND</v>
          </cell>
          <cell r="D77">
            <v>1</v>
          </cell>
        </row>
        <row r="78">
          <cell r="A78" t="str">
            <v>Jean-Baptiste DUBOIS</v>
          </cell>
          <cell r="D78">
            <v>1.5</v>
          </cell>
        </row>
        <row r="79">
          <cell r="A79" t="str">
            <v>Laura JEANNIN</v>
          </cell>
          <cell r="D79">
            <v>1.5</v>
          </cell>
        </row>
        <row r="80">
          <cell r="A80" t="str">
            <v>Godefroy DENORMANDIE</v>
          </cell>
          <cell r="D80">
            <v>2</v>
          </cell>
        </row>
        <row r="81">
          <cell r="A81" t="str">
            <v>Laurent BELLEFIN</v>
          </cell>
          <cell r="D81">
            <v>2</v>
          </cell>
        </row>
        <row r="82">
          <cell r="A82" t="str">
            <v>Antoine FROMENTIN</v>
          </cell>
          <cell r="D82">
            <v>2.5</v>
          </cell>
        </row>
        <row r="83">
          <cell r="A83" t="str">
            <v>Guillaume VAQUERO</v>
          </cell>
          <cell r="D83">
            <v>2.5</v>
          </cell>
        </row>
        <row r="84">
          <cell r="A84" t="str">
            <v>Rebecca LARRIVEE</v>
          </cell>
          <cell r="D84">
            <v>2.5</v>
          </cell>
        </row>
        <row r="85">
          <cell r="A85" t="str">
            <v>Julien FLOCH</v>
          </cell>
          <cell r="D85">
            <v>3</v>
          </cell>
        </row>
        <row r="86">
          <cell r="A86" t="str">
            <v>Nicolas FARNY</v>
          </cell>
          <cell r="D86">
            <v>3</v>
          </cell>
        </row>
        <row r="87">
          <cell r="A87" t="str">
            <v>Ange KAMDEM</v>
          </cell>
          <cell r="D87">
            <v>4</v>
          </cell>
        </row>
        <row r="88">
          <cell r="A88" t="str">
            <v>Harrison LECHEVALLIER</v>
          </cell>
          <cell r="D88">
            <v>4</v>
          </cell>
        </row>
        <row r="89">
          <cell r="A89" t="str">
            <v>Soline LE BLEVEC</v>
          </cell>
          <cell r="D89">
            <v>4</v>
          </cell>
        </row>
        <row r="90">
          <cell r="A90" t="str">
            <v>Alexia BROS</v>
          </cell>
          <cell r="D90">
            <v>4.5</v>
          </cell>
        </row>
        <row r="91">
          <cell r="A91" t="str">
            <v>Arthur BIGNIER</v>
          </cell>
          <cell r="D91">
            <v>4.5</v>
          </cell>
        </row>
        <row r="92">
          <cell r="A92" t="str">
            <v>Pierre LEJEUNE</v>
          </cell>
          <cell r="D92">
            <v>4.5</v>
          </cell>
        </row>
        <row r="93">
          <cell r="A93" t="str">
            <v>Willy TAN</v>
          </cell>
          <cell r="D93">
            <v>5</v>
          </cell>
        </row>
        <row r="94">
          <cell r="A94" t="str">
            <v>Fabrice AUSTRUY</v>
          </cell>
          <cell r="D94">
            <v>6.5</v>
          </cell>
        </row>
        <row r="95">
          <cell r="A95" t="str">
            <v>Christophe LOEUR</v>
          </cell>
          <cell r="D95">
            <v>7</v>
          </cell>
        </row>
        <row r="96">
          <cell r="A96" t="str">
            <v>Charles PARIS</v>
          </cell>
          <cell r="D96">
            <v>7.5</v>
          </cell>
        </row>
        <row r="97">
          <cell r="A97" t="str">
            <v>Florence NOIZET</v>
          </cell>
          <cell r="D97">
            <v>8</v>
          </cell>
        </row>
        <row r="98">
          <cell r="A98" t="str">
            <v>Alicia JAFFRE</v>
          </cell>
          <cell r="D98">
            <v>10</v>
          </cell>
        </row>
        <row r="99">
          <cell r="A99" t="str">
            <v>Marion LARHANTEC</v>
          </cell>
          <cell r="D99">
            <v>14.5</v>
          </cell>
        </row>
        <row r="100">
          <cell r="A100" t="str">
            <v>Yannick TAUPIAC</v>
          </cell>
          <cell r="D100">
            <v>14.5</v>
          </cell>
        </row>
        <row r="101">
          <cell r="A101" t="str">
            <v>Amaury LECOMTE</v>
          </cell>
          <cell r="D101">
            <v>15.5</v>
          </cell>
        </row>
        <row r="102">
          <cell r="A102" t="str">
            <v>Valentin DAVAUDET</v>
          </cell>
          <cell r="D102">
            <v>15.5</v>
          </cell>
        </row>
        <row r="103">
          <cell r="A103" t="str">
            <v>Marion PLESSIS-LUCIANI</v>
          </cell>
          <cell r="D103">
            <v>17</v>
          </cell>
        </row>
        <row r="104">
          <cell r="A104" t="str">
            <v>Marine GATELLIER</v>
          </cell>
          <cell r="D104">
            <v>18</v>
          </cell>
        </row>
        <row r="105">
          <cell r="A105" t="str">
            <v>Total général</v>
          </cell>
          <cell r="D105">
            <v>-48.699999999999989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8ubPoA1XjEers_XrVxnJ9efeZRhNV4RKlHAqnD8_alx8vewHESYhSa2JHDvbSCJF" itemId="01E2WJNXOYWWNHHCZGUBBLZXSNEOPDL2TM">
      <xxl21:absoluteUrl r:id="rId2"/>
    </xxl21:alternateUrls>
    <sheetNames>
      <sheetName val="Feuil1"/>
      <sheetName val="Feuil6"/>
      <sheetName val="Feuil4"/>
      <sheetName val="Checks"/>
      <sheetName val="TCD delta prod days"/>
      <sheetName val="INPUT Intention"/>
      <sheetName val="INPUT PXX"/>
      <sheetName val="INPUT brut WK"/>
      <sheetName val="INPUT WK par collab"/>
      <sheetName val="Parametres"/>
    </sheetNames>
    <sheetDataSet>
      <sheetData sheetId="0"/>
      <sheetData sheetId="1"/>
      <sheetData sheetId="2"/>
      <sheetData sheetId="3"/>
      <sheetData sheetId="4">
        <row r="1">
          <cell r="A1" t="str">
            <v>Contrôle</v>
          </cell>
          <cell r="B1" t="str">
            <v>(Tous)</v>
          </cell>
        </row>
        <row r="3">
          <cell r="A3" t="str">
            <v>Étiquettes de lignes</v>
          </cell>
          <cell r="B3" t="str">
            <v>Somme de Delta prod days avec intention</v>
          </cell>
        </row>
        <row r="4">
          <cell r="A4" t="str">
            <v/>
          </cell>
          <cell r="B4">
            <v>10.5</v>
          </cell>
        </row>
        <row r="5">
          <cell r="A5" t="str">
            <v>Louis-Marie LAFONT</v>
          </cell>
          <cell r="B5">
            <v>-2.5</v>
          </cell>
        </row>
        <row r="6">
          <cell r="A6" t="str">
            <v>Hélène CHATROUSSE</v>
          </cell>
          <cell r="B6">
            <v>0</v>
          </cell>
        </row>
        <row r="7">
          <cell r="A7" t="str">
            <v>Sandrine CHAILLEY</v>
          </cell>
          <cell r="B7">
            <v>0</v>
          </cell>
        </row>
        <row r="8">
          <cell r="A8" t="str">
            <v>Laurent BELLEFIN</v>
          </cell>
          <cell r="B8">
            <v>0</v>
          </cell>
        </row>
        <row r="9">
          <cell r="A9" t="str">
            <v>Marc DE MONTGOLFIER</v>
          </cell>
          <cell r="B9">
            <v>1</v>
          </cell>
        </row>
        <row r="10">
          <cell r="A10" t="str">
            <v>Marie CHAMOUSSET</v>
          </cell>
          <cell r="B10">
            <v>12</v>
          </cell>
        </row>
        <row r="11">
          <cell r="A11" t="str">
            <v>Squad A</v>
          </cell>
          <cell r="B11">
            <v>-44.5</v>
          </cell>
        </row>
        <row r="12">
          <cell r="A12" t="str">
            <v>Fayçal YAKOUBI</v>
          </cell>
          <cell r="B12">
            <v>-19</v>
          </cell>
        </row>
        <row r="13">
          <cell r="A13" t="str">
            <v>Valentin DAVAUDET</v>
          </cell>
          <cell r="B13">
            <v>-10.5</v>
          </cell>
        </row>
        <row r="14">
          <cell r="A14" t="str">
            <v>Florence NOIZET</v>
          </cell>
          <cell r="B14">
            <v>-8.5</v>
          </cell>
        </row>
        <row r="15">
          <cell r="A15" t="str">
            <v>Amine BENNEKROUF</v>
          </cell>
          <cell r="B15">
            <v>-6</v>
          </cell>
        </row>
        <row r="16">
          <cell r="A16" t="str">
            <v>Solène MENARD</v>
          </cell>
          <cell r="B16">
            <v>-3</v>
          </cell>
        </row>
        <row r="17">
          <cell r="A17" t="str">
            <v>Marius LIBERT</v>
          </cell>
          <cell r="B17">
            <v>-2</v>
          </cell>
        </row>
        <row r="18">
          <cell r="A18" t="str">
            <v>Philibert DE MONTILLE</v>
          </cell>
          <cell r="B18">
            <v>-1.5</v>
          </cell>
        </row>
        <row r="19">
          <cell r="A19" t="str">
            <v>Martin FLOURENS</v>
          </cell>
          <cell r="B19">
            <v>0</v>
          </cell>
        </row>
        <row r="20">
          <cell r="A20" t="str">
            <v>Ombeline NEYRAND</v>
          </cell>
          <cell r="B20">
            <v>0</v>
          </cell>
        </row>
        <row r="21">
          <cell r="A21" t="str">
            <v>Rebecca LARRIVEE</v>
          </cell>
          <cell r="B21">
            <v>0</v>
          </cell>
        </row>
        <row r="22">
          <cell r="A22" t="str">
            <v>Fatima Zohra OUTALHA</v>
          </cell>
          <cell r="B22">
            <v>0.5</v>
          </cell>
        </row>
        <row r="23">
          <cell r="A23" t="str">
            <v>Harrison LECHEVALLIER</v>
          </cell>
          <cell r="B23">
            <v>2</v>
          </cell>
        </row>
        <row r="24">
          <cell r="A24" t="str">
            <v>Alexia BROS</v>
          </cell>
          <cell r="B24">
            <v>3.5</v>
          </cell>
        </row>
        <row r="25">
          <cell r="A25" t="str">
            <v>Squad B</v>
          </cell>
          <cell r="B25">
            <v>-29.5</v>
          </cell>
        </row>
        <row r="26">
          <cell r="A26" t="str">
            <v>Yves REMBERT</v>
          </cell>
          <cell r="B26">
            <v>-16</v>
          </cell>
        </row>
        <row r="27">
          <cell r="A27" t="str">
            <v>Antoine DENIE</v>
          </cell>
          <cell r="B27">
            <v>-14</v>
          </cell>
        </row>
        <row r="28">
          <cell r="A28" t="str">
            <v>Théo ROCH</v>
          </cell>
          <cell r="B28">
            <v>-12</v>
          </cell>
        </row>
        <row r="29">
          <cell r="A29" t="str">
            <v>Julia FRANCO</v>
          </cell>
          <cell r="B29">
            <v>-9</v>
          </cell>
        </row>
        <row r="30">
          <cell r="A30" t="str">
            <v>Sina MOVAGHAR</v>
          </cell>
          <cell r="B30">
            <v>-4.5</v>
          </cell>
        </row>
        <row r="31">
          <cell r="A31" t="str">
            <v>Roman ESQUERRE</v>
          </cell>
          <cell r="B31">
            <v>1.5</v>
          </cell>
        </row>
        <row r="32">
          <cell r="A32" t="str">
            <v>Azza LASSOUED</v>
          </cell>
          <cell r="B32">
            <v>2</v>
          </cell>
        </row>
        <row r="33">
          <cell r="A33" t="str">
            <v>Jimmy GUERIN</v>
          </cell>
          <cell r="B33">
            <v>4.5</v>
          </cell>
        </row>
        <row r="34">
          <cell r="A34" t="str">
            <v>Yannick TAUPIAC</v>
          </cell>
          <cell r="B34">
            <v>18</v>
          </cell>
        </row>
        <row r="35">
          <cell r="A35" t="str">
            <v>Squad C</v>
          </cell>
          <cell r="B35">
            <v>-28.6</v>
          </cell>
        </row>
        <row r="36">
          <cell r="A36" t="str">
            <v>Maria OUELLAJ</v>
          </cell>
          <cell r="B36">
            <v>-28</v>
          </cell>
        </row>
        <row r="37">
          <cell r="A37" t="str">
            <v>Boris WASIER</v>
          </cell>
          <cell r="B37">
            <v>-15</v>
          </cell>
        </row>
        <row r="38">
          <cell r="A38" t="str">
            <v>Quentin QUONIAM</v>
          </cell>
          <cell r="B38">
            <v>-5</v>
          </cell>
        </row>
        <row r="39">
          <cell r="A39" t="str">
            <v>Guillaume VAQUERO</v>
          </cell>
          <cell r="B39">
            <v>-2.5</v>
          </cell>
        </row>
        <row r="40">
          <cell r="A40" t="str">
            <v>Nicolas FARNY</v>
          </cell>
          <cell r="B40">
            <v>-2</v>
          </cell>
        </row>
        <row r="41">
          <cell r="A41" t="str">
            <v>Arthur BIGNIER</v>
          </cell>
          <cell r="B41">
            <v>-2</v>
          </cell>
        </row>
        <row r="42">
          <cell r="A42" t="str">
            <v>Marin PIGANEAU</v>
          </cell>
          <cell r="B42">
            <v>-1</v>
          </cell>
        </row>
        <row r="43">
          <cell r="A43" t="str">
            <v>Fabrice AUSTRUY</v>
          </cell>
          <cell r="B43">
            <v>-0.5</v>
          </cell>
        </row>
        <row r="44">
          <cell r="A44" t="str">
            <v>Cédric GUICHARD</v>
          </cell>
          <cell r="B44">
            <v>-0.10000000000000142</v>
          </cell>
        </row>
        <row r="45">
          <cell r="A45" t="str">
            <v>Anthony LORA</v>
          </cell>
          <cell r="B45">
            <v>0</v>
          </cell>
        </row>
        <row r="46">
          <cell r="A46" t="str">
            <v>Godefroy DENORMANDIE</v>
          </cell>
          <cell r="B46">
            <v>11</v>
          </cell>
        </row>
        <row r="47">
          <cell r="A47" t="str">
            <v>Etienne BELLITTO</v>
          </cell>
          <cell r="B47">
            <v>16.5</v>
          </cell>
        </row>
        <row r="48">
          <cell r="A48" t="str">
            <v>Squad D</v>
          </cell>
          <cell r="B48">
            <v>-28.5</v>
          </cell>
        </row>
        <row r="49">
          <cell r="A49" t="str">
            <v>Karim ISKANDER</v>
          </cell>
          <cell r="B49">
            <v>-9</v>
          </cell>
        </row>
        <row r="50">
          <cell r="A50" t="str">
            <v>Yosr ABIDA</v>
          </cell>
          <cell r="B50">
            <v>-8.5</v>
          </cell>
        </row>
        <row r="51">
          <cell r="A51" t="str">
            <v>Timothée CARRICO</v>
          </cell>
          <cell r="B51">
            <v>-5.5</v>
          </cell>
        </row>
        <row r="52">
          <cell r="A52" t="str">
            <v>Jonathan SARPAUX</v>
          </cell>
          <cell r="B52">
            <v>-5</v>
          </cell>
        </row>
        <row r="53">
          <cell r="A53" t="str">
            <v>Rémi TANIWAKI</v>
          </cell>
          <cell r="B53">
            <v>-4</v>
          </cell>
        </row>
        <row r="54">
          <cell r="A54" t="str">
            <v>Amaury LECOMTE</v>
          </cell>
          <cell r="B54">
            <v>-3</v>
          </cell>
        </row>
        <row r="55">
          <cell r="A55" t="str">
            <v>Farah MOHAMADI</v>
          </cell>
          <cell r="B55">
            <v>-2.5</v>
          </cell>
        </row>
        <row r="56">
          <cell r="A56" t="str">
            <v>Guillaume CHASSARD</v>
          </cell>
          <cell r="B56">
            <v>0</v>
          </cell>
        </row>
        <row r="57">
          <cell r="A57" t="str">
            <v>Matthieu SENN</v>
          </cell>
          <cell r="B57">
            <v>0</v>
          </cell>
        </row>
        <row r="58">
          <cell r="A58" t="str">
            <v>Emilie DURAND</v>
          </cell>
          <cell r="B58">
            <v>0</v>
          </cell>
        </row>
        <row r="59">
          <cell r="A59" t="str">
            <v>Benoit DARDE</v>
          </cell>
          <cell r="B59">
            <v>0</v>
          </cell>
        </row>
        <row r="60">
          <cell r="A60" t="str">
            <v>Gaël LACOSTE</v>
          </cell>
          <cell r="B60">
            <v>1</v>
          </cell>
        </row>
        <row r="61">
          <cell r="A61" t="str">
            <v>Camille DURAND</v>
          </cell>
          <cell r="B61">
            <v>3.5</v>
          </cell>
        </row>
        <row r="62">
          <cell r="A62" t="str">
            <v>Julien FLOCH</v>
          </cell>
          <cell r="B62">
            <v>4.5</v>
          </cell>
        </row>
        <row r="63">
          <cell r="A63" t="str">
            <v>Squad E</v>
          </cell>
          <cell r="B63">
            <v>-20.5</v>
          </cell>
        </row>
        <row r="64">
          <cell r="A64" t="str">
            <v>Ignacio MARTIN VELASCO</v>
          </cell>
          <cell r="B64">
            <v>-8</v>
          </cell>
        </row>
        <row r="65">
          <cell r="A65" t="str">
            <v>Florent MATHE</v>
          </cell>
          <cell r="B65">
            <v>-4</v>
          </cell>
        </row>
        <row r="66">
          <cell r="A66" t="str">
            <v>Soline LE BLEVEC</v>
          </cell>
          <cell r="B66">
            <v>-4</v>
          </cell>
        </row>
        <row r="67">
          <cell r="A67" t="str">
            <v>Marion PLESSIS-LUCIANI</v>
          </cell>
          <cell r="B67">
            <v>-4</v>
          </cell>
        </row>
        <row r="68">
          <cell r="A68" t="str">
            <v>Ange KAMDEM</v>
          </cell>
          <cell r="B68">
            <v>-2</v>
          </cell>
        </row>
        <row r="69">
          <cell r="A69" t="str">
            <v>Jonathan GERARDIN</v>
          </cell>
          <cell r="B69">
            <v>-2</v>
          </cell>
        </row>
        <row r="70">
          <cell r="A70" t="str">
            <v>Christophe LOEUR</v>
          </cell>
          <cell r="B70">
            <v>-2</v>
          </cell>
        </row>
        <row r="71">
          <cell r="A71" t="str">
            <v>François FONTESPIS-LOSTE</v>
          </cell>
          <cell r="B71">
            <v>1</v>
          </cell>
        </row>
        <row r="72">
          <cell r="A72" t="str">
            <v>Anthony CORNU</v>
          </cell>
          <cell r="B72">
            <v>1</v>
          </cell>
        </row>
        <row r="73">
          <cell r="A73" t="str">
            <v>Lamiae DRIDRI</v>
          </cell>
          <cell r="B73">
            <v>3.5</v>
          </cell>
        </row>
        <row r="74">
          <cell r="A74" t="str">
            <v>Squad F</v>
          </cell>
          <cell r="B74">
            <v>-43.5</v>
          </cell>
        </row>
        <row r="75">
          <cell r="A75" t="str">
            <v>Charles PARIS</v>
          </cell>
          <cell r="B75">
            <v>-16</v>
          </cell>
        </row>
        <row r="76">
          <cell r="A76" t="str">
            <v>Alicia JAFFRE</v>
          </cell>
          <cell r="B76">
            <v>-10</v>
          </cell>
        </row>
        <row r="77">
          <cell r="A77" t="str">
            <v>Willy TAN</v>
          </cell>
          <cell r="B77">
            <v>-9</v>
          </cell>
        </row>
        <row r="78">
          <cell r="A78" t="str">
            <v>Flora BRUYERE</v>
          </cell>
          <cell r="B78">
            <v>-3.5</v>
          </cell>
        </row>
        <row r="79">
          <cell r="A79" t="str">
            <v>Margot KOHL</v>
          </cell>
          <cell r="B79">
            <v>-3</v>
          </cell>
        </row>
        <row r="80">
          <cell r="A80" t="str">
            <v>Gaël PEZIER</v>
          </cell>
          <cell r="B80">
            <v>-3</v>
          </cell>
        </row>
        <row r="81">
          <cell r="A81" t="str">
            <v>Marion LARHANTEC</v>
          </cell>
          <cell r="B81">
            <v>-1.5</v>
          </cell>
        </row>
        <row r="82">
          <cell r="A82" t="str">
            <v>Jad ZGHEIB</v>
          </cell>
          <cell r="B82">
            <v>0</v>
          </cell>
        </row>
        <row r="83">
          <cell r="A83" t="str">
            <v>Yuri HOFTE</v>
          </cell>
          <cell r="B83">
            <v>0.5</v>
          </cell>
        </row>
        <row r="84">
          <cell r="A84" t="str">
            <v>Guillaume PICARD</v>
          </cell>
          <cell r="B84">
            <v>2</v>
          </cell>
        </row>
        <row r="85">
          <cell r="A85" t="str">
            <v>Squad G</v>
          </cell>
          <cell r="B85">
            <v>48.5</v>
          </cell>
        </row>
        <row r="86">
          <cell r="A86" t="str">
            <v>Antoine FROMENTIN</v>
          </cell>
          <cell r="B86">
            <v>-8</v>
          </cell>
        </row>
        <row r="87">
          <cell r="A87" t="str">
            <v>Valérie WITTORSKI</v>
          </cell>
          <cell r="B87">
            <v>-4.5</v>
          </cell>
        </row>
        <row r="88">
          <cell r="A88" t="str">
            <v>Marine SELY</v>
          </cell>
          <cell r="B88">
            <v>0</v>
          </cell>
        </row>
        <row r="89">
          <cell r="A89" t="str">
            <v>Marine GATELLIER</v>
          </cell>
          <cell r="B89">
            <v>0</v>
          </cell>
        </row>
        <row r="90">
          <cell r="A90" t="str">
            <v>Zineb MEZGUELDI</v>
          </cell>
          <cell r="B90">
            <v>0.5</v>
          </cell>
        </row>
        <row r="91">
          <cell r="A91" t="str">
            <v>Pauline SAUNIER</v>
          </cell>
          <cell r="B91">
            <v>8.5</v>
          </cell>
        </row>
        <row r="92">
          <cell r="A92" t="str">
            <v>Thibault MORISSEAU</v>
          </cell>
          <cell r="B92">
            <v>10</v>
          </cell>
        </row>
        <row r="93">
          <cell r="A93" t="str">
            <v>Pierre LEJEUNE</v>
          </cell>
          <cell r="B93">
            <v>10</v>
          </cell>
        </row>
        <row r="94">
          <cell r="A94" t="str">
            <v>Théophile PAHLAWAN</v>
          </cell>
          <cell r="B94">
            <v>12</v>
          </cell>
        </row>
        <row r="95">
          <cell r="A95" t="str">
            <v>Jean-Baptiste DUBOIS</v>
          </cell>
          <cell r="B95">
            <v>20</v>
          </cell>
        </row>
        <row r="96">
          <cell r="A96" t="str">
            <v>Squad H</v>
          </cell>
          <cell r="B96">
            <v>-15</v>
          </cell>
        </row>
        <row r="97">
          <cell r="A97" t="str">
            <v>Alice GUILABERT</v>
          </cell>
          <cell r="B97">
            <v>-22</v>
          </cell>
        </row>
        <row r="98">
          <cell r="A98" t="str">
            <v>Julie FERRANDO</v>
          </cell>
          <cell r="B98">
            <v>-3</v>
          </cell>
        </row>
        <row r="99">
          <cell r="A99" t="str">
            <v>Pierre MONCHALIN</v>
          </cell>
          <cell r="B99">
            <v>-2.5</v>
          </cell>
        </row>
        <row r="100">
          <cell r="A100" t="str">
            <v>Laura JEANNIN</v>
          </cell>
          <cell r="B100">
            <v>-1</v>
          </cell>
        </row>
        <row r="101">
          <cell r="A101" t="str">
            <v>Kevin MAURICE</v>
          </cell>
          <cell r="B101">
            <v>-0.5</v>
          </cell>
        </row>
        <row r="102">
          <cell r="A102" t="str">
            <v>Clément VINCENT</v>
          </cell>
          <cell r="B102">
            <v>-0.5</v>
          </cell>
        </row>
        <row r="103">
          <cell r="A103" t="str">
            <v>Lucas-Pierre CAPELLE</v>
          </cell>
          <cell r="B103">
            <v>0</v>
          </cell>
        </row>
        <row r="104">
          <cell r="A104" t="str">
            <v>Nolwenn DELORD</v>
          </cell>
          <cell r="B104">
            <v>0</v>
          </cell>
        </row>
        <row r="105">
          <cell r="A105" t="str">
            <v>Florence ESPITALIER</v>
          </cell>
          <cell r="B105">
            <v>0</v>
          </cell>
        </row>
        <row r="106">
          <cell r="A106" t="str">
            <v>Quentin DUMONT</v>
          </cell>
          <cell r="B106">
            <v>0</v>
          </cell>
        </row>
        <row r="107">
          <cell r="A107" t="str">
            <v>Nicolas MURAT</v>
          </cell>
          <cell r="B107">
            <v>1.5</v>
          </cell>
        </row>
        <row r="108">
          <cell r="A108" t="str">
            <v>Mathilde JÉGOU</v>
          </cell>
          <cell r="B108">
            <v>5</v>
          </cell>
        </row>
        <row r="109">
          <cell r="A109" t="str">
            <v>Pierre NARCE</v>
          </cell>
          <cell r="B109">
            <v>8</v>
          </cell>
        </row>
        <row r="110">
          <cell r="A110" t="str">
            <v>Total général</v>
          </cell>
          <cell r="B110">
            <v>-151.1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LY Quentin" refreshedDate="45833.584071527781" createdVersion="8" refreshedVersion="8" minRefreshableVersion="3" recordCount="659" xr:uid="{1CBDFBE9-D6E8-4CE1-BD3F-292609667AC6}">
  <cacheSource type="worksheet">
    <worksheetSource ref="B4:AF663" sheet="Checks"/>
  </cacheSource>
  <cacheFields count="31">
    <cacheField name="Company number" numFmtId="0">
      <sharedItems/>
    </cacheField>
    <cacheField name="Consultant" numFmtId="0">
      <sharedItems/>
    </cacheField>
    <cacheField name="Manager ou CDM concerné" numFmtId="0">
      <sharedItems/>
    </cacheField>
    <cacheField name="FAUX_x000a_" numFmtId="0">
      <sharedItems count="9">
        <s v="Squad B"/>
        <s v="Squad C"/>
        <s v="Squad H"/>
        <s v="Squad F"/>
        <s v="Squad D"/>
        <s v="Squad A"/>
        <s v="Squad G"/>
        <s v="Squad E"/>
        <s v=""/>
      </sharedItems>
    </cacheField>
    <cacheField name="A corriger ? " numFmtId="0">
      <sharedItems containsBlank="1"/>
    </cacheField>
    <cacheField name="Prod. days WK" numFmtId="0">
      <sharedItems containsSemiMixedTypes="0" containsString="0" containsNumber="1" minValue="0" maxValue="20"/>
    </cacheField>
    <cacheField name="Maint. Days" numFmtId="0">
      <sharedItems/>
    </cacheField>
    <cacheField name="Non prod. days WK" numFmtId="0">
      <sharedItems containsSemiMixedTypes="0" containsString="0" containsNumber="1" minValue="0" maxValue="20"/>
    </cacheField>
    <cacheField name="Paid leave days WK" numFmtId="0">
      <sharedItems containsString="0" containsBlank="1" containsNumber="1" minValue="0" maxValue="19"/>
    </cacheField>
    <cacheField name="Unpaid leave days WK" numFmtId="0">
      <sharedItems containsSemiMixedTypes="0" containsString="0" containsNumber="1" minValue="0" maxValue="20"/>
    </cacheField>
    <cacheField name="Justification" numFmtId="0">
      <sharedItems/>
    </cacheField>
    <cacheField name="Prod. days FAP" numFmtId="0">
      <sharedItems/>
    </cacheField>
    <cacheField name="Non prod. days FAP" numFmtId="0">
      <sharedItems/>
    </cacheField>
    <cacheField name="Paid leave days FAP" numFmtId="0">
      <sharedItems/>
    </cacheField>
    <cacheField name="Prod PXX" numFmtId="0">
      <sharedItems containsSemiMixedTypes="0" containsString="0" containsNumber="1" minValue="0" maxValue="20"/>
    </cacheField>
    <cacheField name="Improd PXX" numFmtId="0">
      <sharedItems containsSemiMixedTypes="0" containsString="0" containsNumber="1" minValue="-0.5" maxValue="20"/>
    </cacheField>
    <cacheField name="Congé PXX" numFmtId="0">
      <sharedItems containsSemiMixedTypes="0" containsString="0" containsNumber="1" minValue="0" maxValue="19"/>
    </cacheField>
    <cacheField name="Prod. days" numFmtId="0">
      <sharedItems containsSemiMixedTypes="0" containsString="0" containsNumber="1" minValue="-20" maxValue="20"/>
    </cacheField>
    <cacheField name="Non prod. days" numFmtId="0">
      <sharedItems containsSemiMixedTypes="0" containsString="0" containsNumber="1" minValue="-20" maxValue="20"/>
    </cacheField>
    <cacheField name="Paid leave days" numFmtId="0">
      <sharedItems containsSemiMixedTypes="0" containsString="0" containsNumber="1" minValue="-10.5" maxValue="8"/>
    </cacheField>
    <cacheField name="Mail d'intention" numFmtId="0">
      <sharedItems containsSemiMixedTypes="0" containsString="0" containsNumber="1" containsInteger="1" minValue="0" maxValue="0"/>
    </cacheField>
    <cacheField name="Contrôle de l'imputation (old)" numFmtId="0">
      <sharedItems containsSemiMixedTypes="0" containsString="0" containsNumber="1" containsInteger="1" minValue="0" maxValue="0"/>
    </cacheField>
    <cacheField name="Contrôle" numFmtId="0">
      <sharedItems count="5">
        <s v="Vérifier  si optimisable"/>
        <s v="Rien à traiter"/>
        <s v="Ecart entre WK et pXX"/>
        <s v="Mail d'intention"/>
        <s v="Pas optimisable"/>
      </sharedItems>
    </cacheField>
    <cacheField name="Impact congés" numFmtId="0">
      <sharedItems containsSemiMixedTypes="0" containsString="0" containsNumber="1" minValue="0" maxValue="4"/>
    </cacheField>
    <cacheField name="Intention" numFmtId="0">
      <sharedItems containsSemiMixedTypes="0" containsString="0" containsNumber="1" minValue="0" maxValue="20"/>
    </cacheField>
    <cacheField name="Delta prod days avec intention" numFmtId="168">
      <sharedItems containsSemiMixedTypes="0" containsString="0" containsNumber="1" minValue="-20" maxValue="20"/>
    </cacheField>
    <cacheField name="Statut" numFmtId="0">
      <sharedItems containsNonDate="0" containsString="0" containsBlank="1"/>
    </cacheField>
    <cacheField name="Jours éventuellement récupérables/optimisables" numFmtId="0">
      <sharedItems containsNonDate="0" containsString="0" containsBlank="1"/>
    </cacheField>
    <cacheField name="Jours récupérés/optimisés" numFmtId="0">
      <sharedItems containsNonDate="0" containsString="0" containsBlank="1"/>
    </cacheField>
    <cacheField name="Colonne1" numFmtId="0">
      <sharedItems containsNonDate="0" containsBlank="1" count="9">
        <m/>
        <s v="Optimisé" u="1"/>
        <s v="Mauvaises prévisions CDM" u="1"/>
        <s v="Arrêt maladie" u="1"/>
        <s v="Erreur imputations" u="1"/>
        <s v="Congés non anticipés" u="1"/>
        <s v="Formation" u="1"/>
        <s v="Budget client" u="1"/>
        <s v="Décalage démarrage" u="1"/>
      </sharedItems>
    </cacheField>
    <cacheField name="Variance justificatio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LY Quentin" refreshedDate="45833.584073032405" createdVersion="8" refreshedVersion="8" minRefreshableVersion="3" recordCount="109" xr:uid="{9AA842F8-BEB7-41D7-8169-32AEB21DDF4C}">
  <cacheSource type="worksheet">
    <worksheetSource name="Tableau7"/>
  </cacheSource>
  <cacheFields count="8">
    <cacheField name="CDM" numFmtId="0">
      <sharedItems/>
    </cacheField>
    <cacheField name="Squad" numFmtId="0">
      <sharedItems count="9">
        <s v="Squad C"/>
        <s v="Squad D"/>
        <s v="Squad F"/>
        <s v="Squad A"/>
        <s v="Squad B"/>
        <s v="Squad E"/>
        <s v=""/>
        <s v="Squad H"/>
        <s v="Squad G"/>
      </sharedItems>
    </cacheField>
    <cacheField name="Delta Octobre" numFmtId="0">
      <sharedItems containsBlank="1" containsMixedTypes="1" containsNumber="1" minValue="-23" maxValue="11.5"/>
    </cacheField>
    <cacheField name="Delta novembre" numFmtId="0">
      <sharedItems containsMixedTypes="1" containsNumber="1" minValue="-19.5" maxValue="18"/>
    </cacheField>
    <cacheField name="Delta décembre" numFmtId="0">
      <sharedItems containsMixedTypes="1" containsNumber="1" minValue="-36" maxValue="11.5"/>
    </cacheField>
    <cacheField name="Delta janvier" numFmtId="0">
      <sharedItems containsMixedTypes="1" containsNumber="1" minValue="-28" maxValue="20"/>
    </cacheField>
    <cacheField name="Delta  février" numFmtId="0">
      <sharedItems containsMixedTypes="1" containsNumber="1" minValue="-21" maxValue="9.5"/>
    </cacheField>
    <cacheField name="Delta total" numFmtId="0">
      <sharedItems containsSemiMixedTypes="0" containsString="0" containsNumber="1" minValue="-48" maxValue="54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LY Quentin" refreshedDate="45833.584367939817" createdVersion="7" refreshedVersion="8" minRefreshableVersion="3" recordCount="724" xr:uid="{F40606CC-78C6-4630-809E-E3CF959B1257}">
  <cacheSource type="worksheet">
    <worksheetSource name="Tableau242"/>
  </cacheSource>
  <cacheFields count="31">
    <cacheField name="Company number" numFmtId="0">
      <sharedItems/>
    </cacheField>
    <cacheField name="Consultant" numFmtId="0">
      <sharedItems/>
    </cacheField>
    <cacheField name="Manager ou CDM concerné" numFmtId="0">
      <sharedItems containsBlank="1" count="114">
        <s v="Théo ROCH"/>
        <s v="Nicolas FARNY"/>
        <s v="Mathilde JÉGOU"/>
        <s v="Laura JEANNIN"/>
        <s v="Guillaume PICARD"/>
        <s v="Jonathan SARPAUX"/>
        <s v="Marin PIGANEAU"/>
        <s v="Nolwenn DELORD"/>
        <s v="Solène MENARD"/>
        <s v="Marius LIBERT"/>
        <s v="Karim ISKANDER"/>
        <s v="Margot KOHL"/>
        <s v="Antoine FROMENTIN"/>
        <s v="Julia FRANCO"/>
        <s v="Florent MATHE"/>
        <s v="Jimmy GUERIN"/>
        <s v="Ange KAMDEM"/>
        <s v="François FONTESPIS-LOSTE"/>
        <s v="Marine GATELLIER"/>
        <s v="Hélène CHATROUSSE"/>
        <s v="Ignacio MARTIN VELASCO"/>
        <s v="Rémi TANIWAKI"/>
        <s v="Julie FERRANDO"/>
        <s v="Amaury LECOMTE"/>
        <s v="Pierre MONCHALIN"/>
        <s v="Yves REMBERT"/>
        <s v="Willy TAN"/>
        <s v="Julien FLOCH"/>
        <s v="Marc DE MONTGOLFIER"/>
        <s v="Philibert DE MONTILLE"/>
        <s v="Soline LE BLEVEC"/>
        <s v="Cédric GUICHARD"/>
        <s v="Yuri HOFTE"/>
        <s v="Jonathan GERARDIN"/>
        <s v="Christophe LOEUR"/>
        <s v="Valérie WITTORSKI"/>
        <s v="Harrison LECHEVALLIER"/>
        <s v="Timothée CARRICO"/>
        <s v="Gaël PEZIER"/>
        <s v="Godefroy DENORMANDIE"/>
        <s v="Gaël LACOSTE"/>
        <s v="Othmane KHARBACH"/>
        <s v="Fatima Zohra OUTALHA"/>
        <s v="Sina MOVAGHAR"/>
        <s v="Thibault MORISSEAU"/>
        <s v="Martin FLOURENS"/>
        <s v="Arthur BIGNIER"/>
        <s v="Martin BELLOT"/>
        <s v="Antoine DENIE"/>
        <s v="Anthony CORNU"/>
        <s v="Etienne BELLITTO"/>
        <s v="Roman ESQUERRE"/>
        <s v="Théophile PAHLAWAN"/>
        <s v="Alexia BROS"/>
        <s v="Valentin DAVAUDET"/>
        <s v="Amine BENNEKROUF"/>
        <s v="Marion GERIN-ROZE"/>
        <s v="Rebecca LARRIVEE"/>
        <s v="Vérane CHOAIN"/>
        <s v="Quentin DUMONT"/>
        <s v="Clément VINCENT"/>
        <s v="Fayçal YAKOUBI"/>
        <s v="Alicia JAFFRE"/>
        <s v="Zineb MEZGUELDI"/>
        <s v="Maria OUELLAJ"/>
        <s v="Yosr ABIDA"/>
        <s v="Florence NOIZET"/>
        <s v="Marion LARHANTEC"/>
        <s v="Nicolas MURAT"/>
        <s v="Jean-Baptiste DUBOIS"/>
        <s v="Anthony LORA"/>
        <s v="Guillaume VAQUERO"/>
        <s v="Fabrice AUSTRUY"/>
        <s v="Emilie DURAND"/>
        <s v="Farah MOHAMADI"/>
        <s v="Lucas-Pierre CAPELLE"/>
        <s v="Pierre LEJEUNE"/>
        <s v="Pierre NARCE"/>
        <s v="Laurent BELLEFIN"/>
        <s v="Rachel FANHAN"/>
        <s v="Yannick TAUPIAC"/>
        <s v="Camille DURAND"/>
        <s v="Benoit DARDE"/>
        <s v="Jad ZGHEIB"/>
        <s v="Alice GUILABERT"/>
        <s v="Marion PLESSIS-LUCIANI"/>
        <s v="Sandrine CHAILLEY"/>
        <s v="Guillaume COURTEMANCHE"/>
        <s v="Sébastien ANDREUX"/>
        <s v="Charles PARIS"/>
        <s v="Faustine TIRINZONI"/>
        <s v="Quentin QUONIAM"/>
        <s v="Elise RIBEIRO"/>
        <s v="Victoire MALINOVSKY"/>
        <s v="Kevin MAURICE"/>
        <s v="Martin ALLEAUME"/>
        <s v="Sébastien AKRICH"/>
        <s v="Maxime BOS"/>
        <s v="Louis-Marie LAFONT"/>
        <s v="Garance HOURCADE"/>
        <s v="Guillaume CHASSARD"/>
        <s v="Azza LASSOUED" u="1"/>
        <s v="Clémence LAGU" u="1"/>
        <s v="Marie CHAMOUSSET" u="1"/>
        <s v="Florence ESPITALIER" u="1"/>
        <s v="Flora BRUYERE" u="1"/>
        <s v="Marine SELY" u="1"/>
        <s v="Boris WASIER" u="1"/>
        <s v="Jimmy G+AE97+D97:I100" u="1"/>
        <s v="Pauline SAUNIER" u="1"/>
        <s v="Ombeline NEYRAND" u="1"/>
        <m u="1"/>
        <s v="Lamiae DRIDRI" u="1"/>
        <s v="Matthieu SENN" u="1"/>
      </sharedItems>
    </cacheField>
    <cacheField name="FAUX_x000a_" numFmtId="0">
      <sharedItems count="9">
        <s v="Squad B"/>
        <s v="Squad C"/>
        <s v="Squad H"/>
        <s v="Squad F"/>
        <s v="Squad D"/>
        <s v="Squad A"/>
        <s v="Squad G"/>
        <s v="Squad E"/>
        <s v=""/>
      </sharedItems>
    </cacheField>
    <cacheField name="A corriger ? " numFmtId="0">
      <sharedItems containsBlank="1"/>
    </cacheField>
    <cacheField name="Prod. days WK" numFmtId="0">
      <sharedItems containsSemiMixedTypes="0" containsString="0" containsNumber="1" minValue="0" maxValue="20"/>
    </cacheField>
    <cacheField name="Maint. Days" numFmtId="0">
      <sharedItems/>
    </cacheField>
    <cacheField name="Non prod. days WK" numFmtId="0">
      <sharedItems containsSemiMixedTypes="0" containsString="0" containsNumber="1" minValue="0" maxValue="20"/>
    </cacheField>
    <cacheField name="Paid leave days WK" numFmtId="0">
      <sharedItems containsString="0" containsBlank="1" containsNumber="1" minValue="0" maxValue="19"/>
    </cacheField>
    <cacheField name="Unpaid leave days WK" numFmtId="0">
      <sharedItems containsSemiMixedTypes="0" containsString="0" containsNumber="1" minValue="0" maxValue="20"/>
    </cacheField>
    <cacheField name="Justification" numFmtId="0">
      <sharedItems/>
    </cacheField>
    <cacheField name="Prod. days FAP" numFmtId="0">
      <sharedItems/>
    </cacheField>
    <cacheField name="Non prod. days FAP" numFmtId="0">
      <sharedItems/>
    </cacheField>
    <cacheField name="Paid leave days FAP" numFmtId="0">
      <sharedItems/>
    </cacheField>
    <cacheField name="Prod PXX" numFmtId="0">
      <sharedItems containsSemiMixedTypes="0" containsString="0" containsNumber="1" minValue="0" maxValue="20"/>
    </cacheField>
    <cacheField name="Improd PXX" numFmtId="0">
      <sharedItems containsSemiMixedTypes="0" containsString="0" containsNumber="1" minValue="-0.5" maxValue="20"/>
    </cacheField>
    <cacheField name="Congé PXX" numFmtId="0">
      <sharedItems containsSemiMixedTypes="0" containsString="0" containsNumber="1" minValue="0" maxValue="19"/>
    </cacheField>
    <cacheField name="Prod. days" numFmtId="0">
      <sharedItems containsSemiMixedTypes="0" containsString="0" containsNumber="1" minValue="-20" maxValue="20"/>
    </cacheField>
    <cacheField name="Non prod. days" numFmtId="0">
      <sharedItems containsSemiMixedTypes="0" containsString="0" containsNumber="1" minValue="-20" maxValue="20"/>
    </cacheField>
    <cacheField name="Paid leave days" numFmtId="0">
      <sharedItems containsSemiMixedTypes="0" containsString="0" containsNumber="1" minValue="-10.5" maxValue="8"/>
    </cacheField>
    <cacheField name="Mail d'intention" numFmtId="0">
      <sharedItems containsSemiMixedTypes="0" containsString="0" containsNumber="1" containsInteger="1" minValue="0" maxValue="0"/>
    </cacheField>
    <cacheField name="Contrôle de l'imputation (old)" numFmtId="0">
      <sharedItems containsSemiMixedTypes="0" containsString="0" containsNumber="1" containsInteger="1" minValue="0" maxValue="0"/>
    </cacheField>
    <cacheField name="Contrôle" numFmtId="0">
      <sharedItems containsBlank="1" count="11">
        <s v="Vérifier  si optimisable"/>
        <s v="Rien à traiter"/>
        <s v="Ecart entre WK et pXX"/>
        <s v="Mail d'intention"/>
        <s v="Pas optimisable"/>
        <e v="#VALUE!" u="1"/>
        <s v="Corriger matricule" u="1"/>
        <m u="1"/>
        <s v="Vérifier si optimisable" u="1"/>
        <s v="Arrêt maladie" u="1"/>
        <s v="Pas optimisable " u="1"/>
      </sharedItems>
    </cacheField>
    <cacheField name="Impact congés" numFmtId="0">
      <sharedItems containsSemiMixedTypes="0" containsString="0" containsNumber="1" minValue="0" maxValue="4"/>
    </cacheField>
    <cacheField name="Intention" numFmtId="0">
      <sharedItems containsSemiMixedTypes="0" containsString="0" containsNumber="1" minValue="0" maxValue="20"/>
    </cacheField>
    <cacheField name="Delta prod days avec intention" numFmtId="168">
      <sharedItems containsSemiMixedTypes="0" containsString="0" containsNumber="1" minValue="-20" maxValue="20"/>
    </cacheField>
    <cacheField name="Statut" numFmtId="0">
      <sharedItems containsNonDate="0" containsString="0" containsBlank="1"/>
    </cacheField>
    <cacheField name="Jours éventuellement récupérables/optimisables" numFmtId="0">
      <sharedItems containsNonDate="0" containsString="0" containsBlank="1"/>
    </cacheField>
    <cacheField name="Jours récupérés/optimisés" numFmtId="0">
      <sharedItems containsNonDate="0" containsString="0" containsBlank="1"/>
    </cacheField>
    <cacheField name="Colonne1" numFmtId="0">
      <sharedItems containsNonDate="0" containsString="0" containsBlank="1"/>
    </cacheField>
    <cacheField name="Variance justificatio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9">
  <r>
    <s v="000021793"/>
    <s v="Abdelali TEMSAMANI"/>
    <s v="Théo ROCH"/>
    <x v="0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1066"/>
    <s v="Abdoul NDIAYE"/>
    <s v="Nicolas FARNY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525"/>
    <s v="Abir BADREDDINE"/>
    <s v="Mathilde JÉGOU"/>
    <x v="2"/>
    <s v="Non"/>
    <n v="4"/>
    <s v=""/>
    <n v="16"/>
    <n v="0"/>
    <n v="0"/>
    <e v="#REF!"/>
    <s v=""/>
    <s v=""/>
    <s v=""/>
    <n v="6"/>
    <n v="14"/>
    <n v="0"/>
    <n v="-2"/>
    <n v="2"/>
    <n v="0"/>
    <n v="0"/>
    <n v="0"/>
    <x v="2"/>
    <n v="0"/>
    <n v="0"/>
    <n v="-2"/>
    <m/>
    <m/>
    <m/>
    <x v="0"/>
    <m/>
  </r>
  <r>
    <s v="000020832"/>
    <s v="Achille BILLAUT"/>
    <s v="Nicolas FARNY"/>
    <x v="1"/>
    <s v="Non"/>
    <n v="15.5"/>
    <s v=""/>
    <n v="4.5"/>
    <n v="0"/>
    <n v="0"/>
    <e v="#REF!"/>
    <s v=""/>
    <s v=""/>
    <s v=""/>
    <n v="16"/>
    <n v="4"/>
    <n v="0"/>
    <n v="-0.5"/>
    <n v="0.5"/>
    <n v="0"/>
    <n v="0"/>
    <n v="0"/>
    <x v="2"/>
    <n v="0"/>
    <n v="0"/>
    <n v="-0.5"/>
    <m/>
    <m/>
    <m/>
    <x v="0"/>
    <m/>
  </r>
  <r>
    <s v="000014704"/>
    <s v="Achraf LEABERRAT"/>
    <s v="Laura JEANNIN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656"/>
    <s v="Adam AQUESBI"/>
    <s v="Guillaume PICARD"/>
    <x v="3"/>
    <s v="Non"/>
    <n v="0"/>
    <s v=""/>
    <n v="20"/>
    <n v="0"/>
    <n v="0"/>
    <e v="#REF!"/>
    <s v=""/>
    <s v=""/>
    <s v=""/>
    <n v="20"/>
    <n v="0"/>
    <n v="0"/>
    <n v="-20"/>
    <n v="20"/>
    <n v="0"/>
    <n v="0"/>
    <n v="0"/>
    <x v="3"/>
    <n v="0"/>
    <n v="15"/>
    <n v="-5"/>
    <m/>
    <m/>
    <m/>
    <x v="0"/>
    <m/>
  </r>
  <r>
    <s v="000016077"/>
    <s v="Adam BENICHOU"/>
    <s v="Jonathan SARPAUX"/>
    <x v="4"/>
    <s v="Non"/>
    <n v="6"/>
    <s v=""/>
    <n v="9"/>
    <n v="5"/>
    <n v="0"/>
    <e v="#REF!"/>
    <s v=""/>
    <s v=""/>
    <s v=""/>
    <n v="15"/>
    <n v="0"/>
    <n v="5"/>
    <n v="-9"/>
    <n v="9"/>
    <n v="0"/>
    <n v="0"/>
    <n v="0"/>
    <x v="2"/>
    <n v="0"/>
    <n v="0"/>
    <n v="-9"/>
    <m/>
    <m/>
    <m/>
    <x v="0"/>
    <m/>
  </r>
  <r>
    <s v="000021807"/>
    <s v="Adam SFAXI"/>
    <s v="Marin PIGANEAU"/>
    <x v="1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0752"/>
    <s v="Adama NANA"/>
    <s v="Nolwenn DELORD"/>
    <x v="2"/>
    <s v="Non"/>
    <n v="1"/>
    <s v=""/>
    <n v="17"/>
    <n v="2"/>
    <n v="0"/>
    <e v="#REF!"/>
    <s v=""/>
    <s v=""/>
    <s v=""/>
    <n v="1"/>
    <n v="17"/>
    <n v="2"/>
    <n v="0"/>
    <n v="0"/>
    <n v="0"/>
    <n v="0"/>
    <n v="0"/>
    <x v="0"/>
    <n v="0"/>
    <n v="0"/>
    <n v="0"/>
    <m/>
    <m/>
    <m/>
    <x v="0"/>
    <m/>
  </r>
  <r>
    <s v="000021362"/>
    <s v="Adovi FOLLY-ABLA"/>
    <s v="Guillaume PICARD"/>
    <x v="3"/>
    <s v="Non"/>
    <n v="3.5"/>
    <s v=""/>
    <n v="16.5"/>
    <n v="0"/>
    <n v="0"/>
    <e v="#REF!"/>
    <s v=""/>
    <s v=""/>
    <s v=""/>
    <n v="3"/>
    <n v="17"/>
    <n v="0"/>
    <n v="0.5"/>
    <n v="-0.5"/>
    <n v="0"/>
    <n v="0"/>
    <n v="0"/>
    <x v="0"/>
    <n v="0"/>
    <n v="0"/>
    <n v="0.5"/>
    <m/>
    <m/>
    <m/>
    <x v="0"/>
    <m/>
  </r>
  <r>
    <s v="000014448"/>
    <s v="Adrien BEGEL"/>
    <s v="Théo ROCH"/>
    <x v="0"/>
    <s v="Non"/>
    <n v="0"/>
    <s v=""/>
    <n v="10"/>
    <n v="0"/>
    <n v="10"/>
    <e v="#REF!"/>
    <s v=""/>
    <s v=""/>
    <s v=""/>
    <n v="0"/>
    <n v="10"/>
    <n v="0"/>
    <n v="0"/>
    <n v="0"/>
    <n v="0"/>
    <n v="0"/>
    <n v="0"/>
    <x v="0"/>
    <n v="0"/>
    <n v="0"/>
    <n v="0"/>
    <m/>
    <m/>
    <m/>
    <x v="0"/>
    <m/>
  </r>
  <r>
    <s v="000022485"/>
    <s v="Adrien DUBOIS"/>
    <s v="Solène MENARD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1217"/>
    <s v="Adrien SEMAAN"/>
    <s v="Marius LIBERT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3131"/>
    <s v="Adrien VEAUX"/>
    <s v="Karim ISKANDER"/>
    <x v="4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x v="0"/>
    <m/>
  </r>
  <r>
    <s v="000021264"/>
    <s v="Agathe ALLIROL--BINET"/>
    <s v="Guillaume PICARD"/>
    <x v="3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4511"/>
    <s v="Aida SARR"/>
    <s v="Margot KOHL"/>
    <x v="3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16422"/>
    <s v="Aiman BOUYAHYA"/>
    <s v="Antoine FROMENTIN"/>
    <x v="6"/>
    <s v="Non"/>
    <n v="17"/>
    <s v=""/>
    <n v="0"/>
    <n v="3"/>
    <n v="0"/>
    <e v="#REF!"/>
    <s v=""/>
    <s v=""/>
    <s v=""/>
    <n v="18"/>
    <n v="0"/>
    <n v="2"/>
    <n v="-1"/>
    <n v="0"/>
    <n v="1"/>
    <n v="0"/>
    <n v="0"/>
    <x v="1"/>
    <n v="1"/>
    <n v="0"/>
    <n v="-1"/>
    <m/>
    <m/>
    <m/>
    <x v="0"/>
    <m/>
  </r>
  <r>
    <s v="000020786"/>
    <s v="Alae EL KETTANI"/>
    <s v="Laura JEANNIN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2173"/>
    <s v="Alanis HYON-LE GOURRIEREC"/>
    <s v="Julia FRANCO"/>
    <x v="0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01371"/>
    <s v="Alban DE BELENET"/>
    <s v="Florent MATHE"/>
    <x v="7"/>
    <s v="Non"/>
    <n v="8"/>
    <s v=""/>
    <n v="12"/>
    <n v="0"/>
    <n v="0"/>
    <e v="#REF!"/>
    <s v=""/>
    <s v=""/>
    <s v=""/>
    <n v="20"/>
    <n v="0"/>
    <n v="0"/>
    <n v="-12"/>
    <n v="12"/>
    <n v="0"/>
    <n v="0"/>
    <n v="0"/>
    <x v="3"/>
    <n v="0"/>
    <n v="12"/>
    <n v="0"/>
    <m/>
    <m/>
    <m/>
    <x v="0"/>
    <m/>
  </r>
  <r>
    <s v="000021167"/>
    <s v="Alban DUSSART"/>
    <s v="Mathilde JÉGOU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005"/>
    <s v="Alberto MARITAN"/>
    <s v="Mathilde JÉGOU"/>
    <x v="2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14960"/>
    <s v="Alejandro TORRES TORO"/>
    <s v="Théo ROCH"/>
    <x v="0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20650"/>
    <s v="Alessio LIN"/>
    <s v="Nolwenn DELORD"/>
    <x v="2"/>
    <s v="Non"/>
    <n v="0"/>
    <s v=""/>
    <n v="19"/>
    <n v="1"/>
    <n v="0"/>
    <e v="#REF!"/>
    <s v=""/>
    <s v=""/>
    <s v=""/>
    <n v="0"/>
    <n v="19"/>
    <n v="1"/>
    <n v="0"/>
    <n v="0"/>
    <n v="0"/>
    <n v="0"/>
    <n v="0"/>
    <x v="0"/>
    <n v="0"/>
    <n v="0"/>
    <n v="0"/>
    <m/>
    <m/>
    <m/>
    <x v="0"/>
    <m/>
  </r>
  <r>
    <s v="000017060"/>
    <s v="Alex KRIEF"/>
    <s v="Jimmy GUERIN"/>
    <x v="0"/>
    <s v="Non"/>
    <n v="0"/>
    <s v=""/>
    <n v="14"/>
    <n v="6"/>
    <n v="0"/>
    <e v="#REF!"/>
    <s v=""/>
    <s v=""/>
    <s v=""/>
    <n v="0"/>
    <n v="15"/>
    <n v="5"/>
    <n v="0"/>
    <n v="-1"/>
    <n v="1"/>
    <n v="0"/>
    <n v="0"/>
    <x v="2"/>
    <n v="0"/>
    <n v="0"/>
    <n v="0"/>
    <m/>
    <m/>
    <m/>
    <x v="0"/>
    <m/>
  </r>
  <r>
    <s v="000021446"/>
    <s v="Alexandre BENNES"/>
    <s v="Marin PIGANEAU"/>
    <x v="1"/>
    <s v="Non"/>
    <n v="17"/>
    <s v=""/>
    <n v="3"/>
    <n v="0"/>
    <n v="0"/>
    <e v="#REF!"/>
    <s v=""/>
    <s v=""/>
    <s v=""/>
    <n v="20"/>
    <n v="0"/>
    <n v="0"/>
    <n v="-3"/>
    <n v="3"/>
    <n v="0"/>
    <n v="0"/>
    <n v="0"/>
    <x v="2"/>
    <n v="0"/>
    <n v="0"/>
    <n v="-3"/>
    <m/>
    <m/>
    <m/>
    <x v="0"/>
    <m/>
  </r>
  <r>
    <s v="000021526"/>
    <s v="Alexandre BONZI"/>
    <s v="Ange KAMDEM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0723"/>
    <s v="Alexandre FERON"/>
    <s v="François FONTESPIS-LOSTE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990"/>
    <s v="Alexandre LOUVET MIAJA"/>
    <s v="Marius LIBERT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286"/>
    <s v="Alexandre PARTOUCHE"/>
    <s v="Marine GATELLIER"/>
    <x v="6"/>
    <s v="Non"/>
    <n v="19"/>
    <s v=""/>
    <n v="1"/>
    <n v="0"/>
    <n v="0"/>
    <e v="#REF!"/>
    <s v=""/>
    <s v=""/>
    <s v=""/>
    <n v="19"/>
    <n v="1"/>
    <n v="0"/>
    <n v="0"/>
    <n v="0"/>
    <n v="0"/>
    <n v="0"/>
    <n v="0"/>
    <x v="0"/>
    <n v="0"/>
    <n v="0"/>
    <n v="0"/>
    <m/>
    <m/>
    <m/>
    <x v="0"/>
    <m/>
  </r>
  <r>
    <s v="000009536"/>
    <s v="Alexandre PENLOUP"/>
    <s v="Hélène CHATROUSSE"/>
    <x v="8"/>
    <s v="Non"/>
    <n v="0"/>
    <s v=""/>
    <n v="14"/>
    <n v="6"/>
    <n v="0"/>
    <e v="#REF!"/>
    <s v=""/>
    <s v=""/>
    <s v=""/>
    <n v="0"/>
    <n v="14"/>
    <n v="6"/>
    <n v="0"/>
    <n v="0"/>
    <n v="0"/>
    <n v="0"/>
    <n v="0"/>
    <x v="0"/>
    <n v="0"/>
    <n v="0"/>
    <n v="0"/>
    <m/>
    <m/>
    <m/>
    <x v="0"/>
    <m/>
  </r>
  <r>
    <s v="000011656"/>
    <s v="Alexandre VAN WESEL"/>
    <s v="François FONTESPIS-LOSTE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848"/>
    <s v="Alexia BESNARD"/>
    <s v="Ignacio MARTIN VELASCO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5672"/>
    <s v="Alexia BROS"/>
    <s v="Rémi TANIWAKI"/>
    <x v="4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4806"/>
    <s v="Alexia OTTMANN"/>
    <s v="Karim ISKANDER"/>
    <x v="4"/>
    <s v="Non"/>
    <n v="0"/>
    <s v=""/>
    <n v="12"/>
    <n v="0"/>
    <n v="8"/>
    <e v="#REF!"/>
    <s v=""/>
    <s v=""/>
    <s v=""/>
    <n v="0"/>
    <n v="12"/>
    <n v="0"/>
    <n v="0"/>
    <n v="0"/>
    <n v="0"/>
    <n v="0"/>
    <n v="0"/>
    <x v="0"/>
    <n v="0"/>
    <n v="0"/>
    <n v="0"/>
    <m/>
    <m/>
    <m/>
    <x v="0"/>
    <m/>
  </r>
  <r>
    <s v="000014539"/>
    <s v="Alexia VACHERON"/>
    <s v="Julie FERRANDO"/>
    <x v="2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4"/>
    <n v="0"/>
    <n v="0"/>
    <n v="-1"/>
    <m/>
    <m/>
    <m/>
    <x v="0"/>
    <m/>
  </r>
  <r>
    <s v="000018026"/>
    <s v="Alexia WEHRLE"/>
    <s v="Amaury LECOMTE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1711"/>
    <s v="Alexis POUJOL"/>
    <s v="Pierre MONCHALIN"/>
    <x v="2"/>
    <s v="Non"/>
    <n v="13"/>
    <s v=""/>
    <n v="1"/>
    <n v="6"/>
    <n v="0"/>
    <e v="#REF!"/>
    <s v=""/>
    <s v=""/>
    <s v=""/>
    <n v="14"/>
    <n v="0"/>
    <n v="6"/>
    <n v="-1"/>
    <n v="1"/>
    <n v="0"/>
    <n v="0"/>
    <n v="0"/>
    <x v="2"/>
    <n v="0"/>
    <n v="0"/>
    <n v="-1"/>
    <m/>
    <m/>
    <m/>
    <x v="0"/>
    <m/>
  </r>
  <r>
    <s v="000011614"/>
    <s v="Ali BOUJDARIA"/>
    <s v="Yves REMBERT"/>
    <x v="0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11445"/>
    <s v="Alice GUILABERT"/>
    <s v="Julie FERRANDO"/>
    <x v="2"/>
    <s v="Oui"/>
    <n v="10"/>
    <s v=""/>
    <n v="9"/>
    <n v="1"/>
    <n v="0"/>
    <e v="#REF!"/>
    <s v=""/>
    <s v=""/>
    <s v=""/>
    <n v="10"/>
    <n v="9"/>
    <n v="1"/>
    <n v="0"/>
    <n v="0"/>
    <n v="0"/>
    <n v="0"/>
    <n v="0"/>
    <x v="0"/>
    <n v="0"/>
    <n v="0"/>
    <n v="0"/>
    <m/>
    <m/>
    <m/>
    <x v="0"/>
    <m/>
  </r>
  <r>
    <s v="000013175"/>
    <s v="Alicia JAFFRE"/>
    <s v="Willy TAN"/>
    <x v="3"/>
    <s v="Oui"/>
    <n v="0.5"/>
    <s v=""/>
    <n v="19.5"/>
    <n v="0"/>
    <n v="0"/>
    <e v="#REF!"/>
    <s v=""/>
    <s v=""/>
    <s v=""/>
    <n v="1"/>
    <n v="19"/>
    <n v="0"/>
    <n v="-0.5"/>
    <n v="0.5"/>
    <n v="0"/>
    <n v="0"/>
    <n v="0"/>
    <x v="2"/>
    <n v="0"/>
    <n v="0"/>
    <n v="-0.5"/>
    <m/>
    <m/>
    <m/>
    <x v="0"/>
    <m/>
  </r>
  <r>
    <s v="000016527"/>
    <s v="Alphonse MELTZ"/>
    <s v="Théo ROCH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2043"/>
    <s v="Amaury LECOMTE"/>
    <s v="Julien FLOCH"/>
    <x v="4"/>
    <s v="Oui"/>
    <n v="16.5"/>
    <s v=""/>
    <n v="3"/>
    <n v="0.5"/>
    <n v="0"/>
    <e v="#REF!"/>
    <s v=""/>
    <s v=""/>
    <s v=""/>
    <n v="15"/>
    <n v="4.5"/>
    <n v="0.5"/>
    <n v="1.5"/>
    <n v="-1.5"/>
    <n v="0"/>
    <n v="0"/>
    <n v="0"/>
    <x v="0"/>
    <n v="0"/>
    <n v="0"/>
    <n v="1.5"/>
    <m/>
    <m/>
    <m/>
    <x v="0"/>
    <m/>
  </r>
  <r>
    <s v="000015872"/>
    <s v="Amina CHELYAH"/>
    <s v="Marc DE MONTGOLFIER"/>
    <x v="8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2088"/>
    <s v="Amine BENNEKROUF"/>
    <s v="Philibert DE MONTILLE"/>
    <x v="5"/>
    <s v="Oui"/>
    <n v="8.5"/>
    <s v=""/>
    <n v="10"/>
    <n v="1.5"/>
    <n v="0"/>
    <e v="#REF!"/>
    <s v=""/>
    <s v=""/>
    <s v=""/>
    <n v="7.5"/>
    <n v="11.5"/>
    <n v="1"/>
    <n v="1"/>
    <n v="-1.5"/>
    <n v="0.5"/>
    <n v="0"/>
    <n v="0"/>
    <x v="2"/>
    <n v="0"/>
    <n v="0"/>
    <n v="1"/>
    <m/>
    <m/>
    <m/>
    <x v="0"/>
    <m/>
  </r>
  <r>
    <s v="000015713"/>
    <s v="Amine BOUHELAL"/>
    <s v="Soline LE BLEVEC"/>
    <x v="7"/>
    <s v="Non"/>
    <n v="10"/>
    <s v=""/>
    <n v="8.5"/>
    <n v="1.5"/>
    <n v="0"/>
    <e v="#REF!"/>
    <s v=""/>
    <s v=""/>
    <s v=""/>
    <n v="10"/>
    <n v="8.5"/>
    <n v="1.5"/>
    <n v="0"/>
    <n v="0"/>
    <n v="0"/>
    <n v="0"/>
    <n v="0"/>
    <x v="0"/>
    <n v="0"/>
    <n v="0"/>
    <n v="0"/>
    <m/>
    <m/>
    <m/>
    <x v="0"/>
    <m/>
  </r>
  <r>
    <s v="000017061"/>
    <s v="Amine GUENNOUNI"/>
    <s v="Nolwenn DELORD"/>
    <x v="2"/>
    <s v="Non"/>
    <n v="16.5"/>
    <s v=""/>
    <n v="0"/>
    <n v="3.5"/>
    <n v="0"/>
    <e v="#REF!"/>
    <s v=""/>
    <s v=""/>
    <s v=""/>
    <n v="16.5"/>
    <n v="0"/>
    <n v="3.5"/>
    <n v="0"/>
    <n v="0"/>
    <n v="0"/>
    <n v="0"/>
    <n v="0"/>
    <x v="1"/>
    <n v="0"/>
    <n v="0"/>
    <n v="0"/>
    <m/>
    <m/>
    <m/>
    <x v="0"/>
    <m/>
  </r>
  <r>
    <s v="000014104"/>
    <s v="Amira STOLERU"/>
    <s v="Cédric GUICHARD"/>
    <x v="1"/>
    <s v="Non"/>
    <n v="14.5"/>
    <s v=""/>
    <n v="1"/>
    <n v="4.5"/>
    <n v="0"/>
    <e v="#REF!"/>
    <s v=""/>
    <s v=""/>
    <s v=""/>
    <n v="15"/>
    <n v="0.5"/>
    <n v="4.5"/>
    <n v="-0.5"/>
    <n v="0.5"/>
    <n v="0"/>
    <n v="0"/>
    <n v="0"/>
    <x v="2"/>
    <n v="0"/>
    <n v="0"/>
    <n v="-0.5"/>
    <m/>
    <m/>
    <m/>
    <x v="0"/>
    <m/>
  </r>
  <r>
    <s v="000013361"/>
    <s v="Anas BELRHAZI"/>
    <s v="Pierre MONCHALIN"/>
    <x v="2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16510"/>
    <s v="Anas SAMKAOUI"/>
    <s v="Cédric GUICHARD"/>
    <x v="1"/>
    <s v="Non"/>
    <n v="10"/>
    <s v=""/>
    <n v="8"/>
    <n v="2"/>
    <n v="0"/>
    <e v="#REF!"/>
    <s v=""/>
    <s v=""/>
    <s v=""/>
    <n v="9"/>
    <n v="9"/>
    <n v="2"/>
    <n v="1"/>
    <n v="-1"/>
    <n v="0"/>
    <n v="0"/>
    <n v="0"/>
    <x v="0"/>
    <n v="0"/>
    <n v="0"/>
    <n v="1"/>
    <m/>
    <m/>
    <m/>
    <x v="0"/>
    <m/>
  </r>
  <r>
    <s v="000003769"/>
    <s v="Andrew SENKWENDA"/>
    <s v="Yuri HOFTE"/>
    <x v="3"/>
    <s v="Non"/>
    <n v="15"/>
    <s v=""/>
    <n v="5"/>
    <n v="0"/>
    <n v="0"/>
    <e v="#REF!"/>
    <s v=""/>
    <s v=""/>
    <s v=""/>
    <n v="20"/>
    <n v="0"/>
    <n v="0"/>
    <n v="-5"/>
    <n v="5"/>
    <n v="0"/>
    <n v="0"/>
    <n v="0"/>
    <x v="2"/>
    <n v="0"/>
    <n v="0"/>
    <n v="-5"/>
    <m/>
    <m/>
    <m/>
    <x v="0"/>
    <m/>
  </r>
  <r>
    <s v="000010238"/>
    <s v="Ange KAMDEM"/>
    <s v="Jonathan GERARDIN"/>
    <x v="7"/>
    <s v="Oui"/>
    <n v="6"/>
    <s v=""/>
    <n v="0"/>
    <n v="14"/>
    <n v="0"/>
    <e v="#REF!"/>
    <s v=""/>
    <s v=""/>
    <s v=""/>
    <n v="6"/>
    <n v="0"/>
    <n v="14"/>
    <n v="0"/>
    <n v="0"/>
    <n v="0"/>
    <n v="0"/>
    <n v="0"/>
    <x v="1"/>
    <n v="0"/>
    <n v="0"/>
    <n v="0"/>
    <m/>
    <m/>
    <m/>
    <x v="0"/>
    <m/>
  </r>
  <r>
    <s v="000018049"/>
    <s v="Anis TERKI"/>
    <s v="Christophe LOEUR"/>
    <x v="7"/>
    <s v="Non"/>
    <n v="12"/>
    <s v=""/>
    <n v="8"/>
    <n v="0"/>
    <n v="0"/>
    <e v="#REF!"/>
    <s v=""/>
    <s v=""/>
    <s v=""/>
    <n v="15"/>
    <n v="5"/>
    <n v="0"/>
    <n v="-3"/>
    <n v="3"/>
    <n v="0"/>
    <n v="0"/>
    <n v="0"/>
    <x v="2"/>
    <n v="0"/>
    <n v="0"/>
    <n v="-3"/>
    <m/>
    <m/>
    <m/>
    <x v="0"/>
    <m/>
  </r>
  <r>
    <s v="000002574"/>
    <s v="Anne DUFAUX"/>
    <s v="Valérie WITTORSKI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0502"/>
    <s v="Anne ROUSSEL"/>
    <s v="Harrison LECHEVALLIER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035"/>
    <s v="Anne-Sophie COULON"/>
    <s v="Timothée CARRICO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377"/>
    <s v="Anouchka BETTENDORF"/>
    <s v="Solène MENARD"/>
    <x v="5"/>
    <s v="Non"/>
    <n v="19.5"/>
    <s v=""/>
    <n v="0"/>
    <n v="0.5"/>
    <n v="0"/>
    <e v="#REF!"/>
    <s v=""/>
    <s v=""/>
    <s v=""/>
    <n v="20"/>
    <n v="-0.5"/>
    <n v="0.5"/>
    <n v="-0.5"/>
    <n v="0.5"/>
    <n v="0"/>
    <n v="0"/>
    <n v="0"/>
    <x v="1"/>
    <n v="0"/>
    <n v="0"/>
    <n v="-0.5"/>
    <m/>
    <m/>
    <m/>
    <x v="0"/>
    <m/>
  </r>
  <r>
    <s v="000010061"/>
    <s v="Anthony CORNU"/>
    <s v="François FONTESPIS-LOSTE"/>
    <x v="7"/>
    <s v="Oui"/>
    <n v="16"/>
    <s v=""/>
    <n v="1"/>
    <n v="3"/>
    <n v="0"/>
    <e v="#REF!"/>
    <s v=""/>
    <s v=""/>
    <s v=""/>
    <n v="16"/>
    <n v="1"/>
    <n v="3"/>
    <n v="0"/>
    <n v="0"/>
    <n v="0"/>
    <n v="0"/>
    <n v="0"/>
    <x v="0"/>
    <n v="0"/>
    <n v="0"/>
    <n v="0"/>
    <m/>
    <m/>
    <m/>
    <x v="0"/>
    <m/>
  </r>
  <r>
    <s v="000012663"/>
    <s v="Anthony D'AGOSTINI"/>
    <s v="Antoine FROMENTIN"/>
    <x v="6"/>
    <s v="Non"/>
    <n v="13"/>
    <s v=""/>
    <n v="0"/>
    <n v="7"/>
    <n v="0"/>
    <e v="#REF!"/>
    <s v=""/>
    <s v=""/>
    <s v=""/>
    <n v="6"/>
    <n v="7"/>
    <n v="7"/>
    <n v="7"/>
    <n v="-7"/>
    <n v="0"/>
    <n v="0"/>
    <n v="0"/>
    <x v="1"/>
    <n v="0"/>
    <n v="0"/>
    <n v="7"/>
    <m/>
    <m/>
    <m/>
    <x v="0"/>
    <m/>
  </r>
  <r>
    <s v="000012755"/>
    <s v="Anthony GROHAR"/>
    <s v="Gaël PEZIER"/>
    <x v="3"/>
    <s v="Non"/>
    <n v="9.5"/>
    <s v=""/>
    <n v="5.5"/>
    <n v="5"/>
    <n v="0"/>
    <e v="#REF!"/>
    <s v=""/>
    <s v=""/>
    <s v=""/>
    <n v="14"/>
    <n v="1"/>
    <n v="5"/>
    <n v="-4.5"/>
    <n v="4.5"/>
    <n v="0"/>
    <n v="0"/>
    <n v="0"/>
    <x v="2"/>
    <n v="0"/>
    <n v="0"/>
    <n v="-4.5"/>
    <m/>
    <m/>
    <m/>
    <x v="0"/>
    <m/>
  </r>
  <r>
    <s v="000008374"/>
    <s v="Anthony LORA"/>
    <s v="Godefroy DENORMANDIE"/>
    <x v="1"/>
    <s v="Oui"/>
    <n v="0"/>
    <s v=""/>
    <n v="19"/>
    <n v="1"/>
    <n v="0"/>
    <e v="#REF!"/>
    <s v=""/>
    <s v=""/>
    <s v=""/>
    <n v="20"/>
    <n v="0"/>
    <n v="0"/>
    <n v="-20"/>
    <n v="19"/>
    <n v="1"/>
    <n v="0"/>
    <n v="0"/>
    <x v="2"/>
    <n v="1"/>
    <n v="0"/>
    <n v="-20"/>
    <m/>
    <m/>
    <m/>
    <x v="0"/>
    <m/>
  </r>
  <r>
    <s v="000014094"/>
    <s v="Anthony SZAFIR"/>
    <s v="Pierre MONCHALIN"/>
    <x v="2"/>
    <s v="Non"/>
    <n v="12"/>
    <s v=""/>
    <n v="8"/>
    <n v="0"/>
    <n v="0"/>
    <e v="#REF!"/>
    <s v=""/>
    <s v=""/>
    <s v=""/>
    <n v="13"/>
    <n v="7"/>
    <n v="0"/>
    <n v="-1"/>
    <n v="1"/>
    <n v="0"/>
    <n v="0"/>
    <n v="0"/>
    <x v="3"/>
    <n v="0"/>
    <n v="1"/>
    <n v="0"/>
    <m/>
    <m/>
    <m/>
    <x v="0"/>
    <m/>
  </r>
  <r>
    <s v="000015471"/>
    <s v="Anthony TRAN"/>
    <s v="Gaël LACOSTE"/>
    <x v="4"/>
    <s v="Non"/>
    <n v="0"/>
    <s v=""/>
    <n v="20"/>
    <n v="0"/>
    <n v="0"/>
    <e v="#REF!"/>
    <s v=""/>
    <s v=""/>
    <s v=""/>
    <n v="15"/>
    <n v="5"/>
    <n v="0"/>
    <n v="-15"/>
    <n v="15"/>
    <n v="0"/>
    <n v="0"/>
    <n v="0"/>
    <x v="3"/>
    <n v="0"/>
    <n v="15"/>
    <n v="0"/>
    <m/>
    <m/>
    <m/>
    <x v="0"/>
    <m/>
  </r>
  <r>
    <s v="000015483"/>
    <s v="Antoine ALTAZIN"/>
    <s v="Laura JEANNIN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4550"/>
    <s v="Antoine BLANQUET"/>
    <s v="Cédric GUICHARD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5634"/>
    <s v="Antoine DENIE"/>
    <s v="Othmane KHARBACH"/>
    <x v="6"/>
    <s v="Oui"/>
    <n v="16"/>
    <s v=""/>
    <n v="4"/>
    <n v="0"/>
    <n v="0"/>
    <e v="#REF!"/>
    <s v=""/>
    <s v=""/>
    <s v=""/>
    <n v="16"/>
    <n v="4"/>
    <n v="0"/>
    <n v="0"/>
    <n v="0"/>
    <n v="0"/>
    <n v="0"/>
    <n v="0"/>
    <x v="0"/>
    <n v="0"/>
    <n v="0"/>
    <n v="0"/>
    <m/>
    <m/>
    <m/>
    <x v="0"/>
    <m/>
  </r>
  <r>
    <s v="000016270"/>
    <s v="Antoine FLAMENT"/>
    <s v="Laura JEANNIN"/>
    <x v="2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09154"/>
    <s v="Antoine FROMENTIN"/>
    <s v="Othmane KHARBACH"/>
    <x v="6"/>
    <s v="Oui"/>
    <n v="5"/>
    <s v=""/>
    <n v="15"/>
    <n v="0"/>
    <n v="0"/>
    <e v="#REF!"/>
    <s v=""/>
    <s v=""/>
    <s v=""/>
    <n v="5"/>
    <n v="15"/>
    <n v="0"/>
    <n v="0"/>
    <n v="0"/>
    <n v="0"/>
    <n v="0"/>
    <n v="0"/>
    <x v="0"/>
    <n v="0"/>
    <n v="0"/>
    <n v="0"/>
    <m/>
    <m/>
    <m/>
    <x v="0"/>
    <m/>
  </r>
  <r>
    <s v="000022008"/>
    <s v="Antoine MONFORT"/>
    <s v="Fatima Zohra OUTALHA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7314"/>
    <s v="Antoine PETIT"/>
    <s v="Sina MOVAGHAR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194"/>
    <s v="Antoine POULET"/>
    <s v="Thibault MORISSEAU"/>
    <x v="6"/>
    <s v="Non"/>
    <n v="0"/>
    <s v=""/>
    <n v="19"/>
    <n v="1"/>
    <n v="0"/>
    <e v="#REF!"/>
    <s v=""/>
    <s v=""/>
    <s v=""/>
    <n v="10"/>
    <n v="9"/>
    <n v="1"/>
    <n v="-10"/>
    <n v="10"/>
    <n v="0"/>
    <n v="0"/>
    <n v="0"/>
    <x v="2"/>
    <n v="0"/>
    <n v="0"/>
    <n v="-10"/>
    <m/>
    <m/>
    <m/>
    <x v="0"/>
    <m/>
  </r>
  <r>
    <s v="000022106"/>
    <s v="Antoine ROGER"/>
    <s v="Martin FLOURENS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1287"/>
    <s v="Antoine SANFILIPPO"/>
    <s v="Arthur BIGNIER"/>
    <x v="1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7809"/>
    <s v="Antoine THIRION"/>
    <s v="Ignacio MARTIN VELASCO"/>
    <x v="7"/>
    <s v="Non"/>
    <n v="18"/>
    <s v=""/>
    <n v="0"/>
    <n v="2"/>
    <n v="0"/>
    <e v="#REF!"/>
    <s v=""/>
    <s v=""/>
    <s v=""/>
    <n v="20"/>
    <n v="0"/>
    <n v="0"/>
    <n v="-2"/>
    <n v="0"/>
    <n v="2"/>
    <n v="0"/>
    <n v="0"/>
    <x v="1"/>
    <n v="2"/>
    <n v="0"/>
    <n v="-2"/>
    <m/>
    <m/>
    <m/>
    <x v="0"/>
    <m/>
  </r>
  <r>
    <s v="000022404"/>
    <s v="Antonin COLLOT"/>
    <s v="Martin BELLOT"/>
    <x v="1"/>
    <s v="Non"/>
    <n v="15"/>
    <s v=""/>
    <n v="5"/>
    <n v="0"/>
    <n v="0"/>
    <e v="#REF!"/>
    <s v=""/>
    <s v=""/>
    <s v=""/>
    <n v="20"/>
    <n v="0"/>
    <n v="0"/>
    <n v="-5"/>
    <n v="5"/>
    <n v="0"/>
    <n v="0"/>
    <n v="0"/>
    <x v="2"/>
    <n v="0"/>
    <n v="0"/>
    <n v="-5"/>
    <m/>
    <m/>
    <m/>
    <x v="0"/>
    <m/>
  </r>
  <r>
    <s v="000020967"/>
    <s v="Armand BRIQUET"/>
    <s v="Antoine DENIE"/>
    <x v="0"/>
    <s v="Non"/>
    <n v="0"/>
    <s v=""/>
    <n v="18"/>
    <n v="0"/>
    <n v="2"/>
    <e v="#REF!"/>
    <s v=""/>
    <s v=""/>
    <s v=""/>
    <n v="0"/>
    <n v="16"/>
    <n v="0"/>
    <n v="0"/>
    <n v="2"/>
    <n v="0"/>
    <n v="0"/>
    <n v="0"/>
    <x v="0"/>
    <n v="0"/>
    <n v="0"/>
    <n v="0"/>
    <m/>
    <m/>
    <m/>
    <x v="0"/>
    <m/>
  </r>
  <r>
    <s v="000015503"/>
    <s v="Arnaud BOUGES"/>
    <s v="Timothée CARRICO"/>
    <x v="4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  <r>
    <s v="000021561"/>
    <s v="Arnaud COUTANTIN"/>
    <s v="Anthony CORNU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5528"/>
    <s v="Arnaud LAYEC"/>
    <s v="Yuri HOFTE"/>
    <x v="3"/>
    <s v="Non"/>
    <n v="7"/>
    <s v=""/>
    <n v="4"/>
    <n v="1"/>
    <n v="8"/>
    <e v="#REF!"/>
    <s v=""/>
    <s v=""/>
    <s v=""/>
    <n v="7"/>
    <n v="4"/>
    <n v="1"/>
    <n v="0"/>
    <n v="0"/>
    <n v="0"/>
    <n v="0"/>
    <n v="0"/>
    <x v="0"/>
    <n v="0"/>
    <n v="0"/>
    <n v="0"/>
    <m/>
    <m/>
    <m/>
    <x v="0"/>
    <m/>
  </r>
  <r>
    <s v="000021948"/>
    <s v="Arthur BAUDIER"/>
    <s v="Mathilde JÉGOU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2479"/>
    <s v="Arthur BIGNIER"/>
    <s v="Etienne BELLITTO"/>
    <x v="1"/>
    <s v="Oui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535"/>
    <s v="Arthur ESKOULOV"/>
    <s v="Roman ESQUERRE"/>
    <x v="0"/>
    <s v="Non"/>
    <n v="0"/>
    <s v=""/>
    <n v="10"/>
    <n v="0"/>
    <n v="10"/>
    <e v="#REF!"/>
    <s v=""/>
    <s v=""/>
    <s v=""/>
    <n v="0"/>
    <n v="10"/>
    <n v="0"/>
    <n v="0"/>
    <n v="0"/>
    <n v="0"/>
    <n v="0"/>
    <n v="0"/>
    <x v="0"/>
    <n v="0"/>
    <n v="0"/>
    <n v="0"/>
    <m/>
    <m/>
    <m/>
    <x v="0"/>
    <m/>
  </r>
  <r>
    <s v="000013189"/>
    <s v="Arthur GRIMONT"/>
    <s v="Gaël PEZIER"/>
    <x v="3"/>
    <s v="Non"/>
    <n v="17.5"/>
    <s v=""/>
    <n v="2.5"/>
    <n v="0"/>
    <n v="0"/>
    <e v="#REF!"/>
    <s v=""/>
    <s v=""/>
    <s v=""/>
    <n v="10"/>
    <n v="10"/>
    <n v="0"/>
    <n v="7.5"/>
    <n v="-7.5"/>
    <n v="0"/>
    <n v="0"/>
    <n v="0"/>
    <x v="0"/>
    <n v="0"/>
    <n v="0"/>
    <n v="7.5"/>
    <m/>
    <m/>
    <m/>
    <x v="0"/>
    <m/>
  </r>
  <r>
    <s v="000016993"/>
    <s v="Arthur LATOURRETTE"/>
    <s v="Théophile PAHLAWAN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265"/>
    <s v="Arthur LEBAS"/>
    <s v="Thibault MORISSEAU"/>
    <x v="6"/>
    <s v="Non"/>
    <n v="11"/>
    <s v=""/>
    <n v="0"/>
    <n v="9"/>
    <n v="0"/>
    <e v="#REF!"/>
    <s v=""/>
    <s v=""/>
    <s v=""/>
    <n v="11"/>
    <n v="0"/>
    <n v="9"/>
    <n v="0"/>
    <n v="0"/>
    <n v="0"/>
    <n v="0"/>
    <n v="0"/>
    <x v="4"/>
    <n v="0"/>
    <n v="0"/>
    <n v="0"/>
    <m/>
    <m/>
    <m/>
    <x v="0"/>
    <m/>
  </r>
  <r>
    <s v="000010405"/>
    <s v="Arthur MORIN"/>
    <s v="Alexia BROS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7420"/>
    <s v="Arthur TRIFFAULT"/>
    <s v="Karim ISKANDER"/>
    <x v="4"/>
    <s v="Non"/>
    <n v="2.5"/>
    <s v=""/>
    <n v="16.5"/>
    <n v="1"/>
    <n v="0"/>
    <e v="#REF!"/>
    <s v=""/>
    <s v=""/>
    <s v=""/>
    <n v="11.5"/>
    <n v="7.5"/>
    <n v="1"/>
    <n v="-9"/>
    <n v="9"/>
    <n v="0"/>
    <n v="0"/>
    <n v="0"/>
    <x v="2"/>
    <n v="0"/>
    <n v="0"/>
    <n v="-9"/>
    <m/>
    <m/>
    <m/>
    <x v="0"/>
    <m/>
  </r>
  <r>
    <s v="000020765"/>
    <s v="Assmae BELLAGNECH"/>
    <s v="Valentin DAVAUDET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7802"/>
    <s v="Aurèle GARNIER"/>
    <s v="Amine BENNEKROUF"/>
    <x v="5"/>
    <s v="Non"/>
    <n v="6"/>
    <s v=""/>
    <n v="13"/>
    <n v="1"/>
    <n v="0"/>
    <e v="#REF!"/>
    <s v=""/>
    <s v=""/>
    <s v=""/>
    <n v="7"/>
    <n v="12"/>
    <n v="1"/>
    <n v="-1"/>
    <n v="1"/>
    <n v="0"/>
    <n v="0"/>
    <n v="0"/>
    <x v="2"/>
    <n v="0"/>
    <n v="0"/>
    <n v="-1"/>
    <m/>
    <m/>
    <m/>
    <x v="0"/>
    <m/>
  </r>
  <r>
    <s v="000017666"/>
    <s v="Aurélie LAW-YEN"/>
    <s v="Ange KAMDEM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7914"/>
    <s v="Axel PENTIER"/>
    <s v="Marion GERIN-ROZE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3946"/>
    <s v="Axel VALERY"/>
    <s v="Rebecca LARRIVEE"/>
    <x v="5"/>
    <s v="Non"/>
    <n v="19"/>
    <s v=""/>
    <n v="0.5"/>
    <n v="0.5"/>
    <n v="0"/>
    <e v="#REF!"/>
    <s v=""/>
    <s v=""/>
    <s v=""/>
    <n v="19.5"/>
    <n v="0"/>
    <n v="0.5"/>
    <n v="-0.5"/>
    <n v="0.5"/>
    <n v="0"/>
    <n v="0"/>
    <n v="0"/>
    <x v="2"/>
    <n v="0"/>
    <n v="0"/>
    <n v="-0.5"/>
    <m/>
    <m/>
    <m/>
    <x v="0"/>
    <m/>
  </r>
  <r>
    <s v="000021163"/>
    <s v="Axelle RIEU"/>
    <s v="Fatima Zohra OUTALHA"/>
    <x v="5"/>
    <s v="Non"/>
    <n v="4.5"/>
    <s v=""/>
    <n v="12.5"/>
    <n v="3"/>
    <n v="0"/>
    <e v="#REF!"/>
    <s v=""/>
    <s v=""/>
    <s v=""/>
    <n v="4.5"/>
    <n v="15.5"/>
    <n v="0"/>
    <n v="0"/>
    <n v="-3"/>
    <n v="3"/>
    <n v="0"/>
    <n v="0"/>
    <x v="2"/>
    <n v="0"/>
    <n v="0"/>
    <n v="0"/>
    <m/>
    <m/>
    <m/>
    <x v="0"/>
    <m/>
  </r>
  <r>
    <s v="000017472"/>
    <s v="Aya BOUZBIB"/>
    <s v="Vérane CHOAIN"/>
    <x v="7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17650"/>
    <s v="Aymane LAMHAMDI"/>
    <s v="Roman ESQUERRE"/>
    <x v="0"/>
    <s v="Non"/>
    <n v="8"/>
    <s v=""/>
    <n v="7"/>
    <n v="5"/>
    <n v="0"/>
    <e v="#REF!"/>
    <s v=""/>
    <s v=""/>
    <s v=""/>
    <n v="8"/>
    <n v="7"/>
    <n v="5"/>
    <n v="0"/>
    <n v="0"/>
    <n v="0"/>
    <n v="0"/>
    <n v="0"/>
    <x v="0"/>
    <n v="0"/>
    <n v="0"/>
    <n v="0"/>
    <m/>
    <m/>
    <m/>
    <x v="0"/>
    <m/>
  </r>
  <r>
    <s v="000022107"/>
    <s v="Aymen GMAR CHEBLI"/>
    <s v="Quentin DUMONT"/>
    <x v="2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0498"/>
    <s v="Aymene CHAKIR"/>
    <s v="Christophe LOEUR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238"/>
    <s v="Aymeric DE LA BRETESCHE"/>
    <s v="Karim ISKANDER"/>
    <x v="4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8110"/>
    <s v="Aymeric LABEDAN"/>
    <s v="Roman ESQUERRE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5587"/>
    <s v="Azza LASSOUED"/>
    <s v="Yves REMBERT"/>
    <x v="0"/>
    <s v="Oui"/>
    <n v="7"/>
    <s v=""/>
    <n v="5"/>
    <n v="4"/>
    <n v="4"/>
    <e v="#REF!"/>
    <s v=""/>
    <s v=""/>
    <s v=""/>
    <n v="12"/>
    <n v="0"/>
    <n v="4"/>
    <n v="-5"/>
    <n v="5"/>
    <n v="0"/>
    <n v="0"/>
    <n v="0"/>
    <x v="2"/>
    <n v="0"/>
    <n v="0"/>
    <n v="-5"/>
    <m/>
    <m/>
    <m/>
    <x v="0"/>
    <m/>
  </r>
  <r>
    <s v="000016530"/>
    <s v="Badr KHAOUDI"/>
    <s v="Solène MENARD"/>
    <x v="5"/>
    <s v="Non"/>
    <n v="0"/>
    <s v=""/>
    <n v="20"/>
    <n v="0"/>
    <n v="0"/>
    <e v="#REF!"/>
    <s v=""/>
    <s v=""/>
    <s v=""/>
    <n v="9"/>
    <n v="11"/>
    <n v="0"/>
    <n v="-9"/>
    <n v="9"/>
    <n v="0"/>
    <n v="0"/>
    <n v="0"/>
    <x v="3"/>
    <n v="0"/>
    <n v="8"/>
    <n v="-1"/>
    <m/>
    <m/>
    <m/>
    <x v="0"/>
    <m/>
  </r>
  <r>
    <s v="000016466"/>
    <s v="Baptiste DESJOBERT"/>
    <s v="Solène MENARD"/>
    <x v="5"/>
    <s v="Non"/>
    <n v="11"/>
    <s v=""/>
    <n v="0"/>
    <n v="9"/>
    <n v="0"/>
    <e v="#REF!"/>
    <s v=""/>
    <s v=""/>
    <s v=""/>
    <n v="11"/>
    <n v="0"/>
    <n v="9"/>
    <n v="0"/>
    <n v="0"/>
    <n v="0"/>
    <n v="0"/>
    <n v="0"/>
    <x v="1"/>
    <n v="0"/>
    <n v="0"/>
    <n v="0"/>
    <m/>
    <m/>
    <m/>
    <x v="0"/>
    <m/>
  </r>
  <r>
    <s v="000016808"/>
    <s v="Baptiste DURAND"/>
    <s v="Philibert DE MONTILLE"/>
    <x v="5"/>
    <s v="Non"/>
    <n v="20"/>
    <s v=""/>
    <n v="0"/>
    <n v="0"/>
    <n v="0"/>
    <e v="#REF!"/>
    <s v=""/>
    <s v=""/>
    <s v=""/>
    <n v="15"/>
    <n v="5"/>
    <n v="0"/>
    <n v="5"/>
    <n v="-5"/>
    <n v="0"/>
    <n v="0"/>
    <n v="0"/>
    <x v="1"/>
    <n v="0"/>
    <n v="0"/>
    <n v="5"/>
    <m/>
    <m/>
    <m/>
    <x v="0"/>
    <m/>
  </r>
  <r>
    <s v="000016529"/>
    <s v="Baptiste PETITJEAN"/>
    <s v="Jonathan SARPAUX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669"/>
    <s v="Barthélémy LOMBARD"/>
    <s v="Jimmy GUERIN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337"/>
    <s v="Bastien GUYOT"/>
    <s v="Anthony CORNU"/>
    <x v="7"/>
    <s v="Non"/>
    <n v="9"/>
    <s v=""/>
    <n v="0"/>
    <n v="11"/>
    <n v="0"/>
    <e v="#REF!"/>
    <s v=""/>
    <s v=""/>
    <s v=""/>
    <n v="7"/>
    <n v="2"/>
    <n v="11"/>
    <n v="2"/>
    <n v="-2"/>
    <n v="0"/>
    <n v="0"/>
    <n v="0"/>
    <x v="1"/>
    <n v="0"/>
    <n v="0"/>
    <n v="2"/>
    <m/>
    <m/>
    <m/>
    <x v="0"/>
    <m/>
  </r>
  <r>
    <s v="000013824"/>
    <s v="Bastien PELISSIER"/>
    <s v="Antoine DENIE"/>
    <x v="0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x v="0"/>
    <m/>
  </r>
  <r>
    <s v="000013681"/>
    <s v="Benjamin SCHYNS"/>
    <s v="Willy TAN"/>
    <x v="3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x v="0"/>
    <m/>
  </r>
  <r>
    <s v="000021738"/>
    <s v="Benoit POTIER"/>
    <s v="Clément VINCENT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1166"/>
    <s v="Benoit RICHARD"/>
    <s v="Fayçal YAKOUBI"/>
    <x v="5"/>
    <s v="Non"/>
    <n v="16.5"/>
    <s v=""/>
    <n v="0"/>
    <n v="3.5"/>
    <n v="0"/>
    <e v="#REF!"/>
    <s v=""/>
    <s v=""/>
    <s v=""/>
    <n v="16.5"/>
    <n v="0"/>
    <n v="3.5"/>
    <n v="0"/>
    <n v="0"/>
    <n v="0"/>
    <n v="0"/>
    <n v="0"/>
    <x v="1"/>
    <n v="0"/>
    <n v="0"/>
    <n v="0"/>
    <m/>
    <m/>
    <m/>
    <x v="0"/>
    <m/>
  </r>
  <r>
    <s v="000015697"/>
    <s v="Bettina ETIÉVANT"/>
    <s v="Théo ROCH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032"/>
    <s v="Bintou SELLIN"/>
    <s v="Karim ISKANDER"/>
    <x v="4"/>
    <s v="Non"/>
    <n v="9"/>
    <s v=""/>
    <n v="11"/>
    <n v="0"/>
    <n v="0"/>
    <e v="#REF!"/>
    <s v=""/>
    <s v=""/>
    <s v=""/>
    <n v="16"/>
    <n v="4"/>
    <n v="0"/>
    <n v="-7"/>
    <n v="7"/>
    <n v="0"/>
    <n v="0"/>
    <n v="0"/>
    <x v="2"/>
    <n v="0"/>
    <n v="0"/>
    <n v="-7"/>
    <m/>
    <m/>
    <m/>
    <x v="0"/>
    <m/>
  </r>
  <r>
    <s v="000020773"/>
    <s v="Boris LE FOLL"/>
    <s v="Amaury LECOMTE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3106"/>
    <s v="Brandon QUINNE"/>
    <s v="Etienne BELLITTO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492"/>
    <s v="Brendan KERMARREC"/>
    <s v="Yves REMBERT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8081"/>
    <s v="Bryan AGGOUN"/>
    <s v="Philibert DE MONTILLE"/>
    <x v="5"/>
    <s v="Non"/>
    <n v="17"/>
    <s v=""/>
    <n v="0"/>
    <n v="3"/>
    <n v="0"/>
    <e v="#REF!"/>
    <s v=""/>
    <s v=""/>
    <s v=""/>
    <n v="19"/>
    <n v="0"/>
    <n v="1"/>
    <n v="-2"/>
    <n v="0"/>
    <n v="2"/>
    <n v="0"/>
    <n v="0"/>
    <x v="1"/>
    <n v="2"/>
    <n v="0"/>
    <n v="-2"/>
    <m/>
    <m/>
    <m/>
    <x v="0"/>
    <m/>
  </r>
  <r>
    <s v="000013544"/>
    <s v="Camil ADJIBADE"/>
    <s v="Julie FERRANDO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5717"/>
    <s v="Camille DURAND"/>
    <s v="Florent MATHE"/>
    <x v="7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4495"/>
    <s v="Camille LESAGE"/>
    <s v="Willy TAN"/>
    <x v="3"/>
    <s v="Non"/>
    <n v="0"/>
    <s v=""/>
    <n v="0"/>
    <n v="0"/>
    <n v="20"/>
    <e v="#REF!"/>
    <s v=""/>
    <s v=""/>
    <s v=""/>
    <n v="0"/>
    <n v="0"/>
    <n v="0"/>
    <n v="0"/>
    <n v="0"/>
    <n v="0"/>
    <n v="0"/>
    <n v="0"/>
    <x v="1"/>
    <n v="0"/>
    <n v="0"/>
    <n v="0"/>
    <m/>
    <m/>
    <m/>
    <x v="0"/>
    <m/>
  </r>
  <r>
    <s v="000020468"/>
    <s v="Camille PAYET"/>
    <s v="Alicia JAFFRE"/>
    <x v="3"/>
    <s v="Non"/>
    <n v="13"/>
    <s v=""/>
    <n v="0"/>
    <n v="7"/>
    <n v="0"/>
    <e v="#REF!"/>
    <s v=""/>
    <s v=""/>
    <s v=""/>
    <n v="12.5"/>
    <n v="0"/>
    <n v="7.5"/>
    <n v="0.5"/>
    <n v="0"/>
    <n v="-0.5"/>
    <n v="0"/>
    <n v="0"/>
    <x v="1"/>
    <n v="0"/>
    <n v="0"/>
    <n v="0.5"/>
    <m/>
    <m/>
    <m/>
    <x v="0"/>
    <m/>
  </r>
  <r>
    <s v="000016292"/>
    <s v="Candice DABRIOU"/>
    <s v="Willy TAN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925"/>
    <s v="Carla COMPÈRE"/>
    <s v="Julien FLOCH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563"/>
    <s v="Carmen OSANLOU"/>
    <s v="Mathilde JÉGOU"/>
    <x v="2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21210"/>
    <s v="Caroline PITT"/>
    <s v="Thibault MORISSEAU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20877"/>
    <s v="Cathleen MONDESIR"/>
    <s v="Harrison LECHEVALLIER"/>
    <x v="5"/>
    <s v="Non"/>
    <n v="4.5"/>
    <s v=""/>
    <n v="15.5"/>
    <n v="0"/>
    <n v="0"/>
    <e v="#REF!"/>
    <s v=""/>
    <s v=""/>
    <s v=""/>
    <n v="0"/>
    <n v="19"/>
    <n v="1"/>
    <n v="4.5"/>
    <n v="-3.5"/>
    <n v="-1"/>
    <n v="0"/>
    <n v="0"/>
    <x v="2"/>
    <n v="0"/>
    <n v="0"/>
    <n v="4.5"/>
    <m/>
    <m/>
    <m/>
    <x v="0"/>
    <m/>
  </r>
  <r>
    <s v="000020842"/>
    <s v="Cendrine BOUZET"/>
    <s v="Zineb MEZGUELDI"/>
    <x v="6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x v="0"/>
    <m/>
  </r>
  <r>
    <s v="000017242"/>
    <s v="Chadine BENSOUDA-KORAICHI"/>
    <s v="Maria OUELLAJ"/>
    <x v="1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  <r>
    <s v="000016253"/>
    <s v="Charafeddine REBOUZE"/>
    <s v="Antoine DENIE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4976"/>
    <s v="Charbel BAAKLINI"/>
    <s v="Gaël LACOSTE"/>
    <x v="4"/>
    <s v="Non"/>
    <n v="10.5"/>
    <s v=""/>
    <n v="8.5"/>
    <n v="1"/>
    <n v="0"/>
    <e v="#REF!"/>
    <s v=""/>
    <s v=""/>
    <s v=""/>
    <n v="10.5"/>
    <n v="8.5"/>
    <n v="1"/>
    <n v="0"/>
    <n v="0"/>
    <n v="0"/>
    <n v="0"/>
    <n v="0"/>
    <x v="0"/>
    <n v="0"/>
    <n v="0"/>
    <n v="0"/>
    <m/>
    <m/>
    <m/>
    <x v="0"/>
    <m/>
  </r>
  <r>
    <s v="000017409"/>
    <s v="Charles BERGÉ"/>
    <s v="Yosr ABIDA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9171"/>
    <s v="Charles PARIS"/>
    <s v="Yuri HOFTE"/>
    <x v="3"/>
    <s v="Oui"/>
    <n v="19.5"/>
    <s v=""/>
    <n v="0.5"/>
    <n v="0"/>
    <n v="0"/>
    <e v="#REF!"/>
    <s v=""/>
    <s v=""/>
    <s v=""/>
    <n v="17"/>
    <n v="3"/>
    <n v="0"/>
    <n v="2.5"/>
    <n v="-2.5"/>
    <n v="0"/>
    <n v="0"/>
    <n v="0"/>
    <x v="0"/>
    <n v="0"/>
    <n v="0"/>
    <n v="2.5"/>
    <m/>
    <m/>
    <m/>
    <x v="0"/>
    <m/>
  </r>
  <r>
    <s v="000013441"/>
    <s v="Charlotte GRIGNON"/>
    <s v="Rebecca LARRIVEE"/>
    <x v="5"/>
    <s v="Non"/>
    <n v="0"/>
    <s v=""/>
    <n v="1"/>
    <n v="0"/>
    <n v="19"/>
    <e v="#REF!"/>
    <s v=""/>
    <s v=""/>
    <s v=""/>
    <n v="0"/>
    <n v="20"/>
    <n v="0"/>
    <n v="0"/>
    <n v="-19"/>
    <n v="0"/>
    <n v="0"/>
    <n v="0"/>
    <x v="0"/>
    <n v="0"/>
    <n v="0"/>
    <n v="0"/>
    <m/>
    <m/>
    <m/>
    <x v="0"/>
    <m/>
  </r>
  <r>
    <s v="000021193"/>
    <s v="Cherif HAMDINI"/>
    <s v="Ange KAMDEM"/>
    <x v="7"/>
    <s v="Non"/>
    <n v="16"/>
    <s v=""/>
    <n v="0"/>
    <n v="4"/>
    <n v="0"/>
    <e v="#REF!"/>
    <s v=""/>
    <s v=""/>
    <s v=""/>
    <n v="20"/>
    <n v="0"/>
    <n v="0"/>
    <n v="-4"/>
    <n v="0"/>
    <n v="4"/>
    <n v="0"/>
    <n v="0"/>
    <x v="1"/>
    <n v="4"/>
    <n v="0"/>
    <n v="-4"/>
    <m/>
    <m/>
    <m/>
    <x v="0"/>
    <m/>
  </r>
  <r>
    <s v="000021824"/>
    <s v="Chloé LAHAUSSOIS"/>
    <s v="Christophe LOEUR"/>
    <x v="7"/>
    <s v="Non"/>
    <n v="20"/>
    <s v=""/>
    <n v="0"/>
    <n v="0"/>
    <n v="0"/>
    <e v="#REF!"/>
    <s v=""/>
    <s v=""/>
    <s v=""/>
    <n v="17"/>
    <n v="3"/>
    <n v="0"/>
    <n v="3"/>
    <n v="-3"/>
    <n v="0"/>
    <n v="0"/>
    <n v="0"/>
    <x v="1"/>
    <n v="0"/>
    <n v="0"/>
    <n v="3"/>
    <m/>
    <m/>
    <m/>
    <x v="0"/>
    <m/>
  </r>
  <r>
    <s v="000015165"/>
    <s v="Chorouq EL AFFAS"/>
    <s v="Alexia BROS"/>
    <x v="5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  <r>
    <s v="000021751"/>
    <s v="Christ Elysée KONAN"/>
    <s v="Thibault MORISSEAU"/>
    <x v="6"/>
    <s v="Non"/>
    <n v="15"/>
    <s v=""/>
    <n v="5"/>
    <n v="0"/>
    <n v="0"/>
    <e v="#REF!"/>
    <s v=""/>
    <s v=""/>
    <s v=""/>
    <n v="15"/>
    <n v="5"/>
    <n v="0"/>
    <n v="0"/>
    <n v="0"/>
    <n v="0"/>
    <n v="0"/>
    <n v="0"/>
    <x v="0"/>
    <n v="0"/>
    <n v="0"/>
    <n v="0"/>
    <m/>
    <m/>
    <m/>
    <x v="0"/>
    <m/>
  </r>
  <r>
    <s v="000013729"/>
    <s v="Christian DEMBO"/>
    <s v="Etienne BELLITTO"/>
    <x v="1"/>
    <s v="Non"/>
    <n v="14"/>
    <s v=""/>
    <n v="0"/>
    <n v="6"/>
    <n v="0"/>
    <e v="#REF!"/>
    <s v=""/>
    <s v=""/>
    <s v=""/>
    <n v="10"/>
    <n v="4"/>
    <n v="6"/>
    <n v="4"/>
    <n v="-4"/>
    <n v="0"/>
    <n v="0"/>
    <n v="0"/>
    <x v="1"/>
    <n v="0"/>
    <n v="0"/>
    <n v="4"/>
    <m/>
    <m/>
    <m/>
    <x v="0"/>
    <m/>
  </r>
  <r>
    <s v="000001603"/>
    <s v="Christine ERVE"/>
    <s v="Florence NOIZET"/>
    <x v="5"/>
    <s v="Non"/>
    <n v="5"/>
    <s v=""/>
    <n v="8"/>
    <n v="7"/>
    <n v="0"/>
    <e v="#REF!"/>
    <s v=""/>
    <s v=""/>
    <s v=""/>
    <n v="5"/>
    <n v="8"/>
    <n v="7"/>
    <n v="0"/>
    <n v="0"/>
    <n v="0"/>
    <n v="0"/>
    <n v="0"/>
    <x v="0"/>
    <n v="0"/>
    <n v="0"/>
    <n v="0"/>
    <m/>
    <m/>
    <m/>
    <x v="0"/>
    <m/>
  </r>
  <r>
    <s v="000009094"/>
    <s v="Christophe LOEUR"/>
    <s v="Jonathan GERARDIN"/>
    <x v="7"/>
    <s v="Oui"/>
    <n v="15"/>
    <s v=""/>
    <n v="0"/>
    <n v="5"/>
    <n v="0"/>
    <e v="#REF!"/>
    <s v=""/>
    <s v=""/>
    <s v=""/>
    <n v="13"/>
    <n v="0"/>
    <n v="7"/>
    <n v="2"/>
    <n v="0"/>
    <n v="-2"/>
    <n v="0"/>
    <n v="0"/>
    <x v="1"/>
    <n v="0"/>
    <n v="0"/>
    <n v="2"/>
    <m/>
    <m/>
    <m/>
    <x v="0"/>
    <m/>
  </r>
  <r>
    <s v="000021623"/>
    <s v="Cindy DESPOIS"/>
    <s v="Rebecca LARRIVEE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4468"/>
    <s v="Cindy MOUAHBA"/>
    <s v="Laura JEANNIN"/>
    <x v="2"/>
    <s v="Non"/>
    <n v="0"/>
    <s v=""/>
    <n v="0"/>
    <n v="0"/>
    <n v="20"/>
    <e v="#REF!"/>
    <s v=""/>
    <s v=""/>
    <s v=""/>
    <n v="0"/>
    <n v="0"/>
    <n v="0"/>
    <n v="0"/>
    <n v="0"/>
    <n v="0"/>
    <n v="0"/>
    <n v="0"/>
    <x v="1"/>
    <n v="0"/>
    <n v="0"/>
    <n v="0"/>
    <m/>
    <m/>
    <m/>
    <x v="0"/>
    <m/>
  </r>
  <r>
    <s v="000017017"/>
    <s v="Claire LAVIELLE"/>
    <s v="Marion LARHANTEC"/>
    <x v="3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7587"/>
    <s v="Clara BOUCHENY"/>
    <s v="Nicolas MURAT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417"/>
    <s v="Clara CHELLY"/>
    <s v="Arthur BIGNIER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4443"/>
    <s v="Clara GESLOT"/>
    <s v="Jean-Baptiste DUBOIS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3605"/>
    <s v="Clara HUYGHE"/>
    <s v="Roman ESQUERRE"/>
    <x v="0"/>
    <s v="Non"/>
    <n v="11"/>
    <s v=""/>
    <n v="7"/>
    <n v="2"/>
    <n v="0"/>
    <e v="#REF!"/>
    <s v=""/>
    <s v=""/>
    <s v=""/>
    <n v="18"/>
    <n v="0"/>
    <n v="2"/>
    <n v="-7"/>
    <n v="7"/>
    <n v="0"/>
    <n v="0"/>
    <n v="0"/>
    <x v="2"/>
    <n v="0"/>
    <n v="0"/>
    <n v="-7"/>
    <m/>
    <m/>
    <m/>
    <x v="0"/>
    <m/>
  </r>
  <r>
    <s v="000017209"/>
    <s v="Clara MILLERO"/>
    <s v="Etienne BELLITTO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138"/>
    <s v="Clara PIFFAUT"/>
    <s v="Anthony LORA"/>
    <x v="1"/>
    <s v="Non"/>
    <n v="0"/>
    <s v=""/>
    <n v="18"/>
    <n v="2"/>
    <n v="0"/>
    <e v="#REF!"/>
    <s v=""/>
    <s v=""/>
    <s v=""/>
    <n v="0"/>
    <n v="18"/>
    <n v="2"/>
    <n v="0"/>
    <n v="0"/>
    <n v="0"/>
    <n v="0"/>
    <n v="0"/>
    <x v="0"/>
    <n v="0"/>
    <n v="0"/>
    <n v="0"/>
    <m/>
    <m/>
    <m/>
    <x v="0"/>
    <m/>
  </r>
  <r>
    <s v="000005243"/>
    <s v="Clotilde FOUACHE"/>
    <s v="Yves REMBERT"/>
    <x v="0"/>
    <s v="Non"/>
    <n v="0"/>
    <s v=""/>
    <n v="16"/>
    <n v="4"/>
    <n v="0"/>
    <e v="#REF!"/>
    <s v=""/>
    <s v=""/>
    <s v=""/>
    <n v="0"/>
    <n v="19"/>
    <n v="1"/>
    <n v="0"/>
    <n v="-3"/>
    <n v="3"/>
    <n v="0"/>
    <n v="0"/>
    <x v="2"/>
    <n v="0"/>
    <n v="0"/>
    <n v="0"/>
    <m/>
    <m/>
    <m/>
    <x v="0"/>
    <m/>
  </r>
  <r>
    <s v="000021844"/>
    <s v="Clotilde SAMANIEGO"/>
    <s v="Marius LIBERT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8150"/>
    <s v="Cloé LAURENCE"/>
    <s v="Timothée CARRICO"/>
    <x v="4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  <r>
    <s v="000008135"/>
    <s v="Clémence HERNANDEZ"/>
    <s v="Julien FLOCH"/>
    <x v="4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x v="0"/>
    <m/>
  </r>
  <r>
    <s v="000014440"/>
    <s v="Clément GILLET"/>
    <s v="Gaël LACOSTE"/>
    <x v="4"/>
    <s v="Non"/>
    <n v="14"/>
    <s v=""/>
    <n v="0"/>
    <n v="6"/>
    <n v="0"/>
    <e v="#REF!"/>
    <s v=""/>
    <s v=""/>
    <s v=""/>
    <n v="14"/>
    <n v="0"/>
    <n v="6"/>
    <n v="0"/>
    <n v="0"/>
    <n v="0"/>
    <n v="0"/>
    <n v="0"/>
    <x v="1"/>
    <n v="0"/>
    <n v="0"/>
    <n v="0"/>
    <m/>
    <m/>
    <m/>
    <x v="0"/>
    <m/>
  </r>
  <r>
    <s v="000003695"/>
    <s v="Clément PIQUE"/>
    <s v="Guillaume VAQUERO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136"/>
    <s v="Clément QUENTIN"/>
    <s v="Alicia JAFFRE"/>
    <x v="3"/>
    <s v="Non"/>
    <n v="18.5"/>
    <s v=""/>
    <n v="0"/>
    <n v="1.5"/>
    <n v="0"/>
    <e v="#REF!"/>
    <s v=""/>
    <s v=""/>
    <s v=""/>
    <n v="18.5"/>
    <n v="0"/>
    <n v="1.5"/>
    <n v="0"/>
    <n v="0"/>
    <n v="0"/>
    <n v="0"/>
    <n v="0"/>
    <x v="1"/>
    <n v="0"/>
    <n v="0"/>
    <n v="0"/>
    <m/>
    <m/>
    <m/>
    <x v="0"/>
    <m/>
  </r>
  <r>
    <s v="000017056"/>
    <s v="Clément SOONEKINDT"/>
    <s v="Karim ISKANDER"/>
    <x v="4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x v="0"/>
    <m/>
  </r>
  <r>
    <s v="000013565"/>
    <s v="Clément VINCENT"/>
    <s v="Pierre MONCHALIN"/>
    <x v="2"/>
    <s v="Oui"/>
    <n v="15"/>
    <s v=""/>
    <n v="4"/>
    <n v="1"/>
    <n v="0"/>
    <e v="#REF!"/>
    <s v=""/>
    <s v=""/>
    <s v=""/>
    <n v="19"/>
    <n v="0"/>
    <n v="1"/>
    <n v="-4"/>
    <n v="4"/>
    <n v="0"/>
    <n v="0"/>
    <n v="0"/>
    <x v="2"/>
    <n v="0"/>
    <n v="0"/>
    <n v="-4"/>
    <m/>
    <m/>
    <m/>
    <x v="0"/>
    <m/>
  </r>
  <r>
    <s v="000001605"/>
    <s v="Corinne VOLLET"/>
    <s v="Jean-Baptiste DUBOIS"/>
    <x v="6"/>
    <s v="Non"/>
    <n v="0"/>
    <s v=""/>
    <n v="14"/>
    <n v="6"/>
    <n v="0"/>
    <e v="#REF!"/>
    <s v=""/>
    <s v=""/>
    <s v=""/>
    <n v="0"/>
    <n v="14"/>
    <n v="6"/>
    <n v="0"/>
    <n v="0"/>
    <n v="0"/>
    <n v="0"/>
    <n v="0"/>
    <x v="0"/>
    <n v="0"/>
    <n v="0"/>
    <n v="0"/>
    <m/>
    <m/>
    <m/>
    <x v="0"/>
    <m/>
  </r>
  <r>
    <s v="000012607"/>
    <s v="Cécile GEOFFROY"/>
    <s v="Sina MOVAGHAR"/>
    <x v="0"/>
    <s v="Non"/>
    <n v="18"/>
    <s v=""/>
    <n v="0"/>
    <n v="2"/>
    <n v="0"/>
    <e v="#REF!"/>
    <s v=""/>
    <s v=""/>
    <s v=""/>
    <n v="20"/>
    <n v="0"/>
    <n v="0"/>
    <n v="-2"/>
    <n v="0"/>
    <n v="2"/>
    <n v="0"/>
    <n v="0"/>
    <x v="1"/>
    <n v="2"/>
    <n v="0"/>
    <n v="-2"/>
    <m/>
    <m/>
    <m/>
    <x v="0"/>
    <m/>
  </r>
  <r>
    <s v="000010584"/>
    <s v="Cédric GUICHARD"/>
    <s v="Godefroy DENORMANDIE"/>
    <x v="1"/>
    <s v="Oui"/>
    <n v="16.5"/>
    <s v=""/>
    <n v="3"/>
    <n v="0.5"/>
    <n v="0"/>
    <e v="#REF!"/>
    <s v=""/>
    <s v=""/>
    <s v=""/>
    <n v="20"/>
    <n v="0"/>
    <n v="0"/>
    <n v="-3.5"/>
    <n v="3"/>
    <n v="0.5"/>
    <n v="0"/>
    <n v="0"/>
    <x v="1"/>
    <n v="0.5"/>
    <n v="0"/>
    <n v="-3.5"/>
    <m/>
    <m/>
    <m/>
    <x v="0"/>
    <m/>
  </r>
  <r>
    <s v="000016813"/>
    <s v="César MICHELET"/>
    <s v="Solène MENARD"/>
    <x v="5"/>
    <s v="Non"/>
    <n v="8"/>
    <s v=""/>
    <n v="10"/>
    <n v="2"/>
    <n v="0"/>
    <e v="#REF!"/>
    <s v=""/>
    <s v=""/>
    <s v=""/>
    <n v="10"/>
    <n v="8"/>
    <n v="2"/>
    <n v="-2"/>
    <n v="2"/>
    <n v="0"/>
    <n v="0"/>
    <n v="0"/>
    <x v="3"/>
    <n v="0"/>
    <n v="4"/>
    <n v="2"/>
    <m/>
    <m/>
    <m/>
    <x v="0"/>
    <m/>
  </r>
  <r>
    <s v="000012547"/>
    <s v="Cétia BAILLARD"/>
    <s v="Antoine FROMENTIN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7516"/>
    <s v="Daniel BUTSANETS"/>
    <s v="Christophe LOEUR"/>
    <x v="7"/>
    <s v="Non"/>
    <n v="9"/>
    <s v=""/>
    <n v="11"/>
    <n v="0"/>
    <n v="0"/>
    <e v="#REF!"/>
    <s v=""/>
    <s v=""/>
    <s v=""/>
    <n v="9"/>
    <n v="11"/>
    <n v="0"/>
    <n v="0"/>
    <n v="0"/>
    <n v="0"/>
    <n v="0"/>
    <n v="0"/>
    <x v="0"/>
    <n v="0"/>
    <n v="0"/>
    <n v="0"/>
    <m/>
    <m/>
    <m/>
    <x v="0"/>
    <m/>
  </r>
  <r>
    <s v="000021678"/>
    <s v="Daniel CRUZ"/>
    <s v="Zineb MEZGUELDI"/>
    <x v="6"/>
    <s v="Non"/>
    <n v="13.5"/>
    <s v=""/>
    <n v="1.5"/>
    <n v="5"/>
    <n v="0"/>
    <e v="#REF!"/>
    <s v=""/>
    <s v=""/>
    <s v=""/>
    <n v="10"/>
    <n v="5"/>
    <n v="5"/>
    <n v="3.5"/>
    <n v="-3.5"/>
    <n v="0"/>
    <n v="0"/>
    <n v="0"/>
    <x v="0"/>
    <n v="0"/>
    <n v="0"/>
    <n v="3.5"/>
    <m/>
    <m/>
    <m/>
    <x v="0"/>
    <m/>
  </r>
  <r>
    <s v="000012645"/>
    <s v="David HASSAN"/>
    <s v="Antoine FROMENTIN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04853"/>
    <s v="David RENAUDIN"/>
    <s v="Fabrice AUSTRUY"/>
    <x v="1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x v="0"/>
    <m/>
  </r>
  <r>
    <s v="000017419"/>
    <s v="David THIAW-WING-KAÏ"/>
    <s v="Marius LIBERT"/>
    <x v="5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x v="0"/>
    <m/>
  </r>
  <r>
    <s v="000016745"/>
    <s v="Diego Eduardo ORTIZ VIGIL"/>
    <s v="Soline LE BLEVEC"/>
    <x v="7"/>
    <s v="Non"/>
    <n v="14"/>
    <s v=""/>
    <n v="6"/>
    <n v="0"/>
    <n v="0"/>
    <e v="#REF!"/>
    <s v=""/>
    <s v=""/>
    <s v=""/>
    <n v="10"/>
    <n v="10"/>
    <n v="0"/>
    <n v="4"/>
    <n v="-4"/>
    <n v="0"/>
    <n v="0"/>
    <n v="0"/>
    <x v="0"/>
    <n v="0"/>
    <n v="0"/>
    <n v="4"/>
    <m/>
    <m/>
    <m/>
    <x v="0"/>
    <m/>
  </r>
  <r>
    <s v="000022284"/>
    <s v="Dina MAAROUFI"/>
    <s v="Emilie DURAND"/>
    <x v="4"/>
    <s v="Non"/>
    <n v="7"/>
    <s v=""/>
    <n v="11.5"/>
    <n v="0.5"/>
    <n v="1"/>
    <e v="#REF!"/>
    <s v=""/>
    <s v=""/>
    <s v=""/>
    <n v="10"/>
    <n v="8.5"/>
    <n v="0.5"/>
    <n v="-3"/>
    <n v="3"/>
    <n v="0"/>
    <n v="0"/>
    <n v="0"/>
    <x v="2"/>
    <n v="0"/>
    <n v="0"/>
    <n v="-3"/>
    <m/>
    <m/>
    <m/>
    <x v="0"/>
    <m/>
  </r>
  <r>
    <s v="000015799"/>
    <s v="Dino DUNIA"/>
    <s v="Jonathan SARPAUX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3162"/>
    <s v="Dinu-Marius NOROC"/>
    <s v="Nicolas MURAT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536"/>
    <s v="Doriane FERREIRA"/>
    <s v="Willy TAN"/>
    <x v="3"/>
    <s v="Non"/>
    <n v="9"/>
    <s v=""/>
    <n v="0"/>
    <n v="11"/>
    <n v="0"/>
    <e v="#REF!"/>
    <s v=""/>
    <s v=""/>
    <s v=""/>
    <n v="10"/>
    <n v="0"/>
    <n v="10"/>
    <n v="-1"/>
    <n v="0"/>
    <n v="1"/>
    <n v="0"/>
    <n v="0"/>
    <x v="1"/>
    <n v="1"/>
    <n v="0"/>
    <n v="-1"/>
    <m/>
    <m/>
    <m/>
    <x v="0"/>
    <m/>
  </r>
  <r>
    <s v="000021553"/>
    <s v="Doriane GIBOYAU"/>
    <s v="Solène MENARD"/>
    <x v="5"/>
    <s v="Non"/>
    <n v="0"/>
    <s v=""/>
    <n v="20"/>
    <n v="0"/>
    <n v="0"/>
    <e v="#REF!"/>
    <s v=""/>
    <s v=""/>
    <s v=""/>
    <n v="10"/>
    <n v="10"/>
    <n v="0"/>
    <n v="-10"/>
    <n v="10"/>
    <n v="0"/>
    <n v="0"/>
    <n v="0"/>
    <x v="3"/>
    <n v="0"/>
    <n v="20"/>
    <n v="10"/>
    <m/>
    <m/>
    <m/>
    <x v="0"/>
    <m/>
  </r>
  <r>
    <s v="000016140"/>
    <s v="Doriane RENVOISÉ"/>
    <s v="Zineb MEZGUELDI"/>
    <x v="6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x v="0"/>
    <m/>
  </r>
  <r>
    <s v="000015447"/>
    <s v="Dounia LOUDARI"/>
    <s v="Jimmy GUERIN"/>
    <x v="0"/>
    <s v="Non"/>
    <n v="9"/>
    <s v=""/>
    <n v="0"/>
    <n v="11"/>
    <n v="0"/>
    <e v="#REF!"/>
    <s v=""/>
    <s v=""/>
    <s v=""/>
    <n v="9"/>
    <n v="0"/>
    <n v="11"/>
    <n v="0"/>
    <n v="0"/>
    <n v="0"/>
    <n v="0"/>
    <n v="0"/>
    <x v="1"/>
    <n v="0"/>
    <n v="0"/>
    <n v="0"/>
    <m/>
    <m/>
    <m/>
    <x v="0"/>
    <m/>
  </r>
  <r>
    <s v="000013510"/>
    <s v="Dylan LAMANT"/>
    <s v="Gaël PEZIER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749"/>
    <s v="Dylan SEETALOO"/>
    <s v="Willy TAN"/>
    <x v="3"/>
    <s v="Non"/>
    <n v="17"/>
    <s v=""/>
    <n v="3"/>
    <n v="0"/>
    <n v="0"/>
    <e v="#REF!"/>
    <s v=""/>
    <s v=""/>
    <s v=""/>
    <n v="15"/>
    <n v="5"/>
    <n v="0"/>
    <n v="2"/>
    <n v="-2"/>
    <n v="0"/>
    <n v="0"/>
    <n v="0"/>
    <x v="0"/>
    <n v="0"/>
    <n v="0"/>
    <n v="2"/>
    <m/>
    <m/>
    <m/>
    <x v="0"/>
    <m/>
  </r>
  <r>
    <s v="000018010"/>
    <s v="Edgar GÉANT"/>
    <s v="Jonathan SARPAUX"/>
    <x v="4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20850"/>
    <s v="Edouard BERGE"/>
    <s v="Farah MOHAMADI"/>
    <x v="4"/>
    <s v="Non"/>
    <n v="17.5"/>
    <s v=""/>
    <n v="1.5"/>
    <n v="1"/>
    <n v="0"/>
    <e v="#REF!"/>
    <s v=""/>
    <s v=""/>
    <s v=""/>
    <n v="19"/>
    <n v="0"/>
    <n v="1"/>
    <n v="-1.5"/>
    <n v="1.5"/>
    <n v="0"/>
    <n v="0"/>
    <n v="0"/>
    <x v="2"/>
    <n v="0"/>
    <n v="0"/>
    <n v="-1.5"/>
    <m/>
    <m/>
    <m/>
    <x v="0"/>
    <m/>
  </r>
  <r>
    <s v="000011376"/>
    <s v="Edouard DEPERY"/>
    <s v="Antoine DENIE"/>
    <x v="0"/>
    <s v="Non"/>
    <n v="11"/>
    <s v=""/>
    <n v="8"/>
    <n v="1"/>
    <n v="0"/>
    <e v="#REF!"/>
    <s v=""/>
    <s v=""/>
    <s v=""/>
    <n v="12"/>
    <n v="8"/>
    <n v="0"/>
    <n v="-1"/>
    <n v="0"/>
    <n v="1"/>
    <n v="0"/>
    <n v="0"/>
    <x v="2"/>
    <n v="1"/>
    <n v="0"/>
    <n v="-1"/>
    <m/>
    <m/>
    <m/>
    <x v="0"/>
    <m/>
  </r>
  <r>
    <s v="000012796"/>
    <s v="Edouard PETIT"/>
    <s v="Godefroy DENORMANDIE"/>
    <x v="1"/>
    <s v="Non"/>
    <n v="17.5"/>
    <s v=""/>
    <n v="1"/>
    <n v="1.5"/>
    <n v="0"/>
    <e v="#REF!"/>
    <s v=""/>
    <s v=""/>
    <s v=""/>
    <n v="16.5"/>
    <n v="2"/>
    <n v="1.5"/>
    <n v="1"/>
    <n v="-1"/>
    <n v="0"/>
    <n v="0"/>
    <n v="0"/>
    <x v="0"/>
    <n v="0"/>
    <n v="0"/>
    <n v="1"/>
    <m/>
    <m/>
    <m/>
    <x v="0"/>
    <m/>
  </r>
  <r>
    <s v="000014892"/>
    <s v="Elisa MEIRELES"/>
    <s v="Jonathan SARPAUX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517"/>
    <s v="Elise RIBEIRO"/>
    <s v="Alexia BROS"/>
    <x v="5"/>
    <s v="Oui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22001"/>
    <s v="Elodie BOUISSET"/>
    <s v="Ignacio MARTIN VELASCO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3145"/>
    <s v="Elodie CHOUTEAU"/>
    <s v="Rémi TANIWAKI"/>
    <x v="4"/>
    <s v="Non"/>
    <n v="17"/>
    <s v=""/>
    <n v="3"/>
    <n v="0"/>
    <n v="0"/>
    <e v="#REF!"/>
    <s v=""/>
    <s v=""/>
    <s v=""/>
    <n v="19"/>
    <n v="1"/>
    <n v="0"/>
    <n v="-2"/>
    <n v="2"/>
    <n v="0"/>
    <n v="0"/>
    <n v="0"/>
    <x v="2"/>
    <n v="0"/>
    <n v="0"/>
    <n v="-2"/>
    <m/>
    <m/>
    <m/>
    <x v="0"/>
    <m/>
  </r>
  <r>
    <s v="000016801"/>
    <s v="Eloi MANGEZ"/>
    <s v="Solène MENARD"/>
    <x v="5"/>
    <s v="Non"/>
    <n v="8"/>
    <s v=""/>
    <n v="8"/>
    <n v="4"/>
    <n v="0"/>
    <e v="#REF!"/>
    <s v=""/>
    <s v=""/>
    <s v=""/>
    <n v="16"/>
    <n v="0"/>
    <n v="4"/>
    <n v="-8"/>
    <n v="8"/>
    <n v="0"/>
    <n v="0"/>
    <n v="0"/>
    <x v="2"/>
    <n v="0"/>
    <n v="0"/>
    <n v="-8"/>
    <m/>
    <m/>
    <m/>
    <x v="0"/>
    <m/>
  </r>
  <r>
    <s v="000013173"/>
    <s v="Eloïse LAGOUARDAT-MASSIROLLES"/>
    <s v="Sina MOVAGHAR"/>
    <x v="0"/>
    <s v="Non"/>
    <n v="0"/>
    <s v=""/>
    <n v="12.5"/>
    <n v="7.5"/>
    <n v="0"/>
    <e v="#REF!"/>
    <s v=""/>
    <s v=""/>
    <s v=""/>
    <n v="0"/>
    <n v="12"/>
    <n v="8"/>
    <n v="0"/>
    <n v="0.5"/>
    <n v="-0.5"/>
    <n v="0"/>
    <n v="0"/>
    <x v="2"/>
    <n v="0"/>
    <n v="0"/>
    <n v="0"/>
    <m/>
    <m/>
    <m/>
    <x v="0"/>
    <m/>
  </r>
  <r>
    <s v="000014723"/>
    <s v="Emil KABIROV"/>
    <s v="Lucas-Pierre CAPELLE"/>
    <x v="2"/>
    <s v="Non"/>
    <n v="0"/>
    <s v=""/>
    <n v="0"/>
    <n v="0"/>
    <n v="20"/>
    <e v="#REF!"/>
    <s v=""/>
    <s v=""/>
    <s v=""/>
    <n v="0"/>
    <n v="0"/>
    <n v="0"/>
    <n v="0"/>
    <n v="0"/>
    <n v="0"/>
    <n v="0"/>
    <n v="0"/>
    <x v="1"/>
    <n v="0"/>
    <n v="0"/>
    <n v="0"/>
    <m/>
    <m/>
    <m/>
    <x v="0"/>
    <m/>
  </r>
  <r>
    <s v="000015979"/>
    <s v="Emilie BERGALA"/>
    <s v="Gaël LACOSTE"/>
    <x v="4"/>
    <s v="Non"/>
    <n v="10"/>
    <s v=""/>
    <n v="7"/>
    <n v="3"/>
    <n v="0"/>
    <e v="#REF!"/>
    <s v=""/>
    <s v=""/>
    <s v=""/>
    <n v="13.5"/>
    <n v="3.5"/>
    <n v="3"/>
    <n v="-3.5"/>
    <n v="3.5"/>
    <n v="0"/>
    <n v="0"/>
    <n v="0"/>
    <x v="3"/>
    <n v="0"/>
    <n v="3.5"/>
    <n v="0"/>
    <m/>
    <m/>
    <m/>
    <x v="0"/>
    <m/>
  </r>
  <r>
    <s v="000014401"/>
    <s v="Emilie BERNARD"/>
    <s v="Antoine FROMENTIN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04057"/>
    <s v="Emilie DURAND"/>
    <s v="Rémi TANIWAKI"/>
    <x v="4"/>
    <s v="Oui"/>
    <n v="3.5"/>
    <s v=""/>
    <n v="16.5"/>
    <n v="0"/>
    <n v="0"/>
    <e v="#REF!"/>
    <s v=""/>
    <s v=""/>
    <s v=""/>
    <n v="3.5"/>
    <n v="16.5"/>
    <n v="0"/>
    <n v="0"/>
    <n v="0"/>
    <n v="0"/>
    <n v="0"/>
    <n v="0"/>
    <x v="0"/>
    <n v="0"/>
    <n v="0"/>
    <n v="0"/>
    <m/>
    <m/>
    <m/>
    <x v="0"/>
    <m/>
  </r>
  <r>
    <s v="000015158"/>
    <s v="Emma DELIGEARD"/>
    <s v="Willy TAN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8130"/>
    <s v="Emma DIZIÈRE"/>
    <s v="Pierre LEJEUNE"/>
    <x v="6"/>
    <s v="Non"/>
    <n v="18"/>
    <s v=""/>
    <n v="2"/>
    <n v="0"/>
    <n v="0"/>
    <e v="#REF!"/>
    <s v=""/>
    <s v=""/>
    <s v=""/>
    <n v="17"/>
    <n v="2"/>
    <n v="1"/>
    <n v="1"/>
    <n v="0"/>
    <n v="-1"/>
    <n v="0"/>
    <n v="0"/>
    <x v="2"/>
    <n v="0"/>
    <n v="0"/>
    <n v="1"/>
    <m/>
    <m/>
    <m/>
    <x v="0"/>
    <m/>
  </r>
  <r>
    <s v="000020523"/>
    <s v="Emma DUPONT"/>
    <s v="Anthony LORA"/>
    <x v="1"/>
    <s v="Non"/>
    <n v="4"/>
    <s v=""/>
    <n v="16"/>
    <n v="0"/>
    <n v="0"/>
    <e v="#REF!"/>
    <s v=""/>
    <s v=""/>
    <s v=""/>
    <n v="0"/>
    <n v="20"/>
    <n v="0"/>
    <n v="4"/>
    <n v="-4"/>
    <n v="0"/>
    <n v="0"/>
    <n v="0"/>
    <x v="0"/>
    <n v="0"/>
    <n v="0"/>
    <n v="4"/>
    <m/>
    <m/>
    <m/>
    <x v="0"/>
    <m/>
  </r>
  <r>
    <s v="000020393"/>
    <s v="Emmanuel DJIKI FONDJA"/>
    <s v="Anthony CORNU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455"/>
    <s v="Emna BEN AMMAR"/>
    <s v="Fatima Zohra OUTALHA"/>
    <x v="5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09302"/>
    <s v="Enguerrand NASSIET"/>
    <s v="Pierre NARCE"/>
    <x v="2"/>
    <s v="Non"/>
    <n v="20"/>
    <s v=""/>
    <n v="0"/>
    <n v="0"/>
    <n v="0"/>
    <e v="#REF!"/>
    <s v=""/>
    <s v=""/>
    <s v=""/>
    <n v="14"/>
    <n v="6"/>
    <n v="0"/>
    <n v="6"/>
    <n v="-6"/>
    <n v="0"/>
    <n v="0"/>
    <n v="0"/>
    <x v="1"/>
    <n v="0"/>
    <n v="0"/>
    <n v="6"/>
    <m/>
    <m/>
    <m/>
    <x v="0"/>
    <m/>
  </r>
  <r>
    <s v="000021024"/>
    <s v="Enzo BOSCHER"/>
    <s v="Guillaume PICARD"/>
    <x v="3"/>
    <s v="Non"/>
    <n v="17"/>
    <s v=""/>
    <n v="2"/>
    <n v="1"/>
    <n v="0"/>
    <e v="#REF!"/>
    <s v=""/>
    <s v=""/>
    <s v=""/>
    <n v="17"/>
    <n v="2"/>
    <n v="1"/>
    <n v="0"/>
    <n v="0"/>
    <n v="0"/>
    <n v="0"/>
    <n v="0"/>
    <x v="0"/>
    <n v="0"/>
    <n v="0"/>
    <n v="0"/>
    <m/>
    <m/>
    <m/>
    <x v="0"/>
    <m/>
  </r>
  <r>
    <s v="000000155"/>
    <s v="Eric CHAURAND"/>
    <s v="Laurent BELLEFIN"/>
    <x v="8"/>
    <s v="Non"/>
    <n v="17"/>
    <s v=""/>
    <n v="0"/>
    <n v="3"/>
    <n v="0"/>
    <e v="#REF!"/>
    <s v=""/>
    <s v=""/>
    <s v=""/>
    <n v="18.5"/>
    <n v="0"/>
    <n v="1.5"/>
    <n v="-1.5"/>
    <n v="0"/>
    <n v="1.5"/>
    <n v="0"/>
    <n v="0"/>
    <x v="1"/>
    <n v="1.5"/>
    <n v="0"/>
    <n v="-1.5"/>
    <m/>
    <m/>
    <m/>
    <x v="0"/>
    <m/>
  </r>
  <r>
    <s v="000002594"/>
    <s v="Eric LUBERT"/>
    <s v="Valérie WITTORSKI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4291"/>
    <s v="Eric SELVA"/>
    <s v="Antoine DENIE"/>
    <x v="0"/>
    <s v="Non"/>
    <n v="16"/>
    <s v=""/>
    <n v="4"/>
    <n v="0"/>
    <n v="0"/>
    <e v="#REF!"/>
    <s v=""/>
    <s v=""/>
    <s v=""/>
    <n v="15"/>
    <n v="5"/>
    <n v="0"/>
    <n v="1"/>
    <n v="-1"/>
    <n v="0"/>
    <n v="0"/>
    <n v="0"/>
    <x v="0"/>
    <n v="0"/>
    <n v="0"/>
    <n v="1"/>
    <m/>
    <m/>
    <m/>
    <x v="0"/>
    <m/>
  </r>
  <r>
    <s v="000013431"/>
    <s v="Erwan TESSON"/>
    <s v="Margot KOHL"/>
    <x v="3"/>
    <s v="Non"/>
    <n v="0"/>
    <s v=""/>
    <n v="18"/>
    <n v="2"/>
    <n v="0"/>
    <e v="#REF!"/>
    <s v=""/>
    <s v=""/>
    <s v=""/>
    <n v="0"/>
    <n v="18"/>
    <n v="2"/>
    <n v="0"/>
    <n v="0"/>
    <n v="0"/>
    <n v="0"/>
    <n v="0"/>
    <x v="0"/>
    <n v="0"/>
    <n v="0"/>
    <n v="0"/>
    <m/>
    <m/>
    <m/>
    <x v="0"/>
    <m/>
  </r>
  <r>
    <s v="000011959"/>
    <s v="Estelle DEVYS"/>
    <s v="Julie FERRANDO"/>
    <x v="2"/>
    <s v="Non"/>
    <n v="15.5"/>
    <s v=""/>
    <n v="0.5"/>
    <n v="4"/>
    <n v="0"/>
    <e v="#REF!"/>
    <s v=""/>
    <s v=""/>
    <s v=""/>
    <n v="16"/>
    <n v="0"/>
    <n v="4"/>
    <n v="-0.5"/>
    <n v="0.5"/>
    <n v="0"/>
    <n v="0"/>
    <n v="0"/>
    <x v="2"/>
    <n v="0"/>
    <n v="0"/>
    <n v="-0.5"/>
    <m/>
    <m/>
    <m/>
    <x v="0"/>
    <m/>
  </r>
  <r>
    <s v="000022500"/>
    <s v="Estelle LOESCH"/>
    <s v="Harrison LECHEVALLIER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2449"/>
    <s v="Esther FABRE"/>
    <s v="Rachel FANHAN"/>
    <x v="6"/>
    <s v="Non"/>
    <n v="0"/>
    <s v=""/>
    <n v="15"/>
    <n v="0"/>
    <n v="5"/>
    <e v="#REF!"/>
    <s v=""/>
    <s v=""/>
    <s v=""/>
    <n v="0"/>
    <n v="15"/>
    <n v="0"/>
    <n v="0"/>
    <n v="0"/>
    <n v="0"/>
    <n v="0"/>
    <n v="0"/>
    <x v="0"/>
    <n v="0"/>
    <n v="0"/>
    <n v="0"/>
    <m/>
    <m/>
    <m/>
    <x v="0"/>
    <m/>
  </r>
  <r>
    <s v="000016959"/>
    <s v="Etienne ARLEN"/>
    <s v="Amine BENNEKROUF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08120"/>
    <s v="Etienne BELLITTO"/>
    <s v="Othmane KHARBACH"/>
    <x v="6"/>
    <s v="Oui"/>
    <n v="16.5"/>
    <s v=""/>
    <n v="2.5"/>
    <n v="1"/>
    <n v="0"/>
    <e v="#REF!"/>
    <s v=""/>
    <s v=""/>
    <s v=""/>
    <n v="10"/>
    <n v="9"/>
    <n v="1"/>
    <n v="6.5"/>
    <n v="-6.5"/>
    <n v="0"/>
    <n v="0"/>
    <n v="0"/>
    <x v="0"/>
    <n v="0"/>
    <n v="0"/>
    <n v="6.5"/>
    <m/>
    <m/>
    <m/>
    <x v="0"/>
    <m/>
  </r>
  <r>
    <s v="000016710"/>
    <s v="Etienne BUANNIC"/>
    <s v="Julia FRANCO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378"/>
    <s v="Etienne CRUPEL"/>
    <s v="Laura JEANNIN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833"/>
    <s v="Eva DUCAY"/>
    <s v="Guillaume PICARD"/>
    <x v="3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7015"/>
    <s v="Evan GOUGET"/>
    <s v="Christophe LOEUR"/>
    <x v="7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4556"/>
    <s v="Ezechiel OUATTARA"/>
    <s v="Gaël LACOSTE"/>
    <x v="4"/>
    <s v="Non"/>
    <n v="15"/>
    <s v=""/>
    <n v="4"/>
    <n v="1"/>
    <n v="0"/>
    <e v="#REF!"/>
    <s v=""/>
    <s v=""/>
    <s v=""/>
    <n v="15"/>
    <n v="4"/>
    <n v="1"/>
    <n v="0"/>
    <n v="0"/>
    <n v="0"/>
    <n v="0"/>
    <n v="0"/>
    <x v="0"/>
    <n v="0"/>
    <n v="0"/>
    <n v="0"/>
    <m/>
    <m/>
    <m/>
    <x v="0"/>
    <m/>
  </r>
  <r>
    <s v="000012807"/>
    <s v="Fabian CHAUVIN"/>
    <s v="Gaël LACOSTE"/>
    <x v="4"/>
    <s v="Non"/>
    <n v="10"/>
    <s v=""/>
    <n v="6"/>
    <n v="4"/>
    <n v="0"/>
    <e v="#REF!"/>
    <s v=""/>
    <s v=""/>
    <s v=""/>
    <n v="10"/>
    <n v="6"/>
    <n v="4"/>
    <n v="0"/>
    <n v="0"/>
    <n v="0"/>
    <n v="0"/>
    <n v="0"/>
    <x v="0"/>
    <n v="0"/>
    <n v="0"/>
    <n v="0"/>
    <m/>
    <m/>
    <m/>
    <x v="0"/>
    <m/>
  </r>
  <r>
    <s v="000017615"/>
    <s v="Fabien DALMER"/>
    <s v="Fayçal YAKOUBI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262"/>
    <s v="Fabien LABORDE"/>
    <s v="Farah MOHAMADI"/>
    <x v="4"/>
    <s v="Non"/>
    <n v="19.5"/>
    <s v=""/>
    <n v="0.5"/>
    <n v="0"/>
    <n v="0"/>
    <e v="#REF!"/>
    <s v=""/>
    <s v=""/>
    <s v=""/>
    <n v="19"/>
    <n v="1"/>
    <n v="0"/>
    <n v="0.5"/>
    <n v="-0.5"/>
    <n v="0"/>
    <n v="0"/>
    <n v="0"/>
    <x v="0"/>
    <n v="0"/>
    <n v="0"/>
    <n v="0.5"/>
    <m/>
    <m/>
    <m/>
    <x v="0"/>
    <m/>
  </r>
  <r>
    <s v="000000314"/>
    <s v="Fabrice AUSTRUY"/>
    <s v="Yannick TAUPIAC"/>
    <x v="0"/>
    <s v="Oui"/>
    <n v="0"/>
    <s v=""/>
    <n v="20"/>
    <n v="0"/>
    <n v="0"/>
    <e v="#REF!"/>
    <s v=""/>
    <s v=""/>
    <s v=""/>
    <n v="8"/>
    <n v="8"/>
    <n v="0"/>
    <n v="-8"/>
    <n v="12"/>
    <n v="0"/>
    <n v="0"/>
    <n v="0"/>
    <x v="2"/>
    <n v="0"/>
    <n v="0"/>
    <n v="-8"/>
    <m/>
    <m/>
    <m/>
    <x v="0"/>
    <m/>
  </r>
  <r>
    <s v="000007122"/>
    <s v="Fabrice BARROS"/>
    <s v="Guillaume VAQUERO"/>
    <x v="1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x v="0"/>
    <m/>
  </r>
  <r>
    <s v="000000123"/>
    <s v="Fabrice JACQUES"/>
    <s v="Yannick TAUPIAC"/>
    <x v="0"/>
    <s v="Non"/>
    <n v="16"/>
    <s v=""/>
    <n v="4"/>
    <n v="0"/>
    <n v="0"/>
    <e v="#REF!"/>
    <s v=""/>
    <s v=""/>
    <s v=""/>
    <n v="14"/>
    <n v="6"/>
    <n v="0"/>
    <n v="2"/>
    <n v="-2"/>
    <n v="0"/>
    <n v="0"/>
    <n v="0"/>
    <x v="0"/>
    <n v="0"/>
    <n v="0"/>
    <n v="2"/>
    <m/>
    <m/>
    <m/>
    <x v="0"/>
    <m/>
  </r>
  <r>
    <s v="000013752"/>
    <s v="Fanny EZINGEARD"/>
    <s v="Antoine DENIE"/>
    <x v="0"/>
    <s v="Non"/>
    <n v="0"/>
    <s v=""/>
    <n v="12"/>
    <n v="0"/>
    <n v="8"/>
    <e v="#REF!"/>
    <s v=""/>
    <s v=""/>
    <s v=""/>
    <n v="12"/>
    <n v="8"/>
    <n v="0"/>
    <n v="-12"/>
    <n v="4"/>
    <n v="0"/>
    <n v="0"/>
    <n v="0"/>
    <x v="3"/>
    <n v="0"/>
    <n v="12"/>
    <n v="0"/>
    <m/>
    <m/>
    <m/>
    <x v="0"/>
    <m/>
  </r>
  <r>
    <s v="000011978"/>
    <s v="Farah MOHAMADI"/>
    <s v="Camille DURAND"/>
    <x v="4"/>
    <s v="Oui"/>
    <n v="0"/>
    <s v=""/>
    <n v="2.5"/>
    <n v="17.5"/>
    <n v="0"/>
    <e v="#REF!"/>
    <s v=""/>
    <s v=""/>
    <s v=""/>
    <n v="0"/>
    <n v="2.5"/>
    <n v="17.5"/>
    <n v="0"/>
    <n v="0"/>
    <n v="0"/>
    <n v="0"/>
    <n v="0"/>
    <x v="0"/>
    <n v="0"/>
    <n v="0"/>
    <n v="0"/>
    <m/>
    <m/>
    <m/>
    <x v="0"/>
    <m/>
  </r>
  <r>
    <s v="000010022"/>
    <s v="Fatima Zohra OUTALHA"/>
    <s v="Alexia BROS"/>
    <x v="5"/>
    <s v="Oui"/>
    <n v="12"/>
    <s v=""/>
    <n v="3"/>
    <n v="5"/>
    <n v="0"/>
    <e v="#REF!"/>
    <s v=""/>
    <s v=""/>
    <s v=""/>
    <n v="12"/>
    <n v="3"/>
    <n v="5"/>
    <n v="0"/>
    <n v="0"/>
    <n v="0"/>
    <n v="0"/>
    <n v="0"/>
    <x v="0"/>
    <n v="0"/>
    <n v="0"/>
    <n v="0"/>
    <m/>
    <m/>
    <m/>
    <x v="0"/>
    <m/>
  </r>
  <r>
    <s v="000003667"/>
    <s v="Faustine COMBAULT"/>
    <s v="Guillaume VAQUERO"/>
    <x v="1"/>
    <m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3055"/>
    <s v="Faustine TIRINZONI"/>
    <s v="Alexia BROS"/>
    <x v="5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04106"/>
    <s v="Fayçal YAKOUBI"/>
    <s v="Yannick TAUPIAC"/>
    <x v="0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0570"/>
    <s v="Federico GARCIA VELEZ"/>
    <s v="Christophe LOEUR"/>
    <x v="7"/>
    <s v="Non"/>
    <n v="15"/>
    <s v=""/>
    <n v="3"/>
    <n v="2"/>
    <n v="0"/>
    <e v="#REF!"/>
    <s v=""/>
    <s v=""/>
    <s v=""/>
    <n v="15"/>
    <n v="3"/>
    <n v="2"/>
    <n v="0"/>
    <n v="0"/>
    <n v="0"/>
    <n v="0"/>
    <n v="0"/>
    <x v="3"/>
    <n v="0"/>
    <n v="3"/>
    <n v="3"/>
    <m/>
    <m/>
    <m/>
    <x v="0"/>
    <m/>
  </r>
  <r>
    <s v="000018023"/>
    <s v="Firas OUHAICHI"/>
    <s v="Timothée CARRICO"/>
    <x v="4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x v="0"/>
    <m/>
  </r>
  <r>
    <s v="000009731"/>
    <s v="Flora BRUYERE"/>
    <s v="Yuri HOFTE"/>
    <x v="3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00055"/>
    <s v="Florence NOIZET"/>
    <s v="Benoit DARDE"/>
    <x v="4"/>
    <s v="Oui"/>
    <n v="0"/>
    <s v=""/>
    <n v="20"/>
    <n v="0"/>
    <n v="0"/>
    <e v="#REF!"/>
    <s v=""/>
    <s v=""/>
    <s v=""/>
    <n v="0"/>
    <n v="19"/>
    <n v="1"/>
    <n v="0"/>
    <n v="1"/>
    <n v="-1"/>
    <n v="0"/>
    <n v="0"/>
    <x v="2"/>
    <n v="0"/>
    <n v="0"/>
    <n v="0"/>
    <m/>
    <m/>
    <m/>
    <x v="0"/>
    <m/>
  </r>
  <r>
    <s v="000017858"/>
    <s v="Florent COLAS"/>
    <s v="Jad ZGHEIB"/>
    <x v="3"/>
    <s v="Non"/>
    <n v="15.5"/>
    <s v=""/>
    <n v="0"/>
    <n v="4.5"/>
    <n v="0"/>
    <e v="#REF!"/>
    <s v=""/>
    <s v=""/>
    <s v=""/>
    <n v="15.5"/>
    <n v="0"/>
    <n v="4.5"/>
    <n v="0"/>
    <n v="0"/>
    <n v="0"/>
    <n v="0"/>
    <n v="0"/>
    <x v="1"/>
    <n v="0"/>
    <n v="0"/>
    <n v="0"/>
    <m/>
    <m/>
    <m/>
    <x v="0"/>
    <m/>
  </r>
  <r>
    <s v="000005719"/>
    <s v="Florent COUET"/>
    <s v="Camille DURAND"/>
    <x v="4"/>
    <s v="Non"/>
    <n v="1"/>
    <s v=""/>
    <n v="19"/>
    <n v="0"/>
    <n v="0"/>
    <e v="#REF!"/>
    <s v=""/>
    <s v=""/>
    <s v=""/>
    <n v="1"/>
    <n v="19"/>
    <n v="0"/>
    <n v="0"/>
    <n v="0"/>
    <n v="0"/>
    <n v="0"/>
    <n v="0"/>
    <x v="0"/>
    <n v="0"/>
    <n v="0"/>
    <n v="0"/>
    <m/>
    <m/>
    <m/>
    <x v="0"/>
    <m/>
  </r>
  <r>
    <s v="000013220"/>
    <s v="Florent DE BORTOLI"/>
    <s v="Sina MOVAGHAR"/>
    <x v="0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x v="0"/>
    <m/>
  </r>
  <r>
    <s v="000000254"/>
    <s v="Florent MATHE"/>
    <s v="Florence NOIZET"/>
    <x v="5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8171"/>
    <s v="Florian BIERRE"/>
    <s v="Ange KAMDEM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7773"/>
    <s v="Florian BOSSARD"/>
    <s v="Christophe LOEUR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1749"/>
    <s v="Florian CHATELIER"/>
    <s v="Alice GUILABERT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469"/>
    <s v="Florian CHEVEREAU"/>
    <s v="Sina MOVAGHAR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4891"/>
    <s v="Florian DELECOLLE"/>
    <s v="Florent MATHE"/>
    <x v="7"/>
    <s v="Non"/>
    <n v="13"/>
    <s v=""/>
    <n v="4.5"/>
    <n v="1"/>
    <n v="1.5"/>
    <e v="#REF!"/>
    <s v=""/>
    <s v=""/>
    <s v=""/>
    <n v="16"/>
    <n v="2"/>
    <n v="2"/>
    <n v="-3"/>
    <n v="2.5"/>
    <n v="-1"/>
    <n v="0"/>
    <n v="0"/>
    <x v="2"/>
    <n v="0"/>
    <n v="0"/>
    <n v="-3"/>
    <m/>
    <m/>
    <m/>
    <x v="0"/>
    <m/>
  </r>
  <r>
    <s v="000021231"/>
    <s v="Florian FRESNEAU"/>
    <s v="Anthony LORA"/>
    <x v="1"/>
    <s v="Non"/>
    <n v="11"/>
    <s v=""/>
    <n v="9"/>
    <n v="0"/>
    <n v="0"/>
    <e v="#REF!"/>
    <s v=""/>
    <s v=""/>
    <s v=""/>
    <n v="20"/>
    <n v="0"/>
    <n v="0"/>
    <n v="-9"/>
    <n v="9"/>
    <n v="0"/>
    <n v="0"/>
    <n v="0"/>
    <x v="2"/>
    <n v="0"/>
    <n v="0"/>
    <n v="-9"/>
    <m/>
    <m/>
    <m/>
    <x v="0"/>
    <m/>
  </r>
  <r>
    <s v="000013873"/>
    <s v="Florian HOUDEBINE"/>
    <s v="Julie FERRANDO"/>
    <x v="2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05181"/>
    <s v="Franck LEMARCHAND"/>
    <s v="Yuri HOFTE"/>
    <x v="3"/>
    <s v="Non"/>
    <n v="0"/>
    <s v=""/>
    <n v="16"/>
    <n v="0"/>
    <n v="4"/>
    <e v="#REF!"/>
    <s v=""/>
    <s v=""/>
    <s v=""/>
    <n v="0"/>
    <n v="16"/>
    <n v="0"/>
    <n v="0"/>
    <n v="0"/>
    <n v="0"/>
    <n v="0"/>
    <n v="0"/>
    <x v="3"/>
    <n v="0"/>
    <n v="5"/>
    <n v="5"/>
    <m/>
    <m/>
    <m/>
    <x v="0"/>
    <m/>
  </r>
  <r>
    <s v="000000582"/>
    <s v="Franck LENORMAND"/>
    <s v="Florent MATHE"/>
    <x v="7"/>
    <s v="Non"/>
    <n v="16"/>
    <s v=""/>
    <n v="4"/>
    <n v="0"/>
    <n v="0"/>
    <e v="#REF!"/>
    <s v=""/>
    <s v=""/>
    <s v=""/>
    <n v="16"/>
    <n v="4"/>
    <n v="0"/>
    <n v="0"/>
    <n v="0"/>
    <n v="0"/>
    <n v="0"/>
    <n v="0"/>
    <x v="0"/>
    <n v="0"/>
    <n v="0"/>
    <n v="0"/>
    <m/>
    <m/>
    <m/>
    <x v="0"/>
    <m/>
  </r>
  <r>
    <s v="000020787"/>
    <s v="François DESAULLE"/>
    <s v="Nicolas FARNY"/>
    <x v="1"/>
    <s v="Non"/>
    <n v="18.5"/>
    <s v=""/>
    <n v="0"/>
    <n v="1.5"/>
    <n v="0"/>
    <e v="#REF!"/>
    <s v=""/>
    <s v=""/>
    <s v=""/>
    <n v="18.5"/>
    <n v="0"/>
    <n v="1.5"/>
    <n v="0"/>
    <n v="0"/>
    <n v="0"/>
    <n v="0"/>
    <n v="0"/>
    <x v="1"/>
    <n v="0"/>
    <n v="0"/>
    <n v="0"/>
    <m/>
    <m/>
    <m/>
    <x v="0"/>
    <m/>
  </r>
  <r>
    <s v="000004841"/>
    <s v="François FONTESPIS-LOSTE"/>
    <s v="Guillaume VAQUERO"/>
    <x v="1"/>
    <s v="Oui"/>
    <n v="14"/>
    <s v=""/>
    <n v="6"/>
    <n v="0"/>
    <n v="0"/>
    <e v="#REF!"/>
    <s v=""/>
    <s v=""/>
    <s v=""/>
    <n v="10"/>
    <n v="10"/>
    <n v="0"/>
    <n v="4"/>
    <n v="-4"/>
    <n v="0"/>
    <n v="0"/>
    <n v="0"/>
    <x v="0"/>
    <n v="0"/>
    <n v="0"/>
    <n v="4"/>
    <m/>
    <m/>
    <m/>
    <x v="0"/>
    <m/>
  </r>
  <r>
    <s v="000016509"/>
    <s v="François OTTO-HEDUY"/>
    <s v="Maria OUELLAJ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739"/>
    <s v="Frédéric ROUSSEL"/>
    <s v="Maria OUELLAJ"/>
    <x v="1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x v="0"/>
    <m/>
  </r>
  <r>
    <s v="000014895"/>
    <s v="Félix VITAS"/>
    <s v="Antoine DENIE"/>
    <x v="0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x v="0"/>
    <m/>
  </r>
  <r>
    <s v="000020767"/>
    <s v="Gabriel BERTIN"/>
    <s v="Fatima Zohra OUTALHA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7649"/>
    <s v="Gabriel DARCOS"/>
    <s v="Anthony CORNU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3272"/>
    <s v="Garance HOURCADE"/>
    <s v="Jean-Baptiste DUBOIS"/>
    <x v="6"/>
    <s v="Oui"/>
    <n v="17.5"/>
    <s v=""/>
    <n v="2"/>
    <n v="0.5"/>
    <n v="0"/>
    <e v="#REF!"/>
    <s v=""/>
    <s v=""/>
    <s v=""/>
    <n v="17.5"/>
    <n v="2"/>
    <n v="0.5"/>
    <n v="0"/>
    <n v="0"/>
    <n v="0"/>
    <n v="0"/>
    <n v="0"/>
    <x v="0"/>
    <n v="0"/>
    <n v="0"/>
    <n v="0"/>
    <m/>
    <m/>
    <m/>
    <x v="0"/>
    <m/>
  </r>
  <r>
    <s v="000021392"/>
    <s v="Gaspard COUERBE"/>
    <s v="Nicolas MURAT"/>
    <x v="2"/>
    <s v="Non"/>
    <n v="9"/>
    <s v=""/>
    <n v="0"/>
    <n v="11"/>
    <n v="0"/>
    <e v="#REF!"/>
    <s v=""/>
    <s v=""/>
    <s v=""/>
    <n v="9"/>
    <n v="0"/>
    <n v="11"/>
    <n v="0"/>
    <n v="0"/>
    <n v="0"/>
    <n v="0"/>
    <n v="0"/>
    <x v="1"/>
    <n v="0"/>
    <n v="0"/>
    <n v="0"/>
    <m/>
    <m/>
    <m/>
    <x v="0"/>
    <m/>
  </r>
  <r>
    <s v="000020303"/>
    <s v="Gauthier MAIROT"/>
    <s v="Pierre LEJEUNE"/>
    <x v="6"/>
    <s v="Non"/>
    <n v="17"/>
    <s v=""/>
    <n v="3"/>
    <n v="0"/>
    <n v="0"/>
    <e v="#REF!"/>
    <s v=""/>
    <s v=""/>
    <s v=""/>
    <n v="18"/>
    <n v="2"/>
    <n v="0"/>
    <n v="-1"/>
    <n v="1"/>
    <n v="0"/>
    <n v="0"/>
    <n v="0"/>
    <x v="2"/>
    <n v="0"/>
    <n v="0"/>
    <n v="-1"/>
    <m/>
    <m/>
    <m/>
    <x v="0"/>
    <m/>
  </r>
  <r>
    <s v="000021819"/>
    <s v="Gauthier MUGUET"/>
    <s v="Marion PLESSIS-LUCIANI"/>
    <x v="7"/>
    <s v="Non"/>
    <n v="14.5"/>
    <s v=""/>
    <n v="1.5"/>
    <n v="4"/>
    <n v="0"/>
    <e v="#REF!"/>
    <s v=""/>
    <s v=""/>
    <s v=""/>
    <n v="16"/>
    <n v="0"/>
    <n v="4"/>
    <n v="-1.5"/>
    <n v="1.5"/>
    <n v="0"/>
    <n v="0"/>
    <n v="0"/>
    <x v="2"/>
    <n v="0"/>
    <n v="0"/>
    <n v="-1.5"/>
    <m/>
    <m/>
    <m/>
    <x v="0"/>
    <m/>
  </r>
  <r>
    <s v="000016886"/>
    <s v="Gaël ASTIER"/>
    <s v="Julien FLOCH"/>
    <x v="4"/>
    <s v="Non"/>
    <n v="14"/>
    <s v=""/>
    <n v="6"/>
    <n v="0"/>
    <n v="0"/>
    <e v="#REF!"/>
    <s v=""/>
    <s v=""/>
    <s v=""/>
    <n v="15"/>
    <n v="5"/>
    <n v="0"/>
    <n v="-1"/>
    <n v="1"/>
    <n v="0"/>
    <n v="0"/>
    <n v="0"/>
    <x v="3"/>
    <n v="0"/>
    <n v="6"/>
    <n v="5"/>
    <m/>
    <m/>
    <m/>
    <x v="0"/>
    <m/>
  </r>
  <r>
    <s v="000011393"/>
    <s v="Gaël LACOSTE"/>
    <s v="Rémi TANIWAKI"/>
    <x v="4"/>
    <s v="Oui"/>
    <n v="0"/>
    <s v=""/>
    <n v="19"/>
    <n v="1"/>
    <n v="0"/>
    <e v="#REF!"/>
    <s v=""/>
    <s v=""/>
    <s v=""/>
    <n v="0"/>
    <n v="20"/>
    <n v="0"/>
    <n v="0"/>
    <n v="-1"/>
    <n v="1"/>
    <n v="0"/>
    <n v="0"/>
    <x v="2"/>
    <n v="0"/>
    <n v="0"/>
    <n v="0"/>
    <m/>
    <m/>
    <m/>
    <x v="0"/>
    <m/>
  </r>
  <r>
    <s v="000005735"/>
    <s v="Gaël PEZIER"/>
    <s v="Yuri HOFTE"/>
    <x v="3"/>
    <s v="Oui"/>
    <n v="0"/>
    <s v=""/>
    <n v="19"/>
    <n v="1"/>
    <n v="0"/>
    <e v="#REF!"/>
    <s v=""/>
    <s v=""/>
    <s v=""/>
    <n v="9"/>
    <n v="10"/>
    <n v="1"/>
    <n v="-9"/>
    <n v="9"/>
    <n v="0"/>
    <n v="0"/>
    <n v="0"/>
    <x v="2"/>
    <n v="0"/>
    <n v="0"/>
    <n v="-9"/>
    <m/>
    <m/>
    <m/>
    <x v="0"/>
    <m/>
  </r>
  <r>
    <s v="000017238"/>
    <s v="Gaëtan DENISSE"/>
    <s v="Amaury LECOMTE"/>
    <x v="4"/>
    <s v="Non"/>
    <n v="20"/>
    <s v=""/>
    <n v="0"/>
    <n v="0"/>
    <n v="0"/>
    <e v="#REF!"/>
    <s v=""/>
    <s v=""/>
    <s v=""/>
    <n v="18"/>
    <n v="2"/>
    <n v="0"/>
    <n v="2"/>
    <n v="-2"/>
    <n v="0"/>
    <n v="0"/>
    <n v="0"/>
    <x v="1"/>
    <n v="0"/>
    <n v="0"/>
    <n v="2"/>
    <m/>
    <m/>
    <m/>
    <x v="0"/>
    <m/>
  </r>
  <r>
    <s v="000007374"/>
    <s v="Geneviève DAVID"/>
    <s v="Sandrine CHAILLEY"/>
    <x v="8"/>
    <s v="Non"/>
    <n v="0"/>
    <s v=""/>
    <n v="17.5"/>
    <n v="1"/>
    <n v="1.5"/>
    <e v="#REF!"/>
    <s v=""/>
    <s v=""/>
    <s v=""/>
    <n v="0"/>
    <n v="17"/>
    <n v="1"/>
    <n v="0"/>
    <n v="0.5"/>
    <n v="0"/>
    <n v="0"/>
    <n v="0"/>
    <x v="0"/>
    <n v="0"/>
    <n v="0"/>
    <n v="0"/>
    <m/>
    <m/>
    <m/>
    <x v="0"/>
    <m/>
  </r>
  <r>
    <s v="000013823"/>
    <s v="Geoffrey MERCIEUX"/>
    <s v="Julie FERRANDO"/>
    <x v="2"/>
    <s v="Non"/>
    <n v="15"/>
    <s v=""/>
    <n v="5"/>
    <n v="0"/>
    <n v="0"/>
    <e v="#REF!"/>
    <s v=""/>
    <s v=""/>
    <s v=""/>
    <n v="20"/>
    <n v="0"/>
    <n v="0"/>
    <n v="-5"/>
    <n v="5"/>
    <n v="0"/>
    <n v="0"/>
    <n v="0"/>
    <x v="2"/>
    <n v="0"/>
    <n v="0"/>
    <n v="-5"/>
    <m/>
    <m/>
    <m/>
    <x v="0"/>
    <m/>
  </r>
  <r>
    <s v="000020680"/>
    <s v="Geoffroy MONTCEL"/>
    <s v="Anthony CORNU"/>
    <x v="7"/>
    <s v="Non"/>
    <n v="9"/>
    <s v=""/>
    <n v="11"/>
    <n v="0"/>
    <n v="0"/>
    <e v="#REF!"/>
    <s v=""/>
    <s v=""/>
    <s v=""/>
    <n v="10"/>
    <n v="10"/>
    <n v="0"/>
    <n v="-1"/>
    <n v="1"/>
    <n v="0"/>
    <n v="0"/>
    <n v="0"/>
    <x v="2"/>
    <n v="0"/>
    <n v="0"/>
    <n v="-1"/>
    <m/>
    <m/>
    <m/>
    <x v="0"/>
    <m/>
  </r>
  <r>
    <s v="000020266"/>
    <s v="Georges WYBO"/>
    <s v="Philibert DE MONTILLE"/>
    <x v="5"/>
    <s v="Non"/>
    <n v="20"/>
    <s v=""/>
    <n v="0"/>
    <n v="0"/>
    <n v="0"/>
    <e v="#REF!"/>
    <s v=""/>
    <s v=""/>
    <s v=""/>
    <n v="19"/>
    <n v="1"/>
    <n v="0"/>
    <n v="1"/>
    <n v="-1"/>
    <n v="0"/>
    <n v="0"/>
    <n v="0"/>
    <x v="1"/>
    <n v="0"/>
    <n v="0"/>
    <n v="1"/>
    <m/>
    <m/>
    <m/>
    <x v="0"/>
    <m/>
  </r>
  <r>
    <s v="000013550"/>
    <s v="Ghislain KICINSKI"/>
    <s v="Pierre LEJEUNE"/>
    <x v="6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22128"/>
    <s v="Ghita EL IDRISSI RAJA"/>
    <s v="Fatima Zohra OUTALHA"/>
    <x v="5"/>
    <s v="Non"/>
    <n v="0"/>
    <s v=""/>
    <n v="14"/>
    <n v="6"/>
    <n v="0"/>
    <e v="#REF!"/>
    <s v=""/>
    <s v=""/>
    <s v=""/>
    <n v="0"/>
    <n v="14"/>
    <n v="6"/>
    <n v="0"/>
    <n v="0"/>
    <n v="0"/>
    <n v="0"/>
    <n v="0"/>
    <x v="0"/>
    <n v="0"/>
    <n v="0"/>
    <n v="0"/>
    <m/>
    <m/>
    <m/>
    <x v="0"/>
    <m/>
  </r>
  <r>
    <s v="000008659"/>
    <s v="Godefroy DENORMANDIE"/>
    <s v="Yannick TAUPIAC"/>
    <x v="0"/>
    <s v="Oui"/>
    <n v="5.5"/>
    <s v=""/>
    <n v="14.5"/>
    <n v="0"/>
    <n v="0"/>
    <e v="#REF!"/>
    <s v=""/>
    <s v=""/>
    <s v=""/>
    <n v="5.5"/>
    <n v="14.5"/>
    <n v="0"/>
    <n v="0"/>
    <n v="0"/>
    <n v="0"/>
    <n v="0"/>
    <n v="0"/>
    <x v="0"/>
    <n v="0"/>
    <n v="0"/>
    <n v="0"/>
    <m/>
    <m/>
    <m/>
    <x v="0"/>
    <m/>
  </r>
  <r>
    <s v="000016189"/>
    <s v="Grégoire LAMBERT"/>
    <s v="Jimmy GUERIN"/>
    <x v="0"/>
    <s v="Non"/>
    <n v="0"/>
    <s v=""/>
    <n v="15"/>
    <n v="5"/>
    <n v="0"/>
    <e v="#REF!"/>
    <s v=""/>
    <s v=""/>
    <s v=""/>
    <n v="5"/>
    <n v="10"/>
    <n v="5"/>
    <n v="-5"/>
    <n v="5"/>
    <n v="0"/>
    <n v="0"/>
    <n v="0"/>
    <x v="2"/>
    <n v="0"/>
    <n v="0"/>
    <n v="-5"/>
    <m/>
    <m/>
    <m/>
    <x v="0"/>
    <m/>
  </r>
  <r>
    <s v="000022410"/>
    <s v="Grégoire LE PARGNEUX"/>
    <s v="Marion PLESSIS-LUCIANI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7016"/>
    <s v="Guillaume BAILLY"/>
    <s v="Amine BENNEKROUF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198"/>
    <s v="Guillaume BARRÉ"/>
    <s v="Alexia BROS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575"/>
    <s v="Guillaume CAMPAN"/>
    <s v="Fayçal YAKOUBI"/>
    <x v="5"/>
    <s v="Non"/>
    <n v="14"/>
    <s v=""/>
    <n v="4"/>
    <n v="2"/>
    <n v="0"/>
    <e v="#REF!"/>
    <s v=""/>
    <s v=""/>
    <s v=""/>
    <n v="17"/>
    <n v="1"/>
    <n v="2"/>
    <n v="-3"/>
    <n v="3"/>
    <n v="0"/>
    <n v="0"/>
    <n v="0"/>
    <x v="2"/>
    <n v="0"/>
    <n v="0"/>
    <n v="-3"/>
    <m/>
    <m/>
    <m/>
    <x v="0"/>
    <m/>
  </r>
  <r>
    <s v="000000026"/>
    <s v="Guillaume CHASSARD"/>
    <s v="Florence NOIZET"/>
    <x v="5"/>
    <s v="Oui"/>
    <n v="0"/>
    <s v=""/>
    <n v="19"/>
    <n v="1"/>
    <n v="0"/>
    <e v="#REF!"/>
    <s v=""/>
    <s v=""/>
    <s v=""/>
    <n v="3"/>
    <n v="16"/>
    <n v="1"/>
    <n v="-3"/>
    <n v="3"/>
    <n v="0"/>
    <n v="0"/>
    <n v="0"/>
    <x v="2"/>
    <n v="0"/>
    <n v="0"/>
    <n v="-3"/>
    <m/>
    <m/>
    <m/>
    <x v="0"/>
    <m/>
  </r>
  <r>
    <s v="000012782"/>
    <s v="Guillaume COURTEMANCHE"/>
    <s v="Gaël PEZIER"/>
    <x v="3"/>
    <s v="Oui"/>
    <n v="17"/>
    <s v=""/>
    <n v="1"/>
    <n v="2"/>
    <n v="0"/>
    <e v="#REF!"/>
    <s v=""/>
    <s v=""/>
    <s v=""/>
    <n v="17"/>
    <n v="1"/>
    <n v="2"/>
    <n v="0"/>
    <n v="0"/>
    <n v="0"/>
    <n v="0"/>
    <n v="0"/>
    <x v="0"/>
    <n v="0"/>
    <n v="0"/>
    <n v="0"/>
    <m/>
    <m/>
    <m/>
    <x v="0"/>
    <m/>
  </r>
  <r>
    <s v="000012528"/>
    <s v="Guillaume PICARD"/>
    <s v="Gaël PEZIER"/>
    <x v="3"/>
    <s v="Oui"/>
    <n v="17"/>
    <s v=""/>
    <n v="3"/>
    <n v="0"/>
    <n v="0"/>
    <e v="#REF!"/>
    <s v=""/>
    <s v=""/>
    <s v=""/>
    <n v="16"/>
    <n v="4"/>
    <n v="0"/>
    <n v="1"/>
    <n v="-1"/>
    <n v="0"/>
    <n v="0"/>
    <n v="0"/>
    <x v="0"/>
    <n v="0"/>
    <n v="0"/>
    <n v="1"/>
    <m/>
    <m/>
    <m/>
    <x v="0"/>
    <m/>
  </r>
  <r>
    <s v="000000495"/>
    <s v="Guillaume VAQUERO"/>
    <s v="Florence NOIZET"/>
    <x v="5"/>
    <s v="Oui"/>
    <n v="11"/>
    <s v=""/>
    <n v="9"/>
    <n v="0"/>
    <n v="0"/>
    <e v="#REF!"/>
    <s v=""/>
    <s v=""/>
    <s v=""/>
    <n v="9"/>
    <n v="11"/>
    <n v="0"/>
    <n v="2"/>
    <n v="-2"/>
    <n v="0"/>
    <n v="0"/>
    <n v="0"/>
    <x v="0"/>
    <n v="0"/>
    <n v="0"/>
    <n v="2"/>
    <m/>
    <m/>
    <m/>
    <x v="0"/>
    <m/>
  </r>
  <r>
    <s v="000016872"/>
    <s v="Gwenaëlle BOULET"/>
    <s v="Julien FLOCH"/>
    <x v="4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x v="0"/>
    <m/>
  </r>
  <r>
    <s v="000021468"/>
    <s v="Gwénola ROBET"/>
    <s v="Jad ZGHEIB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790"/>
    <s v="Géraud ROUQUAYROL"/>
    <s v="Alicia JAFFRE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970"/>
    <s v="Hajar ARIF"/>
    <s v="Nolwenn DELORD"/>
    <x v="2"/>
    <s v="Non"/>
    <n v="9"/>
    <s v=""/>
    <n v="11"/>
    <n v="0"/>
    <n v="0"/>
    <e v="#REF!"/>
    <s v=""/>
    <s v=""/>
    <s v=""/>
    <n v="9"/>
    <n v="11"/>
    <n v="0"/>
    <n v="0"/>
    <n v="0"/>
    <n v="0"/>
    <n v="0"/>
    <n v="0"/>
    <x v="0"/>
    <n v="0"/>
    <n v="0"/>
    <n v="0"/>
    <m/>
    <m/>
    <m/>
    <x v="0"/>
    <m/>
  </r>
  <r>
    <s v="000014394"/>
    <s v="Hakim REHHALI"/>
    <s v="Godefroy DENORMANDIE"/>
    <x v="1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x v="0"/>
    <m/>
  </r>
  <r>
    <s v="000017672"/>
    <s v="Hamza BENYEMNA"/>
    <s v="Yosr ABIDA"/>
    <x v="4"/>
    <s v="Non"/>
    <n v="0"/>
    <s v=""/>
    <n v="14"/>
    <n v="6"/>
    <n v="0"/>
    <e v="#REF!"/>
    <s v=""/>
    <s v=""/>
    <s v=""/>
    <n v="0"/>
    <n v="14"/>
    <n v="6"/>
    <n v="0"/>
    <n v="0"/>
    <n v="0"/>
    <n v="0"/>
    <n v="0"/>
    <x v="0"/>
    <n v="0"/>
    <n v="0"/>
    <n v="0"/>
    <m/>
    <m/>
    <m/>
    <x v="0"/>
    <m/>
  </r>
  <r>
    <s v="000013991"/>
    <s v="Hamza SARIH"/>
    <s v="Pierre LEJEUNE"/>
    <x v="6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x v="0"/>
    <m/>
  </r>
  <r>
    <s v="000020874"/>
    <s v="Hanaa AL ZAHABI"/>
    <s v="Jad ZGHEIB"/>
    <x v="3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x v="0"/>
    <m/>
  </r>
  <r>
    <s v="000016416"/>
    <s v="Hanoé CORNET"/>
    <s v="Cédric GUICHARD"/>
    <x v="1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0778"/>
    <s v="Harrison LECHEVALLIER"/>
    <s v="Philibert DE MONTILLE"/>
    <x v="5"/>
    <s v="Oui"/>
    <n v="13"/>
    <s v=""/>
    <n v="5"/>
    <n v="2"/>
    <n v="0"/>
    <e v="#REF!"/>
    <s v=""/>
    <s v=""/>
    <s v=""/>
    <n v="13"/>
    <n v="5"/>
    <n v="2"/>
    <n v="0"/>
    <n v="0"/>
    <n v="0"/>
    <n v="0"/>
    <n v="0"/>
    <x v="0"/>
    <n v="0"/>
    <n v="0"/>
    <n v="0"/>
    <m/>
    <m/>
    <m/>
    <x v="0"/>
    <m/>
  </r>
  <r>
    <s v="000015137"/>
    <s v="Hicham LARAQUI"/>
    <s v="Fayçal YAKOUBI"/>
    <x v="5"/>
    <s v="Non"/>
    <n v="0"/>
    <s v=""/>
    <n v="7"/>
    <n v="0"/>
    <n v="13"/>
    <e v="#REF!"/>
    <s v=""/>
    <s v=""/>
    <s v=""/>
    <n v="0"/>
    <n v="7"/>
    <n v="0"/>
    <n v="0"/>
    <n v="0"/>
    <n v="0"/>
    <n v="0"/>
    <n v="0"/>
    <x v="0"/>
    <n v="0"/>
    <n v="0"/>
    <n v="0"/>
    <m/>
    <m/>
    <m/>
    <x v="0"/>
    <m/>
  </r>
  <r>
    <s v="000000049"/>
    <s v="Hubert GUIGUE"/>
    <s v="Florence NOIZET"/>
    <x v="5"/>
    <s v="Non"/>
    <n v="12"/>
    <s v=""/>
    <n v="3"/>
    <n v="5"/>
    <n v="0"/>
    <e v="#REF!"/>
    <s v=""/>
    <s v=""/>
    <s v=""/>
    <n v="11"/>
    <n v="5"/>
    <n v="4"/>
    <n v="1"/>
    <n v="-2"/>
    <n v="1"/>
    <n v="0"/>
    <n v="0"/>
    <x v="2"/>
    <n v="0"/>
    <n v="0"/>
    <n v="1"/>
    <m/>
    <m/>
    <m/>
    <x v="0"/>
    <m/>
  </r>
  <r>
    <s v="000020886"/>
    <s v="Hugo BELOT-DELORO"/>
    <s v="Valentin DAVAUDET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4637"/>
    <s v="Hugo CAILLEUX"/>
    <s v="Antoine DENIE"/>
    <x v="0"/>
    <s v="Non"/>
    <n v="9"/>
    <s v=""/>
    <n v="0"/>
    <n v="11"/>
    <n v="0"/>
    <e v="#REF!"/>
    <s v=""/>
    <s v=""/>
    <s v=""/>
    <n v="9"/>
    <n v="0"/>
    <n v="11"/>
    <n v="0"/>
    <n v="0"/>
    <n v="0"/>
    <n v="0"/>
    <n v="0"/>
    <x v="1"/>
    <n v="0"/>
    <n v="0"/>
    <n v="0"/>
    <m/>
    <m/>
    <m/>
    <x v="0"/>
    <m/>
  </r>
  <r>
    <s v="000022226"/>
    <s v="Hugo CLÉMENT"/>
    <s v="Guillaume COURTEMANCHE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364"/>
    <s v="Hugo DEVOILLE"/>
    <s v="Sébastien ANDREUX"/>
    <x v="2"/>
    <s v="Non"/>
    <n v="9.5"/>
    <s v=""/>
    <n v="10.5"/>
    <n v="0"/>
    <n v="0"/>
    <e v="#REF!"/>
    <s v=""/>
    <s v=""/>
    <s v=""/>
    <n v="0"/>
    <n v="20"/>
    <n v="0"/>
    <n v="9.5"/>
    <n v="-9.5"/>
    <n v="0"/>
    <n v="0"/>
    <n v="0"/>
    <x v="0"/>
    <n v="0"/>
    <n v="0"/>
    <n v="9.5"/>
    <m/>
    <m/>
    <m/>
    <x v="0"/>
    <m/>
  </r>
  <r>
    <s v="000012598"/>
    <s v="Hugo DUBESSET"/>
    <s v="Fayçal YAKOUBI"/>
    <x v="5"/>
    <s v="Non"/>
    <n v="0"/>
    <s v=""/>
    <n v="9"/>
    <n v="0"/>
    <n v="11"/>
    <e v="#REF!"/>
    <s v=""/>
    <s v=""/>
    <s v=""/>
    <n v="0"/>
    <n v="8"/>
    <n v="1"/>
    <n v="0"/>
    <n v="1"/>
    <n v="-1"/>
    <n v="0"/>
    <n v="0"/>
    <x v="2"/>
    <n v="0"/>
    <n v="0"/>
    <n v="0"/>
    <m/>
    <m/>
    <m/>
    <x v="0"/>
    <m/>
  </r>
  <r>
    <s v="000021154"/>
    <s v="Hugo FERUGLIO"/>
    <s v="Ignacio MARTIN VELASCO"/>
    <x v="7"/>
    <s v="Non"/>
    <n v="5"/>
    <s v=""/>
    <n v="14"/>
    <n v="0"/>
    <n v="1"/>
    <e v="#REF!"/>
    <s v=""/>
    <s v=""/>
    <s v=""/>
    <n v="5"/>
    <n v="14"/>
    <n v="0"/>
    <n v="0"/>
    <n v="0"/>
    <n v="0"/>
    <n v="0"/>
    <n v="0"/>
    <x v="0"/>
    <n v="0"/>
    <n v="0"/>
    <n v="0"/>
    <m/>
    <m/>
    <m/>
    <x v="0"/>
    <m/>
  </r>
  <r>
    <s v="000022213"/>
    <s v="Hugo LACHIVER"/>
    <s v="Alice GUILABERT"/>
    <x v="2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x v="0"/>
    <m/>
  </r>
  <r>
    <s v="000017797"/>
    <s v="Hugo LOPEZ"/>
    <s v="Nolwenn DELORD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153"/>
    <s v="Hugo MAITRE"/>
    <s v="Jonathan SARPAUX"/>
    <x v="4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x v="0"/>
    <m/>
  </r>
  <r>
    <s v="000014666"/>
    <s v="Hugo STEPHAN"/>
    <s v="Antoine DENIE"/>
    <x v="0"/>
    <s v="Non"/>
    <n v="0"/>
    <s v=""/>
    <n v="19"/>
    <n v="1"/>
    <n v="0"/>
    <e v="#REF!"/>
    <s v=""/>
    <s v=""/>
    <s v=""/>
    <n v="0"/>
    <n v="20"/>
    <n v="0"/>
    <n v="0"/>
    <n v="-1"/>
    <n v="1"/>
    <n v="0"/>
    <n v="0"/>
    <x v="2"/>
    <n v="0"/>
    <n v="0"/>
    <n v="0"/>
    <m/>
    <m/>
    <m/>
    <x v="0"/>
    <m/>
  </r>
  <r>
    <s v="000020992"/>
    <s v="Héloïse DE CASTELNAU"/>
    <s v="Guillaume PICARD"/>
    <x v="3"/>
    <s v="Non"/>
    <n v="18"/>
    <s v=""/>
    <n v="2"/>
    <n v="0"/>
    <n v="0"/>
    <e v="#REF!"/>
    <s v=""/>
    <s v=""/>
    <s v=""/>
    <n v="5"/>
    <n v="15"/>
    <n v="0"/>
    <n v="13"/>
    <n v="-13"/>
    <n v="0"/>
    <n v="0"/>
    <n v="0"/>
    <x v="0"/>
    <n v="0"/>
    <n v="0"/>
    <n v="13"/>
    <m/>
    <m/>
    <m/>
    <x v="0"/>
    <m/>
  </r>
  <r>
    <s v="000007372"/>
    <s v="Hélène CHATROUSSE"/>
    <s v="Sandrine CHAILLEY"/>
    <x v="8"/>
    <s v="Non"/>
    <n v="0"/>
    <s v=""/>
    <n v="16"/>
    <n v="0"/>
    <n v="4"/>
    <e v="#REF!"/>
    <s v=""/>
    <s v=""/>
    <s v=""/>
    <n v="0"/>
    <n v="16"/>
    <n v="0"/>
    <n v="0"/>
    <n v="0"/>
    <n v="0"/>
    <n v="0"/>
    <n v="0"/>
    <x v="0"/>
    <n v="0"/>
    <n v="0"/>
    <n v="0"/>
    <m/>
    <m/>
    <m/>
    <x v="0"/>
    <m/>
  </r>
  <r>
    <s v="000021710"/>
    <s v="Hélène DE FORAS"/>
    <s v="Marion LARHANTEC"/>
    <x v="3"/>
    <s v="Non"/>
    <n v="9"/>
    <s v=""/>
    <n v="8"/>
    <n v="3"/>
    <n v="0"/>
    <e v="#REF!"/>
    <s v=""/>
    <s v=""/>
    <s v=""/>
    <n v="17"/>
    <n v="0"/>
    <n v="3"/>
    <n v="-8"/>
    <n v="8"/>
    <n v="0"/>
    <n v="0"/>
    <n v="0"/>
    <x v="2"/>
    <n v="0"/>
    <n v="0"/>
    <n v="-8"/>
    <m/>
    <m/>
    <m/>
    <x v="0"/>
    <m/>
  </r>
  <r>
    <s v="000020633"/>
    <s v="Hélène KONDRATIEFF"/>
    <s v="Vérane CHOAIN"/>
    <x v="7"/>
    <s v="Non"/>
    <n v="8"/>
    <s v=""/>
    <n v="9"/>
    <n v="3"/>
    <n v="0"/>
    <e v="#REF!"/>
    <s v=""/>
    <s v=""/>
    <s v=""/>
    <n v="11"/>
    <n v="6"/>
    <n v="3"/>
    <n v="-3"/>
    <n v="3"/>
    <n v="0"/>
    <n v="0"/>
    <n v="0"/>
    <x v="2"/>
    <n v="0"/>
    <n v="0"/>
    <n v="-3"/>
    <m/>
    <m/>
    <m/>
    <x v="0"/>
    <m/>
  </r>
  <r>
    <s v="000015040"/>
    <s v="Ibrahima DIEYE"/>
    <s v="Cédric GUICHARD"/>
    <x v="1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18067"/>
    <s v="Idriss EL QUASSIMI"/>
    <s v="Marion GERIN-ROZE"/>
    <x v="7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13111"/>
    <s v="Ignacio MARTIN VELASCO"/>
    <s v="François FONTESPIS-LOSTE"/>
    <x v="7"/>
    <s v="Oui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687"/>
    <s v="Ihda LAHRECH"/>
    <s v="Ange KAMDEM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6097"/>
    <s v="Ilan BOUAZIZ"/>
    <s v="Roman ESQUERRE"/>
    <x v="0"/>
    <s v="Non"/>
    <n v="17.5"/>
    <s v=""/>
    <n v="0"/>
    <n v="2.5"/>
    <n v="0"/>
    <e v="#REF!"/>
    <s v=""/>
    <s v=""/>
    <s v=""/>
    <n v="10"/>
    <n v="7.5"/>
    <n v="2.5"/>
    <n v="7.5"/>
    <n v="-7.5"/>
    <n v="0"/>
    <n v="0"/>
    <n v="0"/>
    <x v="1"/>
    <n v="0"/>
    <n v="0"/>
    <n v="7.5"/>
    <m/>
    <m/>
    <m/>
    <x v="0"/>
    <m/>
  </r>
  <r>
    <s v="000015055"/>
    <s v="Ilyana MOMBO"/>
    <s v="Willy TAN"/>
    <x v="3"/>
    <s v="Non"/>
    <n v="18"/>
    <s v=""/>
    <n v="2"/>
    <n v="0"/>
    <n v="0"/>
    <e v="#REF!"/>
    <s v=""/>
    <s v=""/>
    <s v=""/>
    <n v="18"/>
    <n v="2"/>
    <n v="0"/>
    <n v="0"/>
    <n v="0"/>
    <n v="0"/>
    <n v="0"/>
    <n v="0"/>
    <x v="0"/>
    <n v="0"/>
    <n v="0"/>
    <n v="0"/>
    <m/>
    <m/>
    <m/>
    <x v="0"/>
    <m/>
  </r>
  <r>
    <s v="000017847"/>
    <s v="Ilyes RAKZA"/>
    <s v="Amine BENNEKROUF"/>
    <x v="5"/>
    <s v="Non"/>
    <n v="0"/>
    <s v=""/>
    <n v="18"/>
    <n v="2"/>
    <n v="0"/>
    <e v="#REF!"/>
    <s v=""/>
    <s v=""/>
    <s v=""/>
    <n v="0"/>
    <n v="18"/>
    <n v="2"/>
    <n v="0"/>
    <n v="0"/>
    <n v="0"/>
    <n v="0"/>
    <n v="0"/>
    <x v="0"/>
    <n v="0"/>
    <n v="0"/>
    <n v="0"/>
    <m/>
    <m/>
    <m/>
    <x v="0"/>
    <m/>
  </r>
  <r>
    <s v="000021777"/>
    <s v="Ines FTOUHA"/>
    <s v="Théophile PAHLAWAN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20478"/>
    <s v="Ioana MAZILU"/>
    <s v="Sina MOVAGHAR"/>
    <x v="0"/>
    <s v="Non"/>
    <n v="12.5"/>
    <s v=""/>
    <n v="0"/>
    <n v="7.5"/>
    <n v="0"/>
    <e v="#REF!"/>
    <s v=""/>
    <s v=""/>
    <s v=""/>
    <n v="13.5"/>
    <n v="0"/>
    <n v="6.5"/>
    <n v="-1"/>
    <n v="0"/>
    <n v="1"/>
    <n v="0"/>
    <n v="0"/>
    <x v="1"/>
    <n v="1"/>
    <n v="0"/>
    <n v="-1"/>
    <m/>
    <m/>
    <m/>
    <x v="0"/>
    <m/>
  </r>
  <r>
    <s v="000014993"/>
    <s v="Ismael DE BUYST"/>
    <s v="Marius LIBERT"/>
    <x v="5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  <r>
    <s v="000017226"/>
    <s v="Ismaël ZIAD"/>
    <s v="Anthony CORNU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844"/>
    <s v="Issam HALILE"/>
    <s v="Charles PARIS"/>
    <x v="3"/>
    <s v="Non"/>
    <n v="18"/>
    <s v=""/>
    <n v="0"/>
    <n v="2"/>
    <n v="0"/>
    <e v="#REF!"/>
    <s v=""/>
    <s v=""/>
    <s v=""/>
    <n v="20"/>
    <n v="0"/>
    <n v="0"/>
    <n v="-2"/>
    <n v="0"/>
    <n v="2"/>
    <n v="0"/>
    <n v="0"/>
    <x v="1"/>
    <n v="2"/>
    <n v="0"/>
    <n v="-2"/>
    <m/>
    <m/>
    <m/>
    <x v="0"/>
    <m/>
  </r>
  <r>
    <s v="000003455"/>
    <s v="Jacqueline TAN"/>
    <s v="Guillaume VAQUERO"/>
    <x v="1"/>
    <s v="Non"/>
    <n v="0"/>
    <s v=""/>
    <n v="14"/>
    <n v="0"/>
    <n v="6"/>
    <e v="#REF!"/>
    <s v=""/>
    <s v=""/>
    <s v=""/>
    <n v="0"/>
    <n v="14"/>
    <n v="0"/>
    <n v="0"/>
    <n v="0"/>
    <n v="0"/>
    <n v="0"/>
    <n v="0"/>
    <x v="0"/>
    <n v="0"/>
    <n v="0"/>
    <n v="0"/>
    <m/>
    <m/>
    <m/>
    <x v="0"/>
    <m/>
  </r>
  <r>
    <s v="000021768"/>
    <s v="Jacques FOS"/>
    <s v="Faustine TIRINZONI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715"/>
    <s v="Jacques KLEIN"/>
    <s v="Amine BENNEKROUF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2392"/>
    <s v="Jad ZGHEIB"/>
    <s v="Gaël PEZIER"/>
    <x v="3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00005"/>
    <s v="Jean BADIN"/>
    <s v="Yannick TAUPIAC"/>
    <x v="0"/>
    <s v="Non"/>
    <n v="10"/>
    <s v=""/>
    <n v="0"/>
    <n v="0"/>
    <n v="10"/>
    <e v="#REF!"/>
    <s v=""/>
    <s v=""/>
    <s v=""/>
    <n v="5"/>
    <n v="15"/>
    <n v="0"/>
    <n v="5"/>
    <n v="-15"/>
    <n v="0"/>
    <n v="0"/>
    <n v="0"/>
    <x v="1"/>
    <n v="0"/>
    <n v="0"/>
    <n v="5"/>
    <m/>
    <m/>
    <m/>
    <x v="0"/>
    <m/>
  </r>
  <r>
    <s v="000017908"/>
    <s v="Jean BAKALOGLOU"/>
    <s v="Nicolas MURAT"/>
    <x v="2"/>
    <s v="Non"/>
    <n v="9"/>
    <s v=""/>
    <n v="10"/>
    <n v="1"/>
    <n v="0"/>
    <e v="#REF!"/>
    <s v=""/>
    <s v=""/>
    <s v=""/>
    <n v="10"/>
    <n v="9"/>
    <n v="1"/>
    <n v="-1"/>
    <n v="1"/>
    <n v="0"/>
    <n v="0"/>
    <n v="0"/>
    <x v="2"/>
    <n v="0"/>
    <n v="0"/>
    <n v="-1"/>
    <m/>
    <m/>
    <m/>
    <x v="0"/>
    <m/>
  </r>
  <r>
    <s v="000010091"/>
    <s v="Jean CHENARD"/>
    <s v="Camille DURAND"/>
    <x v="4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3439"/>
    <s v="Jean CRESP"/>
    <s v="Pierre MONCHALIN"/>
    <x v="2"/>
    <s v="Non"/>
    <n v="17"/>
    <s v=""/>
    <n v="1"/>
    <n v="2"/>
    <n v="0"/>
    <e v="#REF!"/>
    <s v=""/>
    <s v=""/>
    <s v=""/>
    <n v="18"/>
    <n v="0"/>
    <n v="2"/>
    <n v="-1"/>
    <n v="1"/>
    <n v="0"/>
    <n v="0"/>
    <n v="0"/>
    <x v="2"/>
    <n v="0"/>
    <n v="0"/>
    <n v="-1"/>
    <m/>
    <m/>
    <m/>
    <x v="0"/>
    <m/>
  </r>
  <r>
    <s v="000008251"/>
    <s v="Jean-Baptiste DUBOIS"/>
    <s v="Othmane KHARBACH"/>
    <x v="6"/>
    <s v="Oui"/>
    <n v="10"/>
    <s v=""/>
    <n v="0"/>
    <n v="10"/>
    <n v="0"/>
    <e v="#REF!"/>
    <s v=""/>
    <s v=""/>
    <s v=""/>
    <n v="11"/>
    <n v="0"/>
    <n v="9"/>
    <n v="-1"/>
    <n v="0"/>
    <n v="1"/>
    <n v="0"/>
    <n v="0"/>
    <x v="1"/>
    <n v="1"/>
    <n v="0"/>
    <n v="-1"/>
    <m/>
    <m/>
    <m/>
    <x v="0"/>
    <m/>
  </r>
  <r>
    <s v="000013105"/>
    <s v="Jean-Baptiste PHILIPPE"/>
    <s v="Rebecca LARRIVEE"/>
    <x v="5"/>
    <s v="Non"/>
    <n v="16"/>
    <s v=""/>
    <n v="4"/>
    <n v="0"/>
    <n v="0"/>
    <e v="#REF!"/>
    <s v=""/>
    <s v=""/>
    <s v=""/>
    <n v="16"/>
    <n v="4"/>
    <n v="0"/>
    <n v="0"/>
    <n v="0"/>
    <n v="0"/>
    <n v="0"/>
    <n v="0"/>
    <x v="3"/>
    <n v="0"/>
    <n v="4"/>
    <n v="4"/>
    <m/>
    <m/>
    <m/>
    <x v="0"/>
    <m/>
  </r>
  <r>
    <s v="000020776"/>
    <s v="Jessica PANARONI"/>
    <s v="Arthur BIGNIER"/>
    <x v="1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6164"/>
    <s v="Jihene OUERTANI"/>
    <s v="Soline LE BLEVEC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1127"/>
    <s v="Jimmy GUERIN"/>
    <s v="Yves REMBERT"/>
    <x v="0"/>
    <s v="Oui"/>
    <n v="4"/>
    <s v=""/>
    <n v="16"/>
    <n v="0"/>
    <n v="0"/>
    <e v="#REF!"/>
    <s v=""/>
    <s v=""/>
    <s v=""/>
    <n v="4"/>
    <n v="16"/>
    <n v="0"/>
    <n v="0"/>
    <n v="0"/>
    <n v="0"/>
    <n v="0"/>
    <n v="0"/>
    <x v="0"/>
    <n v="0"/>
    <n v="0"/>
    <n v="0"/>
    <m/>
    <m/>
    <m/>
    <x v="0"/>
    <m/>
  </r>
  <r>
    <s v="000015530"/>
    <s v="Jocelyn AUFFRET"/>
    <s v="Emilie DURAND"/>
    <x v="4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x v="0"/>
    <m/>
  </r>
  <r>
    <s v="000000988"/>
    <s v="Jonathan GERARDIN"/>
    <s v="Yannick TAUPIAC"/>
    <x v="0"/>
    <s v="Oui"/>
    <n v="15"/>
    <s v=""/>
    <n v="5"/>
    <n v="0"/>
    <n v="0"/>
    <e v="#REF!"/>
    <s v=""/>
    <s v=""/>
    <s v=""/>
    <n v="12"/>
    <n v="8"/>
    <n v="0"/>
    <n v="3"/>
    <n v="-3"/>
    <n v="0"/>
    <n v="0"/>
    <n v="0"/>
    <x v="0"/>
    <n v="0"/>
    <n v="0"/>
    <n v="3"/>
    <m/>
    <m/>
    <m/>
    <x v="0"/>
    <m/>
  </r>
  <r>
    <s v="000011251"/>
    <s v="Jonathan SARPAUX"/>
    <s v="Julien FLOCH"/>
    <x v="4"/>
    <s v="Oui"/>
    <n v="9"/>
    <s v=""/>
    <n v="2"/>
    <n v="9"/>
    <n v="0"/>
    <e v="#REF!"/>
    <s v=""/>
    <s v=""/>
    <s v=""/>
    <n v="11"/>
    <n v="0"/>
    <n v="9"/>
    <n v="-2"/>
    <n v="2"/>
    <n v="0"/>
    <n v="0"/>
    <n v="0"/>
    <x v="2"/>
    <n v="0"/>
    <n v="0"/>
    <n v="-2"/>
    <m/>
    <m/>
    <m/>
    <x v="0"/>
    <m/>
  </r>
  <r>
    <s v="000011950"/>
    <s v="Jordan NOÉ"/>
    <s v="Gaël PEZIER"/>
    <x v="3"/>
    <s v="Non"/>
    <n v="14"/>
    <s v=""/>
    <n v="6"/>
    <n v="0"/>
    <n v="0"/>
    <e v="#REF!"/>
    <s v=""/>
    <s v=""/>
    <s v=""/>
    <n v="18"/>
    <n v="2"/>
    <n v="0"/>
    <n v="-4"/>
    <n v="4"/>
    <n v="0"/>
    <n v="0"/>
    <n v="0"/>
    <x v="3"/>
    <n v="0"/>
    <n v="6"/>
    <n v="2"/>
    <m/>
    <m/>
    <m/>
    <x v="0"/>
    <m/>
  </r>
  <r>
    <s v="000000529"/>
    <s v="Joris RABADAN"/>
    <s v="Florent MATHE"/>
    <x v="7"/>
    <s v="Non"/>
    <n v="10.5"/>
    <s v=""/>
    <n v="0"/>
    <n v="0"/>
    <n v="9.5"/>
    <e v="#REF!"/>
    <s v=""/>
    <s v=""/>
    <s v=""/>
    <n v="7"/>
    <n v="13"/>
    <n v="0"/>
    <n v="3.5"/>
    <n v="-13"/>
    <n v="0"/>
    <n v="0"/>
    <n v="0"/>
    <x v="1"/>
    <n v="0"/>
    <n v="0"/>
    <n v="3.5"/>
    <m/>
    <m/>
    <m/>
    <x v="0"/>
    <m/>
  </r>
  <r>
    <s v="000017355"/>
    <s v="Joseph DERIAUX"/>
    <s v="Théo ROCH"/>
    <x v="0"/>
    <s v="Non"/>
    <n v="19.5"/>
    <s v=""/>
    <n v="0.5"/>
    <n v="0"/>
    <n v="0"/>
    <e v="#REF!"/>
    <s v=""/>
    <s v=""/>
    <s v=""/>
    <n v="19.5"/>
    <n v="0.5"/>
    <n v="0"/>
    <n v="0"/>
    <n v="0"/>
    <n v="0"/>
    <n v="0"/>
    <n v="0"/>
    <x v="0"/>
    <n v="0"/>
    <n v="0"/>
    <n v="0"/>
    <m/>
    <m/>
    <m/>
    <x v="0"/>
    <m/>
  </r>
  <r>
    <s v="000020887"/>
    <s v="Juan Pablo DUQUE ESCOBAR"/>
    <s v="Farah MOHAMADI"/>
    <x v="4"/>
    <s v="Non"/>
    <n v="11"/>
    <s v=""/>
    <n v="0"/>
    <n v="9"/>
    <n v="0"/>
    <e v="#REF!"/>
    <s v=""/>
    <s v=""/>
    <s v=""/>
    <n v="11"/>
    <n v="0"/>
    <n v="9"/>
    <n v="0"/>
    <n v="0"/>
    <n v="0"/>
    <n v="0"/>
    <n v="0"/>
    <x v="1"/>
    <n v="0"/>
    <n v="0"/>
    <n v="0"/>
    <m/>
    <m/>
    <m/>
    <x v="0"/>
    <m/>
  </r>
  <r>
    <s v="000013984"/>
    <s v="Jules LEBEDEFF"/>
    <s v="Fayçal YAKOUBI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946"/>
    <s v="Jules REYPENS"/>
    <s v="Quentin QUONIAM"/>
    <x v="1"/>
    <s v="Non"/>
    <n v="17.5"/>
    <s v=""/>
    <n v="0"/>
    <n v="2.5"/>
    <n v="0"/>
    <e v="#REF!"/>
    <s v=""/>
    <s v=""/>
    <s v=""/>
    <n v="20"/>
    <n v="0"/>
    <n v="0"/>
    <n v="-2.5"/>
    <n v="0"/>
    <n v="2.5"/>
    <n v="0"/>
    <n v="0"/>
    <x v="1"/>
    <n v="2.5"/>
    <n v="0"/>
    <n v="-2.5"/>
    <m/>
    <m/>
    <m/>
    <x v="0"/>
    <m/>
  </r>
  <r>
    <s v="000009273"/>
    <s v="Julia FRANCO"/>
    <s v="Yannick TAUPIAC"/>
    <x v="0"/>
    <s v="Oui"/>
    <n v="17"/>
    <s v=""/>
    <n v="3"/>
    <n v="0"/>
    <n v="0"/>
    <e v="#REF!"/>
    <s v=""/>
    <s v=""/>
    <s v=""/>
    <n v="16"/>
    <n v="4"/>
    <n v="0"/>
    <n v="1"/>
    <n v="-1"/>
    <n v="0"/>
    <n v="0"/>
    <n v="0"/>
    <x v="0"/>
    <n v="0"/>
    <n v="0"/>
    <n v="1"/>
    <m/>
    <m/>
    <m/>
    <x v="0"/>
    <m/>
  </r>
  <r>
    <s v="000017063"/>
    <s v="Julie DUBOIS"/>
    <s v="Amine BENNEKROUF"/>
    <x v="5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13898"/>
    <s v="Julie ERNOTTE"/>
    <s v="Willy TAN"/>
    <x v="3"/>
    <s v="Non"/>
    <n v="16"/>
    <s v=""/>
    <n v="2"/>
    <n v="2"/>
    <n v="0"/>
    <e v="#REF!"/>
    <s v=""/>
    <s v=""/>
    <s v=""/>
    <n v="19"/>
    <n v="0"/>
    <n v="1"/>
    <n v="-3"/>
    <n v="2"/>
    <n v="1"/>
    <n v="0"/>
    <n v="0"/>
    <x v="2"/>
    <n v="1"/>
    <n v="0"/>
    <n v="-3"/>
    <m/>
    <m/>
    <m/>
    <x v="0"/>
    <m/>
  </r>
  <r>
    <s v="000010113"/>
    <s v="Julie FERRANDO"/>
    <s v="Pierre NARCE"/>
    <x v="2"/>
    <s v="Oui"/>
    <n v="19"/>
    <s v=""/>
    <n v="0"/>
    <n v="1"/>
    <n v="0"/>
    <e v="#REF!"/>
    <s v=""/>
    <s v=""/>
    <s v=""/>
    <n v="18"/>
    <n v="1"/>
    <n v="1"/>
    <n v="1"/>
    <n v="-1"/>
    <n v="0"/>
    <n v="0"/>
    <n v="0"/>
    <x v="1"/>
    <n v="0"/>
    <n v="0"/>
    <n v="1"/>
    <m/>
    <m/>
    <m/>
    <x v="0"/>
    <m/>
  </r>
  <r>
    <s v="000013365"/>
    <s v="Julie PEYRUCQ"/>
    <s v="Godefroy DENORMANDIE"/>
    <x v="1"/>
    <s v="Non"/>
    <n v="18.5"/>
    <s v=""/>
    <n v="0.5"/>
    <n v="1"/>
    <n v="0"/>
    <e v="#REF!"/>
    <s v=""/>
    <s v=""/>
    <s v=""/>
    <n v="19"/>
    <n v="0"/>
    <n v="1"/>
    <n v="-0.5"/>
    <n v="0.5"/>
    <n v="0"/>
    <n v="0"/>
    <n v="0"/>
    <x v="2"/>
    <n v="0"/>
    <n v="0"/>
    <n v="-0.5"/>
    <m/>
    <m/>
    <m/>
    <x v="0"/>
    <m/>
  </r>
  <r>
    <s v="000022445"/>
    <s v="Julien BENAROCHE"/>
    <s v="Elise RIBEIRO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02812"/>
    <s v="Julien BLEAS"/>
    <s v="Philibert DE MONTILLE"/>
    <x v="5"/>
    <s v="Non"/>
    <n v="10.5"/>
    <s v=""/>
    <n v="6.5"/>
    <n v="3"/>
    <n v="0"/>
    <e v="#REF!"/>
    <s v=""/>
    <s v=""/>
    <s v=""/>
    <n v="17"/>
    <n v="0"/>
    <n v="3"/>
    <n v="-6.5"/>
    <n v="6.5"/>
    <n v="0"/>
    <n v="0"/>
    <n v="0"/>
    <x v="3"/>
    <n v="0"/>
    <n v="4.5"/>
    <n v="-2"/>
    <m/>
    <m/>
    <m/>
    <x v="0"/>
    <m/>
  </r>
  <r>
    <s v="000003277"/>
    <s v="Julien FLOCH"/>
    <s v="Guillaume VAQUERO"/>
    <x v="1"/>
    <s v="Oui"/>
    <n v="6"/>
    <s v=""/>
    <n v="14"/>
    <n v="0"/>
    <n v="0"/>
    <e v="#REF!"/>
    <s v=""/>
    <s v=""/>
    <s v=""/>
    <n v="6"/>
    <n v="14"/>
    <n v="0"/>
    <n v="0"/>
    <n v="0"/>
    <n v="0"/>
    <n v="0"/>
    <n v="0"/>
    <x v="0"/>
    <n v="0"/>
    <n v="0"/>
    <n v="0"/>
    <m/>
    <m/>
    <m/>
    <x v="0"/>
    <m/>
  </r>
  <r>
    <s v="000020328"/>
    <s v="Julien GOUJON"/>
    <s v="Valentin DAVAUDET"/>
    <x v="5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14623"/>
    <s v="Julien KHERROUBI"/>
    <s v="Nolwenn DELORD"/>
    <x v="2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16539"/>
    <s v="Julien KRIEGER"/>
    <s v="Antoine FROMENTIN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2185"/>
    <s v="Julien LERY"/>
    <s v="Etienne BELLITTO"/>
    <x v="1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00140"/>
    <s v="Julien ROUSSON"/>
    <s v="Florence NOIZET"/>
    <x v="5"/>
    <s v="Non"/>
    <n v="20"/>
    <s v=""/>
    <n v="0"/>
    <n v="0"/>
    <n v="0"/>
    <e v="#REF!"/>
    <s v=""/>
    <s v=""/>
    <s v=""/>
    <n v="19"/>
    <n v="1"/>
    <n v="0"/>
    <n v="1"/>
    <n v="-1"/>
    <n v="0"/>
    <n v="0"/>
    <n v="0"/>
    <x v="1"/>
    <n v="0"/>
    <n v="0"/>
    <n v="1"/>
    <m/>
    <m/>
    <m/>
    <x v="0"/>
    <m/>
  </r>
  <r>
    <s v="000015506"/>
    <s v="Julien XYPOLITAS"/>
    <s v="Soline LE BLEVEC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8037"/>
    <s v="Junjun LIU"/>
    <s v="Charles PARIS"/>
    <x v="3"/>
    <s v="Non"/>
    <n v="1"/>
    <s v=""/>
    <n v="0"/>
    <n v="19"/>
    <n v="0"/>
    <e v="#REF!"/>
    <s v=""/>
    <s v=""/>
    <s v=""/>
    <n v="0"/>
    <n v="1"/>
    <n v="19"/>
    <n v="1"/>
    <n v="-1"/>
    <n v="0"/>
    <n v="0"/>
    <n v="0"/>
    <x v="1"/>
    <n v="0"/>
    <n v="0"/>
    <n v="1"/>
    <m/>
    <m/>
    <m/>
    <x v="0"/>
    <m/>
  </r>
  <r>
    <s v="000021750"/>
    <s v="Justin GOASDOUE"/>
    <s v="Arthur BIGNIER"/>
    <x v="1"/>
    <s v="Non"/>
    <n v="3.5"/>
    <s v=""/>
    <n v="16.5"/>
    <n v="0"/>
    <n v="0"/>
    <e v="#REF!"/>
    <s v=""/>
    <s v=""/>
    <s v=""/>
    <n v="7"/>
    <n v="13"/>
    <n v="0"/>
    <n v="-3.5"/>
    <n v="3.5"/>
    <n v="0"/>
    <n v="0"/>
    <n v="0"/>
    <x v="2"/>
    <n v="0"/>
    <n v="0"/>
    <n v="-3.5"/>
    <m/>
    <m/>
    <m/>
    <x v="0"/>
    <m/>
  </r>
  <r>
    <s v="000022307"/>
    <s v="Jérémie LAMBA"/>
    <s v="Victoire MALINOVSKY"/>
    <x v="0"/>
    <s v="Non"/>
    <n v="0"/>
    <s v=""/>
    <n v="2"/>
    <n v="0"/>
    <n v="18"/>
    <e v="#REF!"/>
    <s v=""/>
    <s v=""/>
    <s v=""/>
    <n v="0"/>
    <n v="2"/>
    <n v="0"/>
    <n v="0"/>
    <n v="0"/>
    <n v="0"/>
    <n v="0"/>
    <n v="0"/>
    <x v="0"/>
    <n v="0"/>
    <n v="0"/>
    <n v="0"/>
    <m/>
    <m/>
    <m/>
    <x v="0"/>
    <m/>
  </r>
  <r>
    <s v="000021324"/>
    <s v="Jérôme VU THAN"/>
    <s v="Florent MATHE"/>
    <x v="7"/>
    <s v="Non"/>
    <n v="19"/>
    <s v=""/>
    <n v="1"/>
    <n v="0"/>
    <n v="0"/>
    <e v="#REF!"/>
    <s v=""/>
    <s v=""/>
    <s v=""/>
    <n v="18"/>
    <n v="2"/>
    <n v="0"/>
    <n v="1"/>
    <n v="-1"/>
    <n v="0"/>
    <n v="0"/>
    <n v="0"/>
    <x v="0"/>
    <n v="0"/>
    <n v="0"/>
    <n v="1"/>
    <m/>
    <m/>
    <m/>
    <x v="0"/>
    <m/>
  </r>
  <r>
    <s v="000022234"/>
    <s v="Kaixin XU"/>
    <s v="Martin BELLOT"/>
    <x v="1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1997"/>
    <s v="Karim BERCAND"/>
    <s v="Kevin MAURICE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1674"/>
    <s v="Karim ISKANDER"/>
    <s v="Camille DURAND"/>
    <x v="4"/>
    <s v="Oui"/>
    <n v="16"/>
    <s v=""/>
    <n v="2"/>
    <n v="2"/>
    <n v="0"/>
    <e v="#REF!"/>
    <s v=""/>
    <s v=""/>
    <s v=""/>
    <n v="16"/>
    <n v="2"/>
    <n v="2"/>
    <n v="0"/>
    <n v="0"/>
    <n v="0"/>
    <n v="0"/>
    <n v="0"/>
    <x v="0"/>
    <n v="0"/>
    <n v="0"/>
    <n v="0"/>
    <m/>
    <m/>
    <m/>
    <x v="0"/>
    <m/>
  </r>
  <r>
    <s v="000021040"/>
    <s v="Katarina PUCELJ"/>
    <s v="Zineb MEZGUELDI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488"/>
    <s v="Kaïla BEN ALI"/>
    <s v="Marion LARHANTEC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109"/>
    <s v="Kenza BADDOU"/>
    <s v="Charles PARIS"/>
    <x v="3"/>
    <s v="Non"/>
    <n v="13"/>
    <s v=""/>
    <n v="3"/>
    <n v="4"/>
    <n v="0"/>
    <e v="#REF!"/>
    <s v=""/>
    <s v=""/>
    <s v=""/>
    <n v="13"/>
    <n v="3"/>
    <n v="4"/>
    <n v="0"/>
    <n v="0"/>
    <n v="0"/>
    <n v="0"/>
    <n v="0"/>
    <x v="0"/>
    <n v="0"/>
    <n v="0"/>
    <n v="0"/>
    <m/>
    <m/>
    <m/>
    <x v="0"/>
    <m/>
  </r>
  <r>
    <s v="000021634"/>
    <s v="Kenza H'SAIN"/>
    <s v="Anthony CORNU"/>
    <x v="7"/>
    <s v="Non"/>
    <n v="0"/>
    <s v=""/>
    <n v="11"/>
    <n v="0"/>
    <n v="9"/>
    <e v="#REF!"/>
    <s v=""/>
    <s v=""/>
    <s v=""/>
    <n v="0"/>
    <n v="11"/>
    <n v="0"/>
    <n v="0"/>
    <n v="0"/>
    <n v="0"/>
    <n v="0"/>
    <n v="0"/>
    <x v="0"/>
    <n v="0"/>
    <n v="0"/>
    <n v="0"/>
    <m/>
    <m/>
    <m/>
    <x v="0"/>
    <m/>
  </r>
  <r>
    <s v="000013437"/>
    <s v="Kevin MAURICE"/>
    <s v="Pierre MONCHALIN"/>
    <x v="2"/>
    <s v="Oui"/>
    <n v="7.5"/>
    <s v=""/>
    <n v="12.5"/>
    <n v="0"/>
    <n v="0"/>
    <e v="#REF!"/>
    <s v=""/>
    <s v=""/>
    <s v=""/>
    <n v="7.5"/>
    <n v="12.5"/>
    <n v="0"/>
    <n v="0"/>
    <n v="0"/>
    <n v="0"/>
    <n v="0"/>
    <n v="0"/>
    <x v="0"/>
    <n v="0"/>
    <n v="0"/>
    <n v="0"/>
    <m/>
    <m/>
    <m/>
    <x v="0"/>
    <m/>
  </r>
  <r>
    <s v="000020675"/>
    <s v="Khadija BOUKOUMASS"/>
    <s v="Amine BENNEKROUF"/>
    <x v="5"/>
    <s v="Non"/>
    <n v="0"/>
    <s v=""/>
    <n v="15"/>
    <n v="5"/>
    <n v="0"/>
    <e v="#REF!"/>
    <s v=""/>
    <s v=""/>
    <s v=""/>
    <n v="0"/>
    <n v="15"/>
    <n v="5"/>
    <n v="0"/>
    <n v="0"/>
    <n v="0"/>
    <n v="0"/>
    <n v="0"/>
    <x v="0"/>
    <n v="0"/>
    <n v="0"/>
    <n v="0"/>
    <m/>
    <m/>
    <m/>
    <x v="0"/>
    <m/>
  </r>
  <r>
    <s v="000021552"/>
    <s v="Khaled MEDJKOUH"/>
    <s v="Clément VINCENT"/>
    <x v="2"/>
    <s v="Non"/>
    <n v="19"/>
    <s v=""/>
    <n v="0"/>
    <n v="1"/>
    <n v="0"/>
    <e v="#REF!"/>
    <s v=""/>
    <s v=""/>
    <s v=""/>
    <n v="19"/>
    <n v="1"/>
    <n v="0"/>
    <n v="0"/>
    <n v="-1"/>
    <n v="1"/>
    <n v="0"/>
    <n v="0"/>
    <x v="1"/>
    <n v="0"/>
    <n v="0"/>
    <n v="0"/>
    <m/>
    <m/>
    <m/>
    <x v="0"/>
    <m/>
  </r>
  <r>
    <s v="000021910"/>
    <s v="Kim VARNAI"/>
    <s v="Anthony CORNU"/>
    <x v="7"/>
    <s v="Non"/>
    <n v="11.5"/>
    <s v=""/>
    <n v="8.5"/>
    <n v="0"/>
    <n v="0"/>
    <e v="#REF!"/>
    <s v=""/>
    <s v=""/>
    <s v=""/>
    <n v="15"/>
    <n v="5"/>
    <n v="0"/>
    <n v="-3.5"/>
    <n v="3.5"/>
    <n v="0"/>
    <n v="0"/>
    <n v="0"/>
    <x v="2"/>
    <n v="0"/>
    <n v="0"/>
    <n v="-3.5"/>
    <m/>
    <m/>
    <m/>
    <x v="0"/>
    <m/>
  </r>
  <r>
    <s v="000021759"/>
    <s v="Kiruthika TANIGASSALAME"/>
    <s v="Marius LIBERT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4359"/>
    <s v="Kévin PLESSIS-FRAISSARD"/>
    <s v="Jean-Baptiste DUBOIS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6988"/>
    <s v="Ladislas BISCHOFF"/>
    <s v="Ignacio MARTIN VELASCO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5050"/>
    <s v="Lamiae DRIDRI"/>
    <s v="Florence NOIZET"/>
    <x v="5"/>
    <s v="Oui"/>
    <n v="0"/>
    <s v=""/>
    <n v="20"/>
    <n v="0"/>
    <n v="0"/>
    <e v="#REF!"/>
    <s v=""/>
    <s v=""/>
    <s v=""/>
    <n v="0"/>
    <n v="19"/>
    <n v="1"/>
    <n v="0"/>
    <n v="1"/>
    <n v="-1"/>
    <n v="0"/>
    <n v="0"/>
    <x v="2"/>
    <n v="0"/>
    <n v="0"/>
    <n v="0"/>
    <m/>
    <m/>
    <m/>
    <x v="0"/>
    <m/>
  </r>
  <r>
    <s v="000012773"/>
    <s v="Lamine LALAMI"/>
    <s v="François FONTESPIS-LOSTE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987"/>
    <s v="Laura DUBOIS"/>
    <s v="Fayçal YAKOUBI"/>
    <x v="5"/>
    <s v="Non"/>
    <n v="0"/>
    <s v=""/>
    <n v="18.5"/>
    <n v="1.5"/>
    <n v="0"/>
    <e v="#REF!"/>
    <s v=""/>
    <s v=""/>
    <s v=""/>
    <n v="0"/>
    <n v="20"/>
    <n v="0"/>
    <n v="0"/>
    <n v="-1.5"/>
    <n v="1.5"/>
    <n v="0"/>
    <n v="0"/>
    <x v="2"/>
    <n v="0"/>
    <n v="0"/>
    <n v="0"/>
    <m/>
    <m/>
    <m/>
    <x v="0"/>
    <m/>
  </r>
  <r>
    <s v="000010968"/>
    <s v="Laura JEANNIN"/>
    <s v="Pierre NARCE"/>
    <x v="2"/>
    <s v="Oui"/>
    <n v="12.5"/>
    <s v=""/>
    <n v="1.5"/>
    <n v="6"/>
    <n v="0"/>
    <e v="#REF!"/>
    <s v=""/>
    <s v=""/>
    <s v=""/>
    <n v="12.5"/>
    <n v="1.5"/>
    <n v="6"/>
    <n v="0"/>
    <n v="0"/>
    <n v="0"/>
    <n v="0"/>
    <n v="0"/>
    <x v="0"/>
    <n v="0"/>
    <n v="0"/>
    <n v="0"/>
    <m/>
    <m/>
    <m/>
    <x v="0"/>
    <m/>
  </r>
  <r>
    <s v="000013621"/>
    <s v="Laura RODRIGUEZ"/>
    <s v="Marion LARHANTEC"/>
    <x v="3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21401"/>
    <s v="Laura SEYMARC"/>
    <s v="Marion PLESSIS-LUCIANI"/>
    <x v="7"/>
    <s v="Non"/>
    <n v="16.5"/>
    <s v=""/>
    <n v="3.5"/>
    <n v="0"/>
    <n v="0"/>
    <e v="#REF!"/>
    <s v=""/>
    <s v=""/>
    <s v=""/>
    <n v="20"/>
    <n v="0"/>
    <n v="0"/>
    <n v="-3.5"/>
    <n v="3.5"/>
    <n v="0"/>
    <n v="0"/>
    <n v="0"/>
    <x v="2"/>
    <n v="0"/>
    <n v="0"/>
    <n v="-3.5"/>
    <m/>
    <m/>
    <m/>
    <x v="0"/>
    <m/>
  </r>
  <r>
    <s v="000000139"/>
    <s v="Laurent ORTUNIO"/>
    <s v="Rémi TANIWAKI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300"/>
    <s v="Lauryne PANZANI"/>
    <s v="Jimmy GUERIN"/>
    <x v="0"/>
    <s v="Non"/>
    <n v="15"/>
    <s v=""/>
    <n v="5"/>
    <n v="0"/>
    <n v="0"/>
    <e v="#REF!"/>
    <s v=""/>
    <s v=""/>
    <s v=""/>
    <n v="20"/>
    <n v="0"/>
    <n v="0"/>
    <n v="-5"/>
    <n v="5"/>
    <n v="0"/>
    <n v="0"/>
    <n v="0"/>
    <x v="2"/>
    <n v="0"/>
    <n v="0"/>
    <n v="-5"/>
    <m/>
    <m/>
    <m/>
    <x v="0"/>
    <m/>
  </r>
  <r>
    <s v="000020567"/>
    <s v="Lilian GUILLOU"/>
    <s v="Amaury LECOMTE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367"/>
    <s v="Lionel LI"/>
    <s v="Cédric GUICHARD"/>
    <x v="1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1480"/>
    <s v="Livia BOURDIT"/>
    <s v="Pierre NARCE"/>
    <x v="2"/>
    <s v="Non"/>
    <n v="2"/>
    <s v=""/>
    <n v="15"/>
    <n v="3"/>
    <n v="0"/>
    <e v="#REF!"/>
    <s v=""/>
    <s v=""/>
    <s v=""/>
    <n v="3"/>
    <n v="14"/>
    <n v="3"/>
    <n v="-1"/>
    <n v="1"/>
    <n v="0"/>
    <n v="0"/>
    <n v="0"/>
    <x v="2"/>
    <n v="0"/>
    <n v="0"/>
    <n v="-1"/>
    <m/>
    <m/>
    <m/>
    <x v="0"/>
    <m/>
  </r>
  <r>
    <s v="000021900"/>
    <s v="Logan MBOYO"/>
    <s v="Mathilde JÉGOU"/>
    <x v="2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0834"/>
    <s v="Logan PROTAS"/>
    <s v="Jonathan GERARDIN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1205"/>
    <s v="Loic PENNEC"/>
    <s v="Rebecca LARRIVEE"/>
    <x v="5"/>
    <s v="Non"/>
    <n v="0"/>
    <s v=""/>
    <n v="19"/>
    <n v="1"/>
    <n v="0"/>
    <e v="#REF!"/>
    <s v=""/>
    <s v=""/>
    <s v=""/>
    <n v="19"/>
    <n v="0"/>
    <n v="1"/>
    <n v="-19"/>
    <n v="19"/>
    <n v="0"/>
    <n v="0"/>
    <n v="0"/>
    <x v="3"/>
    <n v="0"/>
    <n v="19"/>
    <n v="0"/>
    <m/>
    <m/>
    <m/>
    <x v="0"/>
    <m/>
  </r>
  <r>
    <s v="000013336"/>
    <s v="Lorys HAMADACHE"/>
    <s v="Pierre MONCHALIN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528"/>
    <s v="Louis ALLIOT"/>
    <s v="Rachel FANHAN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1071"/>
    <s v="Louis BLONDOT"/>
    <s v="Alice GUILABERT"/>
    <x v="2"/>
    <s v="Non"/>
    <n v="18"/>
    <s v=""/>
    <n v="0.5"/>
    <n v="5"/>
    <n v="0"/>
    <e v="#REF!"/>
    <s v=""/>
    <s v=""/>
    <s v=""/>
    <n v="18"/>
    <n v="0.5"/>
    <n v="1.5"/>
    <n v="0"/>
    <n v="0"/>
    <n v="3.5"/>
    <n v="0"/>
    <n v="0"/>
    <x v="2"/>
    <n v="0"/>
    <n v="0"/>
    <n v="0"/>
    <m/>
    <m/>
    <m/>
    <x v="0"/>
    <m/>
  </r>
  <r>
    <s v="000004584"/>
    <s v="Louis DUFLOT"/>
    <s v="Fabrice AUSTRUY"/>
    <x v="1"/>
    <s v="Non"/>
    <n v="20"/>
    <s v=""/>
    <n v="0"/>
    <n v="0"/>
    <n v="0"/>
    <e v="#REF!"/>
    <s v=""/>
    <s v=""/>
    <s v=""/>
    <n v="19"/>
    <n v="0"/>
    <n v="1"/>
    <n v="1"/>
    <n v="0"/>
    <n v="-1"/>
    <n v="0"/>
    <n v="0"/>
    <x v="1"/>
    <n v="0"/>
    <n v="0"/>
    <n v="1"/>
    <m/>
    <m/>
    <m/>
    <x v="0"/>
    <m/>
  </r>
  <r>
    <s v="000016733"/>
    <s v="Louis ROLLET"/>
    <s v="Gaël LACOSTE"/>
    <x v="4"/>
    <s v="Non"/>
    <n v="0"/>
    <s v=""/>
    <n v="19"/>
    <n v="1"/>
    <n v="0"/>
    <e v="#REF!"/>
    <s v=""/>
    <s v=""/>
    <s v=""/>
    <n v="0"/>
    <n v="19"/>
    <n v="1"/>
    <n v="0"/>
    <n v="0"/>
    <n v="0"/>
    <n v="0"/>
    <n v="0"/>
    <x v="0"/>
    <n v="0"/>
    <n v="0"/>
    <n v="0"/>
    <m/>
    <m/>
    <m/>
    <x v="0"/>
    <m/>
  </r>
  <r>
    <s v="000015012"/>
    <s v="Louis SIMON"/>
    <s v="Timothée CARRICO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309"/>
    <s v="Louise CAIGNAERT"/>
    <s v="Farah MOHAMADI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2103"/>
    <s v="Louise PAURISE"/>
    <s v="Harrison LECHEVALLIER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7191"/>
    <s v="Lounès BENZAHI"/>
    <s v="Quentin QUONIAM"/>
    <x v="1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x v="0"/>
    <m/>
  </r>
  <r>
    <s v="000012098"/>
    <s v="Loïc BENOIT"/>
    <s v="Godefroy DENORMANDIE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863"/>
    <s v="Loïck CUER"/>
    <s v="Guillaume PICARD"/>
    <x v="3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20608"/>
    <s v="Luca RINGUET"/>
    <s v="Anthony LORA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309"/>
    <s v="Lucas BORGOGNO"/>
    <s v="Martin ALLEAUME"/>
    <x v="2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5545"/>
    <s v="Lucas BRUGUIERE"/>
    <s v="Antoine DENIE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039"/>
    <s v="Lucas LE PAGE"/>
    <s v="Mathilde JÉGOU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337"/>
    <s v="Lucas VACHER"/>
    <s v="Sébastien AKRICH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09670"/>
    <s v="Lucas-Pierre CAPELLE"/>
    <s v="Pierre NARCE"/>
    <x v="2"/>
    <s v="Oui"/>
    <n v="0"/>
    <s v=""/>
    <n v="20"/>
    <n v="0"/>
    <n v="0"/>
    <e v="#REF!"/>
    <s v=""/>
    <s v=""/>
    <s v=""/>
    <n v="0"/>
    <n v="19"/>
    <n v="1"/>
    <n v="0"/>
    <n v="1"/>
    <n v="-1"/>
    <n v="0"/>
    <n v="0"/>
    <x v="2"/>
    <n v="0"/>
    <n v="0"/>
    <n v="0"/>
    <m/>
    <m/>
    <m/>
    <x v="0"/>
    <m/>
  </r>
  <r>
    <s v="000015648"/>
    <s v="Ludivine ISSENMANN"/>
    <s v="Gaël LACOSTE"/>
    <x v="4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20861"/>
    <s v="Luiza SOSSAI"/>
    <s v="Théophile PAHLAWAN"/>
    <x v="6"/>
    <s v="Non"/>
    <n v="10"/>
    <s v=""/>
    <n v="9.5"/>
    <n v="0.5"/>
    <n v="0"/>
    <e v="#REF!"/>
    <s v=""/>
    <s v=""/>
    <s v=""/>
    <n v="10"/>
    <n v="9.5"/>
    <n v="0.5"/>
    <n v="0"/>
    <n v="0"/>
    <n v="0"/>
    <n v="0"/>
    <n v="0"/>
    <x v="0"/>
    <n v="0"/>
    <n v="0"/>
    <n v="0"/>
    <m/>
    <m/>
    <m/>
    <x v="0"/>
    <m/>
  </r>
  <r>
    <s v="000017268"/>
    <s v="Luka JOVANOVIC"/>
    <s v="Fayçal YAKOUBI"/>
    <x v="5"/>
    <s v="Non"/>
    <n v="19.5"/>
    <s v=""/>
    <n v="0.5"/>
    <n v="0"/>
    <n v="0"/>
    <e v="#REF!"/>
    <s v=""/>
    <s v=""/>
    <s v=""/>
    <n v="16"/>
    <n v="0"/>
    <n v="4"/>
    <n v="3.5"/>
    <n v="0.5"/>
    <n v="-4"/>
    <n v="0"/>
    <n v="0"/>
    <x v="2"/>
    <n v="0"/>
    <n v="0"/>
    <n v="3.5"/>
    <m/>
    <m/>
    <m/>
    <x v="0"/>
    <m/>
  </r>
  <r>
    <s v="000020512"/>
    <s v="Lyna Imane AMROUCHE"/>
    <s v="Ange KAMDEM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642"/>
    <s v="Léa DEPRET"/>
    <s v="Zineb MEZGUELDI"/>
    <x v="6"/>
    <s v="Non"/>
    <n v="18"/>
    <s v=""/>
    <n v="2"/>
    <n v="0"/>
    <n v="0"/>
    <e v="#REF!"/>
    <s v=""/>
    <s v=""/>
    <s v=""/>
    <n v="18"/>
    <n v="2"/>
    <n v="0"/>
    <n v="0"/>
    <n v="0"/>
    <n v="0"/>
    <n v="0"/>
    <n v="0"/>
    <x v="0"/>
    <n v="0"/>
    <n v="0"/>
    <n v="0"/>
    <m/>
    <m/>
    <m/>
    <x v="0"/>
    <m/>
  </r>
  <r>
    <s v="000012491"/>
    <s v="Léa GOUTIERRE"/>
    <s v="Cédric GUICHARD"/>
    <x v="1"/>
    <s v="Non"/>
    <n v="13"/>
    <s v=""/>
    <n v="3"/>
    <n v="0"/>
    <n v="4"/>
    <e v="#REF!"/>
    <s v=""/>
    <s v=""/>
    <s v=""/>
    <n v="16"/>
    <n v="0"/>
    <n v="0"/>
    <n v="-3"/>
    <n v="3"/>
    <n v="0"/>
    <n v="0"/>
    <n v="0"/>
    <x v="2"/>
    <n v="0"/>
    <n v="0"/>
    <n v="-3"/>
    <m/>
    <m/>
    <m/>
    <x v="0"/>
    <m/>
  </r>
  <r>
    <s v="000016336"/>
    <s v="Léna AGAR"/>
    <s v="Laura JEANNIN"/>
    <x v="2"/>
    <s v="Non"/>
    <n v="20"/>
    <s v=""/>
    <n v="0"/>
    <n v="0"/>
    <n v="0"/>
    <e v="#REF!"/>
    <s v=""/>
    <s v=""/>
    <s v=""/>
    <n v="15"/>
    <n v="5"/>
    <n v="0"/>
    <n v="5"/>
    <n v="-5"/>
    <n v="0"/>
    <n v="0"/>
    <n v="0"/>
    <x v="1"/>
    <n v="0"/>
    <n v="0"/>
    <n v="5"/>
    <m/>
    <m/>
    <m/>
    <x v="0"/>
    <m/>
  </r>
  <r>
    <s v="000020317"/>
    <s v="Léo APPELGHEM"/>
    <s v="Arthur BIGNIER"/>
    <x v="1"/>
    <s v="Non"/>
    <n v="1.5"/>
    <s v=""/>
    <n v="14.5"/>
    <n v="4"/>
    <n v="0"/>
    <e v="#REF!"/>
    <s v=""/>
    <s v=""/>
    <s v=""/>
    <n v="6"/>
    <n v="10"/>
    <n v="4"/>
    <n v="-4.5"/>
    <n v="4.5"/>
    <n v="0"/>
    <n v="0"/>
    <n v="0"/>
    <x v="2"/>
    <n v="0"/>
    <n v="0"/>
    <n v="-4.5"/>
    <m/>
    <m/>
    <m/>
    <x v="0"/>
    <m/>
  </r>
  <r>
    <s v="000021429"/>
    <s v="Léo BATAILLE"/>
    <s v="Alicia JAFFRE"/>
    <x v="3"/>
    <s v="Non"/>
    <n v="14"/>
    <s v=""/>
    <n v="6"/>
    <n v="0"/>
    <n v="0"/>
    <e v="#REF!"/>
    <s v=""/>
    <s v=""/>
    <s v=""/>
    <n v="14"/>
    <n v="6"/>
    <n v="0"/>
    <n v="0"/>
    <n v="0"/>
    <n v="0"/>
    <n v="0"/>
    <n v="0"/>
    <x v="0"/>
    <n v="0"/>
    <n v="0"/>
    <n v="0"/>
    <m/>
    <m/>
    <m/>
    <x v="0"/>
    <m/>
  </r>
  <r>
    <s v="000014512"/>
    <s v="Léo BLÉTOUX"/>
    <s v="Lucas-Pierre CAPELLE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281"/>
    <s v="Léo TAVERNIER"/>
    <s v="Jimmy GUERIN"/>
    <x v="0"/>
    <s v="Non"/>
    <n v="3"/>
    <s v=""/>
    <n v="17"/>
    <n v="0"/>
    <n v="0"/>
    <e v="#REF!"/>
    <s v=""/>
    <s v=""/>
    <s v=""/>
    <n v="0"/>
    <n v="20"/>
    <n v="0"/>
    <n v="3"/>
    <n v="-3"/>
    <n v="0"/>
    <n v="0"/>
    <n v="0"/>
    <x v="0"/>
    <n v="0"/>
    <n v="0"/>
    <n v="3"/>
    <m/>
    <m/>
    <m/>
    <x v="0"/>
    <m/>
  </r>
  <r>
    <s v="000018132"/>
    <s v="Léontine LANDO"/>
    <s v="Ange KAMDEM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2797"/>
    <s v="Léopold PETITJEAN"/>
    <s v="Godefroy DENORMANDIE"/>
    <x v="1"/>
    <s v="Non"/>
    <n v="13"/>
    <s v=""/>
    <n v="2"/>
    <n v="5"/>
    <n v="0"/>
    <e v="#REF!"/>
    <s v=""/>
    <s v=""/>
    <s v=""/>
    <n v="13"/>
    <n v="2"/>
    <n v="5"/>
    <n v="0"/>
    <n v="0"/>
    <n v="0"/>
    <n v="0"/>
    <n v="0"/>
    <x v="0"/>
    <n v="0"/>
    <n v="0"/>
    <n v="0"/>
    <m/>
    <m/>
    <m/>
    <x v="0"/>
    <m/>
  </r>
  <r>
    <s v="000021345"/>
    <s v="Maden FAGON"/>
    <s v="Zineb MEZGUELDI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6104"/>
    <s v="Mahi JORIO"/>
    <s v="Antoine DENIE"/>
    <x v="0"/>
    <s v="Non"/>
    <n v="18"/>
    <s v=""/>
    <n v="0"/>
    <n v="2"/>
    <n v="0"/>
    <e v="#REF!"/>
    <s v=""/>
    <s v=""/>
    <s v=""/>
    <n v="19"/>
    <n v="0"/>
    <n v="1"/>
    <n v="-1"/>
    <n v="0"/>
    <n v="1"/>
    <n v="0"/>
    <n v="0"/>
    <x v="1"/>
    <n v="1"/>
    <n v="0"/>
    <n v="-1"/>
    <m/>
    <m/>
    <m/>
    <x v="0"/>
    <m/>
  </r>
  <r>
    <s v="000013379"/>
    <s v="Mahmoud AZENKOUK"/>
    <s v="Soline LE BLEVEC"/>
    <x v="7"/>
    <s v="Non"/>
    <n v="14"/>
    <s v=""/>
    <n v="2"/>
    <n v="4"/>
    <n v="0"/>
    <e v="#REF!"/>
    <s v=""/>
    <s v=""/>
    <s v=""/>
    <n v="16"/>
    <n v="0"/>
    <n v="4"/>
    <n v="-2"/>
    <n v="2"/>
    <n v="0"/>
    <n v="0"/>
    <n v="0"/>
    <x v="1"/>
    <n v="0"/>
    <n v="0"/>
    <n v="-2"/>
    <m/>
    <m/>
    <m/>
    <x v="0"/>
    <m/>
  </r>
  <r>
    <s v="000017281"/>
    <s v="Majd FASSI FEHRI"/>
    <s v="Fayçal YAKOUBI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20813"/>
    <s v="Malo AUGIER DE CREMIERS"/>
    <s v="Théophile PAHLAWAN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2487"/>
    <s v="Mamadou-Cheick KANTÉ"/>
    <s v="Gaël PEZIER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537"/>
    <s v="Manal BOUAZZAOUI"/>
    <s v="Alicia JAFFRE"/>
    <x v="3"/>
    <s v="Non"/>
    <n v="17"/>
    <s v=""/>
    <n v="3"/>
    <n v="0"/>
    <n v="0"/>
    <e v="#REF!"/>
    <s v=""/>
    <s v=""/>
    <s v=""/>
    <n v="16"/>
    <n v="4"/>
    <n v="0"/>
    <n v="1"/>
    <n v="-1"/>
    <n v="0"/>
    <n v="0"/>
    <n v="0"/>
    <x v="0"/>
    <n v="0"/>
    <n v="0"/>
    <n v="1"/>
    <m/>
    <m/>
    <m/>
    <x v="0"/>
    <m/>
  </r>
  <r>
    <s v="000017828"/>
    <s v="Manon ACHARD-TORTUL"/>
    <s v="Julia FRANCO"/>
    <x v="0"/>
    <s v="Non"/>
    <n v="17"/>
    <s v=""/>
    <n v="3"/>
    <n v="0"/>
    <n v="0"/>
    <e v="#REF!"/>
    <s v=""/>
    <s v=""/>
    <s v=""/>
    <n v="20"/>
    <n v="0"/>
    <n v="0"/>
    <n v="-3"/>
    <n v="3"/>
    <n v="0"/>
    <n v="0"/>
    <n v="0"/>
    <x v="2"/>
    <n v="0"/>
    <n v="0"/>
    <n v="-3"/>
    <m/>
    <m/>
    <m/>
    <x v="0"/>
    <m/>
  </r>
  <r>
    <s v="000000180"/>
    <s v="Marc DE MONTGOLFIER"/>
    <s v="Florence NOIZET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4543"/>
    <s v="Marc SIDORENKO"/>
    <s v="Jonathan GERARDIN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663"/>
    <s v="Margaux MALSCH"/>
    <s v="Jad ZGHEIB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8853"/>
    <s v="Margot KOHL"/>
    <s v="Yuri HOFTE"/>
    <x v="3"/>
    <s v="Oui"/>
    <n v="10"/>
    <s v=""/>
    <n v="8"/>
    <n v="2"/>
    <n v="0"/>
    <e v="#REF!"/>
    <s v=""/>
    <s v=""/>
    <s v=""/>
    <n v="10"/>
    <n v="8"/>
    <n v="2"/>
    <n v="0"/>
    <n v="0"/>
    <n v="0"/>
    <n v="0"/>
    <n v="0"/>
    <x v="0"/>
    <n v="0"/>
    <n v="0"/>
    <n v="0"/>
    <m/>
    <m/>
    <m/>
    <x v="0"/>
    <m/>
  </r>
  <r>
    <s v="000006062"/>
    <s v="Maria OUELLAJ"/>
    <s v="Godefroy DENORMANDIE"/>
    <x v="1"/>
    <s v="Oui"/>
    <n v="0"/>
    <s v=""/>
    <n v="11"/>
    <n v="9"/>
    <n v="0"/>
    <e v="#REF!"/>
    <s v=""/>
    <s v=""/>
    <s v=""/>
    <n v="0"/>
    <n v="10"/>
    <n v="10"/>
    <n v="0"/>
    <n v="1"/>
    <n v="-1"/>
    <n v="0"/>
    <n v="0"/>
    <x v="2"/>
    <n v="0"/>
    <n v="0"/>
    <n v="0"/>
    <m/>
    <m/>
    <m/>
    <x v="0"/>
    <m/>
  </r>
  <r>
    <s v="000022365"/>
    <s v="Marianne OBEID"/>
    <s v="Guillaume COURTEMANCHE"/>
    <x v="3"/>
    <s v="Non"/>
    <n v="0"/>
    <s v=""/>
    <n v="19.5"/>
    <n v="0.5"/>
    <n v="0"/>
    <e v="#REF!"/>
    <s v=""/>
    <s v=""/>
    <s v=""/>
    <n v="0"/>
    <n v="19.5"/>
    <n v="0.5"/>
    <n v="0"/>
    <n v="0"/>
    <n v="0"/>
    <n v="0"/>
    <n v="0"/>
    <x v="0"/>
    <n v="0"/>
    <n v="0"/>
    <n v="0"/>
    <m/>
    <m/>
    <m/>
    <x v="0"/>
    <m/>
  </r>
  <r>
    <s v="000021439"/>
    <s v="Marie CORTES"/>
    <s v="Marine GATELLIER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6955"/>
    <s v="Marie Océane NIACAVERE"/>
    <s v="Marion GERIN-ROZE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608"/>
    <s v="Marie-Claude EL KHOURY"/>
    <s v="Gaël LACOSTE"/>
    <x v="4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x v="0"/>
    <m/>
  </r>
  <r>
    <s v="000021595"/>
    <s v="Marin GAILLARD"/>
    <s v="Clément VINCENT"/>
    <x v="2"/>
    <s v="Non"/>
    <n v="17"/>
    <s v=""/>
    <n v="2.5"/>
    <n v="0.5"/>
    <n v="0"/>
    <e v="#REF!"/>
    <s v=""/>
    <s v=""/>
    <s v=""/>
    <n v="18.5"/>
    <n v="1"/>
    <n v="0.5"/>
    <n v="-1.5"/>
    <n v="1.5"/>
    <n v="0"/>
    <n v="0"/>
    <n v="0"/>
    <x v="2"/>
    <n v="0"/>
    <n v="0"/>
    <n v="-1.5"/>
    <m/>
    <m/>
    <m/>
    <x v="0"/>
    <m/>
  </r>
  <r>
    <s v="000013402"/>
    <s v="Marin PIGANEAU"/>
    <s v="Godefroy DENORMANDIE"/>
    <x v="1"/>
    <s v="Oui"/>
    <n v="7"/>
    <s v=""/>
    <n v="10"/>
    <n v="3"/>
    <n v="0"/>
    <e v="#REF!"/>
    <s v=""/>
    <s v=""/>
    <s v=""/>
    <n v="8"/>
    <n v="9"/>
    <n v="3"/>
    <n v="-1"/>
    <n v="1"/>
    <n v="0"/>
    <n v="0"/>
    <n v="0"/>
    <x v="2"/>
    <n v="0"/>
    <n v="0"/>
    <n v="-1"/>
    <m/>
    <m/>
    <m/>
    <x v="0"/>
    <m/>
  </r>
  <r>
    <s v="000012368"/>
    <s v="Marine AIRIAUD"/>
    <s v="Julie FERRANDO"/>
    <x v="2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x v="0"/>
    <m/>
  </r>
  <r>
    <s v="000020642"/>
    <s v="Marine CERTALDI"/>
    <s v="Jad ZGHEIB"/>
    <x v="3"/>
    <s v="Non"/>
    <n v="0"/>
    <s v=""/>
    <n v="18"/>
    <n v="1"/>
    <n v="1"/>
    <e v="#REF!"/>
    <s v=""/>
    <s v=""/>
    <s v=""/>
    <n v="0"/>
    <n v="18"/>
    <n v="1"/>
    <n v="0"/>
    <n v="0"/>
    <n v="0"/>
    <n v="0"/>
    <n v="0"/>
    <x v="0"/>
    <n v="0"/>
    <n v="0"/>
    <n v="0"/>
    <m/>
    <m/>
    <m/>
    <x v="0"/>
    <m/>
  </r>
  <r>
    <s v="000011283"/>
    <s v="Marine GATELLIER"/>
    <s v="Jean-Baptiste DUBOIS"/>
    <x v="6"/>
    <s v="Oui"/>
    <n v="12"/>
    <s v=""/>
    <n v="2"/>
    <n v="6"/>
    <n v="0"/>
    <e v="#REF!"/>
    <s v=""/>
    <s v=""/>
    <s v=""/>
    <n v="12"/>
    <n v="2"/>
    <n v="6"/>
    <n v="0"/>
    <n v="0"/>
    <n v="0"/>
    <n v="0"/>
    <n v="0"/>
    <x v="0"/>
    <n v="0"/>
    <n v="0"/>
    <n v="0"/>
    <m/>
    <m/>
    <m/>
    <x v="0"/>
    <m/>
  </r>
  <r>
    <s v="000009608"/>
    <s v="Marine SELY"/>
    <s v="Othmane KHARBACH"/>
    <x v="6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1558"/>
    <s v="Marine THUNET"/>
    <s v="Farah MOHAMADI"/>
    <x v="4"/>
    <s v="Non"/>
    <n v="17"/>
    <s v=""/>
    <n v="0"/>
    <n v="3"/>
    <n v="0"/>
    <e v="#REF!"/>
    <s v=""/>
    <s v=""/>
    <s v=""/>
    <n v="20"/>
    <n v="0"/>
    <n v="0"/>
    <n v="-3"/>
    <n v="0"/>
    <n v="3"/>
    <n v="0"/>
    <n v="0"/>
    <x v="1"/>
    <n v="3"/>
    <n v="0"/>
    <n v="-3"/>
    <m/>
    <m/>
    <m/>
    <x v="0"/>
    <m/>
  </r>
  <r>
    <s v="000009815"/>
    <s v="Marion GERIN-ROZE"/>
    <s v="François FONTESPIS-LOSTE"/>
    <x v="7"/>
    <s v="Oui"/>
    <n v="0"/>
    <s v=""/>
    <n v="9"/>
    <n v="11"/>
    <n v="0"/>
    <e v="#REF!"/>
    <s v=""/>
    <s v=""/>
    <s v=""/>
    <n v="0"/>
    <n v="9"/>
    <n v="11"/>
    <n v="0"/>
    <n v="0"/>
    <n v="0"/>
    <n v="0"/>
    <n v="0"/>
    <x v="0"/>
    <n v="0"/>
    <n v="0"/>
    <n v="0"/>
    <m/>
    <m/>
    <m/>
    <x v="0"/>
    <m/>
  </r>
  <r>
    <s v="000012314"/>
    <s v="Marion LARHANTEC"/>
    <s v="Yuri HOFTE"/>
    <x v="3"/>
    <s v="Oui"/>
    <n v="16"/>
    <s v=""/>
    <n v="0"/>
    <n v="4"/>
    <n v="0"/>
    <e v="#REF!"/>
    <s v=""/>
    <s v=""/>
    <s v=""/>
    <n v="12"/>
    <n v="4"/>
    <n v="4"/>
    <n v="4"/>
    <n v="-4"/>
    <n v="0"/>
    <n v="0"/>
    <n v="0"/>
    <x v="1"/>
    <n v="0"/>
    <n v="0"/>
    <n v="4"/>
    <m/>
    <m/>
    <m/>
    <x v="0"/>
    <m/>
  </r>
  <r>
    <s v="000012787"/>
    <s v="Marion PLESSIS-LUCIANI"/>
    <s v="Jonathan GERARDIN"/>
    <x v="7"/>
    <s v="Oui"/>
    <n v="14"/>
    <s v=""/>
    <n v="6"/>
    <n v="0"/>
    <n v="0"/>
    <e v="#REF!"/>
    <s v=""/>
    <s v=""/>
    <s v=""/>
    <n v="10"/>
    <n v="10"/>
    <n v="0"/>
    <n v="4"/>
    <n v="-4"/>
    <n v="0"/>
    <n v="0"/>
    <n v="0"/>
    <x v="0"/>
    <n v="0"/>
    <n v="0"/>
    <n v="4"/>
    <m/>
    <m/>
    <m/>
    <x v="0"/>
    <m/>
  </r>
  <r>
    <s v="000011704"/>
    <s v="Marius LIBERT"/>
    <s v="Alexia BROS"/>
    <x v="5"/>
    <s v="Oui"/>
    <n v="11"/>
    <s v=""/>
    <n v="7"/>
    <n v="2"/>
    <n v="0"/>
    <e v="#REF!"/>
    <s v=""/>
    <s v=""/>
    <s v=""/>
    <n v="18"/>
    <n v="0"/>
    <n v="2"/>
    <n v="-7"/>
    <n v="7"/>
    <n v="0"/>
    <n v="0"/>
    <n v="0"/>
    <x v="2"/>
    <n v="0"/>
    <n v="0"/>
    <n v="-7"/>
    <m/>
    <m/>
    <m/>
    <x v="0"/>
    <m/>
  </r>
  <r>
    <s v="000016906"/>
    <s v="Marouane ZERHOUNI"/>
    <s v="Fatima Zohra OUTALHA"/>
    <x v="5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12541"/>
    <s v="Martin ALLEAUME"/>
    <s v="Pierre NARCE"/>
    <x v="2"/>
    <s v="Oui"/>
    <n v="19"/>
    <s v=""/>
    <n v="1"/>
    <n v="0"/>
    <n v="0"/>
    <e v="#REF!"/>
    <s v=""/>
    <s v=""/>
    <s v=""/>
    <n v="17"/>
    <n v="3"/>
    <n v="0"/>
    <n v="2"/>
    <n v="-2"/>
    <n v="0"/>
    <n v="0"/>
    <n v="0"/>
    <x v="0"/>
    <n v="0"/>
    <n v="0"/>
    <n v="2"/>
    <m/>
    <m/>
    <m/>
    <x v="0"/>
    <m/>
  </r>
  <r>
    <s v="000014586"/>
    <s v="Martin BELLOT"/>
    <s v="Etienne BELLITTO"/>
    <x v="1"/>
    <s v="Oui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3978"/>
    <s v="Martin FLOURENS"/>
    <s v="Alexia BROS"/>
    <x v="5"/>
    <s v="Oui"/>
    <n v="18.5"/>
    <s v=""/>
    <n v="1"/>
    <n v="0.5"/>
    <n v="0"/>
    <e v="#REF!"/>
    <s v=""/>
    <s v=""/>
    <s v=""/>
    <n v="18.5"/>
    <n v="1"/>
    <n v="0.5"/>
    <n v="0"/>
    <n v="0"/>
    <n v="0"/>
    <n v="0"/>
    <n v="0"/>
    <x v="0"/>
    <n v="0"/>
    <n v="0"/>
    <n v="0"/>
    <m/>
    <m/>
    <m/>
    <x v="0"/>
    <m/>
  </r>
  <r>
    <s v="000015551"/>
    <s v="Maryam ABRO"/>
    <s v="Antoine FROMENTIN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106"/>
    <s v="Mathias MASSARD"/>
    <s v="Rebecca LARRIVEE"/>
    <x v="5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04085"/>
    <s v="Mathieu BACHY"/>
    <s v="Rémi TANIWAKI"/>
    <x v="4"/>
    <s v="Non"/>
    <n v="10"/>
    <s v=""/>
    <n v="4"/>
    <n v="0"/>
    <n v="6"/>
    <e v="#REF!"/>
    <s v=""/>
    <s v=""/>
    <s v=""/>
    <n v="8"/>
    <n v="4"/>
    <n v="0"/>
    <n v="2"/>
    <n v="0"/>
    <n v="0"/>
    <n v="0"/>
    <n v="0"/>
    <x v="0"/>
    <n v="0"/>
    <n v="0"/>
    <n v="2"/>
    <m/>
    <m/>
    <m/>
    <x v="0"/>
    <m/>
  </r>
  <r>
    <s v="000014877"/>
    <s v="Mathieu BOUCHET"/>
    <s v="Rebecca LARRIVEE"/>
    <x v="5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  <r>
    <s v="000015100"/>
    <s v="Mathieu POIRIER"/>
    <s v="Jimmy GUERIN"/>
    <x v="0"/>
    <s v="Non"/>
    <n v="16"/>
    <s v=""/>
    <n v="2"/>
    <n v="2"/>
    <n v="0"/>
    <e v="#REF!"/>
    <s v=""/>
    <s v=""/>
    <s v=""/>
    <n v="18"/>
    <n v="0"/>
    <n v="2"/>
    <n v="-2"/>
    <n v="2"/>
    <n v="0"/>
    <n v="0"/>
    <n v="0"/>
    <x v="2"/>
    <n v="0"/>
    <n v="0"/>
    <n v="-2"/>
    <m/>
    <m/>
    <m/>
    <x v="0"/>
    <m/>
  </r>
  <r>
    <s v="000011179"/>
    <s v="Mathilde JÉGOU"/>
    <s v="Pierre NARCE"/>
    <x v="2"/>
    <s v="Oui"/>
    <n v="14"/>
    <s v=""/>
    <n v="2"/>
    <n v="4"/>
    <n v="0"/>
    <e v="#REF!"/>
    <s v=""/>
    <s v=""/>
    <s v=""/>
    <n v="14"/>
    <n v="2"/>
    <n v="4"/>
    <n v="0"/>
    <n v="0"/>
    <n v="0"/>
    <n v="0"/>
    <n v="0"/>
    <x v="0"/>
    <n v="0"/>
    <n v="0"/>
    <n v="0"/>
    <m/>
    <m/>
    <m/>
    <x v="0"/>
    <m/>
  </r>
  <r>
    <s v="000022068"/>
    <s v="Mathilde MORISSET"/>
    <s v="Maria OUELLAJ"/>
    <x v="1"/>
    <s v="Non"/>
    <n v="0"/>
    <s v=""/>
    <n v="20"/>
    <n v="0"/>
    <n v="0"/>
    <e v="#REF!"/>
    <s v=""/>
    <s v=""/>
    <s v=""/>
    <n v="0"/>
    <n v="19"/>
    <n v="1"/>
    <n v="0"/>
    <n v="1"/>
    <n v="-1"/>
    <n v="0"/>
    <n v="0"/>
    <x v="2"/>
    <n v="0"/>
    <n v="0"/>
    <n v="0"/>
    <m/>
    <m/>
    <m/>
    <x v="0"/>
    <m/>
  </r>
  <r>
    <s v="000009827"/>
    <s v="Mathilde RANINI"/>
    <s v="François FONTESPIS-LOSTE"/>
    <x v="7"/>
    <s v="Non"/>
    <n v="0"/>
    <s v=""/>
    <n v="1"/>
    <n v="0"/>
    <n v="19"/>
    <e v="#REF!"/>
    <s v=""/>
    <s v=""/>
    <s v=""/>
    <n v="0"/>
    <n v="20"/>
    <n v="0"/>
    <n v="0"/>
    <n v="-19"/>
    <n v="0"/>
    <n v="0"/>
    <n v="0"/>
    <x v="0"/>
    <n v="0"/>
    <n v="0"/>
    <n v="0"/>
    <m/>
    <m/>
    <m/>
    <x v="0"/>
    <m/>
  </r>
  <r>
    <s v="000014538"/>
    <s v="Mathis FOUERE"/>
    <s v="Harrison LECHEVALLIER"/>
    <x v="5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x v="0"/>
    <m/>
  </r>
  <r>
    <s v="000021477"/>
    <s v="Mathis RATTIER"/>
    <s v="Martin FLOURENS"/>
    <x v="5"/>
    <s v="Non"/>
    <n v="4"/>
    <s v=""/>
    <n v="14.5"/>
    <n v="1.5"/>
    <n v="0"/>
    <e v="#REF!"/>
    <s v=""/>
    <s v=""/>
    <s v=""/>
    <n v="4"/>
    <n v="15"/>
    <n v="1"/>
    <n v="0"/>
    <n v="-0.5"/>
    <n v="0.5"/>
    <n v="0"/>
    <n v="0"/>
    <x v="2"/>
    <n v="0"/>
    <n v="0"/>
    <n v="0"/>
    <m/>
    <m/>
    <m/>
    <x v="0"/>
    <m/>
  </r>
  <r>
    <s v="000022200"/>
    <s v="Mathys LE MANACH"/>
    <s v="Théophile PAHLAWAN"/>
    <x v="6"/>
    <s v="Non"/>
    <n v="0"/>
    <s v=""/>
    <n v="15"/>
    <n v="5"/>
    <n v="0"/>
    <e v="#REF!"/>
    <s v=""/>
    <s v=""/>
    <s v=""/>
    <n v="0"/>
    <n v="15"/>
    <n v="5"/>
    <n v="0"/>
    <n v="0"/>
    <n v="0"/>
    <n v="0"/>
    <n v="0"/>
    <x v="0"/>
    <n v="0"/>
    <n v="0"/>
    <n v="0"/>
    <m/>
    <m/>
    <m/>
    <x v="0"/>
    <m/>
  </r>
  <r>
    <s v="000013966"/>
    <s v="Matteo BROWANG"/>
    <s v="Etienne BELLITTO"/>
    <x v="1"/>
    <s v="Non"/>
    <n v="19.5"/>
    <s v=""/>
    <n v="0"/>
    <n v="0.5"/>
    <n v="0"/>
    <e v="#REF!"/>
    <s v=""/>
    <s v=""/>
    <s v=""/>
    <n v="19"/>
    <n v="0"/>
    <n v="1"/>
    <n v="0.5"/>
    <n v="0"/>
    <n v="-0.5"/>
    <n v="0"/>
    <n v="0"/>
    <x v="1"/>
    <n v="0"/>
    <n v="0"/>
    <n v="0.5"/>
    <m/>
    <m/>
    <m/>
    <x v="0"/>
    <m/>
  </r>
  <r>
    <s v="000020891"/>
    <s v="Matthew DAVID"/>
    <s v="Fatima Zohra OUTALHA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518"/>
    <s v="Matthieu BARBEAU"/>
    <s v="Charles PARIS"/>
    <x v="3"/>
    <s v="Non"/>
    <n v="18.5"/>
    <s v=""/>
    <n v="0.5"/>
    <n v="1"/>
    <n v="0"/>
    <e v="#REF!"/>
    <s v=""/>
    <s v=""/>
    <s v=""/>
    <n v="19"/>
    <n v="0"/>
    <n v="1"/>
    <n v="-0.5"/>
    <n v="0.5"/>
    <n v="0"/>
    <n v="0"/>
    <n v="0"/>
    <x v="2"/>
    <n v="0"/>
    <n v="0"/>
    <n v="-0.5"/>
    <m/>
    <m/>
    <m/>
    <x v="0"/>
    <m/>
  </r>
  <r>
    <s v="000021791"/>
    <s v="Matthieu LANNE"/>
    <s v="Faustine TIRINZONI"/>
    <x v="5"/>
    <s v="Non"/>
    <n v="0"/>
    <s v=""/>
    <n v="19"/>
    <n v="1"/>
    <n v="0"/>
    <e v="#REF!"/>
    <s v=""/>
    <s v=""/>
    <s v=""/>
    <n v="0"/>
    <n v="19"/>
    <n v="1"/>
    <n v="0"/>
    <n v="0"/>
    <n v="0"/>
    <n v="0"/>
    <n v="0"/>
    <x v="0"/>
    <n v="0"/>
    <n v="0"/>
    <n v="0"/>
    <m/>
    <m/>
    <m/>
    <x v="0"/>
    <m/>
  </r>
  <r>
    <s v="000017925"/>
    <s v="Mattéo BERODIER"/>
    <s v="Harrison LECHEVALLIER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126"/>
    <s v="Mattéo LEMONNIER"/>
    <s v="Zineb MEZGUELDI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2267"/>
    <s v="Maud GUILLERMIN"/>
    <s v="Margot KOHL"/>
    <x v="3"/>
    <s v="Non"/>
    <n v="10.5"/>
    <s v=""/>
    <n v="9.5"/>
    <n v="0"/>
    <n v="0"/>
    <e v="#REF!"/>
    <s v=""/>
    <s v=""/>
    <s v=""/>
    <n v="0"/>
    <n v="9.5"/>
    <n v="10.5"/>
    <n v="10.5"/>
    <n v="0"/>
    <n v="-10.5"/>
    <n v="0"/>
    <n v="0"/>
    <x v="2"/>
    <n v="0"/>
    <n v="0"/>
    <n v="10.5"/>
    <m/>
    <m/>
    <m/>
    <x v="0"/>
    <m/>
  </r>
  <r>
    <s v="000015860"/>
    <s v="Maud WITMEYER"/>
    <s v="Amaury LECOMTE"/>
    <x v="4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x v="0"/>
    <m/>
  </r>
  <r>
    <s v="000021478"/>
    <s v="Maxence ARELLA"/>
    <s v="Margot KOHL"/>
    <x v="3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18106"/>
    <s v="Maxence BACQUART"/>
    <s v="Arthur BIGNIER"/>
    <x v="1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21832"/>
    <s v="Maxence LAUVERNIER"/>
    <s v="Nicolas FARNY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554"/>
    <s v="Maxence RADIGOIS"/>
    <s v="Anthony LORA"/>
    <x v="1"/>
    <s v="Non"/>
    <n v="19.5"/>
    <s v=""/>
    <n v="0.5"/>
    <n v="0"/>
    <n v="0"/>
    <e v="#REF!"/>
    <s v=""/>
    <s v=""/>
    <s v=""/>
    <n v="19.5"/>
    <n v="0.5"/>
    <n v="0"/>
    <n v="0"/>
    <n v="0"/>
    <n v="0"/>
    <n v="0"/>
    <n v="0"/>
    <x v="0"/>
    <n v="0"/>
    <n v="0"/>
    <n v="0"/>
    <m/>
    <m/>
    <m/>
    <x v="0"/>
    <m/>
  </r>
  <r>
    <s v="000021126"/>
    <s v="Maxence ROBICHON"/>
    <s v="Charles PARIS"/>
    <x v="3"/>
    <s v="Non"/>
    <n v="0"/>
    <s v=""/>
    <n v="20"/>
    <n v="0"/>
    <n v="0"/>
    <e v="#REF!"/>
    <s v=""/>
    <s v=""/>
    <s v=""/>
    <n v="16"/>
    <n v="4"/>
    <n v="0"/>
    <n v="-16"/>
    <n v="16"/>
    <n v="0"/>
    <n v="0"/>
    <n v="0"/>
    <x v="2"/>
    <n v="0"/>
    <n v="0"/>
    <n v="-16"/>
    <m/>
    <m/>
    <m/>
    <x v="0"/>
    <m/>
  </r>
  <r>
    <s v="000022306"/>
    <s v="Maxence VAN HOECKE"/>
    <s v="Maxime BOS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2325"/>
    <s v="Maxime BOS"/>
    <s v="Gaël LACOSTE"/>
    <x v="4"/>
    <s v="Oui"/>
    <n v="17"/>
    <s v=""/>
    <n v="2"/>
    <n v="1"/>
    <n v="0"/>
    <e v="#REF!"/>
    <s v=""/>
    <s v=""/>
    <s v=""/>
    <n v="17"/>
    <n v="2"/>
    <n v="1"/>
    <n v="0"/>
    <n v="0"/>
    <n v="0"/>
    <n v="0"/>
    <n v="0"/>
    <x v="0"/>
    <n v="0"/>
    <n v="0"/>
    <n v="0"/>
    <m/>
    <m/>
    <m/>
    <x v="0"/>
    <m/>
  </r>
  <r>
    <s v="000021128"/>
    <s v="Maxime BOURGAIN"/>
    <s v="Quentin QUONIAM"/>
    <x v="1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x v="0"/>
    <m/>
  </r>
  <r>
    <s v="000013954"/>
    <s v="Maxime ROZIER"/>
    <s v="Ange KAMDEM"/>
    <x v="7"/>
    <s v="Non"/>
    <n v="17"/>
    <s v=""/>
    <n v="0"/>
    <n v="3"/>
    <n v="0"/>
    <e v="#REF!"/>
    <s v=""/>
    <s v=""/>
    <s v=""/>
    <n v="18"/>
    <n v="0"/>
    <n v="2"/>
    <n v="-1"/>
    <n v="0"/>
    <n v="1"/>
    <n v="0"/>
    <n v="0"/>
    <x v="1"/>
    <n v="1"/>
    <n v="0"/>
    <n v="-1"/>
    <m/>
    <m/>
    <m/>
    <x v="0"/>
    <m/>
  </r>
  <r>
    <s v="000008133"/>
    <s v="Maxime SOUPIN"/>
    <s v="Yves REMBERT"/>
    <x v="0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8063"/>
    <s v="Maxime VASANTHAKUMAR"/>
    <s v="Thibault MORISSEAU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21374"/>
    <s v="Maximilien HOXHA"/>
    <s v="Yosr ABIDA"/>
    <x v="4"/>
    <s v="Non"/>
    <n v="1"/>
    <s v=""/>
    <n v="17"/>
    <n v="2"/>
    <n v="0"/>
    <e v="#REF!"/>
    <s v=""/>
    <s v=""/>
    <s v=""/>
    <n v="3"/>
    <n v="15"/>
    <n v="2"/>
    <n v="-2"/>
    <n v="2"/>
    <n v="0"/>
    <n v="0"/>
    <n v="0"/>
    <x v="2"/>
    <n v="0"/>
    <n v="0"/>
    <n v="-2"/>
    <m/>
    <m/>
    <m/>
    <x v="0"/>
    <m/>
  </r>
  <r>
    <s v="000021373"/>
    <s v="Maylis PIGNON"/>
    <s v="Maria OUELLAJ"/>
    <x v="1"/>
    <s v="Non"/>
    <n v="0"/>
    <s v=""/>
    <n v="12"/>
    <n v="8"/>
    <n v="0"/>
    <e v="#REF!"/>
    <s v=""/>
    <s v=""/>
    <s v=""/>
    <n v="0"/>
    <n v="20"/>
    <n v="0"/>
    <n v="0"/>
    <n v="-8"/>
    <n v="8"/>
    <n v="0"/>
    <n v="0"/>
    <x v="2"/>
    <n v="0"/>
    <n v="0"/>
    <n v="0"/>
    <m/>
    <m/>
    <m/>
    <x v="0"/>
    <m/>
  </r>
  <r>
    <s v="000016450"/>
    <s v="Maëva ATTRAIT"/>
    <s v="Antoine FROMENTIN"/>
    <x v="6"/>
    <s v="Non"/>
    <n v="0"/>
    <s v=""/>
    <n v="17"/>
    <n v="3"/>
    <n v="0"/>
    <e v="#REF!"/>
    <s v=""/>
    <s v=""/>
    <s v=""/>
    <n v="0"/>
    <n v="17"/>
    <n v="3"/>
    <n v="0"/>
    <n v="0"/>
    <n v="0"/>
    <n v="0"/>
    <n v="0"/>
    <x v="0"/>
    <n v="0"/>
    <n v="0"/>
    <n v="0"/>
    <m/>
    <m/>
    <m/>
    <x v="0"/>
    <m/>
  </r>
  <r>
    <s v="000021443"/>
    <s v="Mehdi ARFAOUI"/>
    <s v="Maria OUELLAJ"/>
    <x v="1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08424"/>
    <s v="Mehdi BEN CHAABANE"/>
    <s v="François FONTESPIS-LOSTE"/>
    <x v="7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21049"/>
    <s v="Mehdi BENNANI"/>
    <s v="Amaury LECOMTE"/>
    <x v="4"/>
    <s v="Non"/>
    <n v="8"/>
    <s v=""/>
    <n v="0"/>
    <n v="12"/>
    <n v="0"/>
    <e v="#REF!"/>
    <s v=""/>
    <s v=""/>
    <s v=""/>
    <n v="8"/>
    <n v="0"/>
    <n v="12"/>
    <n v="0"/>
    <n v="0"/>
    <n v="0"/>
    <n v="0"/>
    <n v="0"/>
    <x v="1"/>
    <n v="0"/>
    <n v="0"/>
    <n v="0"/>
    <m/>
    <m/>
    <m/>
    <x v="0"/>
    <m/>
  </r>
  <r>
    <s v="000009788"/>
    <s v="Mehdi BETTICHE"/>
    <s v="Jonathan GERARDIN"/>
    <x v="7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x v="0"/>
    <m/>
  </r>
  <r>
    <s v="000021520"/>
    <s v="Mehdi BOUMEKOUEZ"/>
    <s v="Nicolas FARNY"/>
    <x v="1"/>
    <s v="Non"/>
    <n v="20"/>
    <s v=""/>
    <n v="0"/>
    <n v="0"/>
    <n v="0"/>
    <e v="#REF!"/>
    <s v=""/>
    <s v=""/>
    <s v=""/>
    <n v="0"/>
    <n v="20"/>
    <n v="0"/>
    <n v="20"/>
    <n v="-20"/>
    <n v="0"/>
    <n v="0"/>
    <n v="0"/>
    <x v="1"/>
    <n v="0"/>
    <n v="0"/>
    <n v="20"/>
    <m/>
    <m/>
    <m/>
    <x v="0"/>
    <m/>
  </r>
  <r>
    <s v="000018042"/>
    <s v="Melissa KAROUI"/>
    <s v="Charles PARIS"/>
    <x v="3"/>
    <s v="Non"/>
    <n v="20"/>
    <s v=""/>
    <n v="0"/>
    <n v="0"/>
    <n v="0"/>
    <e v="#REF!"/>
    <s v=""/>
    <s v=""/>
    <s v=""/>
    <n v="0"/>
    <n v="20"/>
    <n v="0"/>
    <n v="20"/>
    <n v="-20"/>
    <n v="0"/>
    <n v="0"/>
    <n v="0"/>
    <x v="1"/>
    <n v="0"/>
    <n v="0"/>
    <n v="20"/>
    <m/>
    <m/>
    <m/>
    <x v="0"/>
    <m/>
  </r>
  <r>
    <s v="000021677"/>
    <s v="Meryem GAIZI"/>
    <s v="Anthony CORNU"/>
    <x v="7"/>
    <s v="Non"/>
    <n v="14"/>
    <s v=""/>
    <n v="1"/>
    <n v="5"/>
    <n v="0"/>
    <e v="#REF!"/>
    <s v=""/>
    <s v=""/>
    <s v=""/>
    <n v="14"/>
    <n v="1"/>
    <n v="5"/>
    <n v="0"/>
    <n v="0"/>
    <n v="0"/>
    <n v="0"/>
    <n v="0"/>
    <x v="0"/>
    <n v="0"/>
    <n v="0"/>
    <n v="0"/>
    <m/>
    <m/>
    <m/>
    <x v="0"/>
    <m/>
  </r>
  <r>
    <s v="000003079"/>
    <s v="Michael MILLOT"/>
    <s v="Guillaume VAQUERO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0034"/>
    <s v="Michel BERNARD"/>
    <s v="Fabrice AUSTRUY"/>
    <x v="1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x v="0"/>
    <m/>
  </r>
  <r>
    <s v="000020426"/>
    <s v="Michel TARLIN"/>
    <s v="Yosr ABIDA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4548"/>
    <s v="Mickael GRAÇA"/>
    <s v="Amaury LECOMTE"/>
    <x v="4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x v="0"/>
    <m/>
  </r>
  <r>
    <s v="000016065"/>
    <s v="Mickael OLMOS-GINEZ"/>
    <s v="Laura JEANNIN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7306"/>
    <s v="Miguel ADERALDO"/>
    <s v="Quentin QUONIAM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604"/>
    <s v="Mohamed Amine RASSO"/>
    <s v="Mathilde JÉGOU"/>
    <x v="2"/>
    <s v="Non"/>
    <n v="7.5"/>
    <s v=""/>
    <n v="7.5"/>
    <n v="5"/>
    <n v="0"/>
    <e v="#REF!"/>
    <s v=""/>
    <s v=""/>
    <s v=""/>
    <n v="12.5"/>
    <n v="2.5"/>
    <n v="5"/>
    <n v="-5"/>
    <n v="5"/>
    <n v="0"/>
    <n v="0"/>
    <n v="0"/>
    <x v="2"/>
    <n v="0"/>
    <n v="0"/>
    <n v="-5"/>
    <m/>
    <m/>
    <m/>
    <x v="0"/>
    <m/>
  </r>
  <r>
    <s v="000015574"/>
    <s v="Mohamed Arselan MESLOUH"/>
    <s v="Nolwenn DELORD"/>
    <x v="2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x v="0"/>
    <m/>
  </r>
  <r>
    <s v="000015983"/>
    <s v="Mohamed DIALLO"/>
    <s v="Julia FRANCO"/>
    <x v="0"/>
    <s v="Non"/>
    <n v="18.5"/>
    <s v=""/>
    <n v="0.5"/>
    <n v="1"/>
    <n v="0"/>
    <e v="#REF!"/>
    <s v=""/>
    <s v=""/>
    <s v=""/>
    <n v="19"/>
    <n v="0"/>
    <n v="1"/>
    <n v="-0.5"/>
    <n v="0.5"/>
    <n v="0"/>
    <n v="0"/>
    <n v="0"/>
    <x v="2"/>
    <n v="0"/>
    <n v="0"/>
    <n v="-0.5"/>
    <m/>
    <m/>
    <m/>
    <x v="0"/>
    <m/>
  </r>
  <r>
    <s v="000020485"/>
    <s v="Mohamed HENNOUS"/>
    <s v="Yosr ABIDA"/>
    <x v="4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21801"/>
    <s v="Mohammed Adel BOUGUESRI"/>
    <s v="Pierre MONCHALIN"/>
    <x v="2"/>
    <s v="Non"/>
    <n v="17"/>
    <s v=""/>
    <n v="1"/>
    <n v="2"/>
    <n v="0"/>
    <e v="#REF!"/>
    <s v=""/>
    <s v=""/>
    <s v=""/>
    <n v="18"/>
    <n v="0"/>
    <n v="2"/>
    <n v="-1"/>
    <n v="1"/>
    <n v="0"/>
    <n v="0"/>
    <n v="0"/>
    <x v="2"/>
    <n v="0"/>
    <n v="0"/>
    <n v="-1"/>
    <m/>
    <m/>
    <m/>
    <x v="0"/>
    <m/>
  </r>
  <r>
    <s v="000010266"/>
    <s v="Mohammed BENCHEKROUN"/>
    <s v="Etienne BELLITTO"/>
    <x v="1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  <r>
    <s v="000002633"/>
    <s v="Mohammed LAFENDI"/>
    <s v="Guillaume VAQUERO"/>
    <x v="1"/>
    <s v="Non"/>
    <n v="18"/>
    <s v=""/>
    <n v="2"/>
    <m/>
    <n v="0"/>
    <e v="#REF!"/>
    <s v=""/>
    <s v=""/>
    <s v=""/>
    <n v="17"/>
    <n v="2"/>
    <n v="1"/>
    <n v="1"/>
    <n v="0"/>
    <n v="-1"/>
    <n v="0"/>
    <n v="0"/>
    <x v="2"/>
    <n v="0"/>
    <n v="0"/>
    <n v="1"/>
    <m/>
    <m/>
    <m/>
    <x v="0"/>
    <m/>
  </r>
  <r>
    <s v="000018123"/>
    <s v="Monsef MECHKAR"/>
    <s v="Christophe LOEUR"/>
    <x v="7"/>
    <s v="Non"/>
    <n v="0"/>
    <s v=""/>
    <n v="18"/>
    <n v="2"/>
    <n v="0"/>
    <e v="#REF!"/>
    <s v=""/>
    <s v=""/>
    <s v=""/>
    <n v="0"/>
    <n v="18"/>
    <n v="2"/>
    <n v="0"/>
    <n v="0"/>
    <n v="0"/>
    <n v="0"/>
    <n v="0"/>
    <x v="0"/>
    <n v="0"/>
    <n v="0"/>
    <n v="0"/>
    <m/>
    <m/>
    <m/>
    <x v="0"/>
    <m/>
  </r>
  <r>
    <s v="000021568"/>
    <s v="Mora Abdul Jabbar KORA ZAKI"/>
    <s v="Valentin DAVAUDET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1286"/>
    <s v="Morgane BOMPART"/>
    <s v="Nicolas MURAT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4906"/>
    <s v="Mossaab MOUSTAGHIT"/>
    <s v="Cédric GUICHARD"/>
    <x v="1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14276"/>
    <s v="Mouaad ALIOUANE"/>
    <s v="Margot KOHL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543"/>
    <s v="Mustafa HENCHIRI"/>
    <s v="Amine BENNEKROUF"/>
    <x v="5"/>
    <s v="Non"/>
    <n v="0"/>
    <s v=""/>
    <n v="11"/>
    <n v="9"/>
    <n v="0"/>
    <e v="#REF!"/>
    <s v=""/>
    <s v=""/>
    <s v=""/>
    <n v="0"/>
    <n v="11"/>
    <n v="9"/>
    <n v="0"/>
    <n v="0"/>
    <n v="0"/>
    <n v="0"/>
    <n v="0"/>
    <x v="0"/>
    <n v="0"/>
    <n v="0"/>
    <n v="0"/>
    <m/>
    <m/>
    <m/>
    <x v="0"/>
    <m/>
  </r>
  <r>
    <s v="000013342"/>
    <s v="Myriam GUERRAOUI"/>
    <s v="Willy TAN"/>
    <x v="3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x v="0"/>
    <m/>
  </r>
  <r>
    <s v="000014689"/>
    <s v="Mélissa BLANCHE"/>
    <s v="Gaël LACOSTE"/>
    <x v="4"/>
    <s v="Non"/>
    <n v="8.5"/>
    <s v=""/>
    <n v="6.5"/>
    <n v="5"/>
    <n v="0"/>
    <e v="#REF!"/>
    <s v=""/>
    <s v=""/>
    <s v=""/>
    <n v="8.5"/>
    <n v="6.5"/>
    <n v="5"/>
    <n v="0"/>
    <n v="0"/>
    <n v="0"/>
    <n v="0"/>
    <n v="0"/>
    <x v="0"/>
    <n v="0"/>
    <n v="0"/>
    <n v="0"/>
    <m/>
    <m/>
    <m/>
    <x v="0"/>
    <m/>
  </r>
  <r>
    <s v="000022271"/>
    <s v="Najiba EL FATIH"/>
    <s v="Elise RIBEIRO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3529"/>
    <s v="Naser Nihad HASSANI"/>
    <s v="Fatima Zohra OUTALHA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230"/>
    <s v="Nathan BALIX"/>
    <s v="Cédric GUICHARD"/>
    <x v="1"/>
    <s v="Non"/>
    <n v="0"/>
    <s v=""/>
    <n v="19"/>
    <n v="1"/>
    <n v="0"/>
    <e v="#REF!"/>
    <s v=""/>
    <s v=""/>
    <s v=""/>
    <n v="19"/>
    <n v="0"/>
    <n v="1"/>
    <n v="-19"/>
    <n v="19"/>
    <n v="0"/>
    <n v="0"/>
    <n v="0"/>
    <x v="2"/>
    <n v="0"/>
    <n v="0"/>
    <n v="-19"/>
    <m/>
    <m/>
    <m/>
    <x v="0"/>
    <m/>
  </r>
  <r>
    <s v="000020734"/>
    <s v="Nathan FAUDEIL"/>
    <s v="Marion GERIN-ROZE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512"/>
    <s v="Nathan GLATTLI"/>
    <s v="Arthur BIGNIER"/>
    <x v="1"/>
    <s v="Non"/>
    <n v="18"/>
    <s v=""/>
    <n v="0"/>
    <n v="2"/>
    <n v="0"/>
    <e v="#REF!"/>
    <s v=""/>
    <s v=""/>
    <s v=""/>
    <n v="20"/>
    <n v="0"/>
    <n v="0"/>
    <n v="-2"/>
    <n v="0"/>
    <n v="2"/>
    <n v="0"/>
    <n v="0"/>
    <x v="1"/>
    <n v="2"/>
    <n v="0"/>
    <n v="-2"/>
    <m/>
    <m/>
    <m/>
    <x v="0"/>
    <m/>
  </r>
  <r>
    <s v="000018100"/>
    <s v="Navya DENNIS"/>
    <s v="Jonathan SARPAUX"/>
    <x v="4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21481"/>
    <s v="Nicolas BRAUNSHAUSEN"/>
    <s v="Anthony LORA"/>
    <x v="1"/>
    <s v="Non"/>
    <n v="14"/>
    <s v=""/>
    <n v="4"/>
    <n v="2"/>
    <n v="0"/>
    <e v="#REF!"/>
    <s v=""/>
    <s v=""/>
    <s v=""/>
    <n v="12"/>
    <n v="6"/>
    <n v="2"/>
    <n v="2"/>
    <n v="-2"/>
    <n v="0"/>
    <n v="0"/>
    <n v="0"/>
    <x v="0"/>
    <n v="0"/>
    <n v="0"/>
    <n v="2"/>
    <m/>
    <m/>
    <m/>
    <x v="0"/>
    <m/>
  </r>
  <r>
    <s v="000018019"/>
    <s v="Nicolas CASADEVALL"/>
    <s v="Karim ISKANDER"/>
    <x v="4"/>
    <s v="Non"/>
    <n v="9"/>
    <s v=""/>
    <n v="11"/>
    <n v="0"/>
    <n v="0"/>
    <e v="#REF!"/>
    <s v=""/>
    <s v=""/>
    <s v=""/>
    <n v="20"/>
    <n v="0"/>
    <n v="0"/>
    <n v="-11"/>
    <n v="11"/>
    <n v="0"/>
    <n v="0"/>
    <n v="0"/>
    <x v="3"/>
    <n v="0"/>
    <n v="11"/>
    <n v="0"/>
    <m/>
    <m/>
    <m/>
    <x v="0"/>
    <m/>
  </r>
  <r>
    <s v="000022233"/>
    <s v="Nicolas CORMERAIS"/>
    <s v="Camille DURAND"/>
    <x v="4"/>
    <s v="Non"/>
    <n v="17"/>
    <s v=""/>
    <n v="1"/>
    <n v="2"/>
    <n v="0"/>
    <e v="#REF!"/>
    <s v=""/>
    <s v=""/>
    <s v=""/>
    <n v="18"/>
    <n v="0"/>
    <n v="2"/>
    <n v="-1"/>
    <n v="1"/>
    <n v="0"/>
    <n v="0"/>
    <n v="0"/>
    <x v="2"/>
    <n v="0"/>
    <n v="0"/>
    <n v="-1"/>
    <m/>
    <m/>
    <m/>
    <x v="0"/>
    <m/>
  </r>
  <r>
    <s v="000011315"/>
    <s v="Nicolas FARNY"/>
    <s v="Godefroy DENORMANDIE"/>
    <x v="1"/>
    <s v="Oui"/>
    <n v="13"/>
    <s v=""/>
    <n v="1"/>
    <n v="6"/>
    <n v="0"/>
    <e v="#REF!"/>
    <s v=""/>
    <s v=""/>
    <s v=""/>
    <n v="14"/>
    <n v="0"/>
    <n v="6"/>
    <n v="-1"/>
    <n v="1"/>
    <n v="0"/>
    <n v="0"/>
    <n v="0"/>
    <x v="2"/>
    <n v="0"/>
    <n v="0"/>
    <n v="-1"/>
    <m/>
    <m/>
    <m/>
    <x v="0"/>
    <m/>
  </r>
  <r>
    <s v="000017607"/>
    <s v="Nicolas GAILLARD"/>
    <s v="Ignacio MARTIN VELASCO"/>
    <x v="7"/>
    <s v="Non"/>
    <n v="10"/>
    <s v=""/>
    <n v="10"/>
    <n v="0"/>
    <n v="0"/>
    <e v="#REF!"/>
    <s v=""/>
    <s v=""/>
    <s v=""/>
    <n v="10"/>
    <n v="10"/>
    <n v="0"/>
    <n v="0"/>
    <n v="0"/>
    <n v="0"/>
    <n v="0"/>
    <n v="0"/>
    <x v="0"/>
    <n v="0"/>
    <n v="0"/>
    <n v="0"/>
    <m/>
    <m/>
    <m/>
    <x v="0"/>
    <m/>
  </r>
  <r>
    <s v="000017765"/>
    <s v="Nicolas GUILLERMAIN"/>
    <s v="Fayçal YAKOUBI"/>
    <x v="5"/>
    <s v="Non"/>
    <n v="16"/>
    <s v=""/>
    <n v="0"/>
    <n v="4"/>
    <n v="0"/>
    <e v="#REF!"/>
    <s v=""/>
    <s v=""/>
    <s v=""/>
    <n v="19"/>
    <n v="0"/>
    <n v="1"/>
    <n v="-3"/>
    <n v="0"/>
    <n v="3"/>
    <n v="0"/>
    <n v="0"/>
    <x v="1"/>
    <n v="3"/>
    <n v="0"/>
    <n v="-3"/>
    <m/>
    <m/>
    <m/>
    <x v="0"/>
    <m/>
  </r>
  <r>
    <s v="000020991"/>
    <s v="Nicolas JAUNE"/>
    <s v="Valentin DAVAUDET"/>
    <x v="5"/>
    <s v="Non"/>
    <n v="17.5"/>
    <s v=""/>
    <n v="1.5"/>
    <n v="1"/>
    <n v="0"/>
    <e v="#REF!"/>
    <s v=""/>
    <s v=""/>
    <s v=""/>
    <n v="19"/>
    <n v="0"/>
    <n v="1"/>
    <n v="-1.5"/>
    <n v="1.5"/>
    <n v="0"/>
    <n v="0"/>
    <n v="0"/>
    <x v="2"/>
    <n v="0"/>
    <n v="0"/>
    <n v="-1.5"/>
    <m/>
    <m/>
    <m/>
    <x v="0"/>
    <m/>
  </r>
  <r>
    <s v="000015505"/>
    <s v="Nicolas MURAT"/>
    <s v="Guillaume VAQUERO"/>
    <x v="1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0792"/>
    <s v="Nicolas POISSON"/>
    <s v="Amine BENNEKROUF"/>
    <x v="5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16107"/>
    <s v="Nicolas QUERSONNIER"/>
    <s v="Soline LE BLEVEC"/>
    <x v="7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02639"/>
    <s v="Nicolas THIERRY"/>
    <s v="Florent MATHE"/>
    <x v="7"/>
    <s v="Non"/>
    <n v="19.5"/>
    <s v=""/>
    <n v="0.5"/>
    <n v="0"/>
    <n v="0"/>
    <e v="#REF!"/>
    <s v=""/>
    <s v=""/>
    <s v=""/>
    <n v="19"/>
    <n v="0"/>
    <n v="1"/>
    <n v="0.5"/>
    <n v="0.5"/>
    <n v="-1"/>
    <n v="0"/>
    <n v="0"/>
    <x v="2"/>
    <n v="0"/>
    <n v="0"/>
    <n v="0.5"/>
    <m/>
    <m/>
    <m/>
    <x v="0"/>
    <m/>
  </r>
  <r>
    <s v="000017829"/>
    <s v="Nicolas VANDERSTIGEL"/>
    <s v="Arthur BIGNIER"/>
    <x v="1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x v="0"/>
    <m/>
  </r>
  <r>
    <s v="000022085"/>
    <s v="Nikolai MARINICHEV"/>
    <s v="Fatima Zohra OUTALHA"/>
    <x v="5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21640"/>
    <s v="Nilany KARUNATHASAN"/>
    <s v="Charles PARIS"/>
    <x v="3"/>
    <s v="Non"/>
    <n v="6"/>
    <s v=""/>
    <n v="14"/>
    <n v="0"/>
    <n v="0"/>
    <e v="#REF!"/>
    <s v=""/>
    <s v=""/>
    <s v=""/>
    <n v="20"/>
    <n v="0"/>
    <n v="0"/>
    <n v="-14"/>
    <n v="14"/>
    <n v="0"/>
    <n v="0"/>
    <n v="0"/>
    <x v="3"/>
    <n v="0"/>
    <n v="14"/>
    <n v="0"/>
    <m/>
    <m/>
    <m/>
    <x v="0"/>
    <m/>
  </r>
  <r>
    <s v="000017530"/>
    <s v="Nisrine SBIRA"/>
    <s v="Julia FRANCO"/>
    <x v="0"/>
    <s v="Non"/>
    <n v="14"/>
    <s v=""/>
    <n v="6"/>
    <n v="0"/>
    <n v="0"/>
    <e v="#REF!"/>
    <s v=""/>
    <s v=""/>
    <s v=""/>
    <n v="14"/>
    <n v="6"/>
    <n v="0"/>
    <n v="0"/>
    <n v="0"/>
    <n v="0"/>
    <n v="0"/>
    <n v="0"/>
    <x v="3"/>
    <n v="0"/>
    <n v="1"/>
    <n v="1"/>
    <m/>
    <m/>
    <m/>
    <x v="0"/>
    <m/>
  </r>
  <r>
    <s v="000010388"/>
    <s v="Nolwenn DELORD"/>
    <s v="Pierre NARCE"/>
    <x v="2"/>
    <s v="Oui"/>
    <n v="11"/>
    <s v=""/>
    <n v="7.5"/>
    <n v="1.5"/>
    <n v="0"/>
    <e v="#REF!"/>
    <s v=""/>
    <s v=""/>
    <s v=""/>
    <n v="11"/>
    <n v="7.5"/>
    <n v="1.5"/>
    <n v="0"/>
    <n v="0"/>
    <n v="0"/>
    <n v="0"/>
    <n v="0"/>
    <x v="0"/>
    <n v="0"/>
    <n v="0"/>
    <n v="0"/>
    <m/>
    <m/>
    <m/>
    <x v="0"/>
    <m/>
  </r>
  <r>
    <s v="000021480"/>
    <s v="Noé BRUMELOT"/>
    <s v="Thibault MORISSEAU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791"/>
    <s v="Olivia TORTOSA"/>
    <s v="Anthony LORA"/>
    <x v="1"/>
    <s v="Non"/>
    <n v="14"/>
    <s v=""/>
    <n v="0"/>
    <n v="6"/>
    <n v="0"/>
    <e v="#REF!"/>
    <s v=""/>
    <s v=""/>
    <s v=""/>
    <n v="14"/>
    <n v="0"/>
    <n v="6"/>
    <n v="0"/>
    <n v="0"/>
    <n v="0"/>
    <n v="0"/>
    <n v="0"/>
    <x v="1"/>
    <n v="0"/>
    <n v="0"/>
    <n v="0"/>
    <m/>
    <m/>
    <m/>
    <x v="0"/>
    <m/>
  </r>
  <r>
    <s v="000015601"/>
    <s v="Olympe LOISEAU"/>
    <s v="Margot KOHL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384"/>
    <s v="Omar BOUKAZZAR"/>
    <s v="Timothée CARRICO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332"/>
    <s v="Omar ELALAMI"/>
    <s v="Karim ISKANDER"/>
    <x v="4"/>
    <s v="Non"/>
    <n v="12.5"/>
    <s v=""/>
    <n v="0.5"/>
    <n v="7"/>
    <n v="0"/>
    <e v="#REF!"/>
    <s v=""/>
    <s v=""/>
    <s v=""/>
    <n v="13"/>
    <n v="0"/>
    <n v="7"/>
    <n v="-0.5"/>
    <n v="0.5"/>
    <n v="0"/>
    <n v="0"/>
    <n v="0"/>
    <x v="2"/>
    <n v="0"/>
    <n v="0"/>
    <n v="-0.5"/>
    <m/>
    <m/>
    <m/>
    <x v="0"/>
    <m/>
  </r>
  <r>
    <s v="000012209"/>
    <s v="Ombeline NEYRAND"/>
    <s v="Alexia BROS"/>
    <x v="5"/>
    <s v="Oui"/>
    <n v="17"/>
    <s v=""/>
    <n v="3"/>
    <n v="0"/>
    <n v="0"/>
    <e v="#REF!"/>
    <s v=""/>
    <s v=""/>
    <s v=""/>
    <n v="16"/>
    <n v="4"/>
    <n v="0"/>
    <n v="1"/>
    <n v="-1"/>
    <n v="0"/>
    <n v="0"/>
    <n v="0"/>
    <x v="0"/>
    <n v="0"/>
    <n v="0"/>
    <n v="1"/>
    <m/>
    <m/>
    <m/>
    <x v="0"/>
    <m/>
  </r>
  <r>
    <s v="000016421"/>
    <s v="Oscar MARZE"/>
    <s v="Roman ESQUERRE"/>
    <x v="0"/>
    <s v="Non"/>
    <n v="20"/>
    <s v=""/>
    <n v="0"/>
    <n v="0"/>
    <n v="0"/>
    <e v="#REF!"/>
    <s v=""/>
    <s v=""/>
    <s v=""/>
    <n v="18"/>
    <n v="2"/>
    <n v="0"/>
    <n v="2"/>
    <n v="-2"/>
    <n v="0"/>
    <n v="0"/>
    <n v="0"/>
    <x v="1"/>
    <n v="0"/>
    <n v="0"/>
    <n v="2"/>
    <m/>
    <m/>
    <m/>
    <x v="0"/>
    <m/>
  </r>
  <r>
    <s v="000018113"/>
    <s v="Oscar SFILIGOI"/>
    <s v="Zineb MEZGUELDI"/>
    <x v="6"/>
    <s v="Non"/>
    <n v="18.5"/>
    <s v=""/>
    <n v="0"/>
    <n v="1.5"/>
    <n v="0"/>
    <e v="#REF!"/>
    <s v=""/>
    <s v=""/>
    <s v=""/>
    <n v="20"/>
    <n v="0"/>
    <n v="0"/>
    <n v="-1.5"/>
    <n v="0"/>
    <n v="1.5"/>
    <n v="0"/>
    <n v="0"/>
    <x v="1"/>
    <n v="1.5"/>
    <n v="0"/>
    <n v="-1.5"/>
    <m/>
    <m/>
    <m/>
    <x v="0"/>
    <m/>
  </r>
  <r>
    <s v="000021400"/>
    <s v="Othman BARGACH"/>
    <s v="Jad ZGHEIB"/>
    <x v="3"/>
    <s v="Non"/>
    <n v="18"/>
    <s v=""/>
    <n v="2"/>
    <n v="0"/>
    <n v="0"/>
    <e v="#REF!"/>
    <s v=""/>
    <s v=""/>
    <s v=""/>
    <n v="18"/>
    <n v="2"/>
    <n v="0"/>
    <n v="0"/>
    <n v="0"/>
    <n v="0"/>
    <n v="0"/>
    <n v="0"/>
    <x v="0"/>
    <n v="0"/>
    <n v="0"/>
    <n v="0"/>
    <m/>
    <m/>
    <m/>
    <x v="0"/>
    <m/>
  </r>
  <r>
    <s v="000022270"/>
    <s v="Othmane CHAQROUNI"/>
    <s v="Thibault MORISSEAU"/>
    <x v="6"/>
    <s v="Non"/>
    <n v="16"/>
    <s v=""/>
    <n v="4"/>
    <n v="0"/>
    <n v="0"/>
    <e v="#REF!"/>
    <s v=""/>
    <s v=""/>
    <s v=""/>
    <n v="16"/>
    <n v="4"/>
    <n v="0"/>
    <n v="0"/>
    <n v="0"/>
    <n v="0"/>
    <n v="0"/>
    <n v="0"/>
    <x v="0"/>
    <n v="0"/>
    <n v="0"/>
    <n v="0"/>
    <m/>
    <m/>
    <m/>
    <x v="0"/>
    <m/>
  </r>
  <r>
    <s v="000004350"/>
    <s v="Othmane KHARBACH"/>
    <s v="Florence NOIZET"/>
    <x v="5"/>
    <s v="Oui"/>
    <n v="10"/>
    <s v=""/>
    <n v="10"/>
    <n v="0"/>
    <n v="0"/>
    <e v="#REF!"/>
    <s v=""/>
    <s v=""/>
    <s v=""/>
    <n v="8"/>
    <n v="12"/>
    <n v="0"/>
    <n v="2"/>
    <n v="-2"/>
    <n v="0"/>
    <n v="0"/>
    <n v="0"/>
    <x v="0"/>
    <n v="0"/>
    <n v="0"/>
    <n v="2"/>
    <m/>
    <m/>
    <m/>
    <x v="0"/>
    <m/>
  </r>
  <r>
    <s v="000015421"/>
    <s v="Oumaima AHOUZI"/>
    <s v="Quentin QUONIAM"/>
    <x v="1"/>
    <s v="Non"/>
    <n v="17.5"/>
    <s v=""/>
    <n v="0"/>
    <n v="2.5"/>
    <n v="0"/>
    <e v="#REF!"/>
    <s v=""/>
    <s v=""/>
    <s v=""/>
    <n v="16"/>
    <n v="0"/>
    <n v="4"/>
    <n v="1.5"/>
    <n v="0"/>
    <n v="-1.5"/>
    <n v="0"/>
    <n v="0"/>
    <x v="1"/>
    <n v="0"/>
    <n v="0"/>
    <n v="1.5"/>
    <m/>
    <m/>
    <m/>
    <x v="0"/>
    <m/>
  </r>
  <r>
    <s v="000017843"/>
    <s v="Oumaima BENAYAD"/>
    <s v="Timothée CARRICO"/>
    <x v="4"/>
    <s v="Non"/>
    <n v="12"/>
    <s v=""/>
    <n v="8"/>
    <n v="0"/>
    <n v="0"/>
    <e v="#REF!"/>
    <s v=""/>
    <s v=""/>
    <s v=""/>
    <n v="12"/>
    <n v="8"/>
    <n v="0"/>
    <n v="0"/>
    <n v="0"/>
    <n v="0"/>
    <n v="0"/>
    <n v="0"/>
    <x v="0"/>
    <n v="0"/>
    <n v="0"/>
    <n v="0"/>
    <m/>
    <m/>
    <m/>
    <x v="0"/>
    <m/>
  </r>
  <r>
    <s v="000012872"/>
    <s v="Oumar THIAM"/>
    <s v="François FONTESPIS-LOSTE"/>
    <x v="7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  <r>
    <s v="000021522"/>
    <s v="Oumeima FRIOUI"/>
    <s v="Yosr ABIDA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555"/>
    <s v="Ousmane BAH"/>
    <s v="Marine GATELLIER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4099"/>
    <s v="Oussama IHIA"/>
    <s v="Rebecca LARRIVEE"/>
    <x v="5"/>
    <s v="Non"/>
    <n v="15"/>
    <s v=""/>
    <n v="3"/>
    <n v="2"/>
    <n v="0"/>
    <e v="#REF!"/>
    <s v=""/>
    <s v=""/>
    <s v=""/>
    <n v="15"/>
    <n v="3"/>
    <n v="2"/>
    <n v="0"/>
    <n v="0"/>
    <n v="0"/>
    <n v="0"/>
    <n v="0"/>
    <x v="0"/>
    <n v="0"/>
    <n v="0"/>
    <n v="0"/>
    <m/>
    <m/>
    <m/>
    <x v="0"/>
    <m/>
  </r>
  <r>
    <s v="000020712"/>
    <s v="Pascal MONIN"/>
    <s v="Charles PARIS"/>
    <x v="3"/>
    <s v="Non"/>
    <n v="14"/>
    <s v=""/>
    <n v="6"/>
    <n v="0"/>
    <n v="0"/>
    <e v="#REF!"/>
    <s v=""/>
    <s v=""/>
    <s v=""/>
    <n v="10"/>
    <n v="10"/>
    <n v="0"/>
    <n v="4"/>
    <n v="-4"/>
    <n v="0"/>
    <n v="0"/>
    <n v="0"/>
    <x v="0"/>
    <n v="0"/>
    <n v="0"/>
    <n v="4"/>
    <m/>
    <m/>
    <m/>
    <x v="0"/>
    <m/>
  </r>
  <r>
    <s v="000022016"/>
    <s v="Paul BARBASTE"/>
    <s v="Julien FLOCH"/>
    <x v="4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x v="0"/>
    <m/>
  </r>
  <r>
    <s v="000017918"/>
    <s v="Paul BERGMANN"/>
    <s v="Yosr ABIDA"/>
    <x v="4"/>
    <s v="Non"/>
    <n v="0"/>
    <s v=""/>
    <n v="13"/>
    <n v="7"/>
    <n v="0"/>
    <e v="#REF!"/>
    <s v=""/>
    <s v=""/>
    <s v=""/>
    <n v="13"/>
    <n v="0"/>
    <n v="7"/>
    <n v="-13"/>
    <n v="13"/>
    <n v="0"/>
    <n v="0"/>
    <n v="0"/>
    <x v="3"/>
    <n v="0"/>
    <n v="13"/>
    <n v="0"/>
    <m/>
    <m/>
    <m/>
    <x v="0"/>
    <m/>
  </r>
  <r>
    <s v="000016288"/>
    <s v="Paul BERTSCHY"/>
    <s v="Timothée CARRICO"/>
    <x v="4"/>
    <s v="Non"/>
    <n v="5"/>
    <s v=""/>
    <n v="15"/>
    <n v="0"/>
    <n v="0"/>
    <e v="#REF!"/>
    <s v=""/>
    <s v=""/>
    <s v=""/>
    <n v="15"/>
    <n v="5"/>
    <n v="0"/>
    <n v="-10"/>
    <n v="10"/>
    <n v="0"/>
    <n v="0"/>
    <n v="0"/>
    <x v="2"/>
    <n v="0"/>
    <n v="0"/>
    <n v="-10"/>
    <m/>
    <m/>
    <m/>
    <x v="0"/>
    <m/>
  </r>
  <r>
    <s v="000021980"/>
    <s v="Paul GILLES"/>
    <s v="Christophe LOEUR"/>
    <x v="7"/>
    <s v="Non"/>
    <n v="9.5"/>
    <s v=""/>
    <n v="10.5"/>
    <n v="0"/>
    <n v="0"/>
    <e v="#REF!"/>
    <s v=""/>
    <s v=""/>
    <s v=""/>
    <n v="10"/>
    <n v="10"/>
    <n v="0"/>
    <n v="-0.5"/>
    <n v="0.5"/>
    <n v="0"/>
    <n v="0"/>
    <n v="0"/>
    <x v="2"/>
    <n v="0"/>
    <n v="0"/>
    <n v="-0.5"/>
    <m/>
    <m/>
    <m/>
    <x v="0"/>
    <m/>
  </r>
  <r>
    <s v="000021783"/>
    <s v="Paul MOREL"/>
    <s v="Philibert DE MONTILLE"/>
    <x v="5"/>
    <s v="Non"/>
    <n v="18"/>
    <s v=""/>
    <n v="1"/>
    <n v="1"/>
    <n v="0"/>
    <e v="#REF!"/>
    <s v=""/>
    <s v=""/>
    <s v=""/>
    <n v="19"/>
    <n v="0"/>
    <n v="1"/>
    <n v="-1"/>
    <n v="1"/>
    <n v="0"/>
    <n v="0"/>
    <n v="0"/>
    <x v="2"/>
    <n v="0"/>
    <n v="0"/>
    <n v="-1"/>
    <m/>
    <m/>
    <m/>
    <x v="0"/>
    <m/>
  </r>
  <r>
    <s v="000020509"/>
    <s v="Paul VERGNAUD"/>
    <s v="Ignacio MARTIN VELASCO"/>
    <x v="7"/>
    <s v="Non"/>
    <n v="18"/>
    <s v=""/>
    <n v="0"/>
    <n v="2"/>
    <n v="0"/>
    <e v="#REF!"/>
    <s v=""/>
    <s v=""/>
    <s v=""/>
    <n v="9"/>
    <n v="9"/>
    <n v="2"/>
    <n v="9"/>
    <n v="-9"/>
    <n v="0"/>
    <n v="0"/>
    <n v="0"/>
    <x v="1"/>
    <n v="0"/>
    <n v="0"/>
    <n v="9"/>
    <m/>
    <m/>
    <m/>
    <x v="0"/>
    <m/>
  </r>
  <r>
    <s v="000005753"/>
    <s v="Paul WALLOIS"/>
    <s v="Philibert DE MONTILLE"/>
    <x v="5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x v="0"/>
    <m/>
  </r>
  <r>
    <s v="000014527"/>
    <s v="Pauline CARLIEZ"/>
    <s v="Soline LE BLEVEC"/>
    <x v="7"/>
    <s v="Non"/>
    <n v="4.5"/>
    <s v=""/>
    <n v="15.5"/>
    <n v="0"/>
    <n v="0"/>
    <e v="#REF!"/>
    <s v=""/>
    <s v=""/>
    <s v=""/>
    <n v="5"/>
    <n v="15"/>
    <n v="0"/>
    <n v="-0.5"/>
    <n v="0.5"/>
    <n v="0"/>
    <n v="0"/>
    <n v="0"/>
    <x v="2"/>
    <n v="0"/>
    <n v="0"/>
    <n v="-0.5"/>
    <m/>
    <m/>
    <m/>
    <x v="0"/>
    <m/>
  </r>
  <r>
    <s v="000005566"/>
    <s v="Pauline SAUNIER"/>
    <s v="Yuri HOFTE"/>
    <x v="3"/>
    <s v="Oui"/>
    <n v="0"/>
    <s v=""/>
    <n v="14"/>
    <n v="6"/>
    <n v="0"/>
    <e v="#REF!"/>
    <s v=""/>
    <s v=""/>
    <s v=""/>
    <n v="0"/>
    <n v="14"/>
    <n v="6"/>
    <n v="0"/>
    <n v="0"/>
    <n v="0"/>
    <n v="0"/>
    <n v="0"/>
    <x v="0"/>
    <n v="0"/>
    <n v="0"/>
    <n v="0"/>
    <m/>
    <m/>
    <m/>
    <x v="0"/>
    <m/>
  </r>
  <r>
    <s v="000015522"/>
    <s v="Pauline TRUONG"/>
    <s v="Roman ESQUERRE"/>
    <x v="0"/>
    <s v="Non"/>
    <n v="12.5"/>
    <s v=""/>
    <n v="7.5"/>
    <n v="0"/>
    <n v="0"/>
    <e v="#REF!"/>
    <s v=""/>
    <s v=""/>
    <s v=""/>
    <n v="16"/>
    <n v="4"/>
    <n v="0"/>
    <n v="-3.5"/>
    <n v="3.5"/>
    <n v="0"/>
    <n v="0"/>
    <n v="0"/>
    <x v="2"/>
    <n v="0"/>
    <n v="0"/>
    <n v="-3.5"/>
    <m/>
    <m/>
    <m/>
    <x v="0"/>
    <m/>
  </r>
  <r>
    <s v="000016525"/>
    <s v="Perrine YOUINOU"/>
    <s v="Pierre LEJEUNE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03271"/>
    <s v="Philibert DE MONTILLE"/>
    <s v="Rémi TANIWAKI"/>
    <x v="4"/>
    <s v="Oui"/>
    <n v="11"/>
    <s v=""/>
    <n v="9"/>
    <n v="0"/>
    <n v="0"/>
    <e v="#REF!"/>
    <s v=""/>
    <s v=""/>
    <s v=""/>
    <n v="13"/>
    <n v="7"/>
    <n v="0"/>
    <n v="-2"/>
    <n v="2"/>
    <n v="0"/>
    <n v="0"/>
    <n v="0"/>
    <x v="2"/>
    <n v="0"/>
    <n v="0"/>
    <n v="-2"/>
    <m/>
    <m/>
    <m/>
    <x v="0"/>
    <m/>
  </r>
  <r>
    <s v="000007140"/>
    <s v="Philip BESSIERE"/>
    <s v="Louis-Marie LAFONT"/>
    <x v="8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4758"/>
    <s v="Philippe TRAN"/>
    <s v="Ange KAMDEM"/>
    <x v="7"/>
    <s v="Non"/>
    <n v="5.5"/>
    <s v=""/>
    <n v="14"/>
    <n v="0.5"/>
    <n v="0"/>
    <e v="#REF!"/>
    <s v=""/>
    <s v=""/>
    <s v=""/>
    <n v="6"/>
    <n v="14"/>
    <n v="0"/>
    <n v="-0.5"/>
    <n v="0"/>
    <n v="0.5"/>
    <n v="0"/>
    <n v="0"/>
    <x v="1"/>
    <n v="0.5"/>
    <n v="0"/>
    <n v="-0.5"/>
    <m/>
    <m/>
    <m/>
    <x v="0"/>
    <m/>
  </r>
  <r>
    <s v="000013960"/>
    <s v="Philippine LARROZE"/>
    <s v="Jean-Baptiste DUBOIS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3400"/>
    <s v="Pierre ATTIVISSIMO"/>
    <s v="Gaël PEZIER"/>
    <x v="3"/>
    <s v="Non"/>
    <n v="17"/>
    <s v=""/>
    <n v="1"/>
    <n v="2"/>
    <n v="0"/>
    <e v="#REF!"/>
    <s v=""/>
    <s v=""/>
    <s v=""/>
    <n v="17"/>
    <n v="1"/>
    <n v="2"/>
    <n v="0"/>
    <n v="0"/>
    <n v="0"/>
    <n v="0"/>
    <n v="0"/>
    <x v="0"/>
    <n v="0"/>
    <n v="0"/>
    <n v="0"/>
    <m/>
    <m/>
    <m/>
    <x v="0"/>
    <m/>
  </r>
  <r>
    <s v="000001571"/>
    <s v="Pierre BAZYDLO"/>
    <s v="Jonathan GERARDIN"/>
    <x v="7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x v="0"/>
    <m/>
  </r>
  <r>
    <s v="000016434"/>
    <s v="Pierre HUANG"/>
    <s v="Christophe LOEUR"/>
    <x v="7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x v="0"/>
    <m/>
  </r>
  <r>
    <s v="000005556"/>
    <s v="Pierre LEJEUNE"/>
    <s v="Othmane KHARBACH"/>
    <x v="6"/>
    <s v="Oui"/>
    <n v="14"/>
    <s v=""/>
    <n v="2"/>
    <n v="4"/>
    <n v="0"/>
    <e v="#REF!"/>
    <s v=""/>
    <s v=""/>
    <s v=""/>
    <n v="14"/>
    <n v="2"/>
    <n v="4"/>
    <n v="0"/>
    <n v="0"/>
    <n v="0"/>
    <n v="0"/>
    <n v="0"/>
    <x v="0"/>
    <n v="0"/>
    <n v="0"/>
    <n v="0"/>
    <m/>
    <m/>
    <m/>
    <x v="0"/>
    <m/>
  </r>
  <r>
    <s v="000020801"/>
    <s v="Pierre MEGALLI"/>
    <s v="Jad ZGHEIB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5515"/>
    <s v="Pierre MONCHALIN"/>
    <s v="Yves REMBERT"/>
    <x v="0"/>
    <s v="Oui"/>
    <n v="11"/>
    <s v=""/>
    <n v="8"/>
    <n v="1"/>
    <n v="0"/>
    <e v="#REF!"/>
    <s v=""/>
    <s v=""/>
    <s v=""/>
    <n v="11"/>
    <n v="8"/>
    <n v="1"/>
    <n v="0"/>
    <n v="0"/>
    <n v="0"/>
    <n v="0"/>
    <n v="0"/>
    <x v="0"/>
    <n v="0"/>
    <n v="0"/>
    <n v="0"/>
    <m/>
    <m/>
    <m/>
    <x v="0"/>
    <m/>
  </r>
  <r>
    <s v="000004136"/>
    <s v="Pierre NARCE"/>
    <s v="Florence NOIZET"/>
    <x v="5"/>
    <s v="Oui"/>
    <n v="4"/>
    <s v=""/>
    <n v="16"/>
    <n v="0"/>
    <n v="0"/>
    <e v="#REF!"/>
    <s v=""/>
    <s v=""/>
    <s v=""/>
    <n v="4"/>
    <n v="16"/>
    <n v="0"/>
    <n v="0"/>
    <n v="0"/>
    <n v="0"/>
    <n v="0"/>
    <n v="0"/>
    <x v="0"/>
    <n v="0"/>
    <n v="0"/>
    <n v="0"/>
    <m/>
    <m/>
    <m/>
    <x v="0"/>
    <m/>
  </r>
  <r>
    <s v="000022150"/>
    <s v="Pierre PIQUÉ"/>
    <s v="Marius LIBERT"/>
    <x v="5"/>
    <s v="Non"/>
    <n v="0"/>
    <s v=""/>
    <n v="20"/>
    <n v="0"/>
    <n v="0"/>
    <e v="#REF!"/>
    <s v=""/>
    <s v=""/>
    <s v=""/>
    <n v="10"/>
    <n v="10"/>
    <n v="0"/>
    <n v="-10"/>
    <n v="10"/>
    <n v="0"/>
    <n v="0"/>
    <n v="0"/>
    <x v="2"/>
    <n v="0"/>
    <n v="0"/>
    <n v="-10"/>
    <m/>
    <m/>
    <m/>
    <x v="0"/>
    <m/>
  </r>
  <r>
    <s v="000000149"/>
    <s v="Pierre RENALDO"/>
    <s v="Florence NOIZET"/>
    <x v="5"/>
    <s v="Non"/>
    <n v="18"/>
    <s v=""/>
    <n v="2"/>
    <n v="0"/>
    <n v="0"/>
    <e v="#REF!"/>
    <s v=""/>
    <s v=""/>
    <s v=""/>
    <n v="18"/>
    <n v="2"/>
    <n v="0"/>
    <n v="0"/>
    <n v="0"/>
    <n v="0"/>
    <n v="0"/>
    <n v="0"/>
    <x v="0"/>
    <n v="0"/>
    <n v="0"/>
    <n v="0"/>
    <m/>
    <m/>
    <m/>
    <x v="0"/>
    <m/>
  </r>
  <r>
    <s v="000021170"/>
    <s v="Pierre-Alexandre CLERC"/>
    <s v="Arthur BIGNIER"/>
    <x v="1"/>
    <s v="Non"/>
    <n v="11"/>
    <s v=""/>
    <n v="9"/>
    <n v="0"/>
    <n v="0"/>
    <e v="#REF!"/>
    <s v=""/>
    <s v=""/>
    <s v=""/>
    <n v="10"/>
    <n v="10"/>
    <n v="0"/>
    <n v="1"/>
    <n v="-1"/>
    <n v="0"/>
    <n v="0"/>
    <n v="0"/>
    <x v="0"/>
    <n v="0"/>
    <n v="0"/>
    <n v="1"/>
    <m/>
    <m/>
    <m/>
    <x v="0"/>
    <m/>
  </r>
  <r>
    <s v="000014614"/>
    <s v="Quentin ARÉ"/>
    <s v="Pierre LEJEUNE"/>
    <x v="6"/>
    <s v="Non"/>
    <n v="13"/>
    <s v=""/>
    <n v="0"/>
    <n v="7"/>
    <n v="0"/>
    <e v="#REF!"/>
    <s v=""/>
    <s v=""/>
    <s v=""/>
    <n v="13"/>
    <n v="0"/>
    <n v="7"/>
    <n v="0"/>
    <n v="0"/>
    <n v="0"/>
    <n v="0"/>
    <n v="0"/>
    <x v="1"/>
    <n v="0"/>
    <n v="0"/>
    <n v="0"/>
    <m/>
    <m/>
    <m/>
    <x v="0"/>
    <m/>
  </r>
  <r>
    <s v="000013549"/>
    <s v="Quentin DUMONT"/>
    <s v="Pierre MONCHALIN"/>
    <x v="2"/>
    <s v="Oui"/>
    <n v="19"/>
    <s v=""/>
    <n v="1"/>
    <n v="0"/>
    <n v="0"/>
    <e v="#REF!"/>
    <s v=""/>
    <s v=""/>
    <s v=""/>
    <n v="18"/>
    <n v="2"/>
    <n v="0"/>
    <n v="1"/>
    <n v="-1"/>
    <n v="0"/>
    <n v="0"/>
    <n v="0"/>
    <x v="0"/>
    <n v="0"/>
    <n v="0"/>
    <n v="1"/>
    <m/>
    <m/>
    <m/>
    <x v="0"/>
    <m/>
  </r>
  <r>
    <s v="000017965"/>
    <s v="Quentin ILLY"/>
    <s v="Yosr ABIDA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6773"/>
    <s v="Quentin LE MOAL"/>
    <s v="Nicolas MURAT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180"/>
    <s v="Quentin LE TURDU"/>
    <s v="Théo ROCH"/>
    <x v="0"/>
    <s v="Non"/>
    <n v="18"/>
    <s v=""/>
    <n v="2"/>
    <n v="0"/>
    <n v="0"/>
    <e v="#REF!"/>
    <s v=""/>
    <s v=""/>
    <s v=""/>
    <n v="18"/>
    <n v="2"/>
    <n v="0"/>
    <n v="0"/>
    <n v="0"/>
    <n v="0"/>
    <n v="0"/>
    <n v="0"/>
    <x v="0"/>
    <n v="0"/>
    <n v="0"/>
    <n v="0"/>
    <m/>
    <m/>
    <m/>
    <x v="0"/>
    <m/>
  </r>
  <r>
    <s v="000008643"/>
    <s v="Quentin QUONIAM"/>
    <s v="Godefroy DENORMANDIE"/>
    <x v="1"/>
    <s v="Oui"/>
    <n v="15.5"/>
    <s v=""/>
    <n v="4.5"/>
    <n v="0"/>
    <n v="0"/>
    <e v="#REF!"/>
    <s v=""/>
    <s v=""/>
    <s v=""/>
    <n v="20"/>
    <n v="0"/>
    <n v="0"/>
    <n v="-4.5"/>
    <n v="4.5"/>
    <n v="0"/>
    <n v="0"/>
    <n v="0"/>
    <x v="2"/>
    <n v="0"/>
    <n v="0"/>
    <n v="-4.5"/>
    <m/>
    <m/>
    <m/>
    <x v="0"/>
    <m/>
  </r>
  <r>
    <s v="000015357"/>
    <s v="Rabah Amir CHENOUF"/>
    <s v="Théo ROCH"/>
    <x v="0"/>
    <s v="Non"/>
    <n v="0"/>
    <s v=""/>
    <n v="20"/>
    <n v="0"/>
    <n v="0"/>
    <e v="#REF!"/>
    <s v=""/>
    <s v=""/>
    <s v=""/>
    <n v="20"/>
    <n v="0"/>
    <n v="0"/>
    <n v="-20"/>
    <n v="20"/>
    <n v="0"/>
    <n v="0"/>
    <n v="0"/>
    <x v="3"/>
    <n v="0"/>
    <n v="20"/>
    <n v="0"/>
    <m/>
    <m/>
    <m/>
    <x v="0"/>
    <m/>
  </r>
  <r>
    <s v="000012779"/>
    <s v="Rachel FANHAN"/>
    <s v="Jean-Baptiste DUBOIS"/>
    <x v="6"/>
    <s v="Oui"/>
    <n v="18"/>
    <s v=""/>
    <n v="1"/>
    <n v="1"/>
    <n v="0"/>
    <e v="#REF!"/>
    <s v=""/>
    <s v=""/>
    <s v=""/>
    <n v="19"/>
    <n v="0"/>
    <n v="1"/>
    <n v="-1"/>
    <n v="1"/>
    <n v="0"/>
    <n v="0"/>
    <n v="0"/>
    <x v="2"/>
    <n v="0"/>
    <n v="0"/>
    <n v="-1"/>
    <m/>
    <m/>
    <m/>
    <x v="0"/>
    <m/>
  </r>
  <r>
    <s v="000017408"/>
    <s v="Rafael VAZQUEZ MORAES"/>
    <s v="Nicolas FARNY"/>
    <x v="1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15514"/>
    <s v="Rahma BERRIMA"/>
    <s v="Timothée CARRICO"/>
    <x v="4"/>
    <s v="Non"/>
    <n v="0"/>
    <s v=""/>
    <n v="9"/>
    <n v="11"/>
    <n v="0"/>
    <e v="#REF!"/>
    <s v=""/>
    <s v=""/>
    <s v=""/>
    <n v="0"/>
    <n v="10"/>
    <n v="10"/>
    <n v="0"/>
    <n v="-1"/>
    <n v="1"/>
    <n v="0"/>
    <n v="0"/>
    <x v="2"/>
    <n v="0"/>
    <n v="0"/>
    <n v="0"/>
    <m/>
    <m/>
    <m/>
    <x v="0"/>
    <m/>
  </r>
  <r>
    <s v="000014427"/>
    <s v="Ramz TSOULI"/>
    <s v="Soline LE BLEVEC"/>
    <x v="7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x v="0"/>
    <m/>
  </r>
  <r>
    <s v="000021261"/>
    <s v="Ramzi BENKHENNICHE"/>
    <s v="Théophile PAHLAWAN"/>
    <x v="6"/>
    <s v="Non"/>
    <n v="13.5"/>
    <s v=""/>
    <n v="0"/>
    <n v="6.5"/>
    <n v="0"/>
    <e v="#REF!"/>
    <s v=""/>
    <s v=""/>
    <s v=""/>
    <n v="14"/>
    <n v="0"/>
    <n v="6"/>
    <n v="-0.5"/>
    <n v="0"/>
    <n v="0.5"/>
    <n v="0"/>
    <n v="0"/>
    <x v="1"/>
    <n v="0.5"/>
    <n v="0"/>
    <n v="-0.5"/>
    <m/>
    <m/>
    <m/>
    <x v="0"/>
    <m/>
  </r>
  <r>
    <s v="000020334"/>
    <s v="Rania EL BOURAQUI"/>
    <s v="Thibault MORISSEAU"/>
    <x v="6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20640"/>
    <s v="Rania HADOUCHI"/>
    <s v="Anthony CORNU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13407"/>
    <s v="Raphael FRANCIS"/>
    <s v="Jean-Baptiste DUBOIS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6130"/>
    <s v="Raphaël CHOKRON"/>
    <s v="Pierre NARCE"/>
    <x v="2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x v="0"/>
    <m/>
  </r>
  <r>
    <s v="000022105"/>
    <s v="Raylane GUESSOUM"/>
    <s v="Clément VINCENT"/>
    <x v="2"/>
    <s v="Non"/>
    <n v="0"/>
    <s v=""/>
    <n v="19.5"/>
    <n v="0.5"/>
    <n v="0"/>
    <e v="#REF!"/>
    <s v=""/>
    <s v=""/>
    <s v=""/>
    <n v="0"/>
    <n v="20"/>
    <n v="0"/>
    <n v="0"/>
    <n v="-0.5"/>
    <n v="0.5"/>
    <n v="0"/>
    <n v="0"/>
    <x v="2"/>
    <n v="0"/>
    <n v="0"/>
    <n v="0"/>
    <m/>
    <m/>
    <m/>
    <x v="0"/>
    <m/>
  </r>
  <r>
    <s v="000012118"/>
    <s v="Raúl MARTINEZ"/>
    <s v="Antoine FROMENTIN"/>
    <x v="6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05850"/>
    <s v="Rebecca LARRIVEE"/>
    <s v="Guillaume VAQUERO"/>
    <x v="1"/>
    <s v="Oui"/>
    <n v="4"/>
    <s v=""/>
    <n v="16"/>
    <n v="0"/>
    <n v="0"/>
    <e v="#REF!"/>
    <s v=""/>
    <s v=""/>
    <s v=""/>
    <n v="13"/>
    <n v="7"/>
    <n v="0"/>
    <n v="-9"/>
    <n v="9"/>
    <n v="0"/>
    <n v="0"/>
    <n v="0"/>
    <x v="3"/>
    <n v="0"/>
    <n v="10"/>
    <n v="1"/>
    <m/>
    <m/>
    <m/>
    <x v="0"/>
    <m/>
  </r>
  <r>
    <s v="000014688"/>
    <s v="Remy DAO"/>
    <s v="Karim ISKANDER"/>
    <x v="4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x v="0"/>
    <m/>
  </r>
  <r>
    <s v="000001604"/>
    <s v="Richard MEUNIER"/>
    <s v="Rémi TANIWAKI"/>
    <x v="4"/>
    <s v="Non"/>
    <n v="18"/>
    <s v=""/>
    <n v="0"/>
    <n v="2"/>
    <n v="0"/>
    <e v="#REF!"/>
    <s v=""/>
    <s v=""/>
    <s v=""/>
    <n v="20"/>
    <n v="0"/>
    <n v="0"/>
    <n v="-2"/>
    <n v="0"/>
    <n v="2"/>
    <n v="0"/>
    <n v="0"/>
    <x v="1"/>
    <n v="2"/>
    <n v="0"/>
    <n v="-2"/>
    <m/>
    <m/>
    <m/>
    <x v="0"/>
    <m/>
  </r>
  <r>
    <s v="000014243"/>
    <s v="Rida KAOURI"/>
    <s v="Pierre MONCHALIN"/>
    <x v="2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21730"/>
    <s v="Rime SELLAM"/>
    <s v="Marion PLESSIS-LUCIANI"/>
    <x v="7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  <r>
    <s v="000017948"/>
    <s v="Robert JOHNSON"/>
    <s v="Harrison LECHEVALLIER"/>
    <x v="5"/>
    <s v="Non"/>
    <n v="0"/>
    <s v=""/>
    <n v="17"/>
    <n v="3"/>
    <n v="0"/>
    <e v="#REF!"/>
    <s v=""/>
    <s v=""/>
    <s v=""/>
    <n v="0"/>
    <n v="17"/>
    <n v="3"/>
    <n v="0"/>
    <n v="0"/>
    <n v="0"/>
    <n v="0"/>
    <n v="0"/>
    <x v="0"/>
    <n v="0"/>
    <n v="0"/>
    <n v="0"/>
    <m/>
    <m/>
    <m/>
    <x v="0"/>
    <m/>
  </r>
  <r>
    <s v="000015844"/>
    <s v="Robin JONCOURT"/>
    <s v="Jimmy GUERIN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7279"/>
    <s v="Romain BOYER"/>
    <s v="Amaury LECOMTE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7583"/>
    <s v="Romain KERLOC'H"/>
    <s v="Vérane CHOAIN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0849"/>
    <s v="Romain THIEBAUT"/>
    <s v="Margot KOHL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0406"/>
    <s v="Roman ESQUERRE"/>
    <s v="Yves REMBERT"/>
    <x v="0"/>
    <s v="Oui"/>
    <n v="16"/>
    <s v=""/>
    <n v="4"/>
    <n v="0"/>
    <n v="0"/>
    <e v="#REF!"/>
    <s v=""/>
    <s v=""/>
    <s v=""/>
    <n v="18"/>
    <n v="2"/>
    <n v="0"/>
    <n v="-2"/>
    <n v="2"/>
    <n v="0"/>
    <n v="0"/>
    <n v="0"/>
    <x v="2"/>
    <n v="0"/>
    <n v="0"/>
    <n v="-2"/>
    <m/>
    <m/>
    <m/>
    <x v="0"/>
    <m/>
  </r>
  <r>
    <s v="000000473"/>
    <s v="Ronan CARON"/>
    <s v="Yannick TAUPIAC"/>
    <x v="0"/>
    <s v="Non"/>
    <n v="16"/>
    <s v=""/>
    <n v="4"/>
    <n v="0"/>
    <n v="0"/>
    <e v="#REF!"/>
    <s v=""/>
    <s v=""/>
    <s v=""/>
    <n v="12"/>
    <n v="3"/>
    <n v="5"/>
    <n v="4"/>
    <n v="1"/>
    <n v="-5"/>
    <n v="0"/>
    <n v="0"/>
    <x v="2"/>
    <n v="0"/>
    <n v="0"/>
    <n v="4"/>
    <m/>
    <m/>
    <m/>
    <x v="0"/>
    <m/>
  </r>
  <r>
    <s v="000022387"/>
    <s v="Ronan CHOQUER"/>
    <s v="Garance HOURCADE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1129"/>
    <s v="Rose MEREL"/>
    <s v="Alice GUILABERT"/>
    <x v="2"/>
    <s v="Non"/>
    <n v="19"/>
    <s v=""/>
    <n v="1"/>
    <n v="0"/>
    <n v="0"/>
    <e v="#REF!"/>
    <s v=""/>
    <s v=""/>
    <s v=""/>
    <n v="19"/>
    <n v="1"/>
    <n v="0"/>
    <n v="0"/>
    <n v="0"/>
    <n v="0"/>
    <n v="0"/>
    <n v="0"/>
    <x v="0"/>
    <n v="0"/>
    <n v="0"/>
    <n v="0"/>
    <m/>
    <m/>
    <m/>
    <x v="0"/>
    <m/>
  </r>
  <r>
    <s v="000017957"/>
    <s v="Ruiya LI"/>
    <s v="Marius LIBERT"/>
    <x v="5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x v="0"/>
    <m/>
  </r>
  <r>
    <s v="000020839"/>
    <s v="Ryan VICENTE"/>
    <s v="Jad ZGHEIB"/>
    <x v="3"/>
    <s v="Non"/>
    <n v="6"/>
    <s v=""/>
    <n v="13"/>
    <n v="1"/>
    <n v="0"/>
    <e v="#REF!"/>
    <s v=""/>
    <s v=""/>
    <s v=""/>
    <n v="6"/>
    <n v="13"/>
    <n v="1"/>
    <n v="0"/>
    <n v="0"/>
    <n v="0"/>
    <n v="0"/>
    <n v="0"/>
    <x v="0"/>
    <n v="0"/>
    <n v="0"/>
    <n v="0"/>
    <m/>
    <m/>
    <m/>
    <x v="0"/>
    <m/>
  </r>
  <r>
    <s v="000018004"/>
    <s v="Rémi PAL"/>
    <s v="Solène MENARD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688"/>
    <s v="Rémi SPINELLI"/>
    <s v="Julia FRANCO"/>
    <x v="0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x v="0"/>
    <m/>
  </r>
  <r>
    <s v="000000972"/>
    <s v="Rémi TANIWAKI"/>
    <s v="Florence NOIZET"/>
    <x v="5"/>
    <s v="Oui"/>
    <n v="16"/>
    <s v=""/>
    <n v="4"/>
    <n v="0"/>
    <n v="0"/>
    <e v="#REF!"/>
    <s v=""/>
    <s v=""/>
    <s v=""/>
    <n v="8"/>
    <n v="12"/>
    <n v="0"/>
    <n v="8"/>
    <n v="-8"/>
    <n v="0"/>
    <n v="0"/>
    <n v="0"/>
    <x v="0"/>
    <n v="0"/>
    <n v="0"/>
    <n v="8"/>
    <m/>
    <m/>
    <m/>
    <x v="0"/>
    <m/>
  </r>
  <r>
    <s v="000018055"/>
    <s v="Saad AIT MELLOUK"/>
    <s v="Maria OUELLAJ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8090"/>
    <s v="Saad EL MAHDI"/>
    <s v="Camille DURAND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4309"/>
    <s v="Sabah MOSTEFAOUI"/>
    <s v="Marion LARHANTEC"/>
    <x v="3"/>
    <s v="Non"/>
    <n v="1.5"/>
    <s v=""/>
    <n v="18.5"/>
    <n v="0"/>
    <n v="0"/>
    <e v="#REF!"/>
    <s v=""/>
    <s v=""/>
    <s v=""/>
    <n v="0"/>
    <n v="20"/>
    <n v="0"/>
    <n v="1.5"/>
    <n v="-1.5"/>
    <n v="0"/>
    <n v="0"/>
    <n v="0"/>
    <x v="0"/>
    <n v="0"/>
    <n v="0"/>
    <n v="1.5"/>
    <m/>
    <m/>
    <m/>
    <x v="0"/>
    <m/>
  </r>
  <r>
    <s v="000021602"/>
    <s v="Sacha DI COSTANZO"/>
    <s v="Margot KOHL"/>
    <x v="3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x v="0"/>
    <m/>
  </r>
  <r>
    <s v="000021845"/>
    <s v="Sadri HANCER"/>
    <s v="Nicolas FARNY"/>
    <x v="1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x v="0"/>
    <m/>
  </r>
  <r>
    <s v="000013590"/>
    <s v="Saifeddine EL MADANI"/>
    <s v="Laura JEANNIN"/>
    <x v="2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21860"/>
    <s v="Salim ZAHIDI"/>
    <s v="Théophile PAHLAWAN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1478"/>
    <s v="Salomé YAKOUBI"/>
    <s v="Fayçal YAKOUBI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5007"/>
    <s v="Samuel CANICAVE"/>
    <s v="Rebecca LARRIVEE"/>
    <x v="5"/>
    <s v="Non"/>
    <n v="10.5"/>
    <s v=""/>
    <n v="0"/>
    <n v="9.5"/>
    <n v="0"/>
    <e v="#REF!"/>
    <s v=""/>
    <s v=""/>
    <s v=""/>
    <n v="10.5"/>
    <n v="0"/>
    <n v="9.5"/>
    <n v="0"/>
    <n v="0"/>
    <n v="0"/>
    <n v="0"/>
    <n v="0"/>
    <x v="1"/>
    <n v="0"/>
    <n v="0"/>
    <n v="0"/>
    <m/>
    <m/>
    <m/>
    <x v="0"/>
    <m/>
  </r>
  <r>
    <s v="000022297"/>
    <s v="Samuel TILLIER"/>
    <s v="Emilie DURAND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07371"/>
    <s v="Sandrine CHAILLEY"/>
    <s v="Guillaume CHASSARD"/>
    <x v="4"/>
    <s v="Non"/>
    <n v="0"/>
    <s v=""/>
    <n v="14.5"/>
    <n v="5.5"/>
    <n v="0"/>
    <e v="#REF!"/>
    <s v=""/>
    <s v=""/>
    <s v=""/>
    <n v="0"/>
    <n v="14.5"/>
    <n v="5.5"/>
    <n v="0"/>
    <n v="0"/>
    <n v="0"/>
    <n v="0"/>
    <n v="0"/>
    <x v="0"/>
    <n v="0"/>
    <n v="0"/>
    <n v="0"/>
    <m/>
    <m/>
    <m/>
    <x v="0"/>
    <m/>
  </r>
  <r>
    <s v="000010908"/>
    <s v="Sarah LEVI DIT BOCHI"/>
    <s v="Jonathan GERARDIN"/>
    <x v="7"/>
    <s v="Non"/>
    <n v="9.5"/>
    <s v=""/>
    <n v="8.5"/>
    <n v="2"/>
    <n v="0"/>
    <e v="#REF!"/>
    <s v=""/>
    <s v=""/>
    <s v=""/>
    <n v="10"/>
    <n v="8"/>
    <n v="2"/>
    <n v="-0.5"/>
    <n v="0.5"/>
    <n v="0"/>
    <n v="0"/>
    <n v="0"/>
    <x v="2"/>
    <n v="0"/>
    <n v="0"/>
    <n v="-0.5"/>
    <m/>
    <m/>
    <m/>
    <x v="0"/>
    <m/>
  </r>
  <r>
    <s v="000021679"/>
    <s v="Sarah OLGARD"/>
    <s v="Amaury LECOMTE"/>
    <x v="4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x v="0"/>
    <m/>
  </r>
  <r>
    <s v="000020379"/>
    <s v="Sarah SIMON"/>
    <s v="Sina MOVAGHAR"/>
    <x v="0"/>
    <s v="Non"/>
    <n v="9.5"/>
    <s v=""/>
    <n v="10.5"/>
    <n v="0"/>
    <n v="0"/>
    <e v="#REF!"/>
    <s v=""/>
    <s v=""/>
    <s v=""/>
    <n v="10"/>
    <n v="10"/>
    <n v="0"/>
    <n v="-0.5"/>
    <n v="0.5"/>
    <n v="0"/>
    <n v="0"/>
    <n v="0"/>
    <x v="2"/>
    <n v="0"/>
    <n v="0"/>
    <n v="-0.5"/>
    <m/>
    <m/>
    <m/>
    <x v="0"/>
    <m/>
  </r>
  <r>
    <s v="000015463"/>
    <s v="Sawan-Lounès MOKHTARI"/>
    <s v="Maria OUELLAJ"/>
    <x v="1"/>
    <s v="Non"/>
    <n v="0"/>
    <s v=""/>
    <n v="17.5"/>
    <n v="2.5"/>
    <n v="0"/>
    <e v="#REF!"/>
    <s v=""/>
    <s v=""/>
    <s v=""/>
    <n v="5"/>
    <n v="13"/>
    <n v="2"/>
    <n v="-5"/>
    <n v="4.5"/>
    <n v="0.5"/>
    <n v="0"/>
    <n v="0"/>
    <x v="2"/>
    <n v="0.5"/>
    <n v="0"/>
    <n v="-5"/>
    <m/>
    <m/>
    <m/>
    <x v="0"/>
    <m/>
  </r>
  <r>
    <s v="000014486"/>
    <s v="Serenah RAJAONSON"/>
    <s v="Cédric GUICHARD"/>
    <x v="1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x v="0"/>
    <m/>
  </r>
  <r>
    <s v="000012946"/>
    <s v="Shayan KHAN"/>
    <s v="Sina MOVAGHAR"/>
    <x v="0"/>
    <s v="Non"/>
    <n v="10"/>
    <s v=""/>
    <n v="1"/>
    <n v="9"/>
    <n v="0"/>
    <e v="#REF!"/>
    <s v=""/>
    <s v=""/>
    <s v=""/>
    <n v="11"/>
    <n v="0"/>
    <n v="9"/>
    <n v="-1"/>
    <n v="1"/>
    <n v="0"/>
    <n v="0"/>
    <n v="0"/>
    <x v="2"/>
    <n v="0"/>
    <n v="0"/>
    <n v="-1"/>
    <m/>
    <m/>
    <m/>
    <x v="0"/>
    <m/>
  </r>
  <r>
    <s v="000017219"/>
    <s v="Shirley REVILLIER"/>
    <s v="Nolwenn DELORD"/>
    <x v="2"/>
    <s v="Non"/>
    <n v="18"/>
    <s v=""/>
    <n v="2"/>
    <n v="0"/>
    <n v="0"/>
    <e v="#REF!"/>
    <s v=""/>
    <s v=""/>
    <s v=""/>
    <n v="17.5"/>
    <n v="2.5"/>
    <n v="0"/>
    <n v="0.5"/>
    <n v="-0.5"/>
    <n v="0"/>
    <n v="0"/>
    <n v="0"/>
    <x v="0"/>
    <n v="0"/>
    <n v="0"/>
    <n v="0.5"/>
    <m/>
    <m/>
    <m/>
    <x v="0"/>
    <m/>
  </r>
  <r>
    <s v="000014171"/>
    <s v="Sihem HACHI"/>
    <s v="Camille DURAND"/>
    <x v="4"/>
    <s v="Non"/>
    <n v="18"/>
    <s v=""/>
    <n v="1"/>
    <n v="1"/>
    <n v="0"/>
    <e v="#REF!"/>
    <s v=""/>
    <s v=""/>
    <s v=""/>
    <n v="20"/>
    <n v="0"/>
    <n v="0"/>
    <n v="-2"/>
    <n v="1"/>
    <n v="1"/>
    <n v="0"/>
    <n v="0"/>
    <x v="2"/>
    <n v="1"/>
    <n v="0"/>
    <n v="-2"/>
    <m/>
    <m/>
    <m/>
    <x v="0"/>
    <m/>
  </r>
  <r>
    <s v="000021035"/>
    <s v="Simon HAMEL-MONTHEAN"/>
    <s v="Sina MOVAGHAR"/>
    <x v="0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x v="0"/>
    <m/>
  </r>
  <r>
    <s v="000020415"/>
    <s v="Simon HERVE"/>
    <s v="Sina MOVAGHAR"/>
    <x v="0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x v="0"/>
    <m/>
  </r>
  <r>
    <s v="000005788"/>
    <s v="Sina MOVAGHAR"/>
    <s v="Yves REMBERT"/>
    <x v="0"/>
    <s v="Oui"/>
    <n v="14"/>
    <s v=""/>
    <n v="5"/>
    <n v="0"/>
    <n v="1"/>
    <e v="#REF!"/>
    <s v=""/>
    <s v=""/>
    <s v=""/>
    <n v="13"/>
    <n v="6"/>
    <n v="0"/>
    <n v="1"/>
    <n v="-1"/>
    <n v="0"/>
    <n v="0"/>
    <n v="0"/>
    <x v="0"/>
    <n v="0"/>
    <n v="0"/>
    <n v="1"/>
    <m/>
    <m/>
    <m/>
    <x v="0"/>
    <m/>
  </r>
  <r>
    <s v="000012126"/>
    <s v="Skander BAHRI"/>
    <s v="Jonathan GERARDIN"/>
    <x v="7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x v="0"/>
    <m/>
  </r>
  <r>
    <s v="000013734"/>
    <s v="Sofia ASMI"/>
    <s v="Rebecca LARRIVEE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7981"/>
    <s v="Sofiane MAHFOUDI"/>
    <s v="Jonathan SARPAUX"/>
    <x v="4"/>
    <s v="Non"/>
    <n v="17.5"/>
    <s v=""/>
    <n v="0"/>
    <n v="2.5"/>
    <n v="0"/>
    <e v="#REF!"/>
    <s v=""/>
    <s v=""/>
    <s v=""/>
    <n v="18.5"/>
    <n v="0"/>
    <n v="1.5"/>
    <n v="-1"/>
    <n v="0"/>
    <n v="1"/>
    <n v="0"/>
    <n v="0"/>
    <x v="1"/>
    <n v="1"/>
    <n v="0"/>
    <n v="-1"/>
    <m/>
    <m/>
    <m/>
    <x v="0"/>
    <m/>
  </r>
  <r>
    <s v="000007137"/>
    <s v="Sofiane OUALLOUCHE"/>
    <s v="Louis-Marie LAFONT"/>
    <x v="8"/>
    <s v="Non"/>
    <n v="0"/>
    <s v=""/>
    <n v="8.5"/>
    <n v="3"/>
    <n v="8.5"/>
    <e v="#REF!"/>
    <s v=""/>
    <s v=""/>
    <s v=""/>
    <n v="0"/>
    <n v="9"/>
    <n v="3"/>
    <n v="0"/>
    <n v="-0.5"/>
    <n v="0"/>
    <n v="0"/>
    <n v="0"/>
    <x v="0"/>
    <n v="0"/>
    <n v="0"/>
    <n v="0"/>
    <m/>
    <m/>
    <m/>
    <x v="0"/>
    <m/>
  </r>
  <r>
    <s v="000009138"/>
    <s v="Soline LE BLEVEC"/>
    <s v="Pierre NARCE"/>
    <x v="2"/>
    <s v="Oui"/>
    <n v="16"/>
    <s v=""/>
    <n v="3.5"/>
    <n v="0.5"/>
    <n v="0"/>
    <e v="#REF!"/>
    <s v=""/>
    <s v=""/>
    <s v=""/>
    <n v="16"/>
    <n v="3.5"/>
    <n v="0.5"/>
    <n v="0"/>
    <n v="0"/>
    <n v="0"/>
    <n v="0"/>
    <n v="0"/>
    <x v="0"/>
    <n v="0"/>
    <n v="0"/>
    <n v="0"/>
    <m/>
    <m/>
    <m/>
    <x v="0"/>
    <m/>
  </r>
  <r>
    <s v="000012084"/>
    <s v="Solène MENARD"/>
    <s v="François FONTESPIS-LOSTE"/>
    <x v="7"/>
    <s v="Oui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x v="0"/>
    <m/>
  </r>
  <r>
    <s v="000014959"/>
    <s v="Solène MORENO"/>
    <s v="Antoine FROMENTIN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3065"/>
    <s v="Solène PINEL"/>
    <s v="Gaël PEZIER"/>
    <x v="3"/>
    <s v="Non"/>
    <n v="18.5"/>
    <s v=""/>
    <n v="0.5"/>
    <n v="1"/>
    <n v="0"/>
    <e v="#REF!"/>
    <s v=""/>
    <s v=""/>
    <s v=""/>
    <n v="19"/>
    <n v="0"/>
    <n v="1"/>
    <n v="-0.5"/>
    <n v="0.5"/>
    <n v="0"/>
    <n v="0"/>
    <n v="0"/>
    <x v="2"/>
    <n v="0"/>
    <n v="0"/>
    <n v="-0.5"/>
    <m/>
    <m/>
    <m/>
    <x v="0"/>
    <m/>
  </r>
  <r>
    <s v="000015616"/>
    <s v="Stanislas BERGEN"/>
    <s v="Rebecca LARRIVEE"/>
    <x v="5"/>
    <s v="Non"/>
    <n v="10.5"/>
    <s v=""/>
    <n v="9.5"/>
    <n v="0"/>
    <n v="0"/>
    <e v="#REF!"/>
    <s v=""/>
    <s v=""/>
    <s v=""/>
    <n v="10"/>
    <n v="10"/>
    <n v="0"/>
    <n v="0.5"/>
    <n v="-0.5"/>
    <n v="0"/>
    <n v="0"/>
    <n v="0"/>
    <x v="0"/>
    <n v="0"/>
    <n v="0"/>
    <n v="0.5"/>
    <m/>
    <m/>
    <m/>
    <x v="0"/>
    <m/>
  </r>
  <r>
    <s v="000020703"/>
    <s v="Stanislas DUBE"/>
    <s v="Yves REMBERT"/>
    <x v="0"/>
    <s v="Non"/>
    <n v="16.5"/>
    <s v=""/>
    <n v="0.5"/>
    <n v="3"/>
    <n v="0"/>
    <e v="#REF!"/>
    <s v=""/>
    <s v=""/>
    <s v=""/>
    <n v="17"/>
    <n v="0"/>
    <n v="3"/>
    <n v="-0.5"/>
    <n v="0.5"/>
    <n v="0"/>
    <n v="0"/>
    <n v="0"/>
    <x v="2"/>
    <n v="0"/>
    <n v="0"/>
    <n v="-0.5"/>
    <m/>
    <m/>
    <m/>
    <x v="0"/>
    <m/>
  </r>
  <r>
    <s v="000017496"/>
    <s v="Steephan PONNUDURAI"/>
    <s v="Roman ESQUERRE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01548"/>
    <s v="Suthiya YUN"/>
    <s v="Pierre LEJEUNE"/>
    <x v="6"/>
    <s v="Non"/>
    <n v="11"/>
    <s v=""/>
    <n v="0"/>
    <n v="9"/>
    <n v="0"/>
    <e v="#REF!"/>
    <s v=""/>
    <s v=""/>
    <s v=""/>
    <n v="11"/>
    <n v="0"/>
    <n v="9"/>
    <n v="0"/>
    <n v="0"/>
    <n v="0"/>
    <n v="0"/>
    <n v="0"/>
    <x v="1"/>
    <n v="0"/>
    <n v="0"/>
    <n v="0"/>
    <m/>
    <m/>
    <m/>
    <x v="0"/>
    <m/>
  </r>
  <r>
    <s v="000013164"/>
    <s v="Swan CAILLAUD"/>
    <s v="Jonathan GERARDIN"/>
    <x v="7"/>
    <s v="Non"/>
    <n v="17"/>
    <s v=""/>
    <n v="2"/>
    <n v="1"/>
    <n v="0"/>
    <e v="#REF!"/>
    <s v=""/>
    <s v=""/>
    <s v=""/>
    <n v="16.5"/>
    <n v="2.5"/>
    <n v="1"/>
    <n v="0.5"/>
    <n v="-0.5"/>
    <n v="0"/>
    <n v="0"/>
    <n v="0"/>
    <x v="0"/>
    <n v="0"/>
    <n v="0"/>
    <n v="0.5"/>
    <m/>
    <m/>
    <m/>
    <x v="0"/>
    <m/>
  </r>
  <r>
    <s v="000013582"/>
    <s v="Sébastien AKRICH"/>
    <s v="Camille DURAND"/>
    <x v="4"/>
    <s v="Oui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  <r>
    <s v="000014602"/>
    <s v="Sébastien ANDREUX"/>
    <s v="Julie FERRANDO"/>
    <x v="2"/>
    <s v="Oui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1987"/>
    <s v="Sébastien BACHELLIER"/>
    <s v="Willy TAN"/>
    <x v="3"/>
    <s v="Non"/>
    <n v="10"/>
    <s v=""/>
    <n v="0"/>
    <n v="10"/>
    <n v="0"/>
    <e v="#REF!"/>
    <s v=""/>
    <s v=""/>
    <s v=""/>
    <n v="7.5"/>
    <n v="2.5"/>
    <n v="10"/>
    <n v="2.5"/>
    <n v="-2.5"/>
    <n v="0"/>
    <n v="0"/>
    <n v="0"/>
    <x v="1"/>
    <n v="0"/>
    <n v="0"/>
    <n v="2.5"/>
    <m/>
    <m/>
    <m/>
    <x v="0"/>
    <m/>
  </r>
  <r>
    <s v="000000580"/>
    <s v="Sébastien TOURNOIS"/>
    <s v="Fabrice AUSTRUY"/>
    <x v="1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x v="0"/>
    <m/>
  </r>
  <r>
    <s v="000013348"/>
    <s v="Taha NOURBAY"/>
    <s v="Gaël PEZIER"/>
    <x v="3"/>
    <s v="Non"/>
    <n v="17"/>
    <s v=""/>
    <n v="1"/>
    <n v="2"/>
    <n v="0"/>
    <e v="#REF!"/>
    <s v=""/>
    <s v=""/>
    <s v=""/>
    <n v="17"/>
    <n v="1"/>
    <n v="2"/>
    <n v="0"/>
    <n v="0"/>
    <n v="0"/>
    <n v="0"/>
    <n v="0"/>
    <x v="0"/>
    <n v="0"/>
    <n v="0"/>
    <n v="0"/>
    <m/>
    <m/>
    <m/>
    <x v="0"/>
    <m/>
  </r>
  <r>
    <s v="000013744"/>
    <s v="Tamara YOYOTTE"/>
    <s v="Soline LE BLEVEC"/>
    <x v="7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x v="0"/>
    <m/>
  </r>
  <r>
    <s v="000013202"/>
    <s v="Tara FOLI"/>
    <s v="Philibert DE MONTILLE"/>
    <x v="5"/>
    <s v="Non"/>
    <n v="14"/>
    <s v=""/>
    <n v="0"/>
    <n v="6"/>
    <n v="0"/>
    <e v="#REF!"/>
    <s v=""/>
    <s v=""/>
    <s v=""/>
    <n v="11"/>
    <n v="3"/>
    <n v="6"/>
    <n v="3"/>
    <n v="-3"/>
    <n v="0"/>
    <n v="0"/>
    <n v="0"/>
    <x v="1"/>
    <n v="0"/>
    <n v="0"/>
    <n v="3"/>
    <m/>
    <m/>
    <m/>
    <x v="0"/>
    <m/>
  </r>
  <r>
    <s v="000017827"/>
    <s v="Tarek MOULEKAF"/>
    <s v="Solène MENARD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x v="0"/>
    <m/>
  </r>
  <r>
    <s v="000020265"/>
    <s v="Tasnim GHARBI"/>
    <s v="Julie FERRANDO"/>
    <x v="2"/>
    <s v="Non"/>
    <n v="11"/>
    <s v=""/>
    <n v="2"/>
    <n v="7"/>
    <n v="0"/>
    <e v="#REF!"/>
    <s v=""/>
    <s v=""/>
    <s v=""/>
    <n v="13"/>
    <n v="0"/>
    <n v="7"/>
    <n v="-2"/>
    <n v="2"/>
    <n v="0"/>
    <n v="0"/>
    <n v="0"/>
    <x v="2"/>
    <n v="0"/>
    <n v="0"/>
    <n v="-2"/>
    <m/>
    <m/>
    <m/>
    <x v="0"/>
    <m/>
  </r>
  <r>
    <s v="000013915"/>
    <s v="Thanusan SATHIAKUMAR"/>
    <s v="Théo ROCH"/>
    <x v="0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8136"/>
    <s v="Theodora CAUCHOIS"/>
    <s v="Ignacio MARTIN VELASCO"/>
    <x v="7"/>
    <s v="Non"/>
    <n v="17"/>
    <s v=""/>
    <n v="3"/>
    <n v="0"/>
    <n v="0"/>
    <e v="#REF!"/>
    <s v=""/>
    <s v=""/>
    <s v=""/>
    <n v="17"/>
    <n v="3"/>
    <n v="0"/>
    <n v="0"/>
    <n v="0"/>
    <n v="0"/>
    <n v="0"/>
    <n v="0"/>
    <x v="0"/>
    <n v="0"/>
    <n v="0"/>
    <n v="0"/>
    <m/>
    <m/>
    <m/>
    <x v="0"/>
    <m/>
  </r>
  <r>
    <s v="000021604"/>
    <s v="Thibaud VOISIN"/>
    <s v="Marius LIBERT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21499"/>
    <s v="Thibault BROU"/>
    <s v="Roman ESQUERRE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2778"/>
    <s v="Thibault ESPIE"/>
    <s v="Lucas-Pierre CAPELLE"/>
    <x v="2"/>
    <s v="Non"/>
    <n v="17.5"/>
    <s v=""/>
    <n v="1.5"/>
    <n v="1"/>
    <n v="0"/>
    <e v="#REF!"/>
    <s v=""/>
    <s v=""/>
    <s v=""/>
    <n v="19"/>
    <n v="0"/>
    <n v="1"/>
    <n v="-1.5"/>
    <n v="1.5"/>
    <n v="0"/>
    <n v="0"/>
    <n v="0"/>
    <x v="2"/>
    <n v="0"/>
    <n v="0"/>
    <n v="-1.5"/>
    <m/>
    <m/>
    <m/>
    <x v="0"/>
    <m/>
  </r>
  <r>
    <s v="000014705"/>
    <s v="Thibault GRELLET"/>
    <s v="Nicolas MURAT"/>
    <x v="2"/>
    <s v="Non"/>
    <n v="3"/>
    <s v=""/>
    <n v="17"/>
    <n v="0"/>
    <n v="0"/>
    <e v="#REF!"/>
    <s v=""/>
    <s v=""/>
    <s v=""/>
    <n v="5"/>
    <n v="15"/>
    <n v="0"/>
    <n v="-2"/>
    <n v="2"/>
    <n v="0"/>
    <n v="0"/>
    <n v="0"/>
    <x v="2"/>
    <n v="0"/>
    <n v="0"/>
    <n v="-2"/>
    <m/>
    <m/>
    <m/>
    <x v="0"/>
    <m/>
  </r>
  <r>
    <s v="000010231"/>
    <s v="Thibault MORISSEAU"/>
    <s v="Othmane KHARBACH"/>
    <x v="6"/>
    <s v="Oui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x v="0"/>
    <m/>
  </r>
  <r>
    <s v="000020609"/>
    <s v="Thibault TEISSEIRE"/>
    <s v="Marius LIBERT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4266"/>
    <s v="Thomas BENETREAU"/>
    <s v="Margot KOHL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4901"/>
    <s v="Thomas DOUKHAN"/>
    <s v="Julia FRANCO"/>
    <x v="0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x v="0"/>
    <m/>
  </r>
  <r>
    <s v="000013340"/>
    <s v="Thomas GALLOIS"/>
    <s v="Timothée CARRICO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x v="0"/>
    <m/>
  </r>
  <r>
    <s v="000017062"/>
    <s v="Thomas LAINE"/>
    <s v="Cédric GUICHARD"/>
    <x v="1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s v="Maria OUELLAJ"/>
    <x v="0"/>
    <n v="-6"/>
    <n v="-4.5"/>
    <n v="-9.5"/>
    <n v="-28"/>
    <s v=""/>
    <n v="-48"/>
  </r>
  <r>
    <s v="Timothée CARRICO"/>
    <x v="1"/>
    <n v="0"/>
    <n v="-10"/>
    <n v="-24"/>
    <n v="-5.5"/>
    <s v=""/>
    <n v="-39.5"/>
  </r>
  <r>
    <s v="Charles PARIS"/>
    <x v="2"/>
    <n v="7"/>
    <n v="7.5"/>
    <n v="-15"/>
    <n v="-16"/>
    <s v=""/>
    <n v="-16.5"/>
  </r>
  <r>
    <s v="Yuri HOFTE"/>
    <x v="2"/>
    <n v="-8.3999999999999986"/>
    <n v="-18.7"/>
    <n v="-14.5"/>
    <n v="0.5"/>
    <s v=""/>
    <n v="-41.099999999999994"/>
  </r>
  <r>
    <s v="Fayçal YAKOUBI"/>
    <x v="3"/>
    <n v="-8.5"/>
    <n v="-2.5"/>
    <n v="-12.5"/>
    <n v="-19"/>
    <s v=""/>
    <n v="-42.5"/>
  </r>
  <r>
    <s v="Yves REMBERT"/>
    <x v="4"/>
    <n v="-6"/>
    <n v="-7.5"/>
    <n v="-1"/>
    <n v="-16"/>
    <s v=""/>
    <n v="-30.5"/>
  </r>
  <r>
    <s v="Florent MATHE"/>
    <x v="5"/>
    <n v="-3"/>
    <n v="-19.5"/>
    <n v="3.5"/>
    <n v="-4"/>
    <n v="9.5"/>
    <n v="-13.5"/>
  </r>
  <r>
    <s v="François FONTESPIS-LOSTE"/>
    <x v="5"/>
    <n v="3"/>
    <n v="-8.5"/>
    <n v="-36"/>
    <n v="1"/>
    <n v="0"/>
    <n v="-40.5"/>
  </r>
  <r>
    <s v="Louis-Marie LAFONT"/>
    <x v="6"/>
    <n v="1"/>
    <n v="-15"/>
    <n v="-10"/>
    <n v="-2.5"/>
    <s v=""/>
    <n v="-26.5"/>
  </r>
  <r>
    <s v="Marius LIBERT"/>
    <x v="3"/>
    <n v="-18.5"/>
    <n v="-5"/>
    <n v="0"/>
    <n v="-2"/>
    <s v=""/>
    <n v="-25.5"/>
  </r>
  <r>
    <s v="Sina MOVAGHAR"/>
    <x v="4"/>
    <n v="-11"/>
    <n v="-12"/>
    <n v="5.5"/>
    <n v="-4.5"/>
    <s v=""/>
    <n v="-22"/>
  </r>
  <r>
    <s v="Guillaume VAQUERO"/>
    <x v="0"/>
    <n v="-1"/>
    <n v="2.5"/>
    <n v="-19.5"/>
    <n v="-2.5"/>
    <s v=""/>
    <n v="-20.5"/>
  </r>
  <r>
    <s v="Nicolas FARNY"/>
    <x v="0"/>
    <n v="9"/>
    <n v="3"/>
    <n v="-19"/>
    <n v="-2"/>
    <s v=""/>
    <n v="-9"/>
  </r>
  <r>
    <s v="Solène MENARD"/>
    <x v="3"/>
    <n v="-15.5"/>
    <n v="-1"/>
    <n v="-0.5"/>
    <n v="-3"/>
    <s v=""/>
    <n v="-20"/>
  </r>
  <r>
    <s v="Roman ESQUERRE"/>
    <x v="4"/>
    <n v="-14"/>
    <n v="-2"/>
    <n v="-25.5"/>
    <n v="1.5"/>
    <s v=""/>
    <n v="-40"/>
  </r>
  <r>
    <s v="Boris WASIER"/>
    <x v="0"/>
    <n v="-9"/>
    <n v="-9.5"/>
    <n v="2"/>
    <n v="-15"/>
    <s v=""/>
    <n v="-31.5"/>
  </r>
  <r>
    <s v="Pierre MONCHALIN"/>
    <x v="7"/>
    <n v="-4"/>
    <n v="-1.5"/>
    <n v="-13.5"/>
    <n v="-2.5"/>
    <s v=""/>
    <n v="-21.5"/>
  </r>
  <r>
    <s v="Alice GUILABERT"/>
    <x v="7"/>
    <s v=""/>
    <n v="0"/>
    <n v="0"/>
    <n v="-22"/>
    <s v=""/>
    <n v="-22"/>
  </r>
  <r>
    <s v="Antoine DENIE"/>
    <x v="4"/>
    <n v="-4.5"/>
    <n v="-8"/>
    <n v="-1.5"/>
    <n v="-14"/>
    <s v=""/>
    <n v="-28"/>
  </r>
  <r>
    <s v="Camille DURAND"/>
    <x v="1"/>
    <n v="-11.5"/>
    <n v="-6"/>
    <n v="-6"/>
    <n v="3.5"/>
    <s v=""/>
    <n v="-20"/>
  </r>
  <r>
    <s v="Fatima Zohra OUTALHA"/>
    <x v="3"/>
    <n v="0"/>
    <n v="-4.5"/>
    <n v="-3"/>
    <n v="0.5"/>
    <s v=""/>
    <n v="-7"/>
  </r>
  <r>
    <s v="Théo ROCH"/>
    <x v="4"/>
    <n v="2.5"/>
    <n v="-5"/>
    <n v="-3"/>
    <n v="-12"/>
    <s v=""/>
    <n v="-17.5"/>
  </r>
  <r>
    <s v="Jonathan GERARDIN"/>
    <x v="5"/>
    <n v="2.5"/>
    <n v="-0.5"/>
    <n v="-6.5"/>
    <n v="-2"/>
    <n v="4"/>
    <n v="-2.5"/>
  </r>
  <r>
    <s v="Jonathan SARPAUX"/>
    <x v="1"/>
    <n v="-7"/>
    <n v="-4"/>
    <n v="-3"/>
    <n v="-5"/>
    <s v=""/>
    <n v="-19"/>
  </r>
  <r>
    <s v="Karim ISKANDER"/>
    <x v="1"/>
    <n v="-11"/>
    <n v="-1"/>
    <n v="-4.5"/>
    <n v="-9"/>
    <s v=""/>
    <n v="-25.5"/>
  </r>
  <r>
    <s v="Anthony CORNU"/>
    <x v="5"/>
    <n v="-2.5"/>
    <n v="-6"/>
    <n v="-5"/>
    <n v="1"/>
    <n v="2.5"/>
    <n v="-10"/>
  </r>
  <r>
    <s v="Ignacio MARTIN VELASCO"/>
    <x v="5"/>
    <n v="-14"/>
    <n v="0"/>
    <n v="-7.5"/>
    <n v="-8"/>
    <n v="6"/>
    <n v="-23.5"/>
  </r>
  <r>
    <s v="Soline LE BLEVEC"/>
    <x v="5"/>
    <n v="-5"/>
    <n v="4"/>
    <n v="-18.5"/>
    <n v="-4"/>
    <n v="-6.5"/>
    <n v="-30"/>
  </r>
  <r>
    <s v="Jimmy GUERIN"/>
    <x v="4"/>
    <n v="-7.5"/>
    <n v="0"/>
    <n v="-7"/>
    <n v="4.5"/>
    <s v=""/>
    <n v="-10"/>
  </r>
  <r>
    <s v="Amine BENNEKROUF"/>
    <x v="3"/>
    <n v="0.5"/>
    <n v="0"/>
    <n v="-3"/>
    <n v="-6"/>
    <s v=""/>
    <n v="-8.5"/>
  </r>
  <r>
    <s v="Antoine FROMENTIN"/>
    <x v="8"/>
    <n v="-0.5"/>
    <n v="2.5"/>
    <n v="-1.5"/>
    <n v="-8"/>
    <s v=""/>
    <n v="-7.5"/>
  </r>
  <r>
    <s v="Yosr ABIDA"/>
    <x v="1"/>
    <n v="-9"/>
    <n v="-1"/>
    <n v="-1.5"/>
    <n v="-8.5"/>
    <s v=""/>
    <n v="-20"/>
  </r>
  <r>
    <s v="Cédric GUICHARD"/>
    <x v="0"/>
    <n v="-11.5"/>
    <n v="-1"/>
    <n v="4"/>
    <n v="-0.10000000000000142"/>
    <s v=""/>
    <n v="-8.6000000000000014"/>
  </r>
  <r>
    <s v="Julia FRANCO"/>
    <x v="4"/>
    <n v="-6.5"/>
    <n v="-1.5"/>
    <n v="-2"/>
    <n v="-9"/>
    <s v=""/>
    <n v="-19"/>
  </r>
  <r>
    <s v="Pauline SAUNIER"/>
    <x v="8"/>
    <n v="-4"/>
    <n v="0"/>
    <n v="-19"/>
    <n v="8.5"/>
    <s v=""/>
    <n v="-14.5"/>
  </r>
  <r>
    <s v="Rémi TANIWAKI"/>
    <x v="1"/>
    <n v="-4.5"/>
    <n v="-1"/>
    <n v="-2"/>
    <n v="-4"/>
    <s v=""/>
    <n v="-11.5"/>
  </r>
  <r>
    <s v="Alicia JAFFRE"/>
    <x v="2"/>
    <s v=""/>
    <n v="10"/>
    <n v="-17"/>
    <n v="-10"/>
    <s v=""/>
    <n v="-17"/>
  </r>
  <r>
    <s v="Quentin QUONIAM"/>
    <x v="0"/>
    <n v="-2.5"/>
    <n v="-13"/>
    <n v="9"/>
    <n v="-5"/>
    <s v=""/>
    <n v="-11.5"/>
  </r>
  <r>
    <s v="Pierre NARCE"/>
    <x v="7"/>
    <n v="-3.5"/>
    <n v="-6.5"/>
    <n v="-11.5"/>
    <n v="8"/>
    <s v=""/>
    <n v="-13.5"/>
  </r>
  <r>
    <s v="Julien FLOCH"/>
    <x v="1"/>
    <n v="3"/>
    <n v="3"/>
    <n v="-9"/>
    <n v="4.5"/>
    <s v=""/>
    <n v="1.5"/>
  </r>
  <r>
    <s v="Julie FERRANDO"/>
    <x v="7"/>
    <n v="2"/>
    <n v="-1"/>
    <n v="-3"/>
    <n v="-3"/>
    <s v=""/>
    <n v="-5"/>
  </r>
  <r>
    <s v="Nicolas MURAT"/>
    <x v="7"/>
    <n v="-1.5"/>
    <n v="-12.5"/>
    <n v="3"/>
    <n v="1.5"/>
    <s v=""/>
    <n v="-9.5"/>
  </r>
  <r>
    <s v="Arthur BIGNIER"/>
    <x v="0"/>
    <n v="1"/>
    <n v="4.5"/>
    <n v="3.5"/>
    <n v="-2"/>
    <s v=""/>
    <n v="7"/>
  </r>
  <r>
    <s v="Philibert DE MONTILLE"/>
    <x v="3"/>
    <n v="-6"/>
    <n v="-0.5"/>
    <n v="0"/>
    <n v="-1.5"/>
    <s v=""/>
    <n v="-8"/>
  </r>
  <r>
    <s v="Flora BRUYERE"/>
    <x v="2"/>
    <n v="-3.5"/>
    <n v="-4"/>
    <n v="-2"/>
    <n v="-3.5"/>
    <s v=""/>
    <n v="-13"/>
  </r>
  <r>
    <s v="Gaël PEZIER"/>
    <x v="2"/>
    <n v="-18.5"/>
    <n v="1"/>
    <n v="-3"/>
    <n v="-3"/>
    <s v=""/>
    <n v="-23.5"/>
  </r>
  <r>
    <s v="Margot KOHL"/>
    <x v="2"/>
    <n v="2"/>
    <n v="-6.5"/>
    <n v="0"/>
    <n v="-3"/>
    <s v=""/>
    <n v="-7.5"/>
  </r>
  <r>
    <s v="Florence ESPITALIER"/>
    <x v="7"/>
    <n v="2"/>
    <n v="-5.5"/>
    <n v="-3.5"/>
    <n v="0"/>
    <s v=""/>
    <n v="-7"/>
  </r>
  <r>
    <s v="Frédéric CHAN"/>
    <x v="8"/>
    <n v="-7.5"/>
    <n v="-4"/>
    <n v="-4.5"/>
    <s v=""/>
    <s v=""/>
    <n v="-16"/>
  </r>
  <r>
    <s v="Willy TAN"/>
    <x v="2"/>
    <n v="7"/>
    <n v="5"/>
    <n v="-7"/>
    <n v="-9"/>
    <s v=""/>
    <n v="-4"/>
  </r>
  <r>
    <s v="Ange KAMDEM"/>
    <x v="5"/>
    <n v="9.5"/>
    <n v="4"/>
    <n v="-5.5"/>
    <n v="-2"/>
    <n v="-3"/>
    <n v="3"/>
  </r>
  <r>
    <s v="Faustine COMBAULT"/>
    <x v="4"/>
    <n v="-23"/>
    <n v="0"/>
    <n v="-7.5"/>
    <s v=""/>
    <s v=""/>
    <n v="-30.5"/>
  </r>
  <r>
    <s v="Laura JEANNIN"/>
    <x v="7"/>
    <n v="11.5"/>
    <n v="1.5"/>
    <n v="0"/>
    <n v="-1"/>
    <s v=""/>
    <n v="12"/>
  </r>
  <r>
    <s v="Vérane CHOAIN"/>
    <x v="5"/>
    <n v="-2.5"/>
    <n v="0"/>
    <n v="-7"/>
    <s v=""/>
    <s v=""/>
    <n v="-9.5"/>
  </r>
  <r>
    <s v="Marine SELY"/>
    <x v="8"/>
    <n v="0"/>
    <n v="-0.5"/>
    <n v="-3.5"/>
    <n v="0"/>
    <s v=""/>
    <n v="-4"/>
  </r>
  <r>
    <s v="Valérie WITTORSKI"/>
    <x v="8"/>
    <n v="0"/>
    <n v="-1"/>
    <n v="0.5"/>
    <n v="-4.5"/>
    <s v=""/>
    <n v="-5"/>
  </r>
  <r>
    <s v="Isadora NGUYEN VAN KHAN"/>
    <x v="1"/>
    <n v="2.5"/>
    <n v="-5"/>
    <n v="0"/>
    <s v=""/>
    <s v=""/>
    <n v="-2.5"/>
  </r>
  <r>
    <s v="Nolwenn DELORD"/>
    <x v="7"/>
    <n v="2.5"/>
    <n v="0"/>
    <n v="0"/>
    <n v="0"/>
    <s v=""/>
    <n v="2.5"/>
  </r>
  <r>
    <s v="Anthony LORA"/>
    <x v="0"/>
    <n v="-4.5"/>
    <n v="0"/>
    <n v="-1.5"/>
    <n v="0"/>
    <s v=""/>
    <n v="-6"/>
  </r>
  <r>
    <s v="Farah MOHAMADI"/>
    <x v="1"/>
    <s v=""/>
    <n v="0"/>
    <n v="0"/>
    <n v="-2.5"/>
    <s v=""/>
    <n v="-2.5"/>
  </r>
  <r>
    <s v="Guillaume PICARD"/>
    <x v="2"/>
    <n v="2"/>
    <n v="-4"/>
    <n v="-1"/>
    <n v="2"/>
    <s v=""/>
    <n v="-1"/>
  </r>
  <r>
    <s v="Gwenaëlle DEPLANTE"/>
    <x v="1"/>
    <n v="-1"/>
    <n v="0"/>
    <n v="-4"/>
    <s v=""/>
    <s v=""/>
    <n v="-5"/>
  </r>
  <r>
    <s v="Clément VINCENT"/>
    <x v="7"/>
    <n v="0"/>
    <n v="0"/>
    <n v="-0.5"/>
    <n v="-0.5"/>
    <s v=""/>
    <n v="-1"/>
  </r>
  <r>
    <s v="Christophe LOEUR"/>
    <x v="5"/>
    <n v="-10.5"/>
    <n v="7"/>
    <n v="-3.5"/>
    <n v="-2"/>
    <n v="-21"/>
    <n v="-30"/>
  </r>
  <r>
    <s v="Lamiae DRIDRI"/>
    <x v="5"/>
    <n v="7"/>
    <n v="-2"/>
    <n v="-4"/>
    <n v="3.5"/>
    <s v=""/>
    <n v="4.5"/>
  </r>
  <r>
    <s v="Matthieu SENN"/>
    <x v="1"/>
    <n v="-1.5"/>
    <n v="-1.5"/>
    <n v="0"/>
    <n v="0"/>
    <s v=""/>
    <n v="-3"/>
  </r>
  <r>
    <s v="Zineb MEZGUELDI"/>
    <x v="8"/>
    <n v="-2.5"/>
    <n v="0"/>
    <n v="7"/>
    <n v="0.5"/>
    <s v=""/>
    <n v="5"/>
  </r>
  <r>
    <s v="Jad ZGHEIB"/>
    <x v="2"/>
    <n v="0"/>
    <n v="0.5"/>
    <n v="0"/>
    <n v="0"/>
    <s v=""/>
    <n v="0.5"/>
  </r>
  <r>
    <s v="Kevin MAURICE"/>
    <x v="7"/>
    <s v=""/>
    <s v=""/>
    <s v=""/>
    <n v="-0.5"/>
    <s v=""/>
    <n v="-0.5"/>
  </r>
  <r>
    <s v="Guillaume COURTEMANCHE"/>
    <x v="2"/>
    <s v=""/>
    <s v=""/>
    <s v=""/>
    <s v=""/>
    <s v=""/>
    <n v="0"/>
  </r>
  <r>
    <s v="Lucas-Pierre CAPELLE"/>
    <x v="7"/>
    <s v=""/>
    <s v=""/>
    <s v=""/>
    <n v="0"/>
    <s v=""/>
    <n v="0"/>
  </r>
  <r>
    <s v="Quentin DUMONT"/>
    <x v="7"/>
    <s v=""/>
    <s v=""/>
    <s v=""/>
    <n v="0"/>
    <s v=""/>
    <n v="0"/>
  </r>
  <r>
    <s v="Guillaume CHASSARD"/>
    <x v="1"/>
    <n v="0"/>
    <n v="0"/>
    <n v="0"/>
    <n v="0"/>
    <s v=""/>
    <n v="0"/>
  </r>
  <r>
    <s v="Emilie DURAND"/>
    <x v="1"/>
    <s v=""/>
    <s v=""/>
    <s v=""/>
    <n v="0"/>
    <s v=""/>
    <n v="0"/>
  </r>
  <r>
    <s v="Benoit DARDE"/>
    <x v="1"/>
    <s v=""/>
    <n v="0"/>
    <n v="0"/>
    <n v="0"/>
    <s v=""/>
    <n v="0"/>
  </r>
  <r>
    <s v="Ombeline NEYRAND"/>
    <x v="3"/>
    <n v="7"/>
    <n v="1"/>
    <n v="-1"/>
    <n v="0"/>
    <s v=""/>
    <n v="7"/>
  </r>
  <r>
    <s v="Martin FLOURENS"/>
    <x v="3"/>
    <s v=""/>
    <s v=""/>
    <s v=""/>
    <n v="0"/>
    <s v=""/>
    <n v="0"/>
  </r>
  <r>
    <s v="Alice FAUROUX"/>
    <x v="4"/>
    <n v="0"/>
    <n v="0"/>
    <s v=""/>
    <s v=""/>
    <s v=""/>
    <n v="0"/>
  </r>
  <r>
    <s v="Eva ROSILIO"/>
    <x v="6"/>
    <n v="0"/>
    <n v="0"/>
    <s v=""/>
    <s v=""/>
    <s v=""/>
    <n v="0"/>
  </r>
  <r>
    <s v="Faustine TIRINZONI"/>
    <x v="3"/>
    <m/>
    <n v="0"/>
    <s v=""/>
    <s v=""/>
    <s v=""/>
    <n v="0"/>
  </r>
  <r>
    <s v="Hélène CHATROUSSE"/>
    <x v="6"/>
    <n v="0"/>
    <n v="0"/>
    <n v="0"/>
    <n v="0"/>
    <s v=""/>
    <n v="0"/>
  </r>
  <r>
    <s v="Marion GERIN-ROZE"/>
    <x v="5"/>
    <m/>
    <n v="0"/>
    <s v=""/>
    <s v=""/>
    <s v=""/>
    <n v="0"/>
  </r>
  <r>
    <s v="Othmane KHARBACH"/>
    <x v="8"/>
    <n v="2"/>
    <n v="0"/>
    <n v="0"/>
    <s v=""/>
    <s v=""/>
    <n v="2"/>
  </r>
  <r>
    <s v="Sandrine CHAILLEY"/>
    <x v="6"/>
    <n v="0"/>
    <n v="0"/>
    <n v="0"/>
    <n v="0"/>
    <s v=""/>
    <n v="0"/>
  </r>
  <r>
    <s v="Marc DE MONTGOLFIER"/>
    <x v="6"/>
    <s v=""/>
    <n v="0"/>
    <n v="0"/>
    <n v="1"/>
    <s v=""/>
    <n v="1"/>
  </r>
  <r>
    <s v="Rebecca LARRIVEE"/>
    <x v="3"/>
    <n v="-1.5"/>
    <n v="2.5"/>
    <n v="3.5"/>
    <n v="0"/>
    <s v=""/>
    <n v="4.5"/>
  </r>
  <r>
    <s v="Laurent BELLEFIN"/>
    <x v="6"/>
    <n v="-1"/>
    <n v="2"/>
    <s v=""/>
    <n v="0"/>
    <s v=""/>
    <n v="1"/>
  </r>
  <r>
    <s v="Patrick HIRIGOYEN"/>
    <x v="1"/>
    <n v="0"/>
    <n v="0.5"/>
    <n v="2"/>
    <s v=""/>
    <s v=""/>
    <n v="2.5"/>
  </r>
  <r>
    <s v="Azza LASSOUED"/>
    <x v="4"/>
    <s v=""/>
    <n v="0"/>
    <n v="-2"/>
    <n v="2"/>
    <s v=""/>
    <n v="0"/>
  </r>
  <r>
    <s v="Fabrice AUSTRUY"/>
    <x v="0"/>
    <n v="-1"/>
    <n v="6.5"/>
    <n v="4"/>
    <n v="-0.5"/>
    <s v=""/>
    <n v="9"/>
  </r>
  <r>
    <s v="Harrison LECHEVALLIER"/>
    <x v="3"/>
    <n v="-5"/>
    <n v="4"/>
    <n v="-3"/>
    <n v="2"/>
    <s v=""/>
    <n v="-2"/>
  </r>
  <r>
    <s v="Etienne BELLITTO"/>
    <x v="0"/>
    <n v="4.5"/>
    <n v="0"/>
    <n v="-13"/>
    <n v="16.5"/>
    <s v=""/>
    <n v="8"/>
  </r>
  <r>
    <s v="Alexia BROS"/>
    <x v="3"/>
    <n v="-0.5"/>
    <n v="4.5"/>
    <n v="2"/>
    <n v="3.5"/>
    <s v=""/>
    <n v="9.5"/>
  </r>
  <r>
    <s v="Marin PIGANEAU"/>
    <x v="0"/>
    <n v="-4"/>
    <n v="-11.5"/>
    <n v="1"/>
    <n v="-1"/>
    <s v=""/>
    <n v="-15.5"/>
  </r>
  <r>
    <s v="Thibault MORISSEAU"/>
    <x v="8"/>
    <n v="-3"/>
    <n v="-1.5"/>
    <n v="0"/>
    <n v="10"/>
    <s v=""/>
    <n v="5.5"/>
  </r>
  <r>
    <s v="Valentin DAVAUDET"/>
    <x v="3"/>
    <n v="0"/>
    <n v="15.5"/>
    <n v="6"/>
    <n v="-10.5"/>
    <s v=""/>
    <n v="11"/>
  </r>
  <r>
    <s v="Amaury LECOMTE"/>
    <x v="1"/>
    <n v="0"/>
    <n v="15.5"/>
    <n v="0"/>
    <n v="-3"/>
    <s v=""/>
    <n v="12.5"/>
  </r>
  <r>
    <s v="Mathilde JÉGOU"/>
    <x v="7"/>
    <n v="0"/>
    <n v="0"/>
    <n v="0"/>
    <n v="5"/>
    <s v=""/>
    <n v="5"/>
  </r>
  <r>
    <s v="Florence NOIZET"/>
    <x v="3"/>
    <n v="4.5"/>
    <n v="8"/>
    <n v="3"/>
    <n v="-8.5"/>
    <s v=""/>
    <n v="7"/>
  </r>
  <r>
    <s v="Marie CHAMOUSSET"/>
    <x v="6"/>
    <m/>
    <n v="0"/>
    <s v=""/>
    <n v="12"/>
    <s v=""/>
    <n v="12"/>
  </r>
  <r>
    <s v="Gaël LACOSTE"/>
    <x v="1"/>
    <n v="-2"/>
    <n v="0.5"/>
    <n v="3"/>
    <n v="1"/>
    <s v=""/>
    <n v="2.5"/>
  </r>
  <r>
    <s v="Théophile PAHLAWAN"/>
    <x v="8"/>
    <n v="0"/>
    <n v="0"/>
    <n v="-3"/>
    <n v="12"/>
    <s v=""/>
    <n v="9"/>
  </r>
  <r>
    <s v="Jean-Baptiste DUBOIS"/>
    <x v="8"/>
    <n v="-3"/>
    <n v="1.5"/>
    <n v="2.5"/>
    <n v="20"/>
    <s v=""/>
    <n v="21"/>
  </r>
  <r>
    <s v="Marion LARHANTEC"/>
    <x v="2"/>
    <n v="-2.5"/>
    <n v="14.5"/>
    <n v="-1"/>
    <n v="-1.5"/>
    <s v=""/>
    <n v="9.5"/>
  </r>
  <r>
    <s v="Marine GATELLIER"/>
    <x v="8"/>
    <s v=""/>
    <n v="18"/>
    <n v="0"/>
    <n v="0"/>
    <s v=""/>
    <n v="18"/>
  </r>
  <r>
    <s v="Pierre LEJEUNE"/>
    <x v="8"/>
    <n v="2.5"/>
    <n v="4.5"/>
    <n v="0.5"/>
    <n v="10"/>
    <s v=""/>
    <n v="17.5"/>
  </r>
  <r>
    <s v="Marion PLESSIS-LUCIANI"/>
    <x v="5"/>
    <s v=""/>
    <n v="17"/>
    <n v="10"/>
    <n v="-4"/>
    <n v="-2"/>
    <n v="21"/>
  </r>
  <r>
    <s v="Godefroy DENORMANDIE"/>
    <x v="0"/>
    <n v="-14"/>
    <n v="2"/>
    <n v="-5"/>
    <n v="11"/>
    <s v=""/>
    <n v="-6"/>
  </r>
  <r>
    <s v="Yannick TAUPIAC"/>
    <x v="4"/>
    <n v="10.5"/>
    <n v="14.5"/>
    <n v="11.5"/>
    <n v="18"/>
    <s v=""/>
    <n v="54.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4">
  <r>
    <s v="000021793"/>
    <s v="Abdelali TEMSAMANI"/>
    <x v="0"/>
    <x v="0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066"/>
    <s v="Abdoul NDIAYE"/>
    <x v="1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525"/>
    <s v="Abir BADREDDINE"/>
    <x v="2"/>
    <x v="2"/>
    <s v="Non"/>
    <n v="4"/>
    <s v=""/>
    <n v="16"/>
    <n v="0"/>
    <n v="0"/>
    <e v="#REF!"/>
    <s v=""/>
    <s v=""/>
    <s v=""/>
    <n v="6"/>
    <n v="14"/>
    <n v="0"/>
    <n v="-2"/>
    <n v="2"/>
    <n v="0"/>
    <n v="0"/>
    <n v="0"/>
    <x v="2"/>
    <n v="0"/>
    <n v="0"/>
    <n v="-2"/>
    <m/>
    <m/>
    <m/>
    <m/>
    <m/>
  </r>
  <r>
    <s v="000020832"/>
    <s v="Achille BILLAUT"/>
    <x v="1"/>
    <x v="1"/>
    <s v="Non"/>
    <n v="15.5"/>
    <s v=""/>
    <n v="4.5"/>
    <n v="0"/>
    <n v="0"/>
    <e v="#REF!"/>
    <s v=""/>
    <s v=""/>
    <s v=""/>
    <n v="16"/>
    <n v="4"/>
    <n v="0"/>
    <n v="-0.5"/>
    <n v="0.5"/>
    <n v="0"/>
    <n v="0"/>
    <n v="0"/>
    <x v="2"/>
    <n v="0"/>
    <n v="0"/>
    <n v="-0.5"/>
    <m/>
    <m/>
    <m/>
    <m/>
    <m/>
  </r>
  <r>
    <s v="000014704"/>
    <s v="Achraf LEABERRAT"/>
    <x v="3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656"/>
    <s v="Adam AQUESBI"/>
    <x v="4"/>
    <x v="3"/>
    <s v="Non"/>
    <n v="0"/>
    <s v=""/>
    <n v="20"/>
    <n v="0"/>
    <n v="0"/>
    <e v="#REF!"/>
    <s v=""/>
    <s v=""/>
    <s v=""/>
    <n v="20"/>
    <n v="0"/>
    <n v="0"/>
    <n v="-20"/>
    <n v="20"/>
    <n v="0"/>
    <n v="0"/>
    <n v="0"/>
    <x v="3"/>
    <n v="0"/>
    <n v="15"/>
    <n v="-5"/>
    <m/>
    <m/>
    <m/>
    <m/>
    <m/>
  </r>
  <r>
    <s v="000016077"/>
    <s v="Adam BENICHOU"/>
    <x v="5"/>
    <x v="4"/>
    <s v="Non"/>
    <n v="6"/>
    <s v=""/>
    <n v="9"/>
    <n v="5"/>
    <n v="0"/>
    <e v="#REF!"/>
    <s v=""/>
    <s v=""/>
    <s v=""/>
    <n v="15"/>
    <n v="0"/>
    <n v="5"/>
    <n v="-9"/>
    <n v="9"/>
    <n v="0"/>
    <n v="0"/>
    <n v="0"/>
    <x v="2"/>
    <n v="0"/>
    <n v="0"/>
    <n v="-9"/>
    <m/>
    <m/>
    <m/>
    <m/>
    <m/>
  </r>
  <r>
    <s v="000021807"/>
    <s v="Adam SFAXI"/>
    <x v="6"/>
    <x v="1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0752"/>
    <s v="Adama NANA"/>
    <x v="7"/>
    <x v="2"/>
    <s v="Non"/>
    <n v="1"/>
    <s v=""/>
    <n v="17"/>
    <n v="2"/>
    <n v="0"/>
    <e v="#REF!"/>
    <s v=""/>
    <s v=""/>
    <s v=""/>
    <n v="1"/>
    <n v="17"/>
    <n v="2"/>
    <n v="0"/>
    <n v="0"/>
    <n v="0"/>
    <n v="0"/>
    <n v="0"/>
    <x v="0"/>
    <n v="0"/>
    <n v="0"/>
    <n v="0"/>
    <m/>
    <m/>
    <m/>
    <m/>
    <m/>
  </r>
  <r>
    <s v="000021362"/>
    <s v="Adovi FOLLY-ABLA"/>
    <x v="4"/>
    <x v="3"/>
    <s v="Non"/>
    <n v="3.5"/>
    <s v=""/>
    <n v="16.5"/>
    <n v="0"/>
    <n v="0"/>
    <e v="#REF!"/>
    <s v=""/>
    <s v=""/>
    <s v=""/>
    <n v="3"/>
    <n v="17"/>
    <n v="0"/>
    <n v="0.5"/>
    <n v="-0.5"/>
    <n v="0"/>
    <n v="0"/>
    <n v="0"/>
    <x v="0"/>
    <n v="0"/>
    <n v="0"/>
    <n v="0.5"/>
    <m/>
    <m/>
    <m/>
    <m/>
    <m/>
  </r>
  <r>
    <s v="000014448"/>
    <s v="Adrien BEGEL"/>
    <x v="0"/>
    <x v="0"/>
    <s v="Non"/>
    <n v="0"/>
    <s v=""/>
    <n v="10"/>
    <n v="0"/>
    <n v="10"/>
    <e v="#REF!"/>
    <s v=""/>
    <s v=""/>
    <s v=""/>
    <n v="0"/>
    <n v="10"/>
    <n v="0"/>
    <n v="0"/>
    <n v="0"/>
    <n v="0"/>
    <n v="0"/>
    <n v="0"/>
    <x v="0"/>
    <n v="0"/>
    <n v="0"/>
    <n v="0"/>
    <m/>
    <m/>
    <m/>
    <m/>
    <m/>
  </r>
  <r>
    <s v="000022485"/>
    <s v="Adrien DUBOIS"/>
    <x v="8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217"/>
    <s v="Adrien SEMAAN"/>
    <x v="9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3131"/>
    <s v="Adrien VEAUX"/>
    <x v="10"/>
    <x v="4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m/>
    <m/>
  </r>
  <r>
    <s v="000021264"/>
    <s v="Agathe ALLIROL--BINET"/>
    <x v="4"/>
    <x v="3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4511"/>
    <s v="Aida SARR"/>
    <x v="11"/>
    <x v="3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6422"/>
    <s v="Aiman BOUYAHYA"/>
    <x v="12"/>
    <x v="6"/>
    <s v="Non"/>
    <n v="17"/>
    <s v=""/>
    <n v="0"/>
    <n v="3"/>
    <n v="0"/>
    <e v="#REF!"/>
    <s v=""/>
    <s v=""/>
    <s v=""/>
    <n v="18"/>
    <n v="0"/>
    <n v="2"/>
    <n v="-1"/>
    <n v="0"/>
    <n v="1"/>
    <n v="0"/>
    <n v="0"/>
    <x v="1"/>
    <n v="1"/>
    <n v="0"/>
    <n v="-1"/>
    <m/>
    <m/>
    <m/>
    <m/>
    <m/>
  </r>
  <r>
    <s v="000020786"/>
    <s v="Alae EL KETTANI"/>
    <x v="3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2173"/>
    <s v="Alanis HYON-LE GOURRIEREC"/>
    <x v="13"/>
    <x v="0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01371"/>
    <s v="Alban DE BELENET"/>
    <x v="14"/>
    <x v="7"/>
    <s v="Non"/>
    <n v="8"/>
    <s v=""/>
    <n v="12"/>
    <n v="0"/>
    <n v="0"/>
    <e v="#REF!"/>
    <s v=""/>
    <s v=""/>
    <s v=""/>
    <n v="20"/>
    <n v="0"/>
    <n v="0"/>
    <n v="-12"/>
    <n v="12"/>
    <n v="0"/>
    <n v="0"/>
    <n v="0"/>
    <x v="3"/>
    <n v="0"/>
    <n v="12"/>
    <n v="0"/>
    <m/>
    <m/>
    <m/>
    <m/>
    <m/>
  </r>
  <r>
    <s v="000021167"/>
    <s v="Alban DUSSART"/>
    <x v="2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005"/>
    <s v="Alberto MARITAN"/>
    <x v="2"/>
    <x v="2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4960"/>
    <s v="Alejandro TORRES TORO"/>
    <x v="0"/>
    <x v="0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20650"/>
    <s v="Alessio LIN"/>
    <x v="7"/>
    <x v="2"/>
    <s v="Non"/>
    <n v="0"/>
    <s v=""/>
    <n v="19"/>
    <n v="1"/>
    <n v="0"/>
    <e v="#REF!"/>
    <s v=""/>
    <s v=""/>
    <s v=""/>
    <n v="0"/>
    <n v="19"/>
    <n v="1"/>
    <n v="0"/>
    <n v="0"/>
    <n v="0"/>
    <n v="0"/>
    <n v="0"/>
    <x v="0"/>
    <n v="0"/>
    <n v="0"/>
    <n v="0"/>
    <m/>
    <m/>
    <m/>
    <m/>
    <m/>
  </r>
  <r>
    <s v="000017060"/>
    <s v="Alex KRIEF"/>
    <x v="15"/>
    <x v="0"/>
    <s v="Non"/>
    <n v="0"/>
    <s v=""/>
    <n v="14"/>
    <n v="6"/>
    <n v="0"/>
    <e v="#REF!"/>
    <s v=""/>
    <s v=""/>
    <s v=""/>
    <n v="0"/>
    <n v="15"/>
    <n v="5"/>
    <n v="0"/>
    <n v="-1"/>
    <n v="1"/>
    <n v="0"/>
    <n v="0"/>
    <x v="2"/>
    <n v="0"/>
    <n v="0"/>
    <n v="0"/>
    <m/>
    <m/>
    <m/>
    <m/>
    <m/>
  </r>
  <r>
    <s v="000021446"/>
    <s v="Alexandre BENNES"/>
    <x v="6"/>
    <x v="1"/>
    <s v="Non"/>
    <n v="17"/>
    <s v=""/>
    <n v="3"/>
    <n v="0"/>
    <n v="0"/>
    <e v="#REF!"/>
    <s v=""/>
    <s v=""/>
    <s v=""/>
    <n v="20"/>
    <n v="0"/>
    <n v="0"/>
    <n v="-3"/>
    <n v="3"/>
    <n v="0"/>
    <n v="0"/>
    <n v="0"/>
    <x v="2"/>
    <n v="0"/>
    <n v="0"/>
    <n v="-3"/>
    <m/>
    <m/>
    <m/>
    <m/>
    <m/>
  </r>
  <r>
    <s v="000021526"/>
    <s v="Alexandre BONZI"/>
    <x v="16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0723"/>
    <s v="Alexandre FERON"/>
    <x v="17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990"/>
    <s v="Alexandre LOUVET MIAJA"/>
    <x v="9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286"/>
    <s v="Alexandre PARTOUCHE"/>
    <x v="18"/>
    <x v="6"/>
    <s v="Non"/>
    <n v="19"/>
    <s v=""/>
    <n v="1"/>
    <n v="0"/>
    <n v="0"/>
    <e v="#REF!"/>
    <s v=""/>
    <s v=""/>
    <s v=""/>
    <n v="19"/>
    <n v="1"/>
    <n v="0"/>
    <n v="0"/>
    <n v="0"/>
    <n v="0"/>
    <n v="0"/>
    <n v="0"/>
    <x v="0"/>
    <n v="0"/>
    <n v="0"/>
    <n v="0"/>
    <m/>
    <m/>
    <m/>
    <m/>
    <m/>
  </r>
  <r>
    <s v="000009536"/>
    <s v="Alexandre PENLOUP"/>
    <x v="19"/>
    <x v="8"/>
    <s v="Non"/>
    <n v="0"/>
    <s v=""/>
    <n v="14"/>
    <n v="6"/>
    <n v="0"/>
    <e v="#REF!"/>
    <s v=""/>
    <s v=""/>
    <s v=""/>
    <n v="0"/>
    <n v="14"/>
    <n v="6"/>
    <n v="0"/>
    <n v="0"/>
    <n v="0"/>
    <n v="0"/>
    <n v="0"/>
    <x v="0"/>
    <n v="0"/>
    <n v="0"/>
    <n v="0"/>
    <m/>
    <m/>
    <m/>
    <m/>
    <m/>
  </r>
  <r>
    <s v="000011656"/>
    <s v="Alexandre VAN WESEL"/>
    <x v="17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848"/>
    <s v="Alexia BESNARD"/>
    <x v="20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5672"/>
    <s v="Alexia BROS"/>
    <x v="21"/>
    <x v="4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4806"/>
    <s v="Alexia OTTMANN"/>
    <x v="10"/>
    <x v="4"/>
    <s v="Non"/>
    <n v="0"/>
    <s v=""/>
    <n v="12"/>
    <n v="0"/>
    <n v="8"/>
    <e v="#REF!"/>
    <s v=""/>
    <s v=""/>
    <s v=""/>
    <n v="0"/>
    <n v="12"/>
    <n v="0"/>
    <n v="0"/>
    <n v="0"/>
    <n v="0"/>
    <n v="0"/>
    <n v="0"/>
    <x v="0"/>
    <n v="0"/>
    <n v="0"/>
    <n v="0"/>
    <m/>
    <m/>
    <m/>
    <m/>
    <m/>
  </r>
  <r>
    <s v="000014539"/>
    <s v="Alexia VACHERON"/>
    <x v="22"/>
    <x v="2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4"/>
    <n v="0"/>
    <n v="0"/>
    <n v="-1"/>
    <m/>
    <m/>
    <m/>
    <m/>
    <m/>
  </r>
  <r>
    <s v="000018026"/>
    <s v="Alexia WEHRLE"/>
    <x v="23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1711"/>
    <s v="Alexis POUJOL"/>
    <x v="24"/>
    <x v="2"/>
    <s v="Non"/>
    <n v="13"/>
    <s v=""/>
    <n v="1"/>
    <n v="6"/>
    <n v="0"/>
    <e v="#REF!"/>
    <s v=""/>
    <s v=""/>
    <s v=""/>
    <n v="14"/>
    <n v="0"/>
    <n v="6"/>
    <n v="-1"/>
    <n v="1"/>
    <n v="0"/>
    <n v="0"/>
    <n v="0"/>
    <x v="2"/>
    <n v="0"/>
    <n v="0"/>
    <n v="-1"/>
    <m/>
    <m/>
    <m/>
    <m/>
    <m/>
  </r>
  <r>
    <s v="000011614"/>
    <s v="Ali BOUJDARIA"/>
    <x v="25"/>
    <x v="0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1445"/>
    <s v="Alice GUILABERT"/>
    <x v="22"/>
    <x v="2"/>
    <s v="Oui"/>
    <n v="10"/>
    <s v=""/>
    <n v="9"/>
    <n v="1"/>
    <n v="0"/>
    <e v="#REF!"/>
    <s v=""/>
    <s v=""/>
    <s v=""/>
    <n v="10"/>
    <n v="9"/>
    <n v="1"/>
    <n v="0"/>
    <n v="0"/>
    <n v="0"/>
    <n v="0"/>
    <n v="0"/>
    <x v="0"/>
    <n v="0"/>
    <n v="0"/>
    <n v="0"/>
    <m/>
    <m/>
    <m/>
    <m/>
    <m/>
  </r>
  <r>
    <s v="000013175"/>
    <s v="Alicia JAFFRE"/>
    <x v="26"/>
    <x v="3"/>
    <s v="Oui"/>
    <n v="0.5"/>
    <s v=""/>
    <n v="19.5"/>
    <n v="0"/>
    <n v="0"/>
    <e v="#REF!"/>
    <s v=""/>
    <s v=""/>
    <s v=""/>
    <n v="1"/>
    <n v="19"/>
    <n v="0"/>
    <n v="-0.5"/>
    <n v="0.5"/>
    <n v="0"/>
    <n v="0"/>
    <n v="0"/>
    <x v="2"/>
    <n v="0"/>
    <n v="0"/>
    <n v="-0.5"/>
    <m/>
    <m/>
    <m/>
    <m/>
    <m/>
  </r>
  <r>
    <s v="000016527"/>
    <s v="Alphonse MELTZ"/>
    <x v="0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2043"/>
    <s v="Amaury LECOMTE"/>
    <x v="27"/>
    <x v="4"/>
    <s v="Oui"/>
    <n v="16.5"/>
    <s v=""/>
    <n v="3"/>
    <n v="0.5"/>
    <n v="0"/>
    <e v="#REF!"/>
    <s v=""/>
    <s v=""/>
    <s v=""/>
    <n v="15"/>
    <n v="4.5"/>
    <n v="0.5"/>
    <n v="1.5"/>
    <n v="-1.5"/>
    <n v="0"/>
    <n v="0"/>
    <n v="0"/>
    <x v="0"/>
    <n v="0"/>
    <n v="0"/>
    <n v="1.5"/>
    <m/>
    <m/>
    <m/>
    <m/>
    <m/>
  </r>
  <r>
    <s v="000015872"/>
    <s v="Amina CHELYAH"/>
    <x v="28"/>
    <x v="8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2088"/>
    <s v="Amine BENNEKROUF"/>
    <x v="29"/>
    <x v="5"/>
    <s v="Oui"/>
    <n v="8.5"/>
    <s v=""/>
    <n v="10"/>
    <n v="1.5"/>
    <n v="0"/>
    <e v="#REF!"/>
    <s v=""/>
    <s v=""/>
    <s v=""/>
    <n v="7.5"/>
    <n v="11.5"/>
    <n v="1"/>
    <n v="1"/>
    <n v="-1.5"/>
    <n v="0.5"/>
    <n v="0"/>
    <n v="0"/>
    <x v="2"/>
    <n v="0"/>
    <n v="0"/>
    <n v="1"/>
    <m/>
    <m/>
    <m/>
    <m/>
    <m/>
  </r>
  <r>
    <s v="000015713"/>
    <s v="Amine BOUHELAL"/>
    <x v="30"/>
    <x v="7"/>
    <s v="Non"/>
    <n v="10"/>
    <s v=""/>
    <n v="8.5"/>
    <n v="1.5"/>
    <n v="0"/>
    <e v="#REF!"/>
    <s v=""/>
    <s v=""/>
    <s v=""/>
    <n v="10"/>
    <n v="8.5"/>
    <n v="1.5"/>
    <n v="0"/>
    <n v="0"/>
    <n v="0"/>
    <n v="0"/>
    <n v="0"/>
    <x v="0"/>
    <n v="0"/>
    <n v="0"/>
    <n v="0"/>
    <m/>
    <m/>
    <m/>
    <m/>
    <m/>
  </r>
  <r>
    <s v="000017061"/>
    <s v="Amine GUENNOUNI"/>
    <x v="7"/>
    <x v="2"/>
    <s v="Non"/>
    <n v="16.5"/>
    <s v=""/>
    <n v="0"/>
    <n v="3.5"/>
    <n v="0"/>
    <e v="#REF!"/>
    <s v=""/>
    <s v=""/>
    <s v=""/>
    <n v="16.5"/>
    <n v="0"/>
    <n v="3.5"/>
    <n v="0"/>
    <n v="0"/>
    <n v="0"/>
    <n v="0"/>
    <n v="0"/>
    <x v="1"/>
    <n v="0"/>
    <n v="0"/>
    <n v="0"/>
    <m/>
    <m/>
    <m/>
    <m/>
    <m/>
  </r>
  <r>
    <s v="000014104"/>
    <s v="Amira STOLERU"/>
    <x v="31"/>
    <x v="1"/>
    <s v="Non"/>
    <n v="14.5"/>
    <s v=""/>
    <n v="1"/>
    <n v="4.5"/>
    <n v="0"/>
    <e v="#REF!"/>
    <s v=""/>
    <s v=""/>
    <s v=""/>
    <n v="15"/>
    <n v="0.5"/>
    <n v="4.5"/>
    <n v="-0.5"/>
    <n v="0.5"/>
    <n v="0"/>
    <n v="0"/>
    <n v="0"/>
    <x v="2"/>
    <n v="0"/>
    <n v="0"/>
    <n v="-0.5"/>
    <m/>
    <m/>
    <m/>
    <m/>
    <m/>
  </r>
  <r>
    <s v="000013361"/>
    <s v="Anas BELRHAZI"/>
    <x v="24"/>
    <x v="2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6510"/>
    <s v="Anas SAMKAOUI"/>
    <x v="31"/>
    <x v="1"/>
    <s v="Non"/>
    <n v="10"/>
    <s v=""/>
    <n v="8"/>
    <n v="2"/>
    <n v="0"/>
    <e v="#REF!"/>
    <s v=""/>
    <s v=""/>
    <s v=""/>
    <n v="9"/>
    <n v="9"/>
    <n v="2"/>
    <n v="1"/>
    <n v="-1"/>
    <n v="0"/>
    <n v="0"/>
    <n v="0"/>
    <x v="0"/>
    <n v="0"/>
    <n v="0"/>
    <n v="1"/>
    <m/>
    <m/>
    <m/>
    <m/>
    <m/>
  </r>
  <r>
    <s v="000003769"/>
    <s v="Andrew SENKWENDA"/>
    <x v="32"/>
    <x v="3"/>
    <s v="Non"/>
    <n v="15"/>
    <s v=""/>
    <n v="5"/>
    <n v="0"/>
    <n v="0"/>
    <e v="#REF!"/>
    <s v=""/>
    <s v=""/>
    <s v=""/>
    <n v="20"/>
    <n v="0"/>
    <n v="0"/>
    <n v="-5"/>
    <n v="5"/>
    <n v="0"/>
    <n v="0"/>
    <n v="0"/>
    <x v="2"/>
    <n v="0"/>
    <n v="0"/>
    <n v="-5"/>
    <m/>
    <m/>
    <m/>
    <m/>
    <m/>
  </r>
  <r>
    <s v="000010238"/>
    <s v="Ange KAMDEM"/>
    <x v="33"/>
    <x v="7"/>
    <s v="Oui"/>
    <n v="6"/>
    <s v=""/>
    <n v="0"/>
    <n v="14"/>
    <n v="0"/>
    <e v="#REF!"/>
    <s v=""/>
    <s v=""/>
    <s v=""/>
    <n v="6"/>
    <n v="0"/>
    <n v="14"/>
    <n v="0"/>
    <n v="0"/>
    <n v="0"/>
    <n v="0"/>
    <n v="0"/>
    <x v="1"/>
    <n v="0"/>
    <n v="0"/>
    <n v="0"/>
    <m/>
    <m/>
    <m/>
    <m/>
    <m/>
  </r>
  <r>
    <s v="000018049"/>
    <s v="Anis TERKI"/>
    <x v="34"/>
    <x v="7"/>
    <s v="Non"/>
    <n v="12"/>
    <s v=""/>
    <n v="8"/>
    <n v="0"/>
    <n v="0"/>
    <e v="#REF!"/>
    <s v=""/>
    <s v=""/>
    <s v=""/>
    <n v="15"/>
    <n v="5"/>
    <n v="0"/>
    <n v="-3"/>
    <n v="3"/>
    <n v="0"/>
    <n v="0"/>
    <n v="0"/>
    <x v="2"/>
    <n v="0"/>
    <n v="0"/>
    <n v="-3"/>
    <m/>
    <m/>
    <m/>
    <m/>
    <m/>
  </r>
  <r>
    <s v="000002574"/>
    <s v="Anne DUFAUX"/>
    <x v="35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0502"/>
    <s v="Anne ROUSSEL"/>
    <x v="36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035"/>
    <s v="Anne-Sophie COULON"/>
    <x v="37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377"/>
    <s v="Anouchka BETTENDORF"/>
    <x v="8"/>
    <x v="5"/>
    <s v="Non"/>
    <n v="19.5"/>
    <s v=""/>
    <n v="0"/>
    <n v="0.5"/>
    <n v="0"/>
    <e v="#REF!"/>
    <s v=""/>
    <s v=""/>
    <s v=""/>
    <n v="20"/>
    <n v="-0.5"/>
    <n v="0.5"/>
    <n v="-0.5"/>
    <n v="0.5"/>
    <n v="0"/>
    <n v="0"/>
    <n v="0"/>
    <x v="1"/>
    <n v="0"/>
    <n v="0"/>
    <n v="-0.5"/>
    <m/>
    <m/>
    <m/>
    <m/>
    <m/>
  </r>
  <r>
    <s v="000010061"/>
    <s v="Anthony CORNU"/>
    <x v="17"/>
    <x v="7"/>
    <s v="Oui"/>
    <n v="16"/>
    <s v=""/>
    <n v="1"/>
    <n v="3"/>
    <n v="0"/>
    <e v="#REF!"/>
    <s v=""/>
    <s v=""/>
    <s v=""/>
    <n v="16"/>
    <n v="1"/>
    <n v="3"/>
    <n v="0"/>
    <n v="0"/>
    <n v="0"/>
    <n v="0"/>
    <n v="0"/>
    <x v="0"/>
    <n v="0"/>
    <n v="0"/>
    <n v="0"/>
    <m/>
    <m/>
    <m/>
    <m/>
    <m/>
  </r>
  <r>
    <s v="000012663"/>
    <s v="Anthony D'AGOSTINI"/>
    <x v="12"/>
    <x v="6"/>
    <s v="Non"/>
    <n v="13"/>
    <s v=""/>
    <n v="0"/>
    <n v="7"/>
    <n v="0"/>
    <e v="#REF!"/>
    <s v=""/>
    <s v=""/>
    <s v=""/>
    <n v="6"/>
    <n v="7"/>
    <n v="7"/>
    <n v="7"/>
    <n v="-7"/>
    <n v="0"/>
    <n v="0"/>
    <n v="0"/>
    <x v="1"/>
    <n v="0"/>
    <n v="0"/>
    <n v="7"/>
    <m/>
    <m/>
    <m/>
    <m/>
    <m/>
  </r>
  <r>
    <s v="000012755"/>
    <s v="Anthony GROHAR"/>
    <x v="38"/>
    <x v="3"/>
    <s v="Non"/>
    <n v="9.5"/>
    <s v=""/>
    <n v="5.5"/>
    <n v="5"/>
    <n v="0"/>
    <e v="#REF!"/>
    <s v=""/>
    <s v=""/>
    <s v=""/>
    <n v="14"/>
    <n v="1"/>
    <n v="5"/>
    <n v="-4.5"/>
    <n v="4.5"/>
    <n v="0"/>
    <n v="0"/>
    <n v="0"/>
    <x v="2"/>
    <n v="0"/>
    <n v="0"/>
    <n v="-4.5"/>
    <m/>
    <m/>
    <m/>
    <m/>
    <m/>
  </r>
  <r>
    <s v="000008374"/>
    <s v="Anthony LORA"/>
    <x v="39"/>
    <x v="1"/>
    <s v="Oui"/>
    <n v="0"/>
    <s v=""/>
    <n v="19"/>
    <n v="1"/>
    <n v="0"/>
    <e v="#REF!"/>
    <s v=""/>
    <s v=""/>
    <s v=""/>
    <n v="20"/>
    <n v="0"/>
    <n v="0"/>
    <n v="-20"/>
    <n v="19"/>
    <n v="1"/>
    <n v="0"/>
    <n v="0"/>
    <x v="2"/>
    <n v="1"/>
    <n v="0"/>
    <n v="-20"/>
    <m/>
    <m/>
    <m/>
    <m/>
    <m/>
  </r>
  <r>
    <s v="000014094"/>
    <s v="Anthony SZAFIR"/>
    <x v="24"/>
    <x v="2"/>
    <s v="Non"/>
    <n v="12"/>
    <s v=""/>
    <n v="8"/>
    <n v="0"/>
    <n v="0"/>
    <e v="#REF!"/>
    <s v=""/>
    <s v=""/>
    <s v=""/>
    <n v="13"/>
    <n v="7"/>
    <n v="0"/>
    <n v="-1"/>
    <n v="1"/>
    <n v="0"/>
    <n v="0"/>
    <n v="0"/>
    <x v="3"/>
    <n v="0"/>
    <n v="1"/>
    <n v="0"/>
    <m/>
    <m/>
    <m/>
    <m/>
    <m/>
  </r>
  <r>
    <s v="000015471"/>
    <s v="Anthony TRAN"/>
    <x v="40"/>
    <x v="4"/>
    <s v="Non"/>
    <n v="0"/>
    <s v=""/>
    <n v="20"/>
    <n v="0"/>
    <n v="0"/>
    <e v="#REF!"/>
    <s v=""/>
    <s v=""/>
    <s v=""/>
    <n v="15"/>
    <n v="5"/>
    <n v="0"/>
    <n v="-15"/>
    <n v="15"/>
    <n v="0"/>
    <n v="0"/>
    <n v="0"/>
    <x v="3"/>
    <n v="0"/>
    <n v="15"/>
    <n v="0"/>
    <m/>
    <m/>
    <m/>
    <m/>
    <m/>
  </r>
  <r>
    <s v="000015483"/>
    <s v="Antoine ALTAZIN"/>
    <x v="3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550"/>
    <s v="Antoine BLANQUET"/>
    <x v="31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5634"/>
    <s v="Antoine DENIE"/>
    <x v="41"/>
    <x v="6"/>
    <s v="Oui"/>
    <n v="16"/>
    <s v=""/>
    <n v="4"/>
    <n v="0"/>
    <n v="0"/>
    <e v="#REF!"/>
    <s v=""/>
    <s v=""/>
    <s v=""/>
    <n v="16"/>
    <n v="4"/>
    <n v="0"/>
    <n v="0"/>
    <n v="0"/>
    <n v="0"/>
    <n v="0"/>
    <n v="0"/>
    <x v="0"/>
    <n v="0"/>
    <n v="0"/>
    <n v="0"/>
    <m/>
    <m/>
    <m/>
    <m/>
    <m/>
  </r>
  <r>
    <s v="000016270"/>
    <s v="Antoine FLAMENT"/>
    <x v="3"/>
    <x v="2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09154"/>
    <s v="Antoine FROMENTIN"/>
    <x v="41"/>
    <x v="6"/>
    <s v="Oui"/>
    <n v="5"/>
    <s v=""/>
    <n v="15"/>
    <n v="0"/>
    <n v="0"/>
    <e v="#REF!"/>
    <s v=""/>
    <s v=""/>
    <s v=""/>
    <n v="5"/>
    <n v="15"/>
    <n v="0"/>
    <n v="0"/>
    <n v="0"/>
    <n v="0"/>
    <n v="0"/>
    <n v="0"/>
    <x v="0"/>
    <n v="0"/>
    <n v="0"/>
    <n v="0"/>
    <m/>
    <m/>
    <m/>
    <m/>
    <m/>
  </r>
  <r>
    <s v="000022008"/>
    <s v="Antoine MONFORT"/>
    <x v="42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7314"/>
    <s v="Antoine PETIT"/>
    <x v="43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194"/>
    <s v="Antoine POULET"/>
    <x v="44"/>
    <x v="6"/>
    <s v="Non"/>
    <n v="0"/>
    <s v=""/>
    <n v="19"/>
    <n v="1"/>
    <n v="0"/>
    <e v="#REF!"/>
    <s v=""/>
    <s v=""/>
    <s v=""/>
    <n v="10"/>
    <n v="9"/>
    <n v="1"/>
    <n v="-10"/>
    <n v="10"/>
    <n v="0"/>
    <n v="0"/>
    <n v="0"/>
    <x v="2"/>
    <n v="0"/>
    <n v="0"/>
    <n v="-10"/>
    <m/>
    <m/>
    <m/>
    <m/>
    <m/>
  </r>
  <r>
    <s v="000022106"/>
    <s v="Antoine ROGER"/>
    <x v="45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287"/>
    <s v="Antoine SANFILIPPO"/>
    <x v="46"/>
    <x v="1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7809"/>
    <s v="Antoine THIRION"/>
    <x v="20"/>
    <x v="7"/>
    <s v="Non"/>
    <n v="18"/>
    <s v=""/>
    <n v="0"/>
    <n v="2"/>
    <n v="0"/>
    <e v="#REF!"/>
    <s v=""/>
    <s v=""/>
    <s v=""/>
    <n v="20"/>
    <n v="0"/>
    <n v="0"/>
    <n v="-2"/>
    <n v="0"/>
    <n v="2"/>
    <n v="0"/>
    <n v="0"/>
    <x v="1"/>
    <n v="2"/>
    <n v="0"/>
    <n v="-2"/>
    <m/>
    <m/>
    <m/>
    <m/>
    <m/>
  </r>
  <r>
    <s v="000022404"/>
    <s v="Antonin COLLOT"/>
    <x v="47"/>
    <x v="1"/>
    <s v="Non"/>
    <n v="15"/>
    <s v=""/>
    <n v="5"/>
    <n v="0"/>
    <n v="0"/>
    <e v="#REF!"/>
    <s v=""/>
    <s v=""/>
    <s v=""/>
    <n v="20"/>
    <n v="0"/>
    <n v="0"/>
    <n v="-5"/>
    <n v="5"/>
    <n v="0"/>
    <n v="0"/>
    <n v="0"/>
    <x v="2"/>
    <n v="0"/>
    <n v="0"/>
    <n v="-5"/>
    <m/>
    <m/>
    <m/>
    <m/>
    <m/>
  </r>
  <r>
    <s v="000020967"/>
    <s v="Armand BRIQUET"/>
    <x v="48"/>
    <x v="0"/>
    <s v="Non"/>
    <n v="0"/>
    <s v=""/>
    <n v="18"/>
    <n v="0"/>
    <n v="2"/>
    <e v="#REF!"/>
    <s v=""/>
    <s v=""/>
    <s v=""/>
    <n v="0"/>
    <n v="16"/>
    <n v="0"/>
    <n v="0"/>
    <n v="2"/>
    <n v="0"/>
    <n v="0"/>
    <n v="0"/>
    <x v="0"/>
    <n v="0"/>
    <n v="0"/>
    <n v="0"/>
    <m/>
    <m/>
    <m/>
    <m/>
    <m/>
  </r>
  <r>
    <s v="000015503"/>
    <s v="Arnaud BOUGES"/>
    <x v="37"/>
    <x v="4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21561"/>
    <s v="Arnaud COUTANTIN"/>
    <x v="49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5528"/>
    <s v="Arnaud LAYEC"/>
    <x v="32"/>
    <x v="3"/>
    <s v="Non"/>
    <n v="7"/>
    <s v=""/>
    <n v="4"/>
    <n v="1"/>
    <n v="8"/>
    <e v="#REF!"/>
    <s v=""/>
    <s v=""/>
    <s v=""/>
    <n v="7"/>
    <n v="4"/>
    <n v="1"/>
    <n v="0"/>
    <n v="0"/>
    <n v="0"/>
    <n v="0"/>
    <n v="0"/>
    <x v="0"/>
    <n v="0"/>
    <n v="0"/>
    <n v="0"/>
    <m/>
    <m/>
    <m/>
    <m/>
    <m/>
  </r>
  <r>
    <s v="000021948"/>
    <s v="Arthur BAUDIER"/>
    <x v="2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2479"/>
    <s v="Arthur BIGNIER"/>
    <x v="50"/>
    <x v="1"/>
    <s v="Oui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535"/>
    <s v="Arthur ESKOULOV"/>
    <x v="51"/>
    <x v="0"/>
    <s v="Non"/>
    <n v="0"/>
    <s v=""/>
    <n v="10"/>
    <n v="0"/>
    <n v="10"/>
    <e v="#REF!"/>
    <s v=""/>
    <s v=""/>
    <s v=""/>
    <n v="0"/>
    <n v="10"/>
    <n v="0"/>
    <n v="0"/>
    <n v="0"/>
    <n v="0"/>
    <n v="0"/>
    <n v="0"/>
    <x v="0"/>
    <n v="0"/>
    <n v="0"/>
    <n v="0"/>
    <m/>
    <m/>
    <m/>
    <m/>
    <m/>
  </r>
  <r>
    <s v="000013189"/>
    <s v="Arthur GRIMONT"/>
    <x v="38"/>
    <x v="3"/>
    <s v="Non"/>
    <n v="17.5"/>
    <s v=""/>
    <n v="2.5"/>
    <n v="0"/>
    <n v="0"/>
    <e v="#REF!"/>
    <s v=""/>
    <s v=""/>
    <s v=""/>
    <n v="10"/>
    <n v="10"/>
    <n v="0"/>
    <n v="7.5"/>
    <n v="-7.5"/>
    <n v="0"/>
    <n v="0"/>
    <n v="0"/>
    <x v="0"/>
    <n v="0"/>
    <n v="0"/>
    <n v="7.5"/>
    <m/>
    <m/>
    <m/>
    <m/>
    <m/>
  </r>
  <r>
    <s v="000016993"/>
    <s v="Arthur LATOURRETTE"/>
    <x v="52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265"/>
    <s v="Arthur LEBAS"/>
    <x v="44"/>
    <x v="6"/>
    <s v="Non"/>
    <n v="11"/>
    <s v=""/>
    <n v="0"/>
    <n v="9"/>
    <n v="0"/>
    <e v="#REF!"/>
    <s v=""/>
    <s v=""/>
    <s v=""/>
    <n v="11"/>
    <n v="0"/>
    <n v="9"/>
    <n v="0"/>
    <n v="0"/>
    <n v="0"/>
    <n v="0"/>
    <n v="0"/>
    <x v="4"/>
    <n v="0"/>
    <n v="0"/>
    <n v="0"/>
    <m/>
    <m/>
    <m/>
    <m/>
    <m/>
  </r>
  <r>
    <s v="000010405"/>
    <s v="Arthur MORIN"/>
    <x v="53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7420"/>
    <s v="Arthur TRIFFAULT"/>
    <x v="10"/>
    <x v="4"/>
    <s v="Non"/>
    <n v="2.5"/>
    <s v=""/>
    <n v="16.5"/>
    <n v="1"/>
    <n v="0"/>
    <e v="#REF!"/>
    <s v=""/>
    <s v=""/>
    <s v=""/>
    <n v="11.5"/>
    <n v="7.5"/>
    <n v="1"/>
    <n v="-9"/>
    <n v="9"/>
    <n v="0"/>
    <n v="0"/>
    <n v="0"/>
    <x v="2"/>
    <n v="0"/>
    <n v="0"/>
    <n v="-9"/>
    <m/>
    <m/>
    <m/>
    <m/>
    <m/>
  </r>
  <r>
    <s v="000020765"/>
    <s v="Assmae BELLAGNECH"/>
    <x v="54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7802"/>
    <s v="Aurèle GARNIER"/>
    <x v="55"/>
    <x v="5"/>
    <s v="Non"/>
    <n v="6"/>
    <s v=""/>
    <n v="13"/>
    <n v="1"/>
    <n v="0"/>
    <e v="#REF!"/>
    <s v=""/>
    <s v=""/>
    <s v=""/>
    <n v="7"/>
    <n v="12"/>
    <n v="1"/>
    <n v="-1"/>
    <n v="1"/>
    <n v="0"/>
    <n v="0"/>
    <n v="0"/>
    <x v="2"/>
    <n v="0"/>
    <n v="0"/>
    <n v="-1"/>
    <m/>
    <m/>
    <m/>
    <m/>
    <m/>
  </r>
  <r>
    <s v="000017666"/>
    <s v="Aurélie LAW-YEN"/>
    <x v="16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7914"/>
    <s v="Axel PENTIER"/>
    <x v="56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3946"/>
    <s v="Axel VALERY"/>
    <x v="57"/>
    <x v="5"/>
    <s v="Non"/>
    <n v="19"/>
    <s v=""/>
    <n v="0.5"/>
    <n v="0.5"/>
    <n v="0"/>
    <e v="#REF!"/>
    <s v=""/>
    <s v=""/>
    <s v=""/>
    <n v="19.5"/>
    <n v="0"/>
    <n v="0.5"/>
    <n v="-0.5"/>
    <n v="0.5"/>
    <n v="0"/>
    <n v="0"/>
    <n v="0"/>
    <x v="2"/>
    <n v="0"/>
    <n v="0"/>
    <n v="-0.5"/>
    <m/>
    <m/>
    <m/>
    <m/>
    <m/>
  </r>
  <r>
    <s v="000021163"/>
    <s v="Axelle RIEU"/>
    <x v="42"/>
    <x v="5"/>
    <s v="Non"/>
    <n v="4.5"/>
    <s v=""/>
    <n v="12.5"/>
    <n v="3"/>
    <n v="0"/>
    <e v="#REF!"/>
    <s v=""/>
    <s v=""/>
    <s v=""/>
    <n v="4.5"/>
    <n v="15.5"/>
    <n v="0"/>
    <n v="0"/>
    <n v="-3"/>
    <n v="3"/>
    <n v="0"/>
    <n v="0"/>
    <x v="2"/>
    <n v="0"/>
    <n v="0"/>
    <n v="0"/>
    <m/>
    <m/>
    <m/>
    <m/>
    <m/>
  </r>
  <r>
    <s v="000017472"/>
    <s v="Aya BOUZBIB"/>
    <x v="58"/>
    <x v="7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17650"/>
    <s v="Aymane LAMHAMDI"/>
    <x v="51"/>
    <x v="0"/>
    <s v="Non"/>
    <n v="8"/>
    <s v=""/>
    <n v="7"/>
    <n v="5"/>
    <n v="0"/>
    <e v="#REF!"/>
    <s v=""/>
    <s v=""/>
    <s v=""/>
    <n v="8"/>
    <n v="7"/>
    <n v="5"/>
    <n v="0"/>
    <n v="0"/>
    <n v="0"/>
    <n v="0"/>
    <n v="0"/>
    <x v="0"/>
    <n v="0"/>
    <n v="0"/>
    <n v="0"/>
    <m/>
    <m/>
    <m/>
    <m/>
    <m/>
  </r>
  <r>
    <s v="000022107"/>
    <s v="Aymen GMAR CHEBLI"/>
    <x v="59"/>
    <x v="2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0498"/>
    <s v="Aymene CHAKIR"/>
    <x v="34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238"/>
    <s v="Aymeric DE LA BRETESCHE"/>
    <x v="10"/>
    <x v="4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8110"/>
    <s v="Aymeric LABEDAN"/>
    <x v="51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5587"/>
    <s v="Azza LASSOUED"/>
    <x v="25"/>
    <x v="0"/>
    <s v="Oui"/>
    <n v="7"/>
    <s v=""/>
    <n v="5"/>
    <n v="4"/>
    <n v="4"/>
    <e v="#REF!"/>
    <s v=""/>
    <s v=""/>
    <s v=""/>
    <n v="12"/>
    <n v="0"/>
    <n v="4"/>
    <n v="-5"/>
    <n v="5"/>
    <n v="0"/>
    <n v="0"/>
    <n v="0"/>
    <x v="2"/>
    <n v="0"/>
    <n v="0"/>
    <n v="-5"/>
    <m/>
    <m/>
    <m/>
    <m/>
    <m/>
  </r>
  <r>
    <s v="000016530"/>
    <s v="Badr KHAOUDI"/>
    <x v="8"/>
    <x v="5"/>
    <s v="Non"/>
    <n v="0"/>
    <s v=""/>
    <n v="20"/>
    <n v="0"/>
    <n v="0"/>
    <e v="#REF!"/>
    <s v=""/>
    <s v=""/>
    <s v=""/>
    <n v="9"/>
    <n v="11"/>
    <n v="0"/>
    <n v="-9"/>
    <n v="9"/>
    <n v="0"/>
    <n v="0"/>
    <n v="0"/>
    <x v="3"/>
    <n v="0"/>
    <n v="8"/>
    <n v="-1"/>
    <m/>
    <m/>
    <m/>
    <m/>
    <m/>
  </r>
  <r>
    <s v="000016466"/>
    <s v="Baptiste DESJOBERT"/>
    <x v="8"/>
    <x v="5"/>
    <s v="Non"/>
    <n v="11"/>
    <s v=""/>
    <n v="0"/>
    <n v="9"/>
    <n v="0"/>
    <e v="#REF!"/>
    <s v=""/>
    <s v=""/>
    <s v=""/>
    <n v="11"/>
    <n v="0"/>
    <n v="9"/>
    <n v="0"/>
    <n v="0"/>
    <n v="0"/>
    <n v="0"/>
    <n v="0"/>
    <x v="1"/>
    <n v="0"/>
    <n v="0"/>
    <n v="0"/>
    <m/>
    <m/>
    <m/>
    <m/>
    <m/>
  </r>
  <r>
    <s v="000016808"/>
    <s v="Baptiste DURAND"/>
    <x v="29"/>
    <x v="5"/>
    <s v="Non"/>
    <n v="20"/>
    <s v=""/>
    <n v="0"/>
    <n v="0"/>
    <n v="0"/>
    <e v="#REF!"/>
    <s v=""/>
    <s v=""/>
    <s v=""/>
    <n v="15"/>
    <n v="5"/>
    <n v="0"/>
    <n v="5"/>
    <n v="-5"/>
    <n v="0"/>
    <n v="0"/>
    <n v="0"/>
    <x v="1"/>
    <n v="0"/>
    <n v="0"/>
    <n v="5"/>
    <m/>
    <m/>
    <m/>
    <m/>
    <m/>
  </r>
  <r>
    <s v="000016529"/>
    <s v="Baptiste PETITJEAN"/>
    <x v="5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669"/>
    <s v="Barthélémy LOMBARD"/>
    <x v="15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337"/>
    <s v="Bastien GUYOT"/>
    <x v="49"/>
    <x v="7"/>
    <s v="Non"/>
    <n v="9"/>
    <s v=""/>
    <n v="0"/>
    <n v="11"/>
    <n v="0"/>
    <e v="#REF!"/>
    <s v=""/>
    <s v=""/>
    <s v=""/>
    <n v="7"/>
    <n v="2"/>
    <n v="11"/>
    <n v="2"/>
    <n v="-2"/>
    <n v="0"/>
    <n v="0"/>
    <n v="0"/>
    <x v="1"/>
    <n v="0"/>
    <n v="0"/>
    <n v="2"/>
    <m/>
    <m/>
    <m/>
    <m/>
    <m/>
  </r>
  <r>
    <s v="000013824"/>
    <s v="Bastien PELISSIER"/>
    <x v="48"/>
    <x v="0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m/>
    <m/>
  </r>
  <r>
    <s v="000013681"/>
    <s v="Benjamin SCHYNS"/>
    <x v="26"/>
    <x v="3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m/>
    <m/>
  </r>
  <r>
    <s v="000021738"/>
    <s v="Benoit POTIER"/>
    <x v="60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1166"/>
    <s v="Benoit RICHARD"/>
    <x v="61"/>
    <x v="5"/>
    <s v="Non"/>
    <n v="16.5"/>
    <s v=""/>
    <n v="0"/>
    <n v="3.5"/>
    <n v="0"/>
    <e v="#REF!"/>
    <s v=""/>
    <s v=""/>
    <s v=""/>
    <n v="16.5"/>
    <n v="0"/>
    <n v="3.5"/>
    <n v="0"/>
    <n v="0"/>
    <n v="0"/>
    <n v="0"/>
    <n v="0"/>
    <x v="1"/>
    <n v="0"/>
    <n v="0"/>
    <n v="0"/>
    <m/>
    <m/>
    <m/>
    <m/>
    <m/>
  </r>
  <r>
    <s v="000015697"/>
    <s v="Bettina ETIÉVANT"/>
    <x v="0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032"/>
    <s v="Bintou SELLIN"/>
    <x v="10"/>
    <x v="4"/>
    <s v="Non"/>
    <n v="9"/>
    <s v=""/>
    <n v="11"/>
    <n v="0"/>
    <n v="0"/>
    <e v="#REF!"/>
    <s v=""/>
    <s v=""/>
    <s v=""/>
    <n v="16"/>
    <n v="4"/>
    <n v="0"/>
    <n v="-7"/>
    <n v="7"/>
    <n v="0"/>
    <n v="0"/>
    <n v="0"/>
    <x v="2"/>
    <n v="0"/>
    <n v="0"/>
    <n v="-7"/>
    <m/>
    <m/>
    <m/>
    <m/>
    <m/>
  </r>
  <r>
    <s v="000020773"/>
    <s v="Boris LE FOLL"/>
    <x v="23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3106"/>
    <s v="Brandon QUINNE"/>
    <x v="50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492"/>
    <s v="Brendan KERMARREC"/>
    <x v="25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8081"/>
    <s v="Bryan AGGOUN"/>
    <x v="29"/>
    <x v="5"/>
    <s v="Non"/>
    <n v="17"/>
    <s v=""/>
    <n v="0"/>
    <n v="3"/>
    <n v="0"/>
    <e v="#REF!"/>
    <s v=""/>
    <s v=""/>
    <s v=""/>
    <n v="19"/>
    <n v="0"/>
    <n v="1"/>
    <n v="-2"/>
    <n v="0"/>
    <n v="2"/>
    <n v="0"/>
    <n v="0"/>
    <x v="1"/>
    <n v="2"/>
    <n v="0"/>
    <n v="-2"/>
    <m/>
    <m/>
    <m/>
    <m/>
    <m/>
  </r>
  <r>
    <s v="000013544"/>
    <s v="Camil ADJIBADE"/>
    <x v="22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5717"/>
    <s v="Camille DURAND"/>
    <x v="14"/>
    <x v="7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4495"/>
    <s v="Camille LESAGE"/>
    <x v="26"/>
    <x v="3"/>
    <s v="Non"/>
    <n v="0"/>
    <s v=""/>
    <n v="0"/>
    <n v="0"/>
    <n v="20"/>
    <e v="#REF!"/>
    <s v=""/>
    <s v=""/>
    <s v=""/>
    <n v="0"/>
    <n v="0"/>
    <n v="0"/>
    <n v="0"/>
    <n v="0"/>
    <n v="0"/>
    <n v="0"/>
    <n v="0"/>
    <x v="1"/>
    <n v="0"/>
    <n v="0"/>
    <n v="0"/>
    <m/>
    <m/>
    <m/>
    <m/>
    <m/>
  </r>
  <r>
    <s v="000020468"/>
    <s v="Camille PAYET"/>
    <x v="62"/>
    <x v="3"/>
    <s v="Non"/>
    <n v="13"/>
    <s v=""/>
    <n v="0"/>
    <n v="7"/>
    <n v="0"/>
    <e v="#REF!"/>
    <s v=""/>
    <s v=""/>
    <s v=""/>
    <n v="12.5"/>
    <n v="0"/>
    <n v="7.5"/>
    <n v="0.5"/>
    <n v="0"/>
    <n v="-0.5"/>
    <n v="0"/>
    <n v="0"/>
    <x v="1"/>
    <n v="0"/>
    <n v="0"/>
    <n v="0.5"/>
    <m/>
    <m/>
    <m/>
    <m/>
    <m/>
  </r>
  <r>
    <s v="000016292"/>
    <s v="Candice DABRIOU"/>
    <x v="26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925"/>
    <s v="Carla COMPÈRE"/>
    <x v="27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563"/>
    <s v="Carmen OSANLOU"/>
    <x v="2"/>
    <x v="2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21210"/>
    <s v="Caroline PITT"/>
    <x v="44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20877"/>
    <s v="Cathleen MONDESIR"/>
    <x v="36"/>
    <x v="5"/>
    <s v="Non"/>
    <n v="4.5"/>
    <s v=""/>
    <n v="15.5"/>
    <n v="0"/>
    <n v="0"/>
    <e v="#REF!"/>
    <s v=""/>
    <s v=""/>
    <s v=""/>
    <n v="0"/>
    <n v="19"/>
    <n v="1"/>
    <n v="4.5"/>
    <n v="-3.5"/>
    <n v="-1"/>
    <n v="0"/>
    <n v="0"/>
    <x v="2"/>
    <n v="0"/>
    <n v="0"/>
    <n v="4.5"/>
    <m/>
    <m/>
    <m/>
    <m/>
    <m/>
  </r>
  <r>
    <s v="000020842"/>
    <s v="Cendrine BOUZET"/>
    <x v="63"/>
    <x v="6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m/>
    <m/>
  </r>
  <r>
    <s v="000017242"/>
    <s v="Chadine BENSOUDA-KORAICHI"/>
    <x v="64"/>
    <x v="1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16253"/>
    <s v="Charafeddine REBOUZE"/>
    <x v="48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976"/>
    <s v="Charbel BAAKLINI"/>
    <x v="40"/>
    <x v="4"/>
    <s v="Non"/>
    <n v="10.5"/>
    <s v=""/>
    <n v="8.5"/>
    <n v="1"/>
    <n v="0"/>
    <e v="#REF!"/>
    <s v=""/>
    <s v=""/>
    <s v=""/>
    <n v="10.5"/>
    <n v="8.5"/>
    <n v="1"/>
    <n v="0"/>
    <n v="0"/>
    <n v="0"/>
    <n v="0"/>
    <n v="0"/>
    <x v="0"/>
    <n v="0"/>
    <n v="0"/>
    <n v="0"/>
    <m/>
    <m/>
    <m/>
    <m/>
    <m/>
  </r>
  <r>
    <s v="000017409"/>
    <s v="Charles BERGÉ"/>
    <x v="65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9171"/>
    <s v="Charles PARIS"/>
    <x v="32"/>
    <x v="3"/>
    <s v="Oui"/>
    <n v="19.5"/>
    <s v=""/>
    <n v="0.5"/>
    <n v="0"/>
    <n v="0"/>
    <e v="#REF!"/>
    <s v=""/>
    <s v=""/>
    <s v=""/>
    <n v="17"/>
    <n v="3"/>
    <n v="0"/>
    <n v="2.5"/>
    <n v="-2.5"/>
    <n v="0"/>
    <n v="0"/>
    <n v="0"/>
    <x v="0"/>
    <n v="0"/>
    <n v="0"/>
    <n v="2.5"/>
    <m/>
    <m/>
    <m/>
    <m/>
    <m/>
  </r>
  <r>
    <s v="000013441"/>
    <s v="Charlotte GRIGNON"/>
    <x v="57"/>
    <x v="5"/>
    <s v="Non"/>
    <n v="0"/>
    <s v=""/>
    <n v="1"/>
    <n v="0"/>
    <n v="19"/>
    <e v="#REF!"/>
    <s v=""/>
    <s v=""/>
    <s v=""/>
    <n v="0"/>
    <n v="20"/>
    <n v="0"/>
    <n v="0"/>
    <n v="-19"/>
    <n v="0"/>
    <n v="0"/>
    <n v="0"/>
    <x v="0"/>
    <n v="0"/>
    <n v="0"/>
    <n v="0"/>
    <m/>
    <m/>
    <m/>
    <m/>
    <m/>
  </r>
  <r>
    <s v="000021193"/>
    <s v="Cherif HAMDINI"/>
    <x v="16"/>
    <x v="7"/>
    <s v="Non"/>
    <n v="16"/>
    <s v=""/>
    <n v="0"/>
    <n v="4"/>
    <n v="0"/>
    <e v="#REF!"/>
    <s v=""/>
    <s v=""/>
    <s v=""/>
    <n v="20"/>
    <n v="0"/>
    <n v="0"/>
    <n v="-4"/>
    <n v="0"/>
    <n v="4"/>
    <n v="0"/>
    <n v="0"/>
    <x v="1"/>
    <n v="4"/>
    <n v="0"/>
    <n v="-4"/>
    <m/>
    <m/>
    <m/>
    <m/>
    <m/>
  </r>
  <r>
    <s v="000021824"/>
    <s v="Chloé LAHAUSSOIS"/>
    <x v="34"/>
    <x v="7"/>
    <s v="Non"/>
    <n v="20"/>
    <s v=""/>
    <n v="0"/>
    <n v="0"/>
    <n v="0"/>
    <e v="#REF!"/>
    <s v=""/>
    <s v=""/>
    <s v=""/>
    <n v="17"/>
    <n v="3"/>
    <n v="0"/>
    <n v="3"/>
    <n v="-3"/>
    <n v="0"/>
    <n v="0"/>
    <n v="0"/>
    <x v="1"/>
    <n v="0"/>
    <n v="0"/>
    <n v="3"/>
    <m/>
    <m/>
    <m/>
    <m/>
    <m/>
  </r>
  <r>
    <s v="000015165"/>
    <s v="Chorouq EL AFFAS"/>
    <x v="53"/>
    <x v="5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21751"/>
    <s v="Christ Elysée KONAN"/>
    <x v="44"/>
    <x v="6"/>
    <s v="Non"/>
    <n v="15"/>
    <s v=""/>
    <n v="5"/>
    <n v="0"/>
    <n v="0"/>
    <e v="#REF!"/>
    <s v=""/>
    <s v=""/>
    <s v=""/>
    <n v="15"/>
    <n v="5"/>
    <n v="0"/>
    <n v="0"/>
    <n v="0"/>
    <n v="0"/>
    <n v="0"/>
    <n v="0"/>
    <x v="0"/>
    <n v="0"/>
    <n v="0"/>
    <n v="0"/>
    <m/>
    <m/>
    <m/>
    <m/>
    <m/>
  </r>
  <r>
    <s v="000013729"/>
    <s v="Christian DEMBO"/>
    <x v="50"/>
    <x v="1"/>
    <s v="Non"/>
    <n v="14"/>
    <s v=""/>
    <n v="0"/>
    <n v="6"/>
    <n v="0"/>
    <e v="#REF!"/>
    <s v=""/>
    <s v=""/>
    <s v=""/>
    <n v="10"/>
    <n v="4"/>
    <n v="6"/>
    <n v="4"/>
    <n v="-4"/>
    <n v="0"/>
    <n v="0"/>
    <n v="0"/>
    <x v="1"/>
    <n v="0"/>
    <n v="0"/>
    <n v="4"/>
    <m/>
    <m/>
    <m/>
    <m/>
    <m/>
  </r>
  <r>
    <s v="000001603"/>
    <s v="Christine ERVE"/>
    <x v="66"/>
    <x v="5"/>
    <s v="Non"/>
    <n v="5"/>
    <s v=""/>
    <n v="8"/>
    <n v="7"/>
    <n v="0"/>
    <e v="#REF!"/>
    <s v=""/>
    <s v=""/>
    <s v=""/>
    <n v="5"/>
    <n v="8"/>
    <n v="7"/>
    <n v="0"/>
    <n v="0"/>
    <n v="0"/>
    <n v="0"/>
    <n v="0"/>
    <x v="0"/>
    <n v="0"/>
    <n v="0"/>
    <n v="0"/>
    <m/>
    <m/>
    <m/>
    <m/>
    <m/>
  </r>
  <r>
    <s v="000009094"/>
    <s v="Christophe LOEUR"/>
    <x v="33"/>
    <x v="7"/>
    <s v="Oui"/>
    <n v="15"/>
    <s v=""/>
    <n v="0"/>
    <n v="5"/>
    <n v="0"/>
    <e v="#REF!"/>
    <s v=""/>
    <s v=""/>
    <s v=""/>
    <n v="13"/>
    <n v="0"/>
    <n v="7"/>
    <n v="2"/>
    <n v="0"/>
    <n v="-2"/>
    <n v="0"/>
    <n v="0"/>
    <x v="1"/>
    <n v="0"/>
    <n v="0"/>
    <n v="2"/>
    <m/>
    <m/>
    <m/>
    <m/>
    <m/>
  </r>
  <r>
    <s v="000021623"/>
    <s v="Cindy DESPOIS"/>
    <x v="57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4468"/>
    <s v="Cindy MOUAHBA"/>
    <x v="3"/>
    <x v="2"/>
    <s v="Non"/>
    <n v="0"/>
    <s v=""/>
    <n v="0"/>
    <n v="0"/>
    <n v="20"/>
    <e v="#REF!"/>
    <s v=""/>
    <s v=""/>
    <s v=""/>
    <n v="0"/>
    <n v="0"/>
    <n v="0"/>
    <n v="0"/>
    <n v="0"/>
    <n v="0"/>
    <n v="0"/>
    <n v="0"/>
    <x v="1"/>
    <n v="0"/>
    <n v="0"/>
    <n v="0"/>
    <m/>
    <m/>
    <m/>
    <m/>
    <m/>
  </r>
  <r>
    <s v="000017017"/>
    <s v="Claire LAVIELLE"/>
    <x v="67"/>
    <x v="3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7587"/>
    <s v="Clara BOUCHENY"/>
    <x v="68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417"/>
    <s v="Clara CHELLY"/>
    <x v="46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443"/>
    <s v="Clara GESLOT"/>
    <x v="69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3605"/>
    <s v="Clara HUYGHE"/>
    <x v="51"/>
    <x v="0"/>
    <s v="Non"/>
    <n v="11"/>
    <s v=""/>
    <n v="7"/>
    <n v="2"/>
    <n v="0"/>
    <e v="#REF!"/>
    <s v=""/>
    <s v=""/>
    <s v=""/>
    <n v="18"/>
    <n v="0"/>
    <n v="2"/>
    <n v="-7"/>
    <n v="7"/>
    <n v="0"/>
    <n v="0"/>
    <n v="0"/>
    <x v="2"/>
    <n v="0"/>
    <n v="0"/>
    <n v="-7"/>
    <m/>
    <m/>
    <m/>
    <m/>
    <m/>
  </r>
  <r>
    <s v="000017209"/>
    <s v="Clara MILLERO"/>
    <x v="50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138"/>
    <s v="Clara PIFFAUT"/>
    <x v="70"/>
    <x v="1"/>
    <s v="Non"/>
    <n v="0"/>
    <s v=""/>
    <n v="18"/>
    <n v="2"/>
    <n v="0"/>
    <e v="#REF!"/>
    <s v=""/>
    <s v=""/>
    <s v=""/>
    <n v="0"/>
    <n v="18"/>
    <n v="2"/>
    <n v="0"/>
    <n v="0"/>
    <n v="0"/>
    <n v="0"/>
    <n v="0"/>
    <x v="0"/>
    <n v="0"/>
    <n v="0"/>
    <n v="0"/>
    <m/>
    <m/>
    <m/>
    <m/>
    <m/>
  </r>
  <r>
    <s v="000005243"/>
    <s v="Clotilde FOUACHE"/>
    <x v="25"/>
    <x v="0"/>
    <s v="Non"/>
    <n v="0"/>
    <s v=""/>
    <n v="16"/>
    <n v="4"/>
    <n v="0"/>
    <e v="#REF!"/>
    <s v=""/>
    <s v=""/>
    <s v=""/>
    <n v="0"/>
    <n v="19"/>
    <n v="1"/>
    <n v="0"/>
    <n v="-3"/>
    <n v="3"/>
    <n v="0"/>
    <n v="0"/>
    <x v="2"/>
    <n v="0"/>
    <n v="0"/>
    <n v="0"/>
    <m/>
    <m/>
    <m/>
    <m/>
    <m/>
  </r>
  <r>
    <s v="000021844"/>
    <s v="Clotilde SAMANIEGO"/>
    <x v="9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8150"/>
    <s v="Cloé LAURENCE"/>
    <x v="37"/>
    <x v="4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08135"/>
    <s v="Clémence HERNANDEZ"/>
    <x v="27"/>
    <x v="4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m/>
    <m/>
  </r>
  <r>
    <s v="000014440"/>
    <s v="Clément GILLET"/>
    <x v="40"/>
    <x v="4"/>
    <s v="Non"/>
    <n v="14"/>
    <s v=""/>
    <n v="0"/>
    <n v="6"/>
    <n v="0"/>
    <e v="#REF!"/>
    <s v=""/>
    <s v=""/>
    <s v=""/>
    <n v="14"/>
    <n v="0"/>
    <n v="6"/>
    <n v="0"/>
    <n v="0"/>
    <n v="0"/>
    <n v="0"/>
    <n v="0"/>
    <x v="1"/>
    <n v="0"/>
    <n v="0"/>
    <n v="0"/>
    <m/>
    <m/>
    <m/>
    <m/>
    <m/>
  </r>
  <r>
    <s v="000003695"/>
    <s v="Clément PIQUE"/>
    <x v="71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136"/>
    <s v="Clément QUENTIN"/>
    <x v="62"/>
    <x v="3"/>
    <s v="Non"/>
    <n v="18.5"/>
    <s v=""/>
    <n v="0"/>
    <n v="1.5"/>
    <n v="0"/>
    <e v="#REF!"/>
    <s v=""/>
    <s v=""/>
    <s v=""/>
    <n v="18.5"/>
    <n v="0"/>
    <n v="1.5"/>
    <n v="0"/>
    <n v="0"/>
    <n v="0"/>
    <n v="0"/>
    <n v="0"/>
    <x v="1"/>
    <n v="0"/>
    <n v="0"/>
    <n v="0"/>
    <m/>
    <m/>
    <m/>
    <m/>
    <m/>
  </r>
  <r>
    <s v="000017056"/>
    <s v="Clément SOONEKINDT"/>
    <x v="10"/>
    <x v="4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m/>
    <m/>
  </r>
  <r>
    <s v="000013565"/>
    <s v="Clément VINCENT"/>
    <x v="24"/>
    <x v="2"/>
    <s v="Oui"/>
    <n v="15"/>
    <s v=""/>
    <n v="4"/>
    <n v="1"/>
    <n v="0"/>
    <e v="#REF!"/>
    <s v=""/>
    <s v=""/>
    <s v=""/>
    <n v="19"/>
    <n v="0"/>
    <n v="1"/>
    <n v="-4"/>
    <n v="4"/>
    <n v="0"/>
    <n v="0"/>
    <n v="0"/>
    <x v="2"/>
    <n v="0"/>
    <n v="0"/>
    <n v="-4"/>
    <m/>
    <m/>
    <m/>
    <m/>
    <m/>
  </r>
  <r>
    <s v="000001605"/>
    <s v="Corinne VOLLET"/>
    <x v="69"/>
    <x v="6"/>
    <s v="Non"/>
    <n v="0"/>
    <s v=""/>
    <n v="14"/>
    <n v="6"/>
    <n v="0"/>
    <e v="#REF!"/>
    <s v=""/>
    <s v=""/>
    <s v=""/>
    <n v="0"/>
    <n v="14"/>
    <n v="6"/>
    <n v="0"/>
    <n v="0"/>
    <n v="0"/>
    <n v="0"/>
    <n v="0"/>
    <x v="0"/>
    <n v="0"/>
    <n v="0"/>
    <n v="0"/>
    <m/>
    <m/>
    <m/>
    <m/>
    <m/>
  </r>
  <r>
    <s v="000012607"/>
    <s v="Cécile GEOFFROY"/>
    <x v="43"/>
    <x v="0"/>
    <s v="Non"/>
    <n v="18"/>
    <s v=""/>
    <n v="0"/>
    <n v="2"/>
    <n v="0"/>
    <e v="#REF!"/>
    <s v=""/>
    <s v=""/>
    <s v=""/>
    <n v="20"/>
    <n v="0"/>
    <n v="0"/>
    <n v="-2"/>
    <n v="0"/>
    <n v="2"/>
    <n v="0"/>
    <n v="0"/>
    <x v="1"/>
    <n v="2"/>
    <n v="0"/>
    <n v="-2"/>
    <m/>
    <m/>
    <m/>
    <m/>
    <m/>
  </r>
  <r>
    <s v="000010584"/>
    <s v="Cédric GUICHARD"/>
    <x v="39"/>
    <x v="1"/>
    <s v="Oui"/>
    <n v="16.5"/>
    <s v=""/>
    <n v="3"/>
    <n v="0.5"/>
    <n v="0"/>
    <e v="#REF!"/>
    <s v=""/>
    <s v=""/>
    <s v=""/>
    <n v="20"/>
    <n v="0"/>
    <n v="0"/>
    <n v="-3.5"/>
    <n v="3"/>
    <n v="0.5"/>
    <n v="0"/>
    <n v="0"/>
    <x v="1"/>
    <n v="0.5"/>
    <n v="0"/>
    <n v="-3.5"/>
    <m/>
    <m/>
    <m/>
    <m/>
    <m/>
  </r>
  <r>
    <s v="000016813"/>
    <s v="César MICHELET"/>
    <x v="8"/>
    <x v="5"/>
    <s v="Non"/>
    <n v="8"/>
    <s v=""/>
    <n v="10"/>
    <n v="2"/>
    <n v="0"/>
    <e v="#REF!"/>
    <s v=""/>
    <s v=""/>
    <s v=""/>
    <n v="10"/>
    <n v="8"/>
    <n v="2"/>
    <n v="-2"/>
    <n v="2"/>
    <n v="0"/>
    <n v="0"/>
    <n v="0"/>
    <x v="3"/>
    <n v="0"/>
    <n v="4"/>
    <n v="2"/>
    <m/>
    <m/>
    <m/>
    <m/>
    <m/>
  </r>
  <r>
    <s v="000012547"/>
    <s v="Cétia BAILLARD"/>
    <x v="12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7516"/>
    <s v="Daniel BUTSANETS"/>
    <x v="34"/>
    <x v="7"/>
    <s v="Non"/>
    <n v="9"/>
    <s v=""/>
    <n v="11"/>
    <n v="0"/>
    <n v="0"/>
    <e v="#REF!"/>
    <s v=""/>
    <s v=""/>
    <s v=""/>
    <n v="9"/>
    <n v="11"/>
    <n v="0"/>
    <n v="0"/>
    <n v="0"/>
    <n v="0"/>
    <n v="0"/>
    <n v="0"/>
    <x v="0"/>
    <n v="0"/>
    <n v="0"/>
    <n v="0"/>
    <m/>
    <m/>
    <m/>
    <m/>
    <m/>
  </r>
  <r>
    <s v="000021678"/>
    <s v="Daniel CRUZ"/>
    <x v="63"/>
    <x v="6"/>
    <s v="Non"/>
    <n v="13.5"/>
    <s v=""/>
    <n v="1.5"/>
    <n v="5"/>
    <n v="0"/>
    <e v="#REF!"/>
    <s v=""/>
    <s v=""/>
    <s v=""/>
    <n v="10"/>
    <n v="5"/>
    <n v="5"/>
    <n v="3.5"/>
    <n v="-3.5"/>
    <n v="0"/>
    <n v="0"/>
    <n v="0"/>
    <x v="0"/>
    <n v="0"/>
    <n v="0"/>
    <n v="3.5"/>
    <m/>
    <m/>
    <m/>
    <m/>
    <m/>
  </r>
  <r>
    <s v="000012645"/>
    <s v="David HASSAN"/>
    <x v="12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04853"/>
    <s v="David RENAUDIN"/>
    <x v="72"/>
    <x v="1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m/>
    <m/>
  </r>
  <r>
    <s v="000017419"/>
    <s v="David THIAW-WING-KAÏ"/>
    <x v="9"/>
    <x v="5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m/>
    <m/>
  </r>
  <r>
    <s v="000016745"/>
    <s v="Diego Eduardo ORTIZ VIGIL"/>
    <x v="30"/>
    <x v="7"/>
    <s v="Non"/>
    <n v="14"/>
    <s v=""/>
    <n v="6"/>
    <n v="0"/>
    <n v="0"/>
    <e v="#REF!"/>
    <s v=""/>
    <s v=""/>
    <s v=""/>
    <n v="10"/>
    <n v="10"/>
    <n v="0"/>
    <n v="4"/>
    <n v="-4"/>
    <n v="0"/>
    <n v="0"/>
    <n v="0"/>
    <x v="0"/>
    <n v="0"/>
    <n v="0"/>
    <n v="4"/>
    <m/>
    <m/>
    <m/>
    <m/>
    <m/>
  </r>
  <r>
    <s v="000022284"/>
    <s v="Dina MAAROUFI"/>
    <x v="73"/>
    <x v="4"/>
    <s v="Non"/>
    <n v="7"/>
    <s v=""/>
    <n v="11.5"/>
    <n v="0.5"/>
    <n v="1"/>
    <e v="#REF!"/>
    <s v=""/>
    <s v=""/>
    <s v=""/>
    <n v="10"/>
    <n v="8.5"/>
    <n v="0.5"/>
    <n v="-3"/>
    <n v="3"/>
    <n v="0"/>
    <n v="0"/>
    <n v="0"/>
    <x v="2"/>
    <n v="0"/>
    <n v="0"/>
    <n v="-3"/>
    <m/>
    <m/>
    <m/>
    <m/>
    <m/>
  </r>
  <r>
    <s v="000015799"/>
    <s v="Dino DUNIA"/>
    <x v="5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3162"/>
    <s v="Dinu-Marius NOROC"/>
    <x v="68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536"/>
    <s v="Doriane FERREIRA"/>
    <x v="26"/>
    <x v="3"/>
    <s v="Non"/>
    <n v="9"/>
    <s v=""/>
    <n v="0"/>
    <n v="11"/>
    <n v="0"/>
    <e v="#REF!"/>
    <s v=""/>
    <s v=""/>
    <s v=""/>
    <n v="10"/>
    <n v="0"/>
    <n v="10"/>
    <n v="-1"/>
    <n v="0"/>
    <n v="1"/>
    <n v="0"/>
    <n v="0"/>
    <x v="1"/>
    <n v="1"/>
    <n v="0"/>
    <n v="-1"/>
    <m/>
    <m/>
    <m/>
    <m/>
    <m/>
  </r>
  <r>
    <s v="000021553"/>
    <s v="Doriane GIBOYAU"/>
    <x v="8"/>
    <x v="5"/>
    <s v="Non"/>
    <n v="0"/>
    <s v=""/>
    <n v="20"/>
    <n v="0"/>
    <n v="0"/>
    <e v="#REF!"/>
    <s v=""/>
    <s v=""/>
    <s v=""/>
    <n v="10"/>
    <n v="10"/>
    <n v="0"/>
    <n v="-10"/>
    <n v="10"/>
    <n v="0"/>
    <n v="0"/>
    <n v="0"/>
    <x v="3"/>
    <n v="0"/>
    <n v="20"/>
    <n v="10"/>
    <m/>
    <m/>
    <m/>
    <m/>
    <m/>
  </r>
  <r>
    <s v="000016140"/>
    <s v="Doriane RENVOISÉ"/>
    <x v="63"/>
    <x v="6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m/>
    <m/>
  </r>
  <r>
    <s v="000015447"/>
    <s v="Dounia LOUDARI"/>
    <x v="15"/>
    <x v="0"/>
    <s v="Non"/>
    <n v="9"/>
    <s v=""/>
    <n v="0"/>
    <n v="11"/>
    <n v="0"/>
    <e v="#REF!"/>
    <s v=""/>
    <s v=""/>
    <s v=""/>
    <n v="9"/>
    <n v="0"/>
    <n v="11"/>
    <n v="0"/>
    <n v="0"/>
    <n v="0"/>
    <n v="0"/>
    <n v="0"/>
    <x v="1"/>
    <n v="0"/>
    <n v="0"/>
    <n v="0"/>
    <m/>
    <m/>
    <m/>
    <m/>
    <m/>
  </r>
  <r>
    <s v="000013510"/>
    <s v="Dylan LAMANT"/>
    <x v="38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749"/>
    <s v="Dylan SEETALOO"/>
    <x v="26"/>
    <x v="3"/>
    <s v="Non"/>
    <n v="17"/>
    <s v=""/>
    <n v="3"/>
    <n v="0"/>
    <n v="0"/>
    <e v="#REF!"/>
    <s v=""/>
    <s v=""/>
    <s v=""/>
    <n v="15"/>
    <n v="5"/>
    <n v="0"/>
    <n v="2"/>
    <n v="-2"/>
    <n v="0"/>
    <n v="0"/>
    <n v="0"/>
    <x v="0"/>
    <n v="0"/>
    <n v="0"/>
    <n v="2"/>
    <m/>
    <m/>
    <m/>
    <m/>
    <m/>
  </r>
  <r>
    <s v="000018010"/>
    <s v="Edgar GÉANT"/>
    <x v="5"/>
    <x v="4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20850"/>
    <s v="Edouard BERGE"/>
    <x v="74"/>
    <x v="4"/>
    <s v="Non"/>
    <n v="17.5"/>
    <s v=""/>
    <n v="1.5"/>
    <n v="1"/>
    <n v="0"/>
    <e v="#REF!"/>
    <s v=""/>
    <s v=""/>
    <s v=""/>
    <n v="19"/>
    <n v="0"/>
    <n v="1"/>
    <n v="-1.5"/>
    <n v="1.5"/>
    <n v="0"/>
    <n v="0"/>
    <n v="0"/>
    <x v="2"/>
    <n v="0"/>
    <n v="0"/>
    <n v="-1.5"/>
    <m/>
    <m/>
    <m/>
    <m/>
    <m/>
  </r>
  <r>
    <s v="000011376"/>
    <s v="Edouard DEPERY"/>
    <x v="48"/>
    <x v="0"/>
    <s v="Non"/>
    <n v="11"/>
    <s v=""/>
    <n v="8"/>
    <n v="1"/>
    <n v="0"/>
    <e v="#REF!"/>
    <s v=""/>
    <s v=""/>
    <s v=""/>
    <n v="12"/>
    <n v="8"/>
    <n v="0"/>
    <n v="-1"/>
    <n v="0"/>
    <n v="1"/>
    <n v="0"/>
    <n v="0"/>
    <x v="2"/>
    <n v="1"/>
    <n v="0"/>
    <n v="-1"/>
    <m/>
    <m/>
    <m/>
    <m/>
    <m/>
  </r>
  <r>
    <s v="000012796"/>
    <s v="Edouard PETIT"/>
    <x v="39"/>
    <x v="1"/>
    <s v="Non"/>
    <n v="17.5"/>
    <s v=""/>
    <n v="1"/>
    <n v="1.5"/>
    <n v="0"/>
    <e v="#REF!"/>
    <s v=""/>
    <s v=""/>
    <s v=""/>
    <n v="16.5"/>
    <n v="2"/>
    <n v="1.5"/>
    <n v="1"/>
    <n v="-1"/>
    <n v="0"/>
    <n v="0"/>
    <n v="0"/>
    <x v="0"/>
    <n v="0"/>
    <n v="0"/>
    <n v="1"/>
    <m/>
    <m/>
    <m/>
    <m/>
    <m/>
  </r>
  <r>
    <s v="000014892"/>
    <s v="Elisa MEIRELES"/>
    <x v="5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517"/>
    <s v="Elise RIBEIRO"/>
    <x v="53"/>
    <x v="5"/>
    <s v="Oui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22001"/>
    <s v="Elodie BOUISSET"/>
    <x v="20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3145"/>
    <s v="Elodie CHOUTEAU"/>
    <x v="21"/>
    <x v="4"/>
    <s v="Non"/>
    <n v="17"/>
    <s v=""/>
    <n v="3"/>
    <n v="0"/>
    <n v="0"/>
    <e v="#REF!"/>
    <s v=""/>
    <s v=""/>
    <s v=""/>
    <n v="19"/>
    <n v="1"/>
    <n v="0"/>
    <n v="-2"/>
    <n v="2"/>
    <n v="0"/>
    <n v="0"/>
    <n v="0"/>
    <x v="2"/>
    <n v="0"/>
    <n v="0"/>
    <n v="-2"/>
    <m/>
    <m/>
    <m/>
    <m/>
    <m/>
  </r>
  <r>
    <s v="000016801"/>
    <s v="Eloi MANGEZ"/>
    <x v="8"/>
    <x v="5"/>
    <s v="Non"/>
    <n v="8"/>
    <s v=""/>
    <n v="8"/>
    <n v="4"/>
    <n v="0"/>
    <e v="#REF!"/>
    <s v=""/>
    <s v=""/>
    <s v=""/>
    <n v="16"/>
    <n v="0"/>
    <n v="4"/>
    <n v="-8"/>
    <n v="8"/>
    <n v="0"/>
    <n v="0"/>
    <n v="0"/>
    <x v="2"/>
    <n v="0"/>
    <n v="0"/>
    <n v="-8"/>
    <m/>
    <m/>
    <m/>
    <m/>
    <m/>
  </r>
  <r>
    <s v="000013173"/>
    <s v="Eloïse LAGOUARDAT-MASSIROLLES"/>
    <x v="43"/>
    <x v="0"/>
    <s v="Non"/>
    <n v="0"/>
    <s v=""/>
    <n v="12.5"/>
    <n v="7.5"/>
    <n v="0"/>
    <e v="#REF!"/>
    <s v=""/>
    <s v=""/>
    <s v=""/>
    <n v="0"/>
    <n v="12"/>
    <n v="8"/>
    <n v="0"/>
    <n v="0.5"/>
    <n v="-0.5"/>
    <n v="0"/>
    <n v="0"/>
    <x v="2"/>
    <n v="0"/>
    <n v="0"/>
    <n v="0"/>
    <m/>
    <m/>
    <m/>
    <m/>
    <m/>
  </r>
  <r>
    <s v="000014723"/>
    <s v="Emil KABIROV"/>
    <x v="75"/>
    <x v="2"/>
    <s v="Non"/>
    <n v="0"/>
    <s v=""/>
    <n v="0"/>
    <n v="0"/>
    <n v="20"/>
    <e v="#REF!"/>
    <s v=""/>
    <s v=""/>
    <s v=""/>
    <n v="0"/>
    <n v="0"/>
    <n v="0"/>
    <n v="0"/>
    <n v="0"/>
    <n v="0"/>
    <n v="0"/>
    <n v="0"/>
    <x v="1"/>
    <n v="0"/>
    <n v="0"/>
    <n v="0"/>
    <m/>
    <m/>
    <m/>
    <m/>
    <m/>
  </r>
  <r>
    <s v="000015979"/>
    <s v="Emilie BERGALA"/>
    <x v="40"/>
    <x v="4"/>
    <s v="Non"/>
    <n v="10"/>
    <s v=""/>
    <n v="7"/>
    <n v="3"/>
    <n v="0"/>
    <e v="#REF!"/>
    <s v=""/>
    <s v=""/>
    <s v=""/>
    <n v="13.5"/>
    <n v="3.5"/>
    <n v="3"/>
    <n v="-3.5"/>
    <n v="3.5"/>
    <n v="0"/>
    <n v="0"/>
    <n v="0"/>
    <x v="3"/>
    <n v="0"/>
    <n v="3.5"/>
    <n v="0"/>
    <m/>
    <m/>
    <m/>
    <m/>
    <m/>
  </r>
  <r>
    <s v="000014401"/>
    <s v="Emilie BERNARD"/>
    <x v="12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04057"/>
    <s v="Emilie DURAND"/>
    <x v="21"/>
    <x v="4"/>
    <s v="Oui"/>
    <n v="3.5"/>
    <s v=""/>
    <n v="16.5"/>
    <n v="0"/>
    <n v="0"/>
    <e v="#REF!"/>
    <s v=""/>
    <s v=""/>
    <s v=""/>
    <n v="3.5"/>
    <n v="16.5"/>
    <n v="0"/>
    <n v="0"/>
    <n v="0"/>
    <n v="0"/>
    <n v="0"/>
    <n v="0"/>
    <x v="0"/>
    <n v="0"/>
    <n v="0"/>
    <n v="0"/>
    <m/>
    <m/>
    <m/>
    <m/>
    <m/>
  </r>
  <r>
    <s v="000015158"/>
    <s v="Emma DELIGEARD"/>
    <x v="26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8130"/>
    <s v="Emma DIZIÈRE"/>
    <x v="76"/>
    <x v="6"/>
    <s v="Non"/>
    <n v="18"/>
    <s v=""/>
    <n v="2"/>
    <n v="0"/>
    <n v="0"/>
    <e v="#REF!"/>
    <s v=""/>
    <s v=""/>
    <s v=""/>
    <n v="17"/>
    <n v="2"/>
    <n v="1"/>
    <n v="1"/>
    <n v="0"/>
    <n v="-1"/>
    <n v="0"/>
    <n v="0"/>
    <x v="2"/>
    <n v="0"/>
    <n v="0"/>
    <n v="1"/>
    <m/>
    <m/>
    <m/>
    <m/>
    <m/>
  </r>
  <r>
    <s v="000020523"/>
    <s v="Emma DUPONT"/>
    <x v="70"/>
    <x v="1"/>
    <s v="Non"/>
    <n v="4"/>
    <s v=""/>
    <n v="16"/>
    <n v="0"/>
    <n v="0"/>
    <e v="#REF!"/>
    <s v=""/>
    <s v=""/>
    <s v=""/>
    <n v="0"/>
    <n v="20"/>
    <n v="0"/>
    <n v="4"/>
    <n v="-4"/>
    <n v="0"/>
    <n v="0"/>
    <n v="0"/>
    <x v="0"/>
    <n v="0"/>
    <n v="0"/>
    <n v="4"/>
    <m/>
    <m/>
    <m/>
    <m/>
    <m/>
  </r>
  <r>
    <s v="000020393"/>
    <s v="Emmanuel DJIKI FONDJA"/>
    <x v="49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455"/>
    <s v="Emna BEN AMMAR"/>
    <x v="42"/>
    <x v="5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09302"/>
    <s v="Enguerrand NASSIET"/>
    <x v="77"/>
    <x v="2"/>
    <s v="Non"/>
    <n v="20"/>
    <s v=""/>
    <n v="0"/>
    <n v="0"/>
    <n v="0"/>
    <e v="#REF!"/>
    <s v=""/>
    <s v=""/>
    <s v=""/>
    <n v="14"/>
    <n v="6"/>
    <n v="0"/>
    <n v="6"/>
    <n v="-6"/>
    <n v="0"/>
    <n v="0"/>
    <n v="0"/>
    <x v="1"/>
    <n v="0"/>
    <n v="0"/>
    <n v="6"/>
    <m/>
    <m/>
    <m/>
    <m/>
    <m/>
  </r>
  <r>
    <s v="000021024"/>
    <s v="Enzo BOSCHER"/>
    <x v="4"/>
    <x v="3"/>
    <s v="Non"/>
    <n v="17"/>
    <s v=""/>
    <n v="2"/>
    <n v="1"/>
    <n v="0"/>
    <e v="#REF!"/>
    <s v=""/>
    <s v=""/>
    <s v=""/>
    <n v="17"/>
    <n v="2"/>
    <n v="1"/>
    <n v="0"/>
    <n v="0"/>
    <n v="0"/>
    <n v="0"/>
    <n v="0"/>
    <x v="0"/>
    <n v="0"/>
    <n v="0"/>
    <n v="0"/>
    <m/>
    <m/>
    <m/>
    <m/>
    <m/>
  </r>
  <r>
    <s v="000000155"/>
    <s v="Eric CHAURAND"/>
    <x v="78"/>
    <x v="8"/>
    <s v="Non"/>
    <n v="17"/>
    <s v=""/>
    <n v="0"/>
    <n v="3"/>
    <n v="0"/>
    <e v="#REF!"/>
    <s v=""/>
    <s v=""/>
    <s v=""/>
    <n v="18.5"/>
    <n v="0"/>
    <n v="1.5"/>
    <n v="-1.5"/>
    <n v="0"/>
    <n v="1.5"/>
    <n v="0"/>
    <n v="0"/>
    <x v="1"/>
    <n v="1.5"/>
    <n v="0"/>
    <n v="-1.5"/>
    <m/>
    <m/>
    <m/>
    <m/>
    <m/>
  </r>
  <r>
    <s v="000002594"/>
    <s v="Eric LUBERT"/>
    <x v="35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291"/>
    <s v="Eric SELVA"/>
    <x v="48"/>
    <x v="0"/>
    <s v="Non"/>
    <n v="16"/>
    <s v=""/>
    <n v="4"/>
    <n v="0"/>
    <n v="0"/>
    <e v="#REF!"/>
    <s v=""/>
    <s v=""/>
    <s v=""/>
    <n v="15"/>
    <n v="5"/>
    <n v="0"/>
    <n v="1"/>
    <n v="-1"/>
    <n v="0"/>
    <n v="0"/>
    <n v="0"/>
    <x v="0"/>
    <n v="0"/>
    <n v="0"/>
    <n v="1"/>
    <m/>
    <m/>
    <m/>
    <m/>
    <m/>
  </r>
  <r>
    <s v="000013431"/>
    <s v="Erwan TESSON"/>
    <x v="11"/>
    <x v="3"/>
    <s v="Non"/>
    <n v="0"/>
    <s v=""/>
    <n v="18"/>
    <n v="2"/>
    <n v="0"/>
    <e v="#REF!"/>
    <s v=""/>
    <s v=""/>
    <s v=""/>
    <n v="0"/>
    <n v="18"/>
    <n v="2"/>
    <n v="0"/>
    <n v="0"/>
    <n v="0"/>
    <n v="0"/>
    <n v="0"/>
    <x v="0"/>
    <n v="0"/>
    <n v="0"/>
    <n v="0"/>
    <m/>
    <m/>
    <m/>
    <m/>
    <m/>
  </r>
  <r>
    <s v="000011959"/>
    <s v="Estelle DEVYS"/>
    <x v="22"/>
    <x v="2"/>
    <s v="Non"/>
    <n v="15.5"/>
    <s v=""/>
    <n v="0.5"/>
    <n v="4"/>
    <n v="0"/>
    <e v="#REF!"/>
    <s v=""/>
    <s v=""/>
    <s v=""/>
    <n v="16"/>
    <n v="0"/>
    <n v="4"/>
    <n v="-0.5"/>
    <n v="0.5"/>
    <n v="0"/>
    <n v="0"/>
    <n v="0"/>
    <x v="2"/>
    <n v="0"/>
    <n v="0"/>
    <n v="-0.5"/>
    <m/>
    <m/>
    <m/>
    <m/>
    <m/>
  </r>
  <r>
    <s v="000022500"/>
    <s v="Estelle LOESCH"/>
    <x v="36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2449"/>
    <s v="Esther FABRE"/>
    <x v="79"/>
    <x v="6"/>
    <s v="Non"/>
    <n v="0"/>
    <s v=""/>
    <n v="15"/>
    <n v="0"/>
    <n v="5"/>
    <e v="#REF!"/>
    <s v=""/>
    <s v=""/>
    <s v=""/>
    <n v="0"/>
    <n v="15"/>
    <n v="0"/>
    <n v="0"/>
    <n v="0"/>
    <n v="0"/>
    <n v="0"/>
    <n v="0"/>
    <x v="0"/>
    <n v="0"/>
    <n v="0"/>
    <n v="0"/>
    <m/>
    <m/>
    <m/>
    <m/>
    <m/>
  </r>
  <r>
    <s v="000016959"/>
    <s v="Etienne ARLEN"/>
    <x v="55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08120"/>
    <s v="Etienne BELLITTO"/>
    <x v="41"/>
    <x v="6"/>
    <s v="Oui"/>
    <n v="16.5"/>
    <s v=""/>
    <n v="2.5"/>
    <n v="1"/>
    <n v="0"/>
    <e v="#REF!"/>
    <s v=""/>
    <s v=""/>
    <s v=""/>
    <n v="10"/>
    <n v="9"/>
    <n v="1"/>
    <n v="6.5"/>
    <n v="-6.5"/>
    <n v="0"/>
    <n v="0"/>
    <n v="0"/>
    <x v="0"/>
    <n v="0"/>
    <n v="0"/>
    <n v="6.5"/>
    <m/>
    <m/>
    <m/>
    <m/>
    <m/>
  </r>
  <r>
    <s v="000016710"/>
    <s v="Etienne BUANNIC"/>
    <x v="13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378"/>
    <s v="Etienne CRUPEL"/>
    <x v="3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833"/>
    <s v="Eva DUCAY"/>
    <x v="4"/>
    <x v="3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7015"/>
    <s v="Evan GOUGET"/>
    <x v="34"/>
    <x v="7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4556"/>
    <s v="Ezechiel OUATTARA"/>
    <x v="40"/>
    <x v="4"/>
    <s v="Non"/>
    <n v="15"/>
    <s v=""/>
    <n v="4"/>
    <n v="1"/>
    <n v="0"/>
    <e v="#REF!"/>
    <s v=""/>
    <s v=""/>
    <s v=""/>
    <n v="15"/>
    <n v="4"/>
    <n v="1"/>
    <n v="0"/>
    <n v="0"/>
    <n v="0"/>
    <n v="0"/>
    <n v="0"/>
    <x v="0"/>
    <n v="0"/>
    <n v="0"/>
    <n v="0"/>
    <m/>
    <m/>
    <m/>
    <m/>
    <m/>
  </r>
  <r>
    <s v="000012807"/>
    <s v="Fabian CHAUVIN"/>
    <x v="40"/>
    <x v="4"/>
    <s v="Non"/>
    <n v="10"/>
    <s v=""/>
    <n v="6"/>
    <n v="4"/>
    <n v="0"/>
    <e v="#REF!"/>
    <s v=""/>
    <s v=""/>
    <s v=""/>
    <n v="10"/>
    <n v="6"/>
    <n v="4"/>
    <n v="0"/>
    <n v="0"/>
    <n v="0"/>
    <n v="0"/>
    <n v="0"/>
    <x v="0"/>
    <n v="0"/>
    <n v="0"/>
    <n v="0"/>
    <m/>
    <m/>
    <m/>
    <m/>
    <m/>
  </r>
  <r>
    <s v="000017615"/>
    <s v="Fabien DALMER"/>
    <x v="61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262"/>
    <s v="Fabien LABORDE"/>
    <x v="74"/>
    <x v="4"/>
    <s v="Non"/>
    <n v="19.5"/>
    <s v=""/>
    <n v="0.5"/>
    <n v="0"/>
    <n v="0"/>
    <e v="#REF!"/>
    <s v=""/>
    <s v=""/>
    <s v=""/>
    <n v="19"/>
    <n v="1"/>
    <n v="0"/>
    <n v="0.5"/>
    <n v="-0.5"/>
    <n v="0"/>
    <n v="0"/>
    <n v="0"/>
    <x v="0"/>
    <n v="0"/>
    <n v="0"/>
    <n v="0.5"/>
    <m/>
    <m/>
    <m/>
    <m/>
    <m/>
  </r>
  <r>
    <s v="000000314"/>
    <s v="Fabrice AUSTRUY"/>
    <x v="80"/>
    <x v="0"/>
    <s v="Oui"/>
    <n v="0"/>
    <s v=""/>
    <n v="20"/>
    <n v="0"/>
    <n v="0"/>
    <e v="#REF!"/>
    <s v=""/>
    <s v=""/>
    <s v=""/>
    <n v="8"/>
    <n v="8"/>
    <n v="0"/>
    <n v="-8"/>
    <n v="12"/>
    <n v="0"/>
    <n v="0"/>
    <n v="0"/>
    <x v="2"/>
    <n v="0"/>
    <n v="0"/>
    <n v="-8"/>
    <m/>
    <m/>
    <m/>
    <m/>
    <m/>
  </r>
  <r>
    <s v="000007122"/>
    <s v="Fabrice BARROS"/>
    <x v="71"/>
    <x v="1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m/>
    <m/>
  </r>
  <r>
    <s v="000000123"/>
    <s v="Fabrice JACQUES"/>
    <x v="80"/>
    <x v="0"/>
    <s v="Non"/>
    <n v="16"/>
    <s v=""/>
    <n v="4"/>
    <n v="0"/>
    <n v="0"/>
    <e v="#REF!"/>
    <s v=""/>
    <s v=""/>
    <s v=""/>
    <n v="14"/>
    <n v="6"/>
    <n v="0"/>
    <n v="2"/>
    <n v="-2"/>
    <n v="0"/>
    <n v="0"/>
    <n v="0"/>
    <x v="0"/>
    <n v="0"/>
    <n v="0"/>
    <n v="2"/>
    <m/>
    <m/>
    <m/>
    <m/>
    <m/>
  </r>
  <r>
    <s v="000013752"/>
    <s v="Fanny EZINGEARD"/>
    <x v="48"/>
    <x v="0"/>
    <s v="Non"/>
    <n v="0"/>
    <s v=""/>
    <n v="12"/>
    <n v="0"/>
    <n v="8"/>
    <e v="#REF!"/>
    <s v=""/>
    <s v=""/>
    <s v=""/>
    <n v="12"/>
    <n v="8"/>
    <n v="0"/>
    <n v="-12"/>
    <n v="4"/>
    <n v="0"/>
    <n v="0"/>
    <n v="0"/>
    <x v="3"/>
    <n v="0"/>
    <n v="12"/>
    <n v="0"/>
    <m/>
    <m/>
    <m/>
    <m/>
    <m/>
  </r>
  <r>
    <s v="000011978"/>
    <s v="Farah MOHAMADI"/>
    <x v="81"/>
    <x v="4"/>
    <s v="Oui"/>
    <n v="0"/>
    <s v=""/>
    <n v="2.5"/>
    <n v="17.5"/>
    <n v="0"/>
    <e v="#REF!"/>
    <s v=""/>
    <s v=""/>
    <s v=""/>
    <n v="0"/>
    <n v="2.5"/>
    <n v="17.5"/>
    <n v="0"/>
    <n v="0"/>
    <n v="0"/>
    <n v="0"/>
    <n v="0"/>
    <x v="0"/>
    <n v="0"/>
    <n v="0"/>
    <n v="0"/>
    <m/>
    <m/>
    <m/>
    <m/>
    <m/>
  </r>
  <r>
    <s v="000010022"/>
    <s v="Fatima Zohra OUTALHA"/>
    <x v="53"/>
    <x v="5"/>
    <s v="Oui"/>
    <n v="12"/>
    <s v=""/>
    <n v="3"/>
    <n v="5"/>
    <n v="0"/>
    <e v="#REF!"/>
    <s v=""/>
    <s v=""/>
    <s v=""/>
    <n v="12"/>
    <n v="3"/>
    <n v="5"/>
    <n v="0"/>
    <n v="0"/>
    <n v="0"/>
    <n v="0"/>
    <n v="0"/>
    <x v="0"/>
    <n v="0"/>
    <n v="0"/>
    <n v="0"/>
    <m/>
    <m/>
    <m/>
    <m/>
    <m/>
  </r>
  <r>
    <s v="000003667"/>
    <s v="Faustine COMBAULT"/>
    <x v="71"/>
    <x v="1"/>
    <m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3055"/>
    <s v="Faustine TIRINZONI"/>
    <x v="53"/>
    <x v="5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04106"/>
    <s v="Fayçal YAKOUBI"/>
    <x v="80"/>
    <x v="0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0570"/>
    <s v="Federico GARCIA VELEZ"/>
    <x v="34"/>
    <x v="7"/>
    <s v="Non"/>
    <n v="15"/>
    <s v=""/>
    <n v="3"/>
    <n v="2"/>
    <n v="0"/>
    <e v="#REF!"/>
    <s v=""/>
    <s v=""/>
    <s v=""/>
    <n v="15"/>
    <n v="3"/>
    <n v="2"/>
    <n v="0"/>
    <n v="0"/>
    <n v="0"/>
    <n v="0"/>
    <n v="0"/>
    <x v="3"/>
    <n v="0"/>
    <n v="3"/>
    <n v="3"/>
    <m/>
    <m/>
    <m/>
    <m/>
    <m/>
  </r>
  <r>
    <s v="000018023"/>
    <s v="Firas OUHAICHI"/>
    <x v="37"/>
    <x v="4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m/>
    <m/>
  </r>
  <r>
    <s v="000009731"/>
    <s v="Flora BRUYERE"/>
    <x v="32"/>
    <x v="3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00055"/>
    <s v="Florence NOIZET"/>
    <x v="82"/>
    <x v="4"/>
    <s v="Oui"/>
    <n v="0"/>
    <s v=""/>
    <n v="20"/>
    <n v="0"/>
    <n v="0"/>
    <e v="#REF!"/>
    <s v=""/>
    <s v=""/>
    <s v=""/>
    <n v="0"/>
    <n v="19"/>
    <n v="1"/>
    <n v="0"/>
    <n v="1"/>
    <n v="-1"/>
    <n v="0"/>
    <n v="0"/>
    <x v="2"/>
    <n v="0"/>
    <n v="0"/>
    <n v="0"/>
    <m/>
    <m/>
    <m/>
    <m/>
    <m/>
  </r>
  <r>
    <s v="000017858"/>
    <s v="Florent COLAS"/>
    <x v="83"/>
    <x v="3"/>
    <s v="Non"/>
    <n v="15.5"/>
    <s v=""/>
    <n v="0"/>
    <n v="4.5"/>
    <n v="0"/>
    <e v="#REF!"/>
    <s v=""/>
    <s v=""/>
    <s v=""/>
    <n v="15.5"/>
    <n v="0"/>
    <n v="4.5"/>
    <n v="0"/>
    <n v="0"/>
    <n v="0"/>
    <n v="0"/>
    <n v="0"/>
    <x v="1"/>
    <n v="0"/>
    <n v="0"/>
    <n v="0"/>
    <m/>
    <m/>
    <m/>
    <m/>
    <m/>
  </r>
  <r>
    <s v="000005719"/>
    <s v="Florent COUET"/>
    <x v="81"/>
    <x v="4"/>
    <s v="Non"/>
    <n v="1"/>
    <s v=""/>
    <n v="19"/>
    <n v="0"/>
    <n v="0"/>
    <e v="#REF!"/>
    <s v=""/>
    <s v=""/>
    <s v=""/>
    <n v="1"/>
    <n v="19"/>
    <n v="0"/>
    <n v="0"/>
    <n v="0"/>
    <n v="0"/>
    <n v="0"/>
    <n v="0"/>
    <x v="0"/>
    <n v="0"/>
    <n v="0"/>
    <n v="0"/>
    <m/>
    <m/>
    <m/>
    <m/>
    <m/>
  </r>
  <r>
    <s v="000013220"/>
    <s v="Florent DE BORTOLI"/>
    <x v="43"/>
    <x v="0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m/>
    <m/>
  </r>
  <r>
    <s v="000000254"/>
    <s v="Florent MATHE"/>
    <x v="66"/>
    <x v="5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8171"/>
    <s v="Florian BIERRE"/>
    <x v="16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7773"/>
    <s v="Florian BOSSARD"/>
    <x v="34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749"/>
    <s v="Florian CHATELIER"/>
    <x v="84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469"/>
    <s v="Florian CHEVEREAU"/>
    <x v="43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4891"/>
    <s v="Florian DELECOLLE"/>
    <x v="14"/>
    <x v="7"/>
    <s v="Non"/>
    <n v="13"/>
    <s v=""/>
    <n v="4.5"/>
    <n v="1"/>
    <n v="1.5"/>
    <e v="#REF!"/>
    <s v=""/>
    <s v=""/>
    <s v=""/>
    <n v="16"/>
    <n v="2"/>
    <n v="2"/>
    <n v="-3"/>
    <n v="2.5"/>
    <n v="-1"/>
    <n v="0"/>
    <n v="0"/>
    <x v="2"/>
    <n v="0"/>
    <n v="0"/>
    <n v="-3"/>
    <m/>
    <m/>
    <m/>
    <m/>
    <m/>
  </r>
  <r>
    <s v="000021231"/>
    <s v="Florian FRESNEAU"/>
    <x v="70"/>
    <x v="1"/>
    <s v="Non"/>
    <n v="11"/>
    <s v=""/>
    <n v="9"/>
    <n v="0"/>
    <n v="0"/>
    <e v="#REF!"/>
    <s v=""/>
    <s v=""/>
    <s v=""/>
    <n v="20"/>
    <n v="0"/>
    <n v="0"/>
    <n v="-9"/>
    <n v="9"/>
    <n v="0"/>
    <n v="0"/>
    <n v="0"/>
    <x v="2"/>
    <n v="0"/>
    <n v="0"/>
    <n v="-9"/>
    <m/>
    <m/>
    <m/>
    <m/>
    <m/>
  </r>
  <r>
    <s v="000013873"/>
    <s v="Florian HOUDEBINE"/>
    <x v="22"/>
    <x v="2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05181"/>
    <s v="Franck LEMARCHAND"/>
    <x v="32"/>
    <x v="3"/>
    <s v="Non"/>
    <n v="0"/>
    <s v=""/>
    <n v="16"/>
    <n v="0"/>
    <n v="4"/>
    <e v="#REF!"/>
    <s v=""/>
    <s v=""/>
    <s v=""/>
    <n v="0"/>
    <n v="16"/>
    <n v="0"/>
    <n v="0"/>
    <n v="0"/>
    <n v="0"/>
    <n v="0"/>
    <n v="0"/>
    <x v="3"/>
    <n v="0"/>
    <n v="5"/>
    <n v="5"/>
    <m/>
    <m/>
    <m/>
    <m/>
    <m/>
  </r>
  <r>
    <s v="000000582"/>
    <s v="Franck LENORMAND"/>
    <x v="14"/>
    <x v="7"/>
    <s v="Non"/>
    <n v="16"/>
    <s v=""/>
    <n v="4"/>
    <n v="0"/>
    <n v="0"/>
    <e v="#REF!"/>
    <s v=""/>
    <s v=""/>
    <s v=""/>
    <n v="16"/>
    <n v="4"/>
    <n v="0"/>
    <n v="0"/>
    <n v="0"/>
    <n v="0"/>
    <n v="0"/>
    <n v="0"/>
    <x v="0"/>
    <n v="0"/>
    <n v="0"/>
    <n v="0"/>
    <m/>
    <m/>
    <m/>
    <m/>
    <m/>
  </r>
  <r>
    <s v="000020787"/>
    <s v="François DESAULLE"/>
    <x v="1"/>
    <x v="1"/>
    <s v="Non"/>
    <n v="18.5"/>
    <s v=""/>
    <n v="0"/>
    <n v="1.5"/>
    <n v="0"/>
    <e v="#REF!"/>
    <s v=""/>
    <s v=""/>
    <s v=""/>
    <n v="18.5"/>
    <n v="0"/>
    <n v="1.5"/>
    <n v="0"/>
    <n v="0"/>
    <n v="0"/>
    <n v="0"/>
    <n v="0"/>
    <x v="1"/>
    <n v="0"/>
    <n v="0"/>
    <n v="0"/>
    <m/>
    <m/>
    <m/>
    <m/>
    <m/>
  </r>
  <r>
    <s v="000004841"/>
    <s v="François FONTESPIS-LOSTE"/>
    <x v="71"/>
    <x v="1"/>
    <s v="Oui"/>
    <n v="14"/>
    <s v=""/>
    <n v="6"/>
    <n v="0"/>
    <n v="0"/>
    <e v="#REF!"/>
    <s v=""/>
    <s v=""/>
    <s v=""/>
    <n v="10"/>
    <n v="10"/>
    <n v="0"/>
    <n v="4"/>
    <n v="-4"/>
    <n v="0"/>
    <n v="0"/>
    <n v="0"/>
    <x v="0"/>
    <n v="0"/>
    <n v="0"/>
    <n v="4"/>
    <m/>
    <m/>
    <m/>
    <m/>
    <m/>
  </r>
  <r>
    <s v="000016509"/>
    <s v="François OTTO-HEDUY"/>
    <x v="64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739"/>
    <s v="Frédéric ROUSSEL"/>
    <x v="64"/>
    <x v="1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m/>
    <m/>
  </r>
  <r>
    <s v="000014895"/>
    <s v="Félix VITAS"/>
    <x v="48"/>
    <x v="0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m/>
    <m/>
  </r>
  <r>
    <s v="000020767"/>
    <s v="Gabriel BERTIN"/>
    <x v="42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7649"/>
    <s v="Gabriel DARCOS"/>
    <x v="49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3272"/>
    <s v="Garance HOURCADE"/>
    <x v="69"/>
    <x v="6"/>
    <s v="Oui"/>
    <n v="17.5"/>
    <s v=""/>
    <n v="2"/>
    <n v="0.5"/>
    <n v="0"/>
    <e v="#REF!"/>
    <s v=""/>
    <s v=""/>
    <s v=""/>
    <n v="17.5"/>
    <n v="2"/>
    <n v="0.5"/>
    <n v="0"/>
    <n v="0"/>
    <n v="0"/>
    <n v="0"/>
    <n v="0"/>
    <x v="0"/>
    <n v="0"/>
    <n v="0"/>
    <n v="0"/>
    <m/>
    <m/>
    <m/>
    <m/>
    <m/>
  </r>
  <r>
    <s v="000021392"/>
    <s v="Gaspard COUERBE"/>
    <x v="68"/>
    <x v="2"/>
    <s v="Non"/>
    <n v="9"/>
    <s v=""/>
    <n v="0"/>
    <n v="11"/>
    <n v="0"/>
    <e v="#REF!"/>
    <s v=""/>
    <s v=""/>
    <s v=""/>
    <n v="9"/>
    <n v="0"/>
    <n v="11"/>
    <n v="0"/>
    <n v="0"/>
    <n v="0"/>
    <n v="0"/>
    <n v="0"/>
    <x v="1"/>
    <n v="0"/>
    <n v="0"/>
    <n v="0"/>
    <m/>
    <m/>
    <m/>
    <m/>
    <m/>
  </r>
  <r>
    <s v="000020303"/>
    <s v="Gauthier MAIROT"/>
    <x v="76"/>
    <x v="6"/>
    <s v="Non"/>
    <n v="17"/>
    <s v=""/>
    <n v="3"/>
    <n v="0"/>
    <n v="0"/>
    <e v="#REF!"/>
    <s v=""/>
    <s v=""/>
    <s v=""/>
    <n v="18"/>
    <n v="2"/>
    <n v="0"/>
    <n v="-1"/>
    <n v="1"/>
    <n v="0"/>
    <n v="0"/>
    <n v="0"/>
    <x v="2"/>
    <n v="0"/>
    <n v="0"/>
    <n v="-1"/>
    <m/>
    <m/>
    <m/>
    <m/>
    <m/>
  </r>
  <r>
    <s v="000021819"/>
    <s v="Gauthier MUGUET"/>
    <x v="85"/>
    <x v="7"/>
    <s v="Non"/>
    <n v="14.5"/>
    <s v=""/>
    <n v="1.5"/>
    <n v="4"/>
    <n v="0"/>
    <e v="#REF!"/>
    <s v=""/>
    <s v=""/>
    <s v=""/>
    <n v="16"/>
    <n v="0"/>
    <n v="4"/>
    <n v="-1.5"/>
    <n v="1.5"/>
    <n v="0"/>
    <n v="0"/>
    <n v="0"/>
    <x v="2"/>
    <n v="0"/>
    <n v="0"/>
    <n v="-1.5"/>
    <m/>
    <m/>
    <m/>
    <m/>
    <m/>
  </r>
  <r>
    <s v="000016886"/>
    <s v="Gaël ASTIER"/>
    <x v="27"/>
    <x v="4"/>
    <s v="Non"/>
    <n v="14"/>
    <s v=""/>
    <n v="6"/>
    <n v="0"/>
    <n v="0"/>
    <e v="#REF!"/>
    <s v=""/>
    <s v=""/>
    <s v=""/>
    <n v="15"/>
    <n v="5"/>
    <n v="0"/>
    <n v="-1"/>
    <n v="1"/>
    <n v="0"/>
    <n v="0"/>
    <n v="0"/>
    <x v="3"/>
    <n v="0"/>
    <n v="6"/>
    <n v="5"/>
    <m/>
    <m/>
    <m/>
    <m/>
    <m/>
  </r>
  <r>
    <s v="000011393"/>
    <s v="Gaël LACOSTE"/>
    <x v="21"/>
    <x v="4"/>
    <s v="Oui"/>
    <n v="0"/>
    <s v=""/>
    <n v="19"/>
    <n v="1"/>
    <n v="0"/>
    <e v="#REF!"/>
    <s v=""/>
    <s v=""/>
    <s v=""/>
    <n v="0"/>
    <n v="20"/>
    <n v="0"/>
    <n v="0"/>
    <n v="-1"/>
    <n v="1"/>
    <n v="0"/>
    <n v="0"/>
    <x v="2"/>
    <n v="0"/>
    <n v="0"/>
    <n v="0"/>
    <m/>
    <m/>
    <m/>
    <m/>
    <m/>
  </r>
  <r>
    <s v="000005735"/>
    <s v="Gaël PEZIER"/>
    <x v="32"/>
    <x v="3"/>
    <s v="Oui"/>
    <n v="0"/>
    <s v=""/>
    <n v="19"/>
    <n v="1"/>
    <n v="0"/>
    <e v="#REF!"/>
    <s v=""/>
    <s v=""/>
    <s v=""/>
    <n v="9"/>
    <n v="10"/>
    <n v="1"/>
    <n v="-9"/>
    <n v="9"/>
    <n v="0"/>
    <n v="0"/>
    <n v="0"/>
    <x v="2"/>
    <n v="0"/>
    <n v="0"/>
    <n v="-9"/>
    <m/>
    <m/>
    <m/>
    <m/>
    <m/>
  </r>
  <r>
    <s v="000017238"/>
    <s v="Gaëtan DENISSE"/>
    <x v="23"/>
    <x v="4"/>
    <s v="Non"/>
    <n v="20"/>
    <s v=""/>
    <n v="0"/>
    <n v="0"/>
    <n v="0"/>
    <e v="#REF!"/>
    <s v=""/>
    <s v=""/>
    <s v=""/>
    <n v="18"/>
    <n v="2"/>
    <n v="0"/>
    <n v="2"/>
    <n v="-2"/>
    <n v="0"/>
    <n v="0"/>
    <n v="0"/>
    <x v="1"/>
    <n v="0"/>
    <n v="0"/>
    <n v="2"/>
    <m/>
    <m/>
    <m/>
    <m/>
    <m/>
  </r>
  <r>
    <s v="000007374"/>
    <s v="Geneviève DAVID"/>
    <x v="86"/>
    <x v="8"/>
    <s v="Non"/>
    <n v="0"/>
    <s v=""/>
    <n v="17.5"/>
    <n v="1"/>
    <n v="1.5"/>
    <e v="#REF!"/>
    <s v=""/>
    <s v=""/>
    <s v=""/>
    <n v="0"/>
    <n v="17"/>
    <n v="1"/>
    <n v="0"/>
    <n v="0.5"/>
    <n v="0"/>
    <n v="0"/>
    <n v="0"/>
    <x v="0"/>
    <n v="0"/>
    <n v="0"/>
    <n v="0"/>
    <m/>
    <m/>
    <m/>
    <m/>
    <m/>
  </r>
  <r>
    <s v="000013823"/>
    <s v="Geoffrey MERCIEUX"/>
    <x v="22"/>
    <x v="2"/>
    <s v="Non"/>
    <n v="15"/>
    <s v=""/>
    <n v="5"/>
    <n v="0"/>
    <n v="0"/>
    <e v="#REF!"/>
    <s v=""/>
    <s v=""/>
    <s v=""/>
    <n v="20"/>
    <n v="0"/>
    <n v="0"/>
    <n v="-5"/>
    <n v="5"/>
    <n v="0"/>
    <n v="0"/>
    <n v="0"/>
    <x v="2"/>
    <n v="0"/>
    <n v="0"/>
    <n v="-5"/>
    <m/>
    <m/>
    <m/>
    <m/>
    <m/>
  </r>
  <r>
    <s v="000020680"/>
    <s v="Geoffroy MONTCEL"/>
    <x v="49"/>
    <x v="7"/>
    <s v="Non"/>
    <n v="9"/>
    <s v=""/>
    <n v="11"/>
    <n v="0"/>
    <n v="0"/>
    <e v="#REF!"/>
    <s v=""/>
    <s v=""/>
    <s v=""/>
    <n v="10"/>
    <n v="10"/>
    <n v="0"/>
    <n v="-1"/>
    <n v="1"/>
    <n v="0"/>
    <n v="0"/>
    <n v="0"/>
    <x v="2"/>
    <n v="0"/>
    <n v="0"/>
    <n v="-1"/>
    <m/>
    <m/>
    <m/>
    <m/>
    <m/>
  </r>
  <r>
    <s v="000020266"/>
    <s v="Georges WYBO"/>
    <x v="29"/>
    <x v="5"/>
    <s v="Non"/>
    <n v="20"/>
    <s v=""/>
    <n v="0"/>
    <n v="0"/>
    <n v="0"/>
    <e v="#REF!"/>
    <s v=""/>
    <s v=""/>
    <s v=""/>
    <n v="19"/>
    <n v="1"/>
    <n v="0"/>
    <n v="1"/>
    <n v="-1"/>
    <n v="0"/>
    <n v="0"/>
    <n v="0"/>
    <x v="1"/>
    <n v="0"/>
    <n v="0"/>
    <n v="1"/>
    <m/>
    <m/>
    <m/>
    <m/>
    <m/>
  </r>
  <r>
    <s v="000013550"/>
    <s v="Ghislain KICINSKI"/>
    <x v="76"/>
    <x v="6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22128"/>
    <s v="Ghita EL IDRISSI RAJA"/>
    <x v="42"/>
    <x v="5"/>
    <s v="Non"/>
    <n v="0"/>
    <s v=""/>
    <n v="14"/>
    <n v="6"/>
    <n v="0"/>
    <e v="#REF!"/>
    <s v=""/>
    <s v=""/>
    <s v=""/>
    <n v="0"/>
    <n v="14"/>
    <n v="6"/>
    <n v="0"/>
    <n v="0"/>
    <n v="0"/>
    <n v="0"/>
    <n v="0"/>
    <x v="0"/>
    <n v="0"/>
    <n v="0"/>
    <n v="0"/>
    <m/>
    <m/>
    <m/>
    <m/>
    <m/>
  </r>
  <r>
    <s v="000008659"/>
    <s v="Godefroy DENORMANDIE"/>
    <x v="80"/>
    <x v="0"/>
    <s v="Oui"/>
    <n v="5.5"/>
    <s v=""/>
    <n v="14.5"/>
    <n v="0"/>
    <n v="0"/>
    <e v="#REF!"/>
    <s v=""/>
    <s v=""/>
    <s v=""/>
    <n v="5.5"/>
    <n v="14.5"/>
    <n v="0"/>
    <n v="0"/>
    <n v="0"/>
    <n v="0"/>
    <n v="0"/>
    <n v="0"/>
    <x v="0"/>
    <n v="0"/>
    <n v="0"/>
    <n v="0"/>
    <m/>
    <m/>
    <m/>
    <m/>
    <m/>
  </r>
  <r>
    <s v="000016189"/>
    <s v="Grégoire LAMBERT"/>
    <x v="15"/>
    <x v="0"/>
    <s v="Non"/>
    <n v="0"/>
    <s v=""/>
    <n v="15"/>
    <n v="5"/>
    <n v="0"/>
    <e v="#REF!"/>
    <s v=""/>
    <s v=""/>
    <s v=""/>
    <n v="5"/>
    <n v="10"/>
    <n v="5"/>
    <n v="-5"/>
    <n v="5"/>
    <n v="0"/>
    <n v="0"/>
    <n v="0"/>
    <x v="2"/>
    <n v="0"/>
    <n v="0"/>
    <n v="-5"/>
    <m/>
    <m/>
    <m/>
    <m/>
    <m/>
  </r>
  <r>
    <s v="000022410"/>
    <s v="Grégoire LE PARGNEUX"/>
    <x v="85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7016"/>
    <s v="Guillaume BAILLY"/>
    <x v="55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198"/>
    <s v="Guillaume BARRÉ"/>
    <x v="53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575"/>
    <s v="Guillaume CAMPAN"/>
    <x v="61"/>
    <x v="5"/>
    <s v="Non"/>
    <n v="14"/>
    <s v=""/>
    <n v="4"/>
    <n v="2"/>
    <n v="0"/>
    <e v="#REF!"/>
    <s v=""/>
    <s v=""/>
    <s v=""/>
    <n v="17"/>
    <n v="1"/>
    <n v="2"/>
    <n v="-3"/>
    <n v="3"/>
    <n v="0"/>
    <n v="0"/>
    <n v="0"/>
    <x v="2"/>
    <n v="0"/>
    <n v="0"/>
    <n v="-3"/>
    <m/>
    <m/>
    <m/>
    <m/>
    <m/>
  </r>
  <r>
    <s v="000000026"/>
    <s v="Guillaume CHASSARD"/>
    <x v="66"/>
    <x v="5"/>
    <s v="Oui"/>
    <n v="0"/>
    <s v=""/>
    <n v="19"/>
    <n v="1"/>
    <n v="0"/>
    <e v="#REF!"/>
    <s v=""/>
    <s v=""/>
    <s v=""/>
    <n v="3"/>
    <n v="16"/>
    <n v="1"/>
    <n v="-3"/>
    <n v="3"/>
    <n v="0"/>
    <n v="0"/>
    <n v="0"/>
    <x v="2"/>
    <n v="0"/>
    <n v="0"/>
    <n v="-3"/>
    <m/>
    <m/>
    <m/>
    <m/>
    <m/>
  </r>
  <r>
    <s v="000012782"/>
    <s v="Guillaume COURTEMANCHE"/>
    <x v="38"/>
    <x v="3"/>
    <s v="Oui"/>
    <n v="17"/>
    <s v=""/>
    <n v="1"/>
    <n v="2"/>
    <n v="0"/>
    <e v="#REF!"/>
    <s v=""/>
    <s v=""/>
    <s v=""/>
    <n v="17"/>
    <n v="1"/>
    <n v="2"/>
    <n v="0"/>
    <n v="0"/>
    <n v="0"/>
    <n v="0"/>
    <n v="0"/>
    <x v="0"/>
    <n v="0"/>
    <n v="0"/>
    <n v="0"/>
    <m/>
    <m/>
    <m/>
    <m/>
    <m/>
  </r>
  <r>
    <s v="000012528"/>
    <s v="Guillaume PICARD"/>
    <x v="38"/>
    <x v="3"/>
    <s v="Oui"/>
    <n v="17"/>
    <s v=""/>
    <n v="3"/>
    <n v="0"/>
    <n v="0"/>
    <e v="#REF!"/>
    <s v=""/>
    <s v=""/>
    <s v=""/>
    <n v="16"/>
    <n v="4"/>
    <n v="0"/>
    <n v="1"/>
    <n v="-1"/>
    <n v="0"/>
    <n v="0"/>
    <n v="0"/>
    <x v="0"/>
    <n v="0"/>
    <n v="0"/>
    <n v="1"/>
    <m/>
    <m/>
    <m/>
    <m/>
    <m/>
  </r>
  <r>
    <s v="000000495"/>
    <s v="Guillaume VAQUERO"/>
    <x v="66"/>
    <x v="5"/>
    <s v="Oui"/>
    <n v="11"/>
    <s v=""/>
    <n v="9"/>
    <n v="0"/>
    <n v="0"/>
    <e v="#REF!"/>
    <s v=""/>
    <s v=""/>
    <s v=""/>
    <n v="9"/>
    <n v="11"/>
    <n v="0"/>
    <n v="2"/>
    <n v="-2"/>
    <n v="0"/>
    <n v="0"/>
    <n v="0"/>
    <x v="0"/>
    <n v="0"/>
    <n v="0"/>
    <n v="2"/>
    <m/>
    <m/>
    <m/>
    <m/>
    <m/>
  </r>
  <r>
    <s v="000016872"/>
    <s v="Gwenaëlle BOULET"/>
    <x v="27"/>
    <x v="4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m/>
    <m/>
  </r>
  <r>
    <s v="000021468"/>
    <s v="Gwénola ROBET"/>
    <x v="83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790"/>
    <s v="Géraud ROUQUAYROL"/>
    <x v="62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970"/>
    <s v="Hajar ARIF"/>
    <x v="7"/>
    <x v="2"/>
    <s v="Non"/>
    <n v="9"/>
    <s v=""/>
    <n v="11"/>
    <n v="0"/>
    <n v="0"/>
    <e v="#REF!"/>
    <s v=""/>
    <s v=""/>
    <s v=""/>
    <n v="9"/>
    <n v="11"/>
    <n v="0"/>
    <n v="0"/>
    <n v="0"/>
    <n v="0"/>
    <n v="0"/>
    <n v="0"/>
    <x v="0"/>
    <n v="0"/>
    <n v="0"/>
    <n v="0"/>
    <m/>
    <m/>
    <m/>
    <m/>
    <m/>
  </r>
  <r>
    <s v="000014394"/>
    <s v="Hakim REHHALI"/>
    <x v="39"/>
    <x v="1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m/>
    <m/>
  </r>
  <r>
    <s v="000017672"/>
    <s v="Hamza BENYEMNA"/>
    <x v="65"/>
    <x v="4"/>
    <s v="Non"/>
    <n v="0"/>
    <s v=""/>
    <n v="14"/>
    <n v="6"/>
    <n v="0"/>
    <e v="#REF!"/>
    <s v=""/>
    <s v=""/>
    <s v=""/>
    <n v="0"/>
    <n v="14"/>
    <n v="6"/>
    <n v="0"/>
    <n v="0"/>
    <n v="0"/>
    <n v="0"/>
    <n v="0"/>
    <x v="0"/>
    <n v="0"/>
    <n v="0"/>
    <n v="0"/>
    <m/>
    <m/>
    <m/>
    <m/>
    <m/>
  </r>
  <r>
    <s v="000013991"/>
    <s v="Hamza SARIH"/>
    <x v="76"/>
    <x v="6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m/>
    <m/>
  </r>
  <r>
    <s v="000020874"/>
    <s v="Hanaa AL ZAHABI"/>
    <x v="83"/>
    <x v="3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m/>
    <m/>
  </r>
  <r>
    <s v="000016416"/>
    <s v="Hanoé CORNET"/>
    <x v="31"/>
    <x v="1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0778"/>
    <s v="Harrison LECHEVALLIER"/>
    <x v="29"/>
    <x v="5"/>
    <s v="Oui"/>
    <n v="13"/>
    <s v=""/>
    <n v="5"/>
    <n v="2"/>
    <n v="0"/>
    <e v="#REF!"/>
    <s v=""/>
    <s v=""/>
    <s v=""/>
    <n v="13"/>
    <n v="5"/>
    <n v="2"/>
    <n v="0"/>
    <n v="0"/>
    <n v="0"/>
    <n v="0"/>
    <n v="0"/>
    <x v="0"/>
    <n v="0"/>
    <n v="0"/>
    <n v="0"/>
    <m/>
    <m/>
    <m/>
    <m/>
    <m/>
  </r>
  <r>
    <s v="000015137"/>
    <s v="Hicham LARAQUI"/>
    <x v="61"/>
    <x v="5"/>
    <s v="Non"/>
    <n v="0"/>
    <s v=""/>
    <n v="7"/>
    <n v="0"/>
    <n v="13"/>
    <e v="#REF!"/>
    <s v=""/>
    <s v=""/>
    <s v=""/>
    <n v="0"/>
    <n v="7"/>
    <n v="0"/>
    <n v="0"/>
    <n v="0"/>
    <n v="0"/>
    <n v="0"/>
    <n v="0"/>
    <x v="0"/>
    <n v="0"/>
    <n v="0"/>
    <n v="0"/>
    <m/>
    <m/>
    <m/>
    <m/>
    <m/>
  </r>
  <r>
    <s v="000000049"/>
    <s v="Hubert GUIGUE"/>
    <x v="66"/>
    <x v="5"/>
    <s v="Non"/>
    <n v="12"/>
    <s v=""/>
    <n v="3"/>
    <n v="5"/>
    <n v="0"/>
    <e v="#REF!"/>
    <s v=""/>
    <s v=""/>
    <s v=""/>
    <n v="11"/>
    <n v="5"/>
    <n v="4"/>
    <n v="1"/>
    <n v="-2"/>
    <n v="1"/>
    <n v="0"/>
    <n v="0"/>
    <x v="2"/>
    <n v="0"/>
    <n v="0"/>
    <n v="1"/>
    <m/>
    <m/>
    <m/>
    <m/>
    <m/>
  </r>
  <r>
    <s v="000020886"/>
    <s v="Hugo BELOT-DELORO"/>
    <x v="54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637"/>
    <s v="Hugo CAILLEUX"/>
    <x v="48"/>
    <x v="0"/>
    <s v="Non"/>
    <n v="9"/>
    <s v=""/>
    <n v="0"/>
    <n v="11"/>
    <n v="0"/>
    <e v="#REF!"/>
    <s v=""/>
    <s v=""/>
    <s v=""/>
    <n v="9"/>
    <n v="0"/>
    <n v="11"/>
    <n v="0"/>
    <n v="0"/>
    <n v="0"/>
    <n v="0"/>
    <n v="0"/>
    <x v="1"/>
    <n v="0"/>
    <n v="0"/>
    <n v="0"/>
    <m/>
    <m/>
    <m/>
    <m/>
    <m/>
  </r>
  <r>
    <s v="000022226"/>
    <s v="Hugo CLÉMENT"/>
    <x v="87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364"/>
    <s v="Hugo DEVOILLE"/>
    <x v="88"/>
    <x v="2"/>
    <s v="Non"/>
    <n v="9.5"/>
    <s v=""/>
    <n v="10.5"/>
    <n v="0"/>
    <n v="0"/>
    <e v="#REF!"/>
    <s v=""/>
    <s v=""/>
    <s v=""/>
    <n v="0"/>
    <n v="20"/>
    <n v="0"/>
    <n v="9.5"/>
    <n v="-9.5"/>
    <n v="0"/>
    <n v="0"/>
    <n v="0"/>
    <x v="0"/>
    <n v="0"/>
    <n v="0"/>
    <n v="9.5"/>
    <m/>
    <m/>
    <m/>
    <m/>
    <m/>
  </r>
  <r>
    <s v="000012598"/>
    <s v="Hugo DUBESSET"/>
    <x v="61"/>
    <x v="5"/>
    <s v="Non"/>
    <n v="0"/>
    <s v=""/>
    <n v="9"/>
    <n v="0"/>
    <n v="11"/>
    <e v="#REF!"/>
    <s v=""/>
    <s v=""/>
    <s v=""/>
    <n v="0"/>
    <n v="8"/>
    <n v="1"/>
    <n v="0"/>
    <n v="1"/>
    <n v="-1"/>
    <n v="0"/>
    <n v="0"/>
    <x v="2"/>
    <n v="0"/>
    <n v="0"/>
    <n v="0"/>
    <m/>
    <m/>
    <m/>
    <m/>
    <m/>
  </r>
  <r>
    <s v="000021154"/>
    <s v="Hugo FERUGLIO"/>
    <x v="20"/>
    <x v="7"/>
    <s v="Non"/>
    <n v="5"/>
    <s v=""/>
    <n v="14"/>
    <n v="0"/>
    <n v="1"/>
    <e v="#REF!"/>
    <s v=""/>
    <s v=""/>
    <s v=""/>
    <n v="5"/>
    <n v="14"/>
    <n v="0"/>
    <n v="0"/>
    <n v="0"/>
    <n v="0"/>
    <n v="0"/>
    <n v="0"/>
    <x v="0"/>
    <n v="0"/>
    <n v="0"/>
    <n v="0"/>
    <m/>
    <m/>
    <m/>
    <m/>
    <m/>
  </r>
  <r>
    <s v="000022213"/>
    <s v="Hugo LACHIVER"/>
    <x v="84"/>
    <x v="2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m/>
    <m/>
  </r>
  <r>
    <s v="000017797"/>
    <s v="Hugo LOPEZ"/>
    <x v="7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153"/>
    <s v="Hugo MAITRE"/>
    <x v="5"/>
    <x v="4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m/>
    <m/>
  </r>
  <r>
    <s v="000014666"/>
    <s v="Hugo STEPHAN"/>
    <x v="48"/>
    <x v="0"/>
    <s v="Non"/>
    <n v="0"/>
    <s v=""/>
    <n v="19"/>
    <n v="1"/>
    <n v="0"/>
    <e v="#REF!"/>
    <s v=""/>
    <s v=""/>
    <s v=""/>
    <n v="0"/>
    <n v="20"/>
    <n v="0"/>
    <n v="0"/>
    <n v="-1"/>
    <n v="1"/>
    <n v="0"/>
    <n v="0"/>
    <x v="2"/>
    <n v="0"/>
    <n v="0"/>
    <n v="0"/>
    <m/>
    <m/>
    <m/>
    <m/>
    <m/>
  </r>
  <r>
    <s v="000020992"/>
    <s v="Héloïse DE CASTELNAU"/>
    <x v="4"/>
    <x v="3"/>
    <s v="Non"/>
    <n v="18"/>
    <s v=""/>
    <n v="2"/>
    <n v="0"/>
    <n v="0"/>
    <e v="#REF!"/>
    <s v=""/>
    <s v=""/>
    <s v=""/>
    <n v="5"/>
    <n v="15"/>
    <n v="0"/>
    <n v="13"/>
    <n v="-13"/>
    <n v="0"/>
    <n v="0"/>
    <n v="0"/>
    <x v="0"/>
    <n v="0"/>
    <n v="0"/>
    <n v="13"/>
    <m/>
    <m/>
    <m/>
    <m/>
    <m/>
  </r>
  <r>
    <s v="000007372"/>
    <s v="Hélène CHATROUSSE"/>
    <x v="86"/>
    <x v="8"/>
    <s v="Non"/>
    <n v="0"/>
    <s v=""/>
    <n v="16"/>
    <n v="0"/>
    <n v="4"/>
    <e v="#REF!"/>
    <s v=""/>
    <s v=""/>
    <s v=""/>
    <n v="0"/>
    <n v="16"/>
    <n v="0"/>
    <n v="0"/>
    <n v="0"/>
    <n v="0"/>
    <n v="0"/>
    <n v="0"/>
    <x v="0"/>
    <n v="0"/>
    <n v="0"/>
    <n v="0"/>
    <m/>
    <m/>
    <m/>
    <m/>
    <m/>
  </r>
  <r>
    <s v="000021710"/>
    <s v="Hélène DE FORAS"/>
    <x v="67"/>
    <x v="3"/>
    <s v="Non"/>
    <n v="9"/>
    <s v=""/>
    <n v="8"/>
    <n v="3"/>
    <n v="0"/>
    <e v="#REF!"/>
    <s v=""/>
    <s v=""/>
    <s v=""/>
    <n v="17"/>
    <n v="0"/>
    <n v="3"/>
    <n v="-8"/>
    <n v="8"/>
    <n v="0"/>
    <n v="0"/>
    <n v="0"/>
    <x v="2"/>
    <n v="0"/>
    <n v="0"/>
    <n v="-8"/>
    <m/>
    <m/>
    <m/>
    <m/>
    <m/>
  </r>
  <r>
    <s v="000020633"/>
    <s v="Hélène KONDRATIEFF"/>
    <x v="58"/>
    <x v="7"/>
    <s v="Non"/>
    <n v="8"/>
    <s v=""/>
    <n v="9"/>
    <n v="3"/>
    <n v="0"/>
    <e v="#REF!"/>
    <s v=""/>
    <s v=""/>
    <s v=""/>
    <n v="11"/>
    <n v="6"/>
    <n v="3"/>
    <n v="-3"/>
    <n v="3"/>
    <n v="0"/>
    <n v="0"/>
    <n v="0"/>
    <x v="2"/>
    <n v="0"/>
    <n v="0"/>
    <n v="-3"/>
    <m/>
    <m/>
    <m/>
    <m/>
    <m/>
  </r>
  <r>
    <s v="000015040"/>
    <s v="Ibrahima DIEYE"/>
    <x v="31"/>
    <x v="1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8067"/>
    <s v="Idriss EL QUASSIMI"/>
    <x v="56"/>
    <x v="7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3111"/>
    <s v="Ignacio MARTIN VELASCO"/>
    <x v="17"/>
    <x v="7"/>
    <s v="Oui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687"/>
    <s v="Ihda LAHRECH"/>
    <x v="16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6097"/>
    <s v="Ilan BOUAZIZ"/>
    <x v="51"/>
    <x v="0"/>
    <s v="Non"/>
    <n v="17.5"/>
    <s v=""/>
    <n v="0"/>
    <n v="2.5"/>
    <n v="0"/>
    <e v="#REF!"/>
    <s v=""/>
    <s v=""/>
    <s v=""/>
    <n v="10"/>
    <n v="7.5"/>
    <n v="2.5"/>
    <n v="7.5"/>
    <n v="-7.5"/>
    <n v="0"/>
    <n v="0"/>
    <n v="0"/>
    <x v="1"/>
    <n v="0"/>
    <n v="0"/>
    <n v="7.5"/>
    <m/>
    <m/>
    <m/>
    <m/>
    <m/>
  </r>
  <r>
    <s v="000015055"/>
    <s v="Ilyana MOMBO"/>
    <x v="26"/>
    <x v="3"/>
    <s v="Non"/>
    <n v="18"/>
    <s v=""/>
    <n v="2"/>
    <n v="0"/>
    <n v="0"/>
    <e v="#REF!"/>
    <s v=""/>
    <s v=""/>
    <s v=""/>
    <n v="18"/>
    <n v="2"/>
    <n v="0"/>
    <n v="0"/>
    <n v="0"/>
    <n v="0"/>
    <n v="0"/>
    <n v="0"/>
    <x v="0"/>
    <n v="0"/>
    <n v="0"/>
    <n v="0"/>
    <m/>
    <m/>
    <m/>
    <m/>
    <m/>
  </r>
  <r>
    <s v="000017847"/>
    <s v="Ilyes RAKZA"/>
    <x v="55"/>
    <x v="5"/>
    <s v="Non"/>
    <n v="0"/>
    <s v=""/>
    <n v="18"/>
    <n v="2"/>
    <n v="0"/>
    <e v="#REF!"/>
    <s v=""/>
    <s v=""/>
    <s v=""/>
    <n v="0"/>
    <n v="18"/>
    <n v="2"/>
    <n v="0"/>
    <n v="0"/>
    <n v="0"/>
    <n v="0"/>
    <n v="0"/>
    <x v="0"/>
    <n v="0"/>
    <n v="0"/>
    <n v="0"/>
    <m/>
    <m/>
    <m/>
    <m/>
    <m/>
  </r>
  <r>
    <s v="000021777"/>
    <s v="Ines FTOUHA"/>
    <x v="52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20478"/>
    <s v="Ioana MAZILU"/>
    <x v="43"/>
    <x v="0"/>
    <s v="Non"/>
    <n v="12.5"/>
    <s v=""/>
    <n v="0"/>
    <n v="7.5"/>
    <n v="0"/>
    <e v="#REF!"/>
    <s v=""/>
    <s v=""/>
    <s v=""/>
    <n v="13.5"/>
    <n v="0"/>
    <n v="6.5"/>
    <n v="-1"/>
    <n v="0"/>
    <n v="1"/>
    <n v="0"/>
    <n v="0"/>
    <x v="1"/>
    <n v="1"/>
    <n v="0"/>
    <n v="-1"/>
    <m/>
    <m/>
    <m/>
    <m/>
    <m/>
  </r>
  <r>
    <s v="000014993"/>
    <s v="Ismael DE BUYST"/>
    <x v="9"/>
    <x v="5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17226"/>
    <s v="Ismaël ZIAD"/>
    <x v="49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844"/>
    <s v="Issam HALILE"/>
    <x v="89"/>
    <x v="3"/>
    <s v="Non"/>
    <n v="18"/>
    <s v=""/>
    <n v="0"/>
    <n v="2"/>
    <n v="0"/>
    <e v="#REF!"/>
    <s v=""/>
    <s v=""/>
    <s v=""/>
    <n v="20"/>
    <n v="0"/>
    <n v="0"/>
    <n v="-2"/>
    <n v="0"/>
    <n v="2"/>
    <n v="0"/>
    <n v="0"/>
    <x v="1"/>
    <n v="2"/>
    <n v="0"/>
    <n v="-2"/>
    <m/>
    <m/>
    <m/>
    <m/>
    <m/>
  </r>
  <r>
    <s v="000003455"/>
    <s v="Jacqueline TAN"/>
    <x v="71"/>
    <x v="1"/>
    <s v="Non"/>
    <n v="0"/>
    <s v=""/>
    <n v="14"/>
    <n v="0"/>
    <n v="6"/>
    <e v="#REF!"/>
    <s v=""/>
    <s v=""/>
    <s v=""/>
    <n v="0"/>
    <n v="14"/>
    <n v="0"/>
    <n v="0"/>
    <n v="0"/>
    <n v="0"/>
    <n v="0"/>
    <n v="0"/>
    <x v="0"/>
    <n v="0"/>
    <n v="0"/>
    <n v="0"/>
    <m/>
    <m/>
    <m/>
    <m/>
    <m/>
  </r>
  <r>
    <s v="000021768"/>
    <s v="Jacques FOS"/>
    <x v="90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715"/>
    <s v="Jacques KLEIN"/>
    <x v="55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2392"/>
    <s v="Jad ZGHEIB"/>
    <x v="38"/>
    <x v="3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00005"/>
    <s v="Jean BADIN"/>
    <x v="80"/>
    <x v="0"/>
    <s v="Non"/>
    <n v="10"/>
    <s v=""/>
    <n v="0"/>
    <n v="0"/>
    <n v="10"/>
    <e v="#REF!"/>
    <s v=""/>
    <s v=""/>
    <s v=""/>
    <n v="5"/>
    <n v="15"/>
    <n v="0"/>
    <n v="5"/>
    <n v="-15"/>
    <n v="0"/>
    <n v="0"/>
    <n v="0"/>
    <x v="1"/>
    <n v="0"/>
    <n v="0"/>
    <n v="5"/>
    <m/>
    <m/>
    <m/>
    <m/>
    <m/>
  </r>
  <r>
    <s v="000017908"/>
    <s v="Jean BAKALOGLOU"/>
    <x v="68"/>
    <x v="2"/>
    <s v="Non"/>
    <n v="9"/>
    <s v=""/>
    <n v="10"/>
    <n v="1"/>
    <n v="0"/>
    <e v="#REF!"/>
    <s v=""/>
    <s v=""/>
    <s v=""/>
    <n v="10"/>
    <n v="9"/>
    <n v="1"/>
    <n v="-1"/>
    <n v="1"/>
    <n v="0"/>
    <n v="0"/>
    <n v="0"/>
    <x v="2"/>
    <n v="0"/>
    <n v="0"/>
    <n v="-1"/>
    <m/>
    <m/>
    <m/>
    <m/>
    <m/>
  </r>
  <r>
    <s v="000010091"/>
    <s v="Jean CHENARD"/>
    <x v="81"/>
    <x v="4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3439"/>
    <s v="Jean CRESP"/>
    <x v="24"/>
    <x v="2"/>
    <s v="Non"/>
    <n v="17"/>
    <s v=""/>
    <n v="1"/>
    <n v="2"/>
    <n v="0"/>
    <e v="#REF!"/>
    <s v=""/>
    <s v=""/>
    <s v=""/>
    <n v="18"/>
    <n v="0"/>
    <n v="2"/>
    <n v="-1"/>
    <n v="1"/>
    <n v="0"/>
    <n v="0"/>
    <n v="0"/>
    <x v="2"/>
    <n v="0"/>
    <n v="0"/>
    <n v="-1"/>
    <m/>
    <m/>
    <m/>
    <m/>
    <m/>
  </r>
  <r>
    <s v="000008251"/>
    <s v="Jean-Baptiste DUBOIS"/>
    <x v="41"/>
    <x v="6"/>
    <s v="Oui"/>
    <n v="10"/>
    <s v=""/>
    <n v="0"/>
    <n v="10"/>
    <n v="0"/>
    <e v="#REF!"/>
    <s v=""/>
    <s v=""/>
    <s v=""/>
    <n v="11"/>
    <n v="0"/>
    <n v="9"/>
    <n v="-1"/>
    <n v="0"/>
    <n v="1"/>
    <n v="0"/>
    <n v="0"/>
    <x v="1"/>
    <n v="1"/>
    <n v="0"/>
    <n v="-1"/>
    <m/>
    <m/>
    <m/>
    <m/>
    <m/>
  </r>
  <r>
    <s v="000013105"/>
    <s v="Jean-Baptiste PHILIPPE"/>
    <x v="57"/>
    <x v="5"/>
    <s v="Non"/>
    <n v="16"/>
    <s v=""/>
    <n v="4"/>
    <n v="0"/>
    <n v="0"/>
    <e v="#REF!"/>
    <s v=""/>
    <s v=""/>
    <s v=""/>
    <n v="16"/>
    <n v="4"/>
    <n v="0"/>
    <n v="0"/>
    <n v="0"/>
    <n v="0"/>
    <n v="0"/>
    <n v="0"/>
    <x v="3"/>
    <n v="0"/>
    <n v="4"/>
    <n v="4"/>
    <m/>
    <m/>
    <m/>
    <m/>
    <m/>
  </r>
  <r>
    <s v="000020776"/>
    <s v="Jessica PANARONI"/>
    <x v="46"/>
    <x v="1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6164"/>
    <s v="Jihene OUERTANI"/>
    <x v="30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1127"/>
    <s v="Jimmy GUERIN"/>
    <x v="25"/>
    <x v="0"/>
    <s v="Oui"/>
    <n v="4"/>
    <s v=""/>
    <n v="16"/>
    <n v="0"/>
    <n v="0"/>
    <e v="#REF!"/>
    <s v=""/>
    <s v=""/>
    <s v=""/>
    <n v="4"/>
    <n v="16"/>
    <n v="0"/>
    <n v="0"/>
    <n v="0"/>
    <n v="0"/>
    <n v="0"/>
    <n v="0"/>
    <x v="0"/>
    <n v="0"/>
    <n v="0"/>
    <n v="0"/>
    <m/>
    <m/>
    <m/>
    <m/>
    <m/>
  </r>
  <r>
    <s v="000015530"/>
    <s v="Jocelyn AUFFRET"/>
    <x v="73"/>
    <x v="4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m/>
    <m/>
  </r>
  <r>
    <s v="000000988"/>
    <s v="Jonathan GERARDIN"/>
    <x v="80"/>
    <x v="0"/>
    <s v="Oui"/>
    <n v="15"/>
    <s v=""/>
    <n v="5"/>
    <n v="0"/>
    <n v="0"/>
    <e v="#REF!"/>
    <s v=""/>
    <s v=""/>
    <s v=""/>
    <n v="12"/>
    <n v="8"/>
    <n v="0"/>
    <n v="3"/>
    <n v="-3"/>
    <n v="0"/>
    <n v="0"/>
    <n v="0"/>
    <x v="0"/>
    <n v="0"/>
    <n v="0"/>
    <n v="3"/>
    <m/>
    <m/>
    <m/>
    <m/>
    <m/>
  </r>
  <r>
    <s v="000011251"/>
    <s v="Jonathan SARPAUX"/>
    <x v="27"/>
    <x v="4"/>
    <s v="Oui"/>
    <n v="9"/>
    <s v=""/>
    <n v="2"/>
    <n v="9"/>
    <n v="0"/>
    <e v="#REF!"/>
    <s v=""/>
    <s v=""/>
    <s v=""/>
    <n v="11"/>
    <n v="0"/>
    <n v="9"/>
    <n v="-2"/>
    <n v="2"/>
    <n v="0"/>
    <n v="0"/>
    <n v="0"/>
    <x v="2"/>
    <n v="0"/>
    <n v="0"/>
    <n v="-2"/>
    <m/>
    <m/>
    <m/>
    <m/>
    <m/>
  </r>
  <r>
    <s v="000011950"/>
    <s v="Jordan NOÉ"/>
    <x v="38"/>
    <x v="3"/>
    <s v="Non"/>
    <n v="14"/>
    <s v=""/>
    <n v="6"/>
    <n v="0"/>
    <n v="0"/>
    <e v="#REF!"/>
    <s v=""/>
    <s v=""/>
    <s v=""/>
    <n v="18"/>
    <n v="2"/>
    <n v="0"/>
    <n v="-4"/>
    <n v="4"/>
    <n v="0"/>
    <n v="0"/>
    <n v="0"/>
    <x v="3"/>
    <n v="0"/>
    <n v="6"/>
    <n v="2"/>
    <m/>
    <m/>
    <m/>
    <m/>
    <m/>
  </r>
  <r>
    <s v="000000529"/>
    <s v="Joris RABADAN"/>
    <x v="14"/>
    <x v="7"/>
    <s v="Non"/>
    <n v="10.5"/>
    <s v=""/>
    <n v="0"/>
    <n v="0"/>
    <n v="9.5"/>
    <e v="#REF!"/>
    <s v=""/>
    <s v=""/>
    <s v=""/>
    <n v="7"/>
    <n v="13"/>
    <n v="0"/>
    <n v="3.5"/>
    <n v="-13"/>
    <n v="0"/>
    <n v="0"/>
    <n v="0"/>
    <x v="1"/>
    <n v="0"/>
    <n v="0"/>
    <n v="3.5"/>
    <m/>
    <m/>
    <m/>
    <m/>
    <m/>
  </r>
  <r>
    <s v="000017355"/>
    <s v="Joseph DERIAUX"/>
    <x v="0"/>
    <x v="0"/>
    <s v="Non"/>
    <n v="19.5"/>
    <s v=""/>
    <n v="0.5"/>
    <n v="0"/>
    <n v="0"/>
    <e v="#REF!"/>
    <s v=""/>
    <s v=""/>
    <s v=""/>
    <n v="19.5"/>
    <n v="0.5"/>
    <n v="0"/>
    <n v="0"/>
    <n v="0"/>
    <n v="0"/>
    <n v="0"/>
    <n v="0"/>
    <x v="0"/>
    <n v="0"/>
    <n v="0"/>
    <n v="0"/>
    <m/>
    <m/>
    <m/>
    <m/>
    <m/>
  </r>
  <r>
    <s v="000020887"/>
    <s v="Juan Pablo DUQUE ESCOBAR"/>
    <x v="74"/>
    <x v="4"/>
    <s v="Non"/>
    <n v="11"/>
    <s v=""/>
    <n v="0"/>
    <n v="9"/>
    <n v="0"/>
    <e v="#REF!"/>
    <s v=""/>
    <s v=""/>
    <s v=""/>
    <n v="11"/>
    <n v="0"/>
    <n v="9"/>
    <n v="0"/>
    <n v="0"/>
    <n v="0"/>
    <n v="0"/>
    <n v="0"/>
    <x v="1"/>
    <n v="0"/>
    <n v="0"/>
    <n v="0"/>
    <m/>
    <m/>
    <m/>
    <m/>
    <m/>
  </r>
  <r>
    <s v="000013984"/>
    <s v="Jules LEBEDEFF"/>
    <x v="61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946"/>
    <s v="Jules REYPENS"/>
    <x v="91"/>
    <x v="1"/>
    <s v="Non"/>
    <n v="17.5"/>
    <s v=""/>
    <n v="0"/>
    <n v="2.5"/>
    <n v="0"/>
    <e v="#REF!"/>
    <s v=""/>
    <s v=""/>
    <s v=""/>
    <n v="20"/>
    <n v="0"/>
    <n v="0"/>
    <n v="-2.5"/>
    <n v="0"/>
    <n v="2.5"/>
    <n v="0"/>
    <n v="0"/>
    <x v="1"/>
    <n v="2.5"/>
    <n v="0"/>
    <n v="-2.5"/>
    <m/>
    <m/>
    <m/>
    <m/>
    <m/>
  </r>
  <r>
    <s v="000009273"/>
    <s v="Julia FRANCO"/>
    <x v="80"/>
    <x v="0"/>
    <s v="Oui"/>
    <n v="17"/>
    <s v=""/>
    <n v="3"/>
    <n v="0"/>
    <n v="0"/>
    <e v="#REF!"/>
    <s v=""/>
    <s v=""/>
    <s v=""/>
    <n v="16"/>
    <n v="4"/>
    <n v="0"/>
    <n v="1"/>
    <n v="-1"/>
    <n v="0"/>
    <n v="0"/>
    <n v="0"/>
    <x v="0"/>
    <n v="0"/>
    <n v="0"/>
    <n v="1"/>
    <m/>
    <m/>
    <m/>
    <m/>
    <m/>
  </r>
  <r>
    <s v="000017063"/>
    <s v="Julie DUBOIS"/>
    <x v="55"/>
    <x v="5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3898"/>
    <s v="Julie ERNOTTE"/>
    <x v="26"/>
    <x v="3"/>
    <s v="Non"/>
    <n v="16"/>
    <s v=""/>
    <n v="2"/>
    <n v="2"/>
    <n v="0"/>
    <e v="#REF!"/>
    <s v=""/>
    <s v=""/>
    <s v=""/>
    <n v="19"/>
    <n v="0"/>
    <n v="1"/>
    <n v="-3"/>
    <n v="2"/>
    <n v="1"/>
    <n v="0"/>
    <n v="0"/>
    <x v="2"/>
    <n v="1"/>
    <n v="0"/>
    <n v="-3"/>
    <m/>
    <m/>
    <m/>
    <m/>
    <m/>
  </r>
  <r>
    <s v="000010113"/>
    <s v="Julie FERRANDO"/>
    <x v="77"/>
    <x v="2"/>
    <s v="Oui"/>
    <n v="19"/>
    <s v=""/>
    <n v="0"/>
    <n v="1"/>
    <n v="0"/>
    <e v="#REF!"/>
    <s v=""/>
    <s v=""/>
    <s v=""/>
    <n v="18"/>
    <n v="1"/>
    <n v="1"/>
    <n v="1"/>
    <n v="-1"/>
    <n v="0"/>
    <n v="0"/>
    <n v="0"/>
    <x v="1"/>
    <n v="0"/>
    <n v="0"/>
    <n v="1"/>
    <m/>
    <m/>
    <m/>
    <m/>
    <m/>
  </r>
  <r>
    <s v="000013365"/>
    <s v="Julie PEYRUCQ"/>
    <x v="39"/>
    <x v="1"/>
    <s v="Non"/>
    <n v="18.5"/>
    <s v=""/>
    <n v="0.5"/>
    <n v="1"/>
    <n v="0"/>
    <e v="#REF!"/>
    <s v=""/>
    <s v=""/>
    <s v=""/>
    <n v="19"/>
    <n v="0"/>
    <n v="1"/>
    <n v="-0.5"/>
    <n v="0.5"/>
    <n v="0"/>
    <n v="0"/>
    <n v="0"/>
    <x v="2"/>
    <n v="0"/>
    <n v="0"/>
    <n v="-0.5"/>
    <m/>
    <m/>
    <m/>
    <m/>
    <m/>
  </r>
  <r>
    <s v="000022445"/>
    <s v="Julien BENAROCHE"/>
    <x v="92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02812"/>
    <s v="Julien BLEAS"/>
    <x v="29"/>
    <x v="5"/>
    <s v="Non"/>
    <n v="10.5"/>
    <s v=""/>
    <n v="6.5"/>
    <n v="3"/>
    <n v="0"/>
    <e v="#REF!"/>
    <s v=""/>
    <s v=""/>
    <s v=""/>
    <n v="17"/>
    <n v="0"/>
    <n v="3"/>
    <n v="-6.5"/>
    <n v="6.5"/>
    <n v="0"/>
    <n v="0"/>
    <n v="0"/>
    <x v="3"/>
    <n v="0"/>
    <n v="4.5"/>
    <n v="-2"/>
    <m/>
    <m/>
    <m/>
    <m/>
    <m/>
  </r>
  <r>
    <s v="000003277"/>
    <s v="Julien FLOCH"/>
    <x v="71"/>
    <x v="1"/>
    <s v="Oui"/>
    <n v="6"/>
    <s v=""/>
    <n v="14"/>
    <n v="0"/>
    <n v="0"/>
    <e v="#REF!"/>
    <s v=""/>
    <s v=""/>
    <s v=""/>
    <n v="6"/>
    <n v="14"/>
    <n v="0"/>
    <n v="0"/>
    <n v="0"/>
    <n v="0"/>
    <n v="0"/>
    <n v="0"/>
    <x v="0"/>
    <n v="0"/>
    <n v="0"/>
    <n v="0"/>
    <m/>
    <m/>
    <m/>
    <m/>
    <m/>
  </r>
  <r>
    <s v="000020328"/>
    <s v="Julien GOUJON"/>
    <x v="54"/>
    <x v="5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4623"/>
    <s v="Julien KHERROUBI"/>
    <x v="7"/>
    <x v="2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16539"/>
    <s v="Julien KRIEGER"/>
    <x v="12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2185"/>
    <s v="Julien LERY"/>
    <x v="50"/>
    <x v="1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00140"/>
    <s v="Julien ROUSSON"/>
    <x v="66"/>
    <x v="5"/>
    <s v="Non"/>
    <n v="20"/>
    <s v=""/>
    <n v="0"/>
    <n v="0"/>
    <n v="0"/>
    <e v="#REF!"/>
    <s v=""/>
    <s v=""/>
    <s v=""/>
    <n v="19"/>
    <n v="1"/>
    <n v="0"/>
    <n v="1"/>
    <n v="-1"/>
    <n v="0"/>
    <n v="0"/>
    <n v="0"/>
    <x v="1"/>
    <n v="0"/>
    <n v="0"/>
    <n v="1"/>
    <m/>
    <m/>
    <m/>
    <m/>
    <m/>
  </r>
  <r>
    <s v="000015506"/>
    <s v="Julien XYPOLITAS"/>
    <x v="30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8037"/>
    <s v="Junjun LIU"/>
    <x v="89"/>
    <x v="3"/>
    <s v="Non"/>
    <n v="1"/>
    <s v=""/>
    <n v="0"/>
    <n v="19"/>
    <n v="0"/>
    <e v="#REF!"/>
    <s v=""/>
    <s v=""/>
    <s v=""/>
    <n v="0"/>
    <n v="1"/>
    <n v="19"/>
    <n v="1"/>
    <n v="-1"/>
    <n v="0"/>
    <n v="0"/>
    <n v="0"/>
    <x v="1"/>
    <n v="0"/>
    <n v="0"/>
    <n v="1"/>
    <m/>
    <m/>
    <m/>
    <m/>
    <m/>
  </r>
  <r>
    <s v="000021750"/>
    <s v="Justin GOASDOUE"/>
    <x v="46"/>
    <x v="1"/>
    <s v="Non"/>
    <n v="3.5"/>
    <s v=""/>
    <n v="16.5"/>
    <n v="0"/>
    <n v="0"/>
    <e v="#REF!"/>
    <s v=""/>
    <s v=""/>
    <s v=""/>
    <n v="7"/>
    <n v="13"/>
    <n v="0"/>
    <n v="-3.5"/>
    <n v="3.5"/>
    <n v="0"/>
    <n v="0"/>
    <n v="0"/>
    <x v="2"/>
    <n v="0"/>
    <n v="0"/>
    <n v="-3.5"/>
    <m/>
    <m/>
    <m/>
    <m/>
    <m/>
  </r>
  <r>
    <s v="000022307"/>
    <s v="Jérémie LAMBA"/>
    <x v="93"/>
    <x v="0"/>
    <s v="Non"/>
    <n v="0"/>
    <s v=""/>
    <n v="2"/>
    <n v="0"/>
    <n v="18"/>
    <e v="#REF!"/>
    <s v=""/>
    <s v=""/>
    <s v=""/>
    <n v="0"/>
    <n v="2"/>
    <n v="0"/>
    <n v="0"/>
    <n v="0"/>
    <n v="0"/>
    <n v="0"/>
    <n v="0"/>
    <x v="0"/>
    <n v="0"/>
    <n v="0"/>
    <n v="0"/>
    <m/>
    <m/>
    <m/>
    <m/>
    <m/>
  </r>
  <r>
    <s v="000021324"/>
    <s v="Jérôme VU THAN"/>
    <x v="14"/>
    <x v="7"/>
    <s v="Non"/>
    <n v="19"/>
    <s v=""/>
    <n v="1"/>
    <n v="0"/>
    <n v="0"/>
    <e v="#REF!"/>
    <s v=""/>
    <s v=""/>
    <s v=""/>
    <n v="18"/>
    <n v="2"/>
    <n v="0"/>
    <n v="1"/>
    <n v="-1"/>
    <n v="0"/>
    <n v="0"/>
    <n v="0"/>
    <x v="0"/>
    <n v="0"/>
    <n v="0"/>
    <n v="1"/>
    <m/>
    <m/>
    <m/>
    <m/>
    <m/>
  </r>
  <r>
    <s v="000022234"/>
    <s v="Kaixin XU"/>
    <x v="47"/>
    <x v="1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997"/>
    <s v="Karim BERCAND"/>
    <x v="94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1674"/>
    <s v="Karim ISKANDER"/>
    <x v="81"/>
    <x v="4"/>
    <s v="Oui"/>
    <n v="16"/>
    <s v=""/>
    <n v="2"/>
    <n v="2"/>
    <n v="0"/>
    <e v="#REF!"/>
    <s v=""/>
    <s v=""/>
    <s v=""/>
    <n v="16"/>
    <n v="2"/>
    <n v="2"/>
    <n v="0"/>
    <n v="0"/>
    <n v="0"/>
    <n v="0"/>
    <n v="0"/>
    <x v="0"/>
    <n v="0"/>
    <n v="0"/>
    <n v="0"/>
    <m/>
    <m/>
    <m/>
    <m/>
    <m/>
  </r>
  <r>
    <s v="000021040"/>
    <s v="Katarina PUCELJ"/>
    <x v="63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488"/>
    <s v="Kaïla BEN ALI"/>
    <x v="67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109"/>
    <s v="Kenza BADDOU"/>
    <x v="89"/>
    <x v="3"/>
    <s v="Non"/>
    <n v="13"/>
    <s v=""/>
    <n v="3"/>
    <n v="4"/>
    <n v="0"/>
    <e v="#REF!"/>
    <s v=""/>
    <s v=""/>
    <s v=""/>
    <n v="13"/>
    <n v="3"/>
    <n v="4"/>
    <n v="0"/>
    <n v="0"/>
    <n v="0"/>
    <n v="0"/>
    <n v="0"/>
    <x v="0"/>
    <n v="0"/>
    <n v="0"/>
    <n v="0"/>
    <m/>
    <m/>
    <m/>
    <m/>
    <m/>
  </r>
  <r>
    <s v="000021634"/>
    <s v="Kenza H'SAIN"/>
    <x v="49"/>
    <x v="7"/>
    <s v="Non"/>
    <n v="0"/>
    <s v=""/>
    <n v="11"/>
    <n v="0"/>
    <n v="9"/>
    <e v="#REF!"/>
    <s v=""/>
    <s v=""/>
    <s v=""/>
    <n v="0"/>
    <n v="11"/>
    <n v="0"/>
    <n v="0"/>
    <n v="0"/>
    <n v="0"/>
    <n v="0"/>
    <n v="0"/>
    <x v="0"/>
    <n v="0"/>
    <n v="0"/>
    <n v="0"/>
    <m/>
    <m/>
    <m/>
    <m/>
    <m/>
  </r>
  <r>
    <s v="000013437"/>
    <s v="Kevin MAURICE"/>
    <x v="24"/>
    <x v="2"/>
    <s v="Oui"/>
    <n v="7.5"/>
    <s v=""/>
    <n v="12.5"/>
    <n v="0"/>
    <n v="0"/>
    <e v="#REF!"/>
    <s v=""/>
    <s v=""/>
    <s v=""/>
    <n v="7.5"/>
    <n v="12.5"/>
    <n v="0"/>
    <n v="0"/>
    <n v="0"/>
    <n v="0"/>
    <n v="0"/>
    <n v="0"/>
    <x v="0"/>
    <n v="0"/>
    <n v="0"/>
    <n v="0"/>
    <m/>
    <m/>
    <m/>
    <m/>
    <m/>
  </r>
  <r>
    <s v="000020675"/>
    <s v="Khadija BOUKOUMASS"/>
    <x v="55"/>
    <x v="5"/>
    <s v="Non"/>
    <n v="0"/>
    <s v=""/>
    <n v="15"/>
    <n v="5"/>
    <n v="0"/>
    <e v="#REF!"/>
    <s v=""/>
    <s v=""/>
    <s v=""/>
    <n v="0"/>
    <n v="15"/>
    <n v="5"/>
    <n v="0"/>
    <n v="0"/>
    <n v="0"/>
    <n v="0"/>
    <n v="0"/>
    <x v="0"/>
    <n v="0"/>
    <n v="0"/>
    <n v="0"/>
    <m/>
    <m/>
    <m/>
    <m/>
    <m/>
  </r>
  <r>
    <s v="000021552"/>
    <s v="Khaled MEDJKOUH"/>
    <x v="60"/>
    <x v="2"/>
    <s v="Non"/>
    <n v="19"/>
    <s v=""/>
    <n v="0"/>
    <n v="1"/>
    <n v="0"/>
    <e v="#REF!"/>
    <s v=""/>
    <s v=""/>
    <s v=""/>
    <n v="19"/>
    <n v="1"/>
    <n v="0"/>
    <n v="0"/>
    <n v="-1"/>
    <n v="1"/>
    <n v="0"/>
    <n v="0"/>
    <x v="1"/>
    <n v="0"/>
    <n v="0"/>
    <n v="0"/>
    <m/>
    <m/>
    <m/>
    <m/>
    <m/>
  </r>
  <r>
    <s v="000021910"/>
    <s v="Kim VARNAI"/>
    <x v="49"/>
    <x v="7"/>
    <s v="Non"/>
    <n v="11.5"/>
    <s v=""/>
    <n v="8.5"/>
    <n v="0"/>
    <n v="0"/>
    <e v="#REF!"/>
    <s v=""/>
    <s v=""/>
    <s v=""/>
    <n v="15"/>
    <n v="5"/>
    <n v="0"/>
    <n v="-3.5"/>
    <n v="3.5"/>
    <n v="0"/>
    <n v="0"/>
    <n v="0"/>
    <x v="2"/>
    <n v="0"/>
    <n v="0"/>
    <n v="-3.5"/>
    <m/>
    <m/>
    <m/>
    <m/>
    <m/>
  </r>
  <r>
    <s v="000021759"/>
    <s v="Kiruthika TANIGASSALAME"/>
    <x v="9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4359"/>
    <s v="Kévin PLESSIS-FRAISSARD"/>
    <x v="69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6988"/>
    <s v="Ladislas BISCHOFF"/>
    <x v="20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5050"/>
    <s v="Lamiae DRIDRI"/>
    <x v="66"/>
    <x v="5"/>
    <s v="Oui"/>
    <n v="0"/>
    <s v=""/>
    <n v="20"/>
    <n v="0"/>
    <n v="0"/>
    <e v="#REF!"/>
    <s v=""/>
    <s v=""/>
    <s v=""/>
    <n v="0"/>
    <n v="19"/>
    <n v="1"/>
    <n v="0"/>
    <n v="1"/>
    <n v="-1"/>
    <n v="0"/>
    <n v="0"/>
    <x v="2"/>
    <n v="0"/>
    <n v="0"/>
    <n v="0"/>
    <m/>
    <m/>
    <m/>
    <m/>
    <m/>
  </r>
  <r>
    <s v="000012773"/>
    <s v="Lamine LALAMI"/>
    <x v="17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987"/>
    <s v="Laura DUBOIS"/>
    <x v="61"/>
    <x v="5"/>
    <s v="Non"/>
    <n v="0"/>
    <s v=""/>
    <n v="18.5"/>
    <n v="1.5"/>
    <n v="0"/>
    <e v="#REF!"/>
    <s v=""/>
    <s v=""/>
    <s v=""/>
    <n v="0"/>
    <n v="20"/>
    <n v="0"/>
    <n v="0"/>
    <n v="-1.5"/>
    <n v="1.5"/>
    <n v="0"/>
    <n v="0"/>
    <x v="2"/>
    <n v="0"/>
    <n v="0"/>
    <n v="0"/>
    <m/>
    <m/>
    <m/>
    <m/>
    <m/>
  </r>
  <r>
    <s v="000010968"/>
    <s v="Laura JEANNIN"/>
    <x v="77"/>
    <x v="2"/>
    <s v="Oui"/>
    <n v="12.5"/>
    <s v=""/>
    <n v="1.5"/>
    <n v="6"/>
    <n v="0"/>
    <e v="#REF!"/>
    <s v=""/>
    <s v=""/>
    <s v=""/>
    <n v="12.5"/>
    <n v="1.5"/>
    <n v="6"/>
    <n v="0"/>
    <n v="0"/>
    <n v="0"/>
    <n v="0"/>
    <n v="0"/>
    <x v="0"/>
    <n v="0"/>
    <n v="0"/>
    <n v="0"/>
    <m/>
    <m/>
    <m/>
    <m/>
    <m/>
  </r>
  <r>
    <s v="000013621"/>
    <s v="Laura RODRIGUEZ"/>
    <x v="67"/>
    <x v="3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21401"/>
    <s v="Laura SEYMARC"/>
    <x v="85"/>
    <x v="7"/>
    <s v="Non"/>
    <n v="16.5"/>
    <s v=""/>
    <n v="3.5"/>
    <n v="0"/>
    <n v="0"/>
    <e v="#REF!"/>
    <s v=""/>
    <s v=""/>
    <s v=""/>
    <n v="20"/>
    <n v="0"/>
    <n v="0"/>
    <n v="-3.5"/>
    <n v="3.5"/>
    <n v="0"/>
    <n v="0"/>
    <n v="0"/>
    <x v="2"/>
    <n v="0"/>
    <n v="0"/>
    <n v="-3.5"/>
    <m/>
    <m/>
    <m/>
    <m/>
    <m/>
  </r>
  <r>
    <s v="000000139"/>
    <s v="Laurent ORTUNIO"/>
    <x v="21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300"/>
    <s v="Lauryne PANZANI"/>
    <x v="15"/>
    <x v="0"/>
    <s v="Non"/>
    <n v="15"/>
    <s v=""/>
    <n v="5"/>
    <n v="0"/>
    <n v="0"/>
    <e v="#REF!"/>
    <s v=""/>
    <s v=""/>
    <s v=""/>
    <n v="20"/>
    <n v="0"/>
    <n v="0"/>
    <n v="-5"/>
    <n v="5"/>
    <n v="0"/>
    <n v="0"/>
    <n v="0"/>
    <x v="2"/>
    <n v="0"/>
    <n v="0"/>
    <n v="-5"/>
    <m/>
    <m/>
    <m/>
    <m/>
    <m/>
  </r>
  <r>
    <s v="000020567"/>
    <s v="Lilian GUILLOU"/>
    <x v="23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367"/>
    <s v="Lionel LI"/>
    <x v="31"/>
    <x v="1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1480"/>
    <s v="Livia BOURDIT"/>
    <x v="77"/>
    <x v="2"/>
    <s v="Non"/>
    <n v="2"/>
    <s v=""/>
    <n v="15"/>
    <n v="3"/>
    <n v="0"/>
    <e v="#REF!"/>
    <s v=""/>
    <s v=""/>
    <s v=""/>
    <n v="3"/>
    <n v="14"/>
    <n v="3"/>
    <n v="-1"/>
    <n v="1"/>
    <n v="0"/>
    <n v="0"/>
    <n v="0"/>
    <x v="2"/>
    <n v="0"/>
    <n v="0"/>
    <n v="-1"/>
    <m/>
    <m/>
    <m/>
    <m/>
    <m/>
  </r>
  <r>
    <s v="000021900"/>
    <s v="Logan MBOYO"/>
    <x v="2"/>
    <x v="2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0834"/>
    <s v="Logan PROTAS"/>
    <x v="33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1205"/>
    <s v="Loic PENNEC"/>
    <x v="57"/>
    <x v="5"/>
    <s v="Non"/>
    <n v="0"/>
    <s v=""/>
    <n v="19"/>
    <n v="1"/>
    <n v="0"/>
    <e v="#REF!"/>
    <s v=""/>
    <s v=""/>
    <s v=""/>
    <n v="19"/>
    <n v="0"/>
    <n v="1"/>
    <n v="-19"/>
    <n v="19"/>
    <n v="0"/>
    <n v="0"/>
    <n v="0"/>
    <x v="3"/>
    <n v="0"/>
    <n v="19"/>
    <n v="0"/>
    <m/>
    <m/>
    <m/>
    <m/>
    <m/>
  </r>
  <r>
    <s v="000013336"/>
    <s v="Lorys HAMADACHE"/>
    <x v="24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528"/>
    <s v="Louis ALLIOT"/>
    <x v="79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071"/>
    <s v="Louis BLONDOT"/>
    <x v="84"/>
    <x v="2"/>
    <s v="Non"/>
    <n v="18"/>
    <s v=""/>
    <n v="0.5"/>
    <n v="5"/>
    <n v="0"/>
    <e v="#REF!"/>
    <s v=""/>
    <s v=""/>
    <s v=""/>
    <n v="18"/>
    <n v="0.5"/>
    <n v="1.5"/>
    <n v="0"/>
    <n v="0"/>
    <n v="3.5"/>
    <n v="0"/>
    <n v="0"/>
    <x v="2"/>
    <n v="0"/>
    <n v="0"/>
    <n v="0"/>
    <m/>
    <m/>
    <m/>
    <m/>
    <m/>
  </r>
  <r>
    <s v="000004584"/>
    <s v="Louis DUFLOT"/>
    <x v="72"/>
    <x v="1"/>
    <s v="Non"/>
    <n v="20"/>
    <s v=""/>
    <n v="0"/>
    <n v="0"/>
    <n v="0"/>
    <e v="#REF!"/>
    <s v=""/>
    <s v=""/>
    <s v=""/>
    <n v="19"/>
    <n v="0"/>
    <n v="1"/>
    <n v="1"/>
    <n v="0"/>
    <n v="-1"/>
    <n v="0"/>
    <n v="0"/>
    <x v="1"/>
    <n v="0"/>
    <n v="0"/>
    <n v="1"/>
    <m/>
    <m/>
    <m/>
    <m/>
    <m/>
  </r>
  <r>
    <s v="000016733"/>
    <s v="Louis ROLLET"/>
    <x v="40"/>
    <x v="4"/>
    <s v="Non"/>
    <n v="0"/>
    <s v=""/>
    <n v="19"/>
    <n v="1"/>
    <n v="0"/>
    <e v="#REF!"/>
    <s v=""/>
    <s v=""/>
    <s v=""/>
    <n v="0"/>
    <n v="19"/>
    <n v="1"/>
    <n v="0"/>
    <n v="0"/>
    <n v="0"/>
    <n v="0"/>
    <n v="0"/>
    <x v="0"/>
    <n v="0"/>
    <n v="0"/>
    <n v="0"/>
    <m/>
    <m/>
    <m/>
    <m/>
    <m/>
  </r>
  <r>
    <s v="000015012"/>
    <s v="Louis SIMON"/>
    <x v="37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309"/>
    <s v="Louise CAIGNAERT"/>
    <x v="74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2103"/>
    <s v="Louise PAURISE"/>
    <x v="36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7191"/>
    <s v="Lounès BENZAHI"/>
    <x v="91"/>
    <x v="1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m/>
    <m/>
  </r>
  <r>
    <s v="000012098"/>
    <s v="Loïc BENOIT"/>
    <x v="39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863"/>
    <s v="Loïck CUER"/>
    <x v="4"/>
    <x v="3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20608"/>
    <s v="Luca RINGUET"/>
    <x v="70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309"/>
    <s v="Lucas BORGOGNO"/>
    <x v="95"/>
    <x v="2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5545"/>
    <s v="Lucas BRUGUIERE"/>
    <x v="48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039"/>
    <s v="Lucas LE PAGE"/>
    <x v="2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337"/>
    <s v="Lucas VACHER"/>
    <x v="96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09670"/>
    <s v="Lucas-Pierre CAPELLE"/>
    <x v="77"/>
    <x v="2"/>
    <s v="Oui"/>
    <n v="0"/>
    <s v=""/>
    <n v="20"/>
    <n v="0"/>
    <n v="0"/>
    <e v="#REF!"/>
    <s v=""/>
    <s v=""/>
    <s v=""/>
    <n v="0"/>
    <n v="19"/>
    <n v="1"/>
    <n v="0"/>
    <n v="1"/>
    <n v="-1"/>
    <n v="0"/>
    <n v="0"/>
    <x v="2"/>
    <n v="0"/>
    <n v="0"/>
    <n v="0"/>
    <m/>
    <m/>
    <m/>
    <m/>
    <m/>
  </r>
  <r>
    <s v="000015648"/>
    <s v="Ludivine ISSENMANN"/>
    <x v="40"/>
    <x v="4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20861"/>
    <s v="Luiza SOSSAI"/>
    <x v="52"/>
    <x v="6"/>
    <s v="Non"/>
    <n v="10"/>
    <s v=""/>
    <n v="9.5"/>
    <n v="0.5"/>
    <n v="0"/>
    <e v="#REF!"/>
    <s v=""/>
    <s v=""/>
    <s v=""/>
    <n v="10"/>
    <n v="9.5"/>
    <n v="0.5"/>
    <n v="0"/>
    <n v="0"/>
    <n v="0"/>
    <n v="0"/>
    <n v="0"/>
    <x v="0"/>
    <n v="0"/>
    <n v="0"/>
    <n v="0"/>
    <m/>
    <m/>
    <m/>
    <m/>
    <m/>
  </r>
  <r>
    <s v="000017268"/>
    <s v="Luka JOVANOVIC"/>
    <x v="61"/>
    <x v="5"/>
    <s v="Non"/>
    <n v="19.5"/>
    <s v=""/>
    <n v="0.5"/>
    <n v="0"/>
    <n v="0"/>
    <e v="#REF!"/>
    <s v=""/>
    <s v=""/>
    <s v=""/>
    <n v="16"/>
    <n v="0"/>
    <n v="4"/>
    <n v="3.5"/>
    <n v="0.5"/>
    <n v="-4"/>
    <n v="0"/>
    <n v="0"/>
    <x v="2"/>
    <n v="0"/>
    <n v="0"/>
    <n v="3.5"/>
    <m/>
    <m/>
    <m/>
    <m/>
    <m/>
  </r>
  <r>
    <s v="000020512"/>
    <s v="Lyna Imane AMROUCHE"/>
    <x v="16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642"/>
    <s v="Léa DEPRET"/>
    <x v="63"/>
    <x v="6"/>
    <s v="Non"/>
    <n v="18"/>
    <s v=""/>
    <n v="2"/>
    <n v="0"/>
    <n v="0"/>
    <e v="#REF!"/>
    <s v=""/>
    <s v=""/>
    <s v=""/>
    <n v="18"/>
    <n v="2"/>
    <n v="0"/>
    <n v="0"/>
    <n v="0"/>
    <n v="0"/>
    <n v="0"/>
    <n v="0"/>
    <x v="0"/>
    <n v="0"/>
    <n v="0"/>
    <n v="0"/>
    <m/>
    <m/>
    <m/>
    <m/>
    <m/>
  </r>
  <r>
    <s v="000012491"/>
    <s v="Léa GOUTIERRE"/>
    <x v="31"/>
    <x v="1"/>
    <s v="Non"/>
    <n v="13"/>
    <s v=""/>
    <n v="3"/>
    <n v="0"/>
    <n v="4"/>
    <e v="#REF!"/>
    <s v=""/>
    <s v=""/>
    <s v=""/>
    <n v="16"/>
    <n v="0"/>
    <n v="0"/>
    <n v="-3"/>
    <n v="3"/>
    <n v="0"/>
    <n v="0"/>
    <n v="0"/>
    <x v="2"/>
    <n v="0"/>
    <n v="0"/>
    <n v="-3"/>
    <m/>
    <m/>
    <m/>
    <m/>
    <m/>
  </r>
  <r>
    <s v="000016336"/>
    <s v="Léna AGAR"/>
    <x v="3"/>
    <x v="2"/>
    <s v="Non"/>
    <n v="20"/>
    <s v=""/>
    <n v="0"/>
    <n v="0"/>
    <n v="0"/>
    <e v="#REF!"/>
    <s v=""/>
    <s v=""/>
    <s v=""/>
    <n v="15"/>
    <n v="5"/>
    <n v="0"/>
    <n v="5"/>
    <n v="-5"/>
    <n v="0"/>
    <n v="0"/>
    <n v="0"/>
    <x v="1"/>
    <n v="0"/>
    <n v="0"/>
    <n v="5"/>
    <m/>
    <m/>
    <m/>
    <m/>
    <m/>
  </r>
  <r>
    <s v="000020317"/>
    <s v="Léo APPELGHEM"/>
    <x v="46"/>
    <x v="1"/>
    <s v="Non"/>
    <n v="1.5"/>
    <s v=""/>
    <n v="14.5"/>
    <n v="4"/>
    <n v="0"/>
    <e v="#REF!"/>
    <s v=""/>
    <s v=""/>
    <s v=""/>
    <n v="6"/>
    <n v="10"/>
    <n v="4"/>
    <n v="-4.5"/>
    <n v="4.5"/>
    <n v="0"/>
    <n v="0"/>
    <n v="0"/>
    <x v="2"/>
    <n v="0"/>
    <n v="0"/>
    <n v="-4.5"/>
    <m/>
    <m/>
    <m/>
    <m/>
    <m/>
  </r>
  <r>
    <s v="000021429"/>
    <s v="Léo BATAILLE"/>
    <x v="62"/>
    <x v="3"/>
    <s v="Non"/>
    <n v="14"/>
    <s v=""/>
    <n v="6"/>
    <n v="0"/>
    <n v="0"/>
    <e v="#REF!"/>
    <s v=""/>
    <s v=""/>
    <s v=""/>
    <n v="14"/>
    <n v="6"/>
    <n v="0"/>
    <n v="0"/>
    <n v="0"/>
    <n v="0"/>
    <n v="0"/>
    <n v="0"/>
    <x v="0"/>
    <n v="0"/>
    <n v="0"/>
    <n v="0"/>
    <m/>
    <m/>
    <m/>
    <m/>
    <m/>
  </r>
  <r>
    <s v="000014512"/>
    <s v="Léo BLÉTOUX"/>
    <x v="75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281"/>
    <s v="Léo TAVERNIER"/>
    <x v="15"/>
    <x v="0"/>
    <s v="Non"/>
    <n v="3"/>
    <s v=""/>
    <n v="17"/>
    <n v="0"/>
    <n v="0"/>
    <e v="#REF!"/>
    <s v=""/>
    <s v=""/>
    <s v=""/>
    <n v="0"/>
    <n v="20"/>
    <n v="0"/>
    <n v="3"/>
    <n v="-3"/>
    <n v="0"/>
    <n v="0"/>
    <n v="0"/>
    <x v="0"/>
    <n v="0"/>
    <n v="0"/>
    <n v="3"/>
    <m/>
    <m/>
    <m/>
    <m/>
    <m/>
  </r>
  <r>
    <s v="000018132"/>
    <s v="Léontine LANDO"/>
    <x v="16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2797"/>
    <s v="Léopold PETITJEAN"/>
    <x v="39"/>
    <x v="1"/>
    <s v="Non"/>
    <n v="13"/>
    <s v=""/>
    <n v="2"/>
    <n v="5"/>
    <n v="0"/>
    <e v="#REF!"/>
    <s v=""/>
    <s v=""/>
    <s v=""/>
    <n v="13"/>
    <n v="2"/>
    <n v="5"/>
    <n v="0"/>
    <n v="0"/>
    <n v="0"/>
    <n v="0"/>
    <n v="0"/>
    <x v="0"/>
    <n v="0"/>
    <n v="0"/>
    <n v="0"/>
    <m/>
    <m/>
    <m/>
    <m/>
    <m/>
  </r>
  <r>
    <s v="000021345"/>
    <s v="Maden FAGON"/>
    <x v="63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6104"/>
    <s v="Mahi JORIO"/>
    <x v="48"/>
    <x v="0"/>
    <s v="Non"/>
    <n v="18"/>
    <s v=""/>
    <n v="0"/>
    <n v="2"/>
    <n v="0"/>
    <e v="#REF!"/>
    <s v=""/>
    <s v=""/>
    <s v=""/>
    <n v="19"/>
    <n v="0"/>
    <n v="1"/>
    <n v="-1"/>
    <n v="0"/>
    <n v="1"/>
    <n v="0"/>
    <n v="0"/>
    <x v="1"/>
    <n v="1"/>
    <n v="0"/>
    <n v="-1"/>
    <m/>
    <m/>
    <m/>
    <m/>
    <m/>
  </r>
  <r>
    <s v="000013379"/>
    <s v="Mahmoud AZENKOUK"/>
    <x v="30"/>
    <x v="7"/>
    <s v="Non"/>
    <n v="14"/>
    <s v=""/>
    <n v="2"/>
    <n v="4"/>
    <n v="0"/>
    <e v="#REF!"/>
    <s v=""/>
    <s v=""/>
    <s v=""/>
    <n v="16"/>
    <n v="0"/>
    <n v="4"/>
    <n v="-2"/>
    <n v="2"/>
    <n v="0"/>
    <n v="0"/>
    <n v="0"/>
    <x v="1"/>
    <n v="0"/>
    <n v="0"/>
    <n v="-2"/>
    <m/>
    <m/>
    <m/>
    <m/>
    <m/>
  </r>
  <r>
    <s v="000017281"/>
    <s v="Majd FASSI FEHRI"/>
    <x v="61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20813"/>
    <s v="Malo AUGIER DE CREMIERS"/>
    <x v="52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2487"/>
    <s v="Mamadou-Cheick KANTÉ"/>
    <x v="38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537"/>
    <s v="Manal BOUAZZAOUI"/>
    <x v="62"/>
    <x v="3"/>
    <s v="Non"/>
    <n v="17"/>
    <s v=""/>
    <n v="3"/>
    <n v="0"/>
    <n v="0"/>
    <e v="#REF!"/>
    <s v=""/>
    <s v=""/>
    <s v=""/>
    <n v="16"/>
    <n v="4"/>
    <n v="0"/>
    <n v="1"/>
    <n v="-1"/>
    <n v="0"/>
    <n v="0"/>
    <n v="0"/>
    <x v="0"/>
    <n v="0"/>
    <n v="0"/>
    <n v="1"/>
    <m/>
    <m/>
    <m/>
    <m/>
    <m/>
  </r>
  <r>
    <s v="000017828"/>
    <s v="Manon ACHARD-TORTUL"/>
    <x v="13"/>
    <x v="0"/>
    <s v="Non"/>
    <n v="17"/>
    <s v=""/>
    <n v="3"/>
    <n v="0"/>
    <n v="0"/>
    <e v="#REF!"/>
    <s v=""/>
    <s v=""/>
    <s v=""/>
    <n v="20"/>
    <n v="0"/>
    <n v="0"/>
    <n v="-3"/>
    <n v="3"/>
    <n v="0"/>
    <n v="0"/>
    <n v="0"/>
    <x v="2"/>
    <n v="0"/>
    <n v="0"/>
    <n v="-3"/>
    <m/>
    <m/>
    <m/>
    <m/>
    <m/>
  </r>
  <r>
    <s v="000000180"/>
    <s v="Marc DE MONTGOLFIER"/>
    <x v="66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4543"/>
    <s v="Marc SIDORENKO"/>
    <x v="33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663"/>
    <s v="Margaux MALSCH"/>
    <x v="83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8853"/>
    <s v="Margot KOHL"/>
    <x v="32"/>
    <x v="3"/>
    <s v="Oui"/>
    <n v="10"/>
    <s v=""/>
    <n v="8"/>
    <n v="2"/>
    <n v="0"/>
    <e v="#REF!"/>
    <s v=""/>
    <s v=""/>
    <s v=""/>
    <n v="10"/>
    <n v="8"/>
    <n v="2"/>
    <n v="0"/>
    <n v="0"/>
    <n v="0"/>
    <n v="0"/>
    <n v="0"/>
    <x v="0"/>
    <n v="0"/>
    <n v="0"/>
    <n v="0"/>
    <m/>
    <m/>
    <m/>
    <m/>
    <m/>
  </r>
  <r>
    <s v="000006062"/>
    <s v="Maria OUELLAJ"/>
    <x v="39"/>
    <x v="1"/>
    <s v="Oui"/>
    <n v="0"/>
    <s v=""/>
    <n v="11"/>
    <n v="9"/>
    <n v="0"/>
    <e v="#REF!"/>
    <s v=""/>
    <s v=""/>
    <s v=""/>
    <n v="0"/>
    <n v="10"/>
    <n v="10"/>
    <n v="0"/>
    <n v="1"/>
    <n v="-1"/>
    <n v="0"/>
    <n v="0"/>
    <x v="2"/>
    <n v="0"/>
    <n v="0"/>
    <n v="0"/>
    <m/>
    <m/>
    <m/>
    <m/>
    <m/>
  </r>
  <r>
    <s v="000022365"/>
    <s v="Marianne OBEID"/>
    <x v="87"/>
    <x v="3"/>
    <s v="Non"/>
    <n v="0"/>
    <s v=""/>
    <n v="19.5"/>
    <n v="0.5"/>
    <n v="0"/>
    <e v="#REF!"/>
    <s v=""/>
    <s v=""/>
    <s v=""/>
    <n v="0"/>
    <n v="19.5"/>
    <n v="0.5"/>
    <n v="0"/>
    <n v="0"/>
    <n v="0"/>
    <n v="0"/>
    <n v="0"/>
    <x v="0"/>
    <n v="0"/>
    <n v="0"/>
    <n v="0"/>
    <m/>
    <m/>
    <m/>
    <m/>
    <m/>
  </r>
  <r>
    <s v="000021439"/>
    <s v="Marie CORTES"/>
    <x v="18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6955"/>
    <s v="Marie Océane NIACAVERE"/>
    <x v="56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608"/>
    <s v="Marie-Claude EL KHOURY"/>
    <x v="40"/>
    <x v="4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m/>
    <m/>
  </r>
  <r>
    <s v="000021595"/>
    <s v="Marin GAILLARD"/>
    <x v="60"/>
    <x v="2"/>
    <s v="Non"/>
    <n v="17"/>
    <s v=""/>
    <n v="2.5"/>
    <n v="0.5"/>
    <n v="0"/>
    <e v="#REF!"/>
    <s v=""/>
    <s v=""/>
    <s v=""/>
    <n v="18.5"/>
    <n v="1"/>
    <n v="0.5"/>
    <n v="-1.5"/>
    <n v="1.5"/>
    <n v="0"/>
    <n v="0"/>
    <n v="0"/>
    <x v="2"/>
    <n v="0"/>
    <n v="0"/>
    <n v="-1.5"/>
    <m/>
    <m/>
    <m/>
    <m/>
    <m/>
  </r>
  <r>
    <s v="000013402"/>
    <s v="Marin PIGANEAU"/>
    <x v="39"/>
    <x v="1"/>
    <s v="Oui"/>
    <n v="7"/>
    <s v=""/>
    <n v="10"/>
    <n v="3"/>
    <n v="0"/>
    <e v="#REF!"/>
    <s v=""/>
    <s v=""/>
    <s v=""/>
    <n v="8"/>
    <n v="9"/>
    <n v="3"/>
    <n v="-1"/>
    <n v="1"/>
    <n v="0"/>
    <n v="0"/>
    <n v="0"/>
    <x v="2"/>
    <n v="0"/>
    <n v="0"/>
    <n v="-1"/>
    <m/>
    <m/>
    <m/>
    <m/>
    <m/>
  </r>
  <r>
    <s v="000012368"/>
    <s v="Marine AIRIAUD"/>
    <x v="22"/>
    <x v="2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m/>
    <m/>
  </r>
  <r>
    <s v="000020642"/>
    <s v="Marine CERTALDI"/>
    <x v="83"/>
    <x v="3"/>
    <s v="Non"/>
    <n v="0"/>
    <s v=""/>
    <n v="18"/>
    <n v="1"/>
    <n v="1"/>
    <e v="#REF!"/>
    <s v=""/>
    <s v=""/>
    <s v=""/>
    <n v="0"/>
    <n v="18"/>
    <n v="1"/>
    <n v="0"/>
    <n v="0"/>
    <n v="0"/>
    <n v="0"/>
    <n v="0"/>
    <x v="0"/>
    <n v="0"/>
    <n v="0"/>
    <n v="0"/>
    <m/>
    <m/>
    <m/>
    <m/>
    <m/>
  </r>
  <r>
    <s v="000011283"/>
    <s v="Marine GATELLIER"/>
    <x v="69"/>
    <x v="6"/>
    <s v="Oui"/>
    <n v="12"/>
    <s v=""/>
    <n v="2"/>
    <n v="6"/>
    <n v="0"/>
    <e v="#REF!"/>
    <s v=""/>
    <s v=""/>
    <s v=""/>
    <n v="12"/>
    <n v="2"/>
    <n v="6"/>
    <n v="0"/>
    <n v="0"/>
    <n v="0"/>
    <n v="0"/>
    <n v="0"/>
    <x v="0"/>
    <n v="0"/>
    <n v="0"/>
    <n v="0"/>
    <m/>
    <m/>
    <m/>
    <m/>
    <m/>
  </r>
  <r>
    <s v="000009608"/>
    <s v="Marine SELY"/>
    <x v="41"/>
    <x v="6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558"/>
    <s v="Marine THUNET"/>
    <x v="74"/>
    <x v="4"/>
    <s v="Non"/>
    <n v="17"/>
    <s v=""/>
    <n v="0"/>
    <n v="3"/>
    <n v="0"/>
    <e v="#REF!"/>
    <s v=""/>
    <s v=""/>
    <s v=""/>
    <n v="20"/>
    <n v="0"/>
    <n v="0"/>
    <n v="-3"/>
    <n v="0"/>
    <n v="3"/>
    <n v="0"/>
    <n v="0"/>
    <x v="1"/>
    <n v="3"/>
    <n v="0"/>
    <n v="-3"/>
    <m/>
    <m/>
    <m/>
    <m/>
    <m/>
  </r>
  <r>
    <s v="000009815"/>
    <s v="Marion GERIN-ROZE"/>
    <x v="17"/>
    <x v="7"/>
    <s v="Oui"/>
    <n v="0"/>
    <s v=""/>
    <n v="9"/>
    <n v="11"/>
    <n v="0"/>
    <e v="#REF!"/>
    <s v=""/>
    <s v=""/>
    <s v=""/>
    <n v="0"/>
    <n v="9"/>
    <n v="11"/>
    <n v="0"/>
    <n v="0"/>
    <n v="0"/>
    <n v="0"/>
    <n v="0"/>
    <x v="0"/>
    <n v="0"/>
    <n v="0"/>
    <n v="0"/>
    <m/>
    <m/>
    <m/>
    <m/>
    <m/>
  </r>
  <r>
    <s v="000012314"/>
    <s v="Marion LARHANTEC"/>
    <x v="32"/>
    <x v="3"/>
    <s v="Oui"/>
    <n v="16"/>
    <s v=""/>
    <n v="0"/>
    <n v="4"/>
    <n v="0"/>
    <e v="#REF!"/>
    <s v=""/>
    <s v=""/>
    <s v=""/>
    <n v="12"/>
    <n v="4"/>
    <n v="4"/>
    <n v="4"/>
    <n v="-4"/>
    <n v="0"/>
    <n v="0"/>
    <n v="0"/>
    <x v="1"/>
    <n v="0"/>
    <n v="0"/>
    <n v="4"/>
    <m/>
    <m/>
    <m/>
    <m/>
    <m/>
  </r>
  <r>
    <s v="000012787"/>
    <s v="Marion PLESSIS-LUCIANI"/>
    <x v="33"/>
    <x v="7"/>
    <s v="Oui"/>
    <n v="14"/>
    <s v=""/>
    <n v="6"/>
    <n v="0"/>
    <n v="0"/>
    <e v="#REF!"/>
    <s v=""/>
    <s v=""/>
    <s v=""/>
    <n v="10"/>
    <n v="10"/>
    <n v="0"/>
    <n v="4"/>
    <n v="-4"/>
    <n v="0"/>
    <n v="0"/>
    <n v="0"/>
    <x v="0"/>
    <n v="0"/>
    <n v="0"/>
    <n v="4"/>
    <m/>
    <m/>
    <m/>
    <m/>
    <m/>
  </r>
  <r>
    <s v="000011704"/>
    <s v="Marius LIBERT"/>
    <x v="53"/>
    <x v="5"/>
    <s v="Oui"/>
    <n v="11"/>
    <s v=""/>
    <n v="7"/>
    <n v="2"/>
    <n v="0"/>
    <e v="#REF!"/>
    <s v=""/>
    <s v=""/>
    <s v=""/>
    <n v="18"/>
    <n v="0"/>
    <n v="2"/>
    <n v="-7"/>
    <n v="7"/>
    <n v="0"/>
    <n v="0"/>
    <n v="0"/>
    <x v="2"/>
    <n v="0"/>
    <n v="0"/>
    <n v="-7"/>
    <m/>
    <m/>
    <m/>
    <m/>
    <m/>
  </r>
  <r>
    <s v="000016906"/>
    <s v="Marouane ZERHOUNI"/>
    <x v="42"/>
    <x v="5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12541"/>
    <s v="Martin ALLEAUME"/>
    <x v="77"/>
    <x v="2"/>
    <s v="Oui"/>
    <n v="19"/>
    <s v=""/>
    <n v="1"/>
    <n v="0"/>
    <n v="0"/>
    <e v="#REF!"/>
    <s v=""/>
    <s v=""/>
    <s v=""/>
    <n v="17"/>
    <n v="3"/>
    <n v="0"/>
    <n v="2"/>
    <n v="-2"/>
    <n v="0"/>
    <n v="0"/>
    <n v="0"/>
    <x v="0"/>
    <n v="0"/>
    <n v="0"/>
    <n v="2"/>
    <m/>
    <m/>
    <m/>
    <m/>
    <m/>
  </r>
  <r>
    <s v="000014586"/>
    <s v="Martin BELLOT"/>
    <x v="50"/>
    <x v="1"/>
    <s v="Oui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3978"/>
    <s v="Martin FLOURENS"/>
    <x v="53"/>
    <x v="5"/>
    <s v="Oui"/>
    <n v="18.5"/>
    <s v=""/>
    <n v="1"/>
    <n v="0.5"/>
    <n v="0"/>
    <e v="#REF!"/>
    <s v=""/>
    <s v=""/>
    <s v=""/>
    <n v="18.5"/>
    <n v="1"/>
    <n v="0.5"/>
    <n v="0"/>
    <n v="0"/>
    <n v="0"/>
    <n v="0"/>
    <n v="0"/>
    <x v="0"/>
    <n v="0"/>
    <n v="0"/>
    <n v="0"/>
    <m/>
    <m/>
    <m/>
    <m/>
    <m/>
  </r>
  <r>
    <s v="000015551"/>
    <s v="Maryam ABRO"/>
    <x v="12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106"/>
    <s v="Mathias MASSARD"/>
    <x v="57"/>
    <x v="5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04085"/>
    <s v="Mathieu BACHY"/>
    <x v="21"/>
    <x v="4"/>
    <s v="Non"/>
    <n v="10"/>
    <s v=""/>
    <n v="4"/>
    <n v="0"/>
    <n v="6"/>
    <e v="#REF!"/>
    <s v=""/>
    <s v=""/>
    <s v=""/>
    <n v="8"/>
    <n v="4"/>
    <n v="0"/>
    <n v="2"/>
    <n v="0"/>
    <n v="0"/>
    <n v="0"/>
    <n v="0"/>
    <x v="0"/>
    <n v="0"/>
    <n v="0"/>
    <n v="2"/>
    <m/>
    <m/>
    <m/>
    <m/>
    <m/>
  </r>
  <r>
    <s v="000014877"/>
    <s v="Mathieu BOUCHET"/>
    <x v="57"/>
    <x v="5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15100"/>
    <s v="Mathieu POIRIER"/>
    <x v="15"/>
    <x v="0"/>
    <s v="Non"/>
    <n v="16"/>
    <s v=""/>
    <n v="2"/>
    <n v="2"/>
    <n v="0"/>
    <e v="#REF!"/>
    <s v=""/>
    <s v=""/>
    <s v=""/>
    <n v="18"/>
    <n v="0"/>
    <n v="2"/>
    <n v="-2"/>
    <n v="2"/>
    <n v="0"/>
    <n v="0"/>
    <n v="0"/>
    <x v="2"/>
    <n v="0"/>
    <n v="0"/>
    <n v="-2"/>
    <m/>
    <m/>
    <m/>
    <m/>
    <m/>
  </r>
  <r>
    <s v="000011179"/>
    <s v="Mathilde JÉGOU"/>
    <x v="77"/>
    <x v="2"/>
    <s v="Oui"/>
    <n v="14"/>
    <s v=""/>
    <n v="2"/>
    <n v="4"/>
    <n v="0"/>
    <e v="#REF!"/>
    <s v=""/>
    <s v=""/>
    <s v=""/>
    <n v="14"/>
    <n v="2"/>
    <n v="4"/>
    <n v="0"/>
    <n v="0"/>
    <n v="0"/>
    <n v="0"/>
    <n v="0"/>
    <x v="0"/>
    <n v="0"/>
    <n v="0"/>
    <n v="0"/>
    <m/>
    <m/>
    <m/>
    <m/>
    <m/>
  </r>
  <r>
    <s v="000022068"/>
    <s v="Mathilde MORISSET"/>
    <x v="64"/>
    <x v="1"/>
    <s v="Non"/>
    <n v="0"/>
    <s v=""/>
    <n v="20"/>
    <n v="0"/>
    <n v="0"/>
    <e v="#REF!"/>
    <s v=""/>
    <s v=""/>
    <s v=""/>
    <n v="0"/>
    <n v="19"/>
    <n v="1"/>
    <n v="0"/>
    <n v="1"/>
    <n v="-1"/>
    <n v="0"/>
    <n v="0"/>
    <x v="2"/>
    <n v="0"/>
    <n v="0"/>
    <n v="0"/>
    <m/>
    <m/>
    <m/>
    <m/>
    <m/>
  </r>
  <r>
    <s v="000009827"/>
    <s v="Mathilde RANINI"/>
    <x v="17"/>
    <x v="7"/>
    <s v="Non"/>
    <n v="0"/>
    <s v=""/>
    <n v="1"/>
    <n v="0"/>
    <n v="19"/>
    <e v="#REF!"/>
    <s v=""/>
    <s v=""/>
    <s v=""/>
    <n v="0"/>
    <n v="20"/>
    <n v="0"/>
    <n v="0"/>
    <n v="-19"/>
    <n v="0"/>
    <n v="0"/>
    <n v="0"/>
    <x v="0"/>
    <n v="0"/>
    <n v="0"/>
    <n v="0"/>
    <m/>
    <m/>
    <m/>
    <m/>
    <m/>
  </r>
  <r>
    <s v="000014538"/>
    <s v="Mathis FOUERE"/>
    <x v="36"/>
    <x v="5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m/>
    <m/>
  </r>
  <r>
    <s v="000021477"/>
    <s v="Mathis RATTIER"/>
    <x v="45"/>
    <x v="5"/>
    <s v="Non"/>
    <n v="4"/>
    <s v=""/>
    <n v="14.5"/>
    <n v="1.5"/>
    <n v="0"/>
    <e v="#REF!"/>
    <s v=""/>
    <s v=""/>
    <s v=""/>
    <n v="4"/>
    <n v="15"/>
    <n v="1"/>
    <n v="0"/>
    <n v="-0.5"/>
    <n v="0.5"/>
    <n v="0"/>
    <n v="0"/>
    <x v="2"/>
    <n v="0"/>
    <n v="0"/>
    <n v="0"/>
    <m/>
    <m/>
    <m/>
    <m/>
    <m/>
  </r>
  <r>
    <s v="000022200"/>
    <s v="Mathys LE MANACH"/>
    <x v="52"/>
    <x v="6"/>
    <s v="Non"/>
    <n v="0"/>
    <s v=""/>
    <n v="15"/>
    <n v="5"/>
    <n v="0"/>
    <e v="#REF!"/>
    <s v=""/>
    <s v=""/>
    <s v=""/>
    <n v="0"/>
    <n v="15"/>
    <n v="5"/>
    <n v="0"/>
    <n v="0"/>
    <n v="0"/>
    <n v="0"/>
    <n v="0"/>
    <x v="0"/>
    <n v="0"/>
    <n v="0"/>
    <n v="0"/>
    <m/>
    <m/>
    <m/>
    <m/>
    <m/>
  </r>
  <r>
    <s v="000013966"/>
    <s v="Matteo BROWANG"/>
    <x v="50"/>
    <x v="1"/>
    <s v="Non"/>
    <n v="19.5"/>
    <s v=""/>
    <n v="0"/>
    <n v="0.5"/>
    <n v="0"/>
    <e v="#REF!"/>
    <s v=""/>
    <s v=""/>
    <s v=""/>
    <n v="19"/>
    <n v="0"/>
    <n v="1"/>
    <n v="0.5"/>
    <n v="0"/>
    <n v="-0.5"/>
    <n v="0"/>
    <n v="0"/>
    <x v="1"/>
    <n v="0"/>
    <n v="0"/>
    <n v="0.5"/>
    <m/>
    <m/>
    <m/>
    <m/>
    <m/>
  </r>
  <r>
    <s v="000020891"/>
    <s v="Matthew DAVID"/>
    <x v="42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518"/>
    <s v="Matthieu BARBEAU"/>
    <x v="89"/>
    <x v="3"/>
    <s v="Non"/>
    <n v="18.5"/>
    <s v=""/>
    <n v="0.5"/>
    <n v="1"/>
    <n v="0"/>
    <e v="#REF!"/>
    <s v=""/>
    <s v=""/>
    <s v=""/>
    <n v="19"/>
    <n v="0"/>
    <n v="1"/>
    <n v="-0.5"/>
    <n v="0.5"/>
    <n v="0"/>
    <n v="0"/>
    <n v="0"/>
    <x v="2"/>
    <n v="0"/>
    <n v="0"/>
    <n v="-0.5"/>
    <m/>
    <m/>
    <m/>
    <m/>
    <m/>
  </r>
  <r>
    <s v="000021791"/>
    <s v="Matthieu LANNE"/>
    <x v="90"/>
    <x v="5"/>
    <s v="Non"/>
    <n v="0"/>
    <s v=""/>
    <n v="19"/>
    <n v="1"/>
    <n v="0"/>
    <e v="#REF!"/>
    <s v=""/>
    <s v=""/>
    <s v=""/>
    <n v="0"/>
    <n v="19"/>
    <n v="1"/>
    <n v="0"/>
    <n v="0"/>
    <n v="0"/>
    <n v="0"/>
    <n v="0"/>
    <x v="0"/>
    <n v="0"/>
    <n v="0"/>
    <n v="0"/>
    <m/>
    <m/>
    <m/>
    <m/>
    <m/>
  </r>
  <r>
    <s v="000017925"/>
    <s v="Mattéo BERODIER"/>
    <x v="36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126"/>
    <s v="Mattéo LEMONNIER"/>
    <x v="63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2267"/>
    <s v="Maud GUILLERMIN"/>
    <x v="11"/>
    <x v="3"/>
    <s v="Non"/>
    <n v="10.5"/>
    <s v=""/>
    <n v="9.5"/>
    <n v="0"/>
    <n v="0"/>
    <e v="#REF!"/>
    <s v=""/>
    <s v=""/>
    <s v=""/>
    <n v="0"/>
    <n v="9.5"/>
    <n v="10.5"/>
    <n v="10.5"/>
    <n v="0"/>
    <n v="-10.5"/>
    <n v="0"/>
    <n v="0"/>
    <x v="2"/>
    <n v="0"/>
    <n v="0"/>
    <n v="10.5"/>
    <m/>
    <m/>
    <m/>
    <m/>
    <m/>
  </r>
  <r>
    <s v="000015860"/>
    <s v="Maud WITMEYER"/>
    <x v="23"/>
    <x v="4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m/>
    <m/>
  </r>
  <r>
    <s v="000021478"/>
    <s v="Maxence ARELLA"/>
    <x v="11"/>
    <x v="3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18106"/>
    <s v="Maxence BACQUART"/>
    <x v="46"/>
    <x v="1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21832"/>
    <s v="Maxence LAUVERNIER"/>
    <x v="1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554"/>
    <s v="Maxence RADIGOIS"/>
    <x v="70"/>
    <x v="1"/>
    <s v="Non"/>
    <n v="19.5"/>
    <s v=""/>
    <n v="0.5"/>
    <n v="0"/>
    <n v="0"/>
    <e v="#REF!"/>
    <s v=""/>
    <s v=""/>
    <s v=""/>
    <n v="19.5"/>
    <n v="0.5"/>
    <n v="0"/>
    <n v="0"/>
    <n v="0"/>
    <n v="0"/>
    <n v="0"/>
    <n v="0"/>
    <x v="0"/>
    <n v="0"/>
    <n v="0"/>
    <n v="0"/>
    <m/>
    <m/>
    <m/>
    <m/>
    <m/>
  </r>
  <r>
    <s v="000021126"/>
    <s v="Maxence ROBICHON"/>
    <x v="89"/>
    <x v="3"/>
    <s v="Non"/>
    <n v="0"/>
    <s v=""/>
    <n v="20"/>
    <n v="0"/>
    <n v="0"/>
    <e v="#REF!"/>
    <s v=""/>
    <s v=""/>
    <s v=""/>
    <n v="16"/>
    <n v="4"/>
    <n v="0"/>
    <n v="-16"/>
    <n v="16"/>
    <n v="0"/>
    <n v="0"/>
    <n v="0"/>
    <x v="2"/>
    <n v="0"/>
    <n v="0"/>
    <n v="-16"/>
    <m/>
    <m/>
    <m/>
    <m/>
    <m/>
  </r>
  <r>
    <s v="000022306"/>
    <s v="Maxence VAN HOECKE"/>
    <x v="97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2325"/>
    <s v="Maxime BOS"/>
    <x v="40"/>
    <x v="4"/>
    <s v="Oui"/>
    <n v="17"/>
    <s v=""/>
    <n v="2"/>
    <n v="1"/>
    <n v="0"/>
    <e v="#REF!"/>
    <s v=""/>
    <s v=""/>
    <s v=""/>
    <n v="17"/>
    <n v="2"/>
    <n v="1"/>
    <n v="0"/>
    <n v="0"/>
    <n v="0"/>
    <n v="0"/>
    <n v="0"/>
    <x v="0"/>
    <n v="0"/>
    <n v="0"/>
    <n v="0"/>
    <m/>
    <m/>
    <m/>
    <m/>
    <m/>
  </r>
  <r>
    <s v="000021128"/>
    <s v="Maxime BOURGAIN"/>
    <x v="91"/>
    <x v="1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m/>
    <m/>
  </r>
  <r>
    <s v="000013954"/>
    <s v="Maxime ROZIER"/>
    <x v="16"/>
    <x v="7"/>
    <s v="Non"/>
    <n v="17"/>
    <s v=""/>
    <n v="0"/>
    <n v="3"/>
    <n v="0"/>
    <e v="#REF!"/>
    <s v=""/>
    <s v=""/>
    <s v=""/>
    <n v="18"/>
    <n v="0"/>
    <n v="2"/>
    <n v="-1"/>
    <n v="0"/>
    <n v="1"/>
    <n v="0"/>
    <n v="0"/>
    <x v="1"/>
    <n v="1"/>
    <n v="0"/>
    <n v="-1"/>
    <m/>
    <m/>
    <m/>
    <m/>
    <m/>
  </r>
  <r>
    <s v="000008133"/>
    <s v="Maxime SOUPIN"/>
    <x v="25"/>
    <x v="0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8063"/>
    <s v="Maxime VASANTHAKUMAR"/>
    <x v="44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21374"/>
    <s v="Maximilien HOXHA"/>
    <x v="65"/>
    <x v="4"/>
    <s v="Non"/>
    <n v="1"/>
    <s v=""/>
    <n v="17"/>
    <n v="2"/>
    <n v="0"/>
    <e v="#REF!"/>
    <s v=""/>
    <s v=""/>
    <s v=""/>
    <n v="3"/>
    <n v="15"/>
    <n v="2"/>
    <n v="-2"/>
    <n v="2"/>
    <n v="0"/>
    <n v="0"/>
    <n v="0"/>
    <x v="2"/>
    <n v="0"/>
    <n v="0"/>
    <n v="-2"/>
    <m/>
    <m/>
    <m/>
    <m/>
    <m/>
  </r>
  <r>
    <s v="000021373"/>
    <s v="Maylis PIGNON"/>
    <x v="64"/>
    <x v="1"/>
    <s v="Non"/>
    <n v="0"/>
    <s v=""/>
    <n v="12"/>
    <n v="8"/>
    <n v="0"/>
    <e v="#REF!"/>
    <s v=""/>
    <s v=""/>
    <s v=""/>
    <n v="0"/>
    <n v="20"/>
    <n v="0"/>
    <n v="0"/>
    <n v="-8"/>
    <n v="8"/>
    <n v="0"/>
    <n v="0"/>
    <x v="2"/>
    <n v="0"/>
    <n v="0"/>
    <n v="0"/>
    <m/>
    <m/>
    <m/>
    <m/>
    <m/>
  </r>
  <r>
    <s v="000016450"/>
    <s v="Maëva ATTRAIT"/>
    <x v="12"/>
    <x v="6"/>
    <s v="Non"/>
    <n v="0"/>
    <s v=""/>
    <n v="17"/>
    <n v="3"/>
    <n v="0"/>
    <e v="#REF!"/>
    <s v=""/>
    <s v=""/>
    <s v=""/>
    <n v="0"/>
    <n v="17"/>
    <n v="3"/>
    <n v="0"/>
    <n v="0"/>
    <n v="0"/>
    <n v="0"/>
    <n v="0"/>
    <x v="0"/>
    <n v="0"/>
    <n v="0"/>
    <n v="0"/>
    <m/>
    <m/>
    <m/>
    <m/>
    <m/>
  </r>
  <r>
    <s v="000021443"/>
    <s v="Mehdi ARFAOUI"/>
    <x v="64"/>
    <x v="1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08424"/>
    <s v="Mehdi BEN CHAABANE"/>
    <x v="17"/>
    <x v="7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21049"/>
    <s v="Mehdi BENNANI"/>
    <x v="23"/>
    <x v="4"/>
    <s v="Non"/>
    <n v="8"/>
    <s v=""/>
    <n v="0"/>
    <n v="12"/>
    <n v="0"/>
    <e v="#REF!"/>
    <s v=""/>
    <s v=""/>
    <s v=""/>
    <n v="8"/>
    <n v="0"/>
    <n v="12"/>
    <n v="0"/>
    <n v="0"/>
    <n v="0"/>
    <n v="0"/>
    <n v="0"/>
    <x v="1"/>
    <n v="0"/>
    <n v="0"/>
    <n v="0"/>
    <m/>
    <m/>
    <m/>
    <m/>
    <m/>
  </r>
  <r>
    <s v="000009788"/>
    <s v="Mehdi BETTICHE"/>
    <x v="33"/>
    <x v="7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m/>
    <m/>
  </r>
  <r>
    <s v="000021520"/>
    <s v="Mehdi BOUMEKOUEZ"/>
    <x v="1"/>
    <x v="1"/>
    <s v="Non"/>
    <n v="20"/>
    <s v=""/>
    <n v="0"/>
    <n v="0"/>
    <n v="0"/>
    <e v="#REF!"/>
    <s v=""/>
    <s v=""/>
    <s v=""/>
    <n v="0"/>
    <n v="20"/>
    <n v="0"/>
    <n v="20"/>
    <n v="-20"/>
    <n v="0"/>
    <n v="0"/>
    <n v="0"/>
    <x v="1"/>
    <n v="0"/>
    <n v="0"/>
    <n v="20"/>
    <m/>
    <m/>
    <m/>
    <m/>
    <m/>
  </r>
  <r>
    <s v="000018042"/>
    <s v="Melissa KAROUI"/>
    <x v="89"/>
    <x v="3"/>
    <s v="Non"/>
    <n v="20"/>
    <s v=""/>
    <n v="0"/>
    <n v="0"/>
    <n v="0"/>
    <e v="#REF!"/>
    <s v=""/>
    <s v=""/>
    <s v=""/>
    <n v="0"/>
    <n v="20"/>
    <n v="0"/>
    <n v="20"/>
    <n v="-20"/>
    <n v="0"/>
    <n v="0"/>
    <n v="0"/>
    <x v="1"/>
    <n v="0"/>
    <n v="0"/>
    <n v="20"/>
    <m/>
    <m/>
    <m/>
    <m/>
    <m/>
  </r>
  <r>
    <s v="000021677"/>
    <s v="Meryem GAIZI"/>
    <x v="49"/>
    <x v="7"/>
    <s v="Non"/>
    <n v="14"/>
    <s v=""/>
    <n v="1"/>
    <n v="5"/>
    <n v="0"/>
    <e v="#REF!"/>
    <s v=""/>
    <s v=""/>
    <s v=""/>
    <n v="14"/>
    <n v="1"/>
    <n v="5"/>
    <n v="0"/>
    <n v="0"/>
    <n v="0"/>
    <n v="0"/>
    <n v="0"/>
    <x v="0"/>
    <n v="0"/>
    <n v="0"/>
    <n v="0"/>
    <m/>
    <m/>
    <m/>
    <m/>
    <m/>
  </r>
  <r>
    <s v="000003079"/>
    <s v="Michael MILLOT"/>
    <x v="71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0034"/>
    <s v="Michel BERNARD"/>
    <x v="72"/>
    <x v="1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m/>
    <m/>
  </r>
  <r>
    <s v="000020426"/>
    <s v="Michel TARLIN"/>
    <x v="65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548"/>
    <s v="Mickael GRAÇA"/>
    <x v="23"/>
    <x v="4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m/>
    <m/>
  </r>
  <r>
    <s v="000016065"/>
    <s v="Mickael OLMOS-GINEZ"/>
    <x v="3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7306"/>
    <s v="Miguel ADERALDO"/>
    <x v="91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604"/>
    <s v="Mohamed Amine RASSO"/>
    <x v="2"/>
    <x v="2"/>
    <s v="Non"/>
    <n v="7.5"/>
    <s v=""/>
    <n v="7.5"/>
    <n v="5"/>
    <n v="0"/>
    <e v="#REF!"/>
    <s v=""/>
    <s v=""/>
    <s v=""/>
    <n v="12.5"/>
    <n v="2.5"/>
    <n v="5"/>
    <n v="-5"/>
    <n v="5"/>
    <n v="0"/>
    <n v="0"/>
    <n v="0"/>
    <x v="2"/>
    <n v="0"/>
    <n v="0"/>
    <n v="-5"/>
    <m/>
    <m/>
    <m/>
    <m/>
    <m/>
  </r>
  <r>
    <s v="000015574"/>
    <s v="Mohamed Arselan MESLOUH"/>
    <x v="7"/>
    <x v="2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m/>
    <m/>
  </r>
  <r>
    <s v="000015983"/>
    <s v="Mohamed DIALLO"/>
    <x v="13"/>
    <x v="0"/>
    <s v="Non"/>
    <n v="18.5"/>
    <s v=""/>
    <n v="0.5"/>
    <n v="1"/>
    <n v="0"/>
    <e v="#REF!"/>
    <s v=""/>
    <s v=""/>
    <s v=""/>
    <n v="19"/>
    <n v="0"/>
    <n v="1"/>
    <n v="-0.5"/>
    <n v="0.5"/>
    <n v="0"/>
    <n v="0"/>
    <n v="0"/>
    <x v="2"/>
    <n v="0"/>
    <n v="0"/>
    <n v="-0.5"/>
    <m/>
    <m/>
    <m/>
    <m/>
    <m/>
  </r>
  <r>
    <s v="000020485"/>
    <s v="Mohamed HENNOUS"/>
    <x v="65"/>
    <x v="4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21801"/>
    <s v="Mohammed Adel BOUGUESRI"/>
    <x v="24"/>
    <x v="2"/>
    <s v="Non"/>
    <n v="17"/>
    <s v=""/>
    <n v="1"/>
    <n v="2"/>
    <n v="0"/>
    <e v="#REF!"/>
    <s v=""/>
    <s v=""/>
    <s v=""/>
    <n v="18"/>
    <n v="0"/>
    <n v="2"/>
    <n v="-1"/>
    <n v="1"/>
    <n v="0"/>
    <n v="0"/>
    <n v="0"/>
    <x v="2"/>
    <n v="0"/>
    <n v="0"/>
    <n v="-1"/>
    <m/>
    <m/>
    <m/>
    <m/>
    <m/>
  </r>
  <r>
    <s v="000010266"/>
    <s v="Mohammed BENCHEKROUN"/>
    <x v="50"/>
    <x v="1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02633"/>
    <s v="Mohammed LAFENDI"/>
    <x v="71"/>
    <x v="1"/>
    <s v="Non"/>
    <n v="18"/>
    <s v=""/>
    <n v="2"/>
    <m/>
    <n v="0"/>
    <e v="#REF!"/>
    <s v=""/>
    <s v=""/>
    <s v=""/>
    <n v="17"/>
    <n v="2"/>
    <n v="1"/>
    <n v="1"/>
    <n v="0"/>
    <n v="-1"/>
    <n v="0"/>
    <n v="0"/>
    <x v="2"/>
    <n v="0"/>
    <n v="0"/>
    <n v="1"/>
    <m/>
    <m/>
    <m/>
    <m/>
    <m/>
  </r>
  <r>
    <s v="000018123"/>
    <s v="Monsef MECHKAR"/>
    <x v="34"/>
    <x v="7"/>
    <s v="Non"/>
    <n v="0"/>
    <s v=""/>
    <n v="18"/>
    <n v="2"/>
    <n v="0"/>
    <e v="#REF!"/>
    <s v=""/>
    <s v=""/>
    <s v=""/>
    <n v="0"/>
    <n v="18"/>
    <n v="2"/>
    <n v="0"/>
    <n v="0"/>
    <n v="0"/>
    <n v="0"/>
    <n v="0"/>
    <x v="0"/>
    <n v="0"/>
    <n v="0"/>
    <n v="0"/>
    <m/>
    <m/>
    <m/>
    <m/>
    <m/>
  </r>
  <r>
    <s v="000021568"/>
    <s v="Mora Abdul Jabbar KORA ZAKI"/>
    <x v="54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286"/>
    <s v="Morgane BOMPART"/>
    <x v="68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906"/>
    <s v="Mossaab MOUSTAGHIT"/>
    <x v="31"/>
    <x v="1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4276"/>
    <s v="Mouaad ALIOUANE"/>
    <x v="11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543"/>
    <s v="Mustafa HENCHIRI"/>
    <x v="55"/>
    <x v="5"/>
    <s v="Non"/>
    <n v="0"/>
    <s v=""/>
    <n v="11"/>
    <n v="9"/>
    <n v="0"/>
    <e v="#REF!"/>
    <s v=""/>
    <s v=""/>
    <s v=""/>
    <n v="0"/>
    <n v="11"/>
    <n v="9"/>
    <n v="0"/>
    <n v="0"/>
    <n v="0"/>
    <n v="0"/>
    <n v="0"/>
    <x v="0"/>
    <n v="0"/>
    <n v="0"/>
    <n v="0"/>
    <m/>
    <m/>
    <m/>
    <m/>
    <m/>
  </r>
  <r>
    <s v="000013342"/>
    <s v="Myriam GUERRAOUI"/>
    <x v="26"/>
    <x v="3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m/>
    <m/>
  </r>
  <r>
    <s v="000014689"/>
    <s v="Mélissa BLANCHE"/>
    <x v="40"/>
    <x v="4"/>
    <s v="Non"/>
    <n v="8.5"/>
    <s v=""/>
    <n v="6.5"/>
    <n v="5"/>
    <n v="0"/>
    <e v="#REF!"/>
    <s v=""/>
    <s v=""/>
    <s v=""/>
    <n v="8.5"/>
    <n v="6.5"/>
    <n v="5"/>
    <n v="0"/>
    <n v="0"/>
    <n v="0"/>
    <n v="0"/>
    <n v="0"/>
    <x v="0"/>
    <n v="0"/>
    <n v="0"/>
    <n v="0"/>
    <m/>
    <m/>
    <m/>
    <m/>
    <m/>
  </r>
  <r>
    <s v="000022271"/>
    <s v="Najiba EL FATIH"/>
    <x v="92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3529"/>
    <s v="Naser Nihad HASSANI"/>
    <x v="42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230"/>
    <s v="Nathan BALIX"/>
    <x v="31"/>
    <x v="1"/>
    <s v="Non"/>
    <n v="0"/>
    <s v=""/>
    <n v="19"/>
    <n v="1"/>
    <n v="0"/>
    <e v="#REF!"/>
    <s v=""/>
    <s v=""/>
    <s v=""/>
    <n v="19"/>
    <n v="0"/>
    <n v="1"/>
    <n v="-19"/>
    <n v="19"/>
    <n v="0"/>
    <n v="0"/>
    <n v="0"/>
    <x v="2"/>
    <n v="0"/>
    <n v="0"/>
    <n v="-19"/>
    <m/>
    <m/>
    <m/>
    <m/>
    <m/>
  </r>
  <r>
    <s v="000020734"/>
    <s v="Nathan FAUDEIL"/>
    <x v="56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512"/>
    <s v="Nathan GLATTLI"/>
    <x v="46"/>
    <x v="1"/>
    <s v="Non"/>
    <n v="18"/>
    <s v=""/>
    <n v="0"/>
    <n v="2"/>
    <n v="0"/>
    <e v="#REF!"/>
    <s v=""/>
    <s v=""/>
    <s v=""/>
    <n v="20"/>
    <n v="0"/>
    <n v="0"/>
    <n v="-2"/>
    <n v="0"/>
    <n v="2"/>
    <n v="0"/>
    <n v="0"/>
    <x v="1"/>
    <n v="2"/>
    <n v="0"/>
    <n v="-2"/>
    <m/>
    <m/>
    <m/>
    <m/>
    <m/>
  </r>
  <r>
    <s v="000018100"/>
    <s v="Navya DENNIS"/>
    <x v="5"/>
    <x v="4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21481"/>
    <s v="Nicolas BRAUNSHAUSEN"/>
    <x v="70"/>
    <x v="1"/>
    <s v="Non"/>
    <n v="14"/>
    <s v=""/>
    <n v="4"/>
    <n v="2"/>
    <n v="0"/>
    <e v="#REF!"/>
    <s v=""/>
    <s v=""/>
    <s v=""/>
    <n v="12"/>
    <n v="6"/>
    <n v="2"/>
    <n v="2"/>
    <n v="-2"/>
    <n v="0"/>
    <n v="0"/>
    <n v="0"/>
    <x v="0"/>
    <n v="0"/>
    <n v="0"/>
    <n v="2"/>
    <m/>
    <m/>
    <m/>
    <m/>
    <m/>
  </r>
  <r>
    <s v="000018019"/>
    <s v="Nicolas CASADEVALL"/>
    <x v="10"/>
    <x v="4"/>
    <s v="Non"/>
    <n v="9"/>
    <s v=""/>
    <n v="11"/>
    <n v="0"/>
    <n v="0"/>
    <e v="#REF!"/>
    <s v=""/>
    <s v=""/>
    <s v=""/>
    <n v="20"/>
    <n v="0"/>
    <n v="0"/>
    <n v="-11"/>
    <n v="11"/>
    <n v="0"/>
    <n v="0"/>
    <n v="0"/>
    <x v="3"/>
    <n v="0"/>
    <n v="11"/>
    <n v="0"/>
    <m/>
    <m/>
    <m/>
    <m/>
    <m/>
  </r>
  <r>
    <s v="000022233"/>
    <s v="Nicolas CORMERAIS"/>
    <x v="81"/>
    <x v="4"/>
    <s v="Non"/>
    <n v="17"/>
    <s v=""/>
    <n v="1"/>
    <n v="2"/>
    <n v="0"/>
    <e v="#REF!"/>
    <s v=""/>
    <s v=""/>
    <s v=""/>
    <n v="18"/>
    <n v="0"/>
    <n v="2"/>
    <n v="-1"/>
    <n v="1"/>
    <n v="0"/>
    <n v="0"/>
    <n v="0"/>
    <x v="2"/>
    <n v="0"/>
    <n v="0"/>
    <n v="-1"/>
    <m/>
    <m/>
    <m/>
    <m/>
    <m/>
  </r>
  <r>
    <s v="000011315"/>
    <s v="Nicolas FARNY"/>
    <x v="39"/>
    <x v="1"/>
    <s v="Oui"/>
    <n v="13"/>
    <s v=""/>
    <n v="1"/>
    <n v="6"/>
    <n v="0"/>
    <e v="#REF!"/>
    <s v=""/>
    <s v=""/>
    <s v=""/>
    <n v="14"/>
    <n v="0"/>
    <n v="6"/>
    <n v="-1"/>
    <n v="1"/>
    <n v="0"/>
    <n v="0"/>
    <n v="0"/>
    <x v="2"/>
    <n v="0"/>
    <n v="0"/>
    <n v="-1"/>
    <m/>
    <m/>
    <m/>
    <m/>
    <m/>
  </r>
  <r>
    <s v="000017607"/>
    <s v="Nicolas GAILLARD"/>
    <x v="20"/>
    <x v="7"/>
    <s v="Non"/>
    <n v="10"/>
    <s v=""/>
    <n v="10"/>
    <n v="0"/>
    <n v="0"/>
    <e v="#REF!"/>
    <s v=""/>
    <s v=""/>
    <s v=""/>
    <n v="10"/>
    <n v="10"/>
    <n v="0"/>
    <n v="0"/>
    <n v="0"/>
    <n v="0"/>
    <n v="0"/>
    <n v="0"/>
    <x v="0"/>
    <n v="0"/>
    <n v="0"/>
    <n v="0"/>
    <m/>
    <m/>
    <m/>
    <m/>
    <m/>
  </r>
  <r>
    <s v="000017765"/>
    <s v="Nicolas GUILLERMAIN"/>
    <x v="61"/>
    <x v="5"/>
    <s v="Non"/>
    <n v="16"/>
    <s v=""/>
    <n v="0"/>
    <n v="4"/>
    <n v="0"/>
    <e v="#REF!"/>
    <s v=""/>
    <s v=""/>
    <s v=""/>
    <n v="19"/>
    <n v="0"/>
    <n v="1"/>
    <n v="-3"/>
    <n v="0"/>
    <n v="3"/>
    <n v="0"/>
    <n v="0"/>
    <x v="1"/>
    <n v="3"/>
    <n v="0"/>
    <n v="-3"/>
    <m/>
    <m/>
    <m/>
    <m/>
    <m/>
  </r>
  <r>
    <s v="000020991"/>
    <s v="Nicolas JAUNE"/>
    <x v="54"/>
    <x v="5"/>
    <s v="Non"/>
    <n v="17.5"/>
    <s v=""/>
    <n v="1.5"/>
    <n v="1"/>
    <n v="0"/>
    <e v="#REF!"/>
    <s v=""/>
    <s v=""/>
    <s v=""/>
    <n v="19"/>
    <n v="0"/>
    <n v="1"/>
    <n v="-1.5"/>
    <n v="1.5"/>
    <n v="0"/>
    <n v="0"/>
    <n v="0"/>
    <x v="2"/>
    <n v="0"/>
    <n v="0"/>
    <n v="-1.5"/>
    <m/>
    <m/>
    <m/>
    <m/>
    <m/>
  </r>
  <r>
    <s v="000015505"/>
    <s v="Nicolas MURAT"/>
    <x v="71"/>
    <x v="1"/>
    <s v="Oui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0792"/>
    <s v="Nicolas POISSON"/>
    <x v="55"/>
    <x v="5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6107"/>
    <s v="Nicolas QUERSONNIER"/>
    <x v="30"/>
    <x v="7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02639"/>
    <s v="Nicolas THIERRY"/>
    <x v="14"/>
    <x v="7"/>
    <s v="Non"/>
    <n v="19.5"/>
    <s v=""/>
    <n v="0.5"/>
    <n v="0"/>
    <n v="0"/>
    <e v="#REF!"/>
    <s v=""/>
    <s v=""/>
    <s v=""/>
    <n v="19"/>
    <n v="0"/>
    <n v="1"/>
    <n v="0.5"/>
    <n v="0.5"/>
    <n v="-1"/>
    <n v="0"/>
    <n v="0"/>
    <x v="2"/>
    <n v="0"/>
    <n v="0"/>
    <n v="0.5"/>
    <m/>
    <m/>
    <m/>
    <m/>
    <m/>
  </r>
  <r>
    <s v="000017829"/>
    <s v="Nicolas VANDERSTIGEL"/>
    <x v="46"/>
    <x v="1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m/>
    <m/>
  </r>
  <r>
    <s v="000022085"/>
    <s v="Nikolai MARINICHEV"/>
    <x v="42"/>
    <x v="5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21640"/>
    <s v="Nilany KARUNATHASAN"/>
    <x v="89"/>
    <x v="3"/>
    <s v="Non"/>
    <n v="6"/>
    <s v=""/>
    <n v="14"/>
    <n v="0"/>
    <n v="0"/>
    <e v="#REF!"/>
    <s v=""/>
    <s v=""/>
    <s v=""/>
    <n v="20"/>
    <n v="0"/>
    <n v="0"/>
    <n v="-14"/>
    <n v="14"/>
    <n v="0"/>
    <n v="0"/>
    <n v="0"/>
    <x v="3"/>
    <n v="0"/>
    <n v="14"/>
    <n v="0"/>
    <m/>
    <m/>
    <m/>
    <m/>
    <m/>
  </r>
  <r>
    <s v="000017530"/>
    <s v="Nisrine SBIRA"/>
    <x v="13"/>
    <x v="0"/>
    <s v="Non"/>
    <n v="14"/>
    <s v=""/>
    <n v="6"/>
    <n v="0"/>
    <n v="0"/>
    <e v="#REF!"/>
    <s v=""/>
    <s v=""/>
    <s v=""/>
    <n v="14"/>
    <n v="6"/>
    <n v="0"/>
    <n v="0"/>
    <n v="0"/>
    <n v="0"/>
    <n v="0"/>
    <n v="0"/>
    <x v="3"/>
    <n v="0"/>
    <n v="1"/>
    <n v="1"/>
    <m/>
    <m/>
    <m/>
    <m/>
    <m/>
  </r>
  <r>
    <s v="000010388"/>
    <s v="Nolwenn DELORD"/>
    <x v="77"/>
    <x v="2"/>
    <s v="Oui"/>
    <n v="11"/>
    <s v=""/>
    <n v="7.5"/>
    <n v="1.5"/>
    <n v="0"/>
    <e v="#REF!"/>
    <s v=""/>
    <s v=""/>
    <s v=""/>
    <n v="11"/>
    <n v="7.5"/>
    <n v="1.5"/>
    <n v="0"/>
    <n v="0"/>
    <n v="0"/>
    <n v="0"/>
    <n v="0"/>
    <x v="0"/>
    <n v="0"/>
    <n v="0"/>
    <n v="0"/>
    <m/>
    <m/>
    <m/>
    <m/>
    <m/>
  </r>
  <r>
    <s v="000021480"/>
    <s v="Noé BRUMELOT"/>
    <x v="44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791"/>
    <s v="Olivia TORTOSA"/>
    <x v="70"/>
    <x v="1"/>
    <s v="Non"/>
    <n v="14"/>
    <s v=""/>
    <n v="0"/>
    <n v="6"/>
    <n v="0"/>
    <e v="#REF!"/>
    <s v=""/>
    <s v=""/>
    <s v=""/>
    <n v="14"/>
    <n v="0"/>
    <n v="6"/>
    <n v="0"/>
    <n v="0"/>
    <n v="0"/>
    <n v="0"/>
    <n v="0"/>
    <x v="1"/>
    <n v="0"/>
    <n v="0"/>
    <n v="0"/>
    <m/>
    <m/>
    <m/>
    <m/>
    <m/>
  </r>
  <r>
    <s v="000015601"/>
    <s v="Olympe LOISEAU"/>
    <x v="11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384"/>
    <s v="Omar BOUKAZZAR"/>
    <x v="37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332"/>
    <s v="Omar ELALAMI"/>
    <x v="10"/>
    <x v="4"/>
    <s v="Non"/>
    <n v="12.5"/>
    <s v=""/>
    <n v="0.5"/>
    <n v="7"/>
    <n v="0"/>
    <e v="#REF!"/>
    <s v=""/>
    <s v=""/>
    <s v=""/>
    <n v="13"/>
    <n v="0"/>
    <n v="7"/>
    <n v="-0.5"/>
    <n v="0.5"/>
    <n v="0"/>
    <n v="0"/>
    <n v="0"/>
    <x v="2"/>
    <n v="0"/>
    <n v="0"/>
    <n v="-0.5"/>
    <m/>
    <m/>
    <m/>
    <m/>
    <m/>
  </r>
  <r>
    <s v="000012209"/>
    <s v="Ombeline NEYRAND"/>
    <x v="53"/>
    <x v="5"/>
    <s v="Oui"/>
    <n v="17"/>
    <s v=""/>
    <n v="3"/>
    <n v="0"/>
    <n v="0"/>
    <e v="#REF!"/>
    <s v=""/>
    <s v=""/>
    <s v=""/>
    <n v="16"/>
    <n v="4"/>
    <n v="0"/>
    <n v="1"/>
    <n v="-1"/>
    <n v="0"/>
    <n v="0"/>
    <n v="0"/>
    <x v="0"/>
    <n v="0"/>
    <n v="0"/>
    <n v="1"/>
    <m/>
    <m/>
    <m/>
    <m/>
    <m/>
  </r>
  <r>
    <s v="000016421"/>
    <s v="Oscar MARZE"/>
    <x v="51"/>
    <x v="0"/>
    <s v="Non"/>
    <n v="20"/>
    <s v=""/>
    <n v="0"/>
    <n v="0"/>
    <n v="0"/>
    <e v="#REF!"/>
    <s v=""/>
    <s v=""/>
    <s v=""/>
    <n v="18"/>
    <n v="2"/>
    <n v="0"/>
    <n v="2"/>
    <n v="-2"/>
    <n v="0"/>
    <n v="0"/>
    <n v="0"/>
    <x v="1"/>
    <n v="0"/>
    <n v="0"/>
    <n v="2"/>
    <m/>
    <m/>
    <m/>
    <m/>
    <m/>
  </r>
  <r>
    <s v="000018113"/>
    <s v="Oscar SFILIGOI"/>
    <x v="63"/>
    <x v="6"/>
    <s v="Non"/>
    <n v="18.5"/>
    <s v=""/>
    <n v="0"/>
    <n v="1.5"/>
    <n v="0"/>
    <e v="#REF!"/>
    <s v=""/>
    <s v=""/>
    <s v=""/>
    <n v="20"/>
    <n v="0"/>
    <n v="0"/>
    <n v="-1.5"/>
    <n v="0"/>
    <n v="1.5"/>
    <n v="0"/>
    <n v="0"/>
    <x v="1"/>
    <n v="1.5"/>
    <n v="0"/>
    <n v="-1.5"/>
    <m/>
    <m/>
    <m/>
    <m/>
    <m/>
  </r>
  <r>
    <s v="000021400"/>
    <s v="Othman BARGACH"/>
    <x v="83"/>
    <x v="3"/>
    <s v="Non"/>
    <n v="18"/>
    <s v=""/>
    <n v="2"/>
    <n v="0"/>
    <n v="0"/>
    <e v="#REF!"/>
    <s v=""/>
    <s v=""/>
    <s v=""/>
    <n v="18"/>
    <n v="2"/>
    <n v="0"/>
    <n v="0"/>
    <n v="0"/>
    <n v="0"/>
    <n v="0"/>
    <n v="0"/>
    <x v="0"/>
    <n v="0"/>
    <n v="0"/>
    <n v="0"/>
    <m/>
    <m/>
    <m/>
    <m/>
    <m/>
  </r>
  <r>
    <s v="000022270"/>
    <s v="Othmane CHAQROUNI"/>
    <x v="44"/>
    <x v="6"/>
    <s v="Non"/>
    <n v="16"/>
    <s v=""/>
    <n v="4"/>
    <n v="0"/>
    <n v="0"/>
    <e v="#REF!"/>
    <s v=""/>
    <s v=""/>
    <s v=""/>
    <n v="16"/>
    <n v="4"/>
    <n v="0"/>
    <n v="0"/>
    <n v="0"/>
    <n v="0"/>
    <n v="0"/>
    <n v="0"/>
    <x v="0"/>
    <n v="0"/>
    <n v="0"/>
    <n v="0"/>
    <m/>
    <m/>
    <m/>
    <m/>
    <m/>
  </r>
  <r>
    <s v="000004350"/>
    <s v="Othmane KHARBACH"/>
    <x v="66"/>
    <x v="5"/>
    <s v="Oui"/>
    <n v="10"/>
    <s v=""/>
    <n v="10"/>
    <n v="0"/>
    <n v="0"/>
    <e v="#REF!"/>
    <s v=""/>
    <s v=""/>
    <s v=""/>
    <n v="8"/>
    <n v="12"/>
    <n v="0"/>
    <n v="2"/>
    <n v="-2"/>
    <n v="0"/>
    <n v="0"/>
    <n v="0"/>
    <x v="0"/>
    <n v="0"/>
    <n v="0"/>
    <n v="2"/>
    <m/>
    <m/>
    <m/>
    <m/>
    <m/>
  </r>
  <r>
    <s v="000015421"/>
    <s v="Oumaima AHOUZI"/>
    <x v="91"/>
    <x v="1"/>
    <s v="Non"/>
    <n v="17.5"/>
    <s v=""/>
    <n v="0"/>
    <n v="2.5"/>
    <n v="0"/>
    <e v="#REF!"/>
    <s v=""/>
    <s v=""/>
    <s v=""/>
    <n v="16"/>
    <n v="0"/>
    <n v="4"/>
    <n v="1.5"/>
    <n v="0"/>
    <n v="-1.5"/>
    <n v="0"/>
    <n v="0"/>
    <x v="1"/>
    <n v="0"/>
    <n v="0"/>
    <n v="1.5"/>
    <m/>
    <m/>
    <m/>
    <m/>
    <m/>
  </r>
  <r>
    <s v="000017843"/>
    <s v="Oumaima BENAYAD"/>
    <x v="37"/>
    <x v="4"/>
    <s v="Non"/>
    <n v="12"/>
    <s v=""/>
    <n v="8"/>
    <n v="0"/>
    <n v="0"/>
    <e v="#REF!"/>
    <s v=""/>
    <s v=""/>
    <s v=""/>
    <n v="12"/>
    <n v="8"/>
    <n v="0"/>
    <n v="0"/>
    <n v="0"/>
    <n v="0"/>
    <n v="0"/>
    <n v="0"/>
    <x v="0"/>
    <n v="0"/>
    <n v="0"/>
    <n v="0"/>
    <m/>
    <m/>
    <m/>
    <m/>
    <m/>
  </r>
  <r>
    <s v="000012872"/>
    <s v="Oumar THIAM"/>
    <x v="17"/>
    <x v="7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21522"/>
    <s v="Oumeima FRIOUI"/>
    <x v="65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555"/>
    <s v="Ousmane BAH"/>
    <x v="18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4099"/>
    <s v="Oussama IHIA"/>
    <x v="57"/>
    <x v="5"/>
    <s v="Non"/>
    <n v="15"/>
    <s v=""/>
    <n v="3"/>
    <n v="2"/>
    <n v="0"/>
    <e v="#REF!"/>
    <s v=""/>
    <s v=""/>
    <s v=""/>
    <n v="15"/>
    <n v="3"/>
    <n v="2"/>
    <n v="0"/>
    <n v="0"/>
    <n v="0"/>
    <n v="0"/>
    <n v="0"/>
    <x v="0"/>
    <n v="0"/>
    <n v="0"/>
    <n v="0"/>
    <m/>
    <m/>
    <m/>
    <m/>
    <m/>
  </r>
  <r>
    <s v="000020712"/>
    <s v="Pascal MONIN"/>
    <x v="89"/>
    <x v="3"/>
    <s v="Non"/>
    <n v="14"/>
    <s v=""/>
    <n v="6"/>
    <n v="0"/>
    <n v="0"/>
    <e v="#REF!"/>
    <s v=""/>
    <s v=""/>
    <s v=""/>
    <n v="10"/>
    <n v="10"/>
    <n v="0"/>
    <n v="4"/>
    <n v="-4"/>
    <n v="0"/>
    <n v="0"/>
    <n v="0"/>
    <x v="0"/>
    <n v="0"/>
    <n v="0"/>
    <n v="4"/>
    <m/>
    <m/>
    <m/>
    <m/>
    <m/>
  </r>
  <r>
    <s v="000022016"/>
    <s v="Paul BARBASTE"/>
    <x v="27"/>
    <x v="4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m/>
    <m/>
  </r>
  <r>
    <s v="000017918"/>
    <s v="Paul BERGMANN"/>
    <x v="65"/>
    <x v="4"/>
    <s v="Non"/>
    <n v="0"/>
    <s v=""/>
    <n v="13"/>
    <n v="7"/>
    <n v="0"/>
    <e v="#REF!"/>
    <s v=""/>
    <s v=""/>
    <s v=""/>
    <n v="13"/>
    <n v="0"/>
    <n v="7"/>
    <n v="-13"/>
    <n v="13"/>
    <n v="0"/>
    <n v="0"/>
    <n v="0"/>
    <x v="3"/>
    <n v="0"/>
    <n v="13"/>
    <n v="0"/>
    <m/>
    <m/>
    <m/>
    <m/>
    <m/>
  </r>
  <r>
    <s v="000016288"/>
    <s v="Paul BERTSCHY"/>
    <x v="37"/>
    <x v="4"/>
    <s v="Non"/>
    <n v="5"/>
    <s v=""/>
    <n v="15"/>
    <n v="0"/>
    <n v="0"/>
    <e v="#REF!"/>
    <s v=""/>
    <s v=""/>
    <s v=""/>
    <n v="15"/>
    <n v="5"/>
    <n v="0"/>
    <n v="-10"/>
    <n v="10"/>
    <n v="0"/>
    <n v="0"/>
    <n v="0"/>
    <x v="2"/>
    <n v="0"/>
    <n v="0"/>
    <n v="-10"/>
    <m/>
    <m/>
    <m/>
    <m/>
    <m/>
  </r>
  <r>
    <s v="000021980"/>
    <s v="Paul GILLES"/>
    <x v="34"/>
    <x v="7"/>
    <s v="Non"/>
    <n v="9.5"/>
    <s v=""/>
    <n v="10.5"/>
    <n v="0"/>
    <n v="0"/>
    <e v="#REF!"/>
    <s v=""/>
    <s v=""/>
    <s v=""/>
    <n v="10"/>
    <n v="10"/>
    <n v="0"/>
    <n v="-0.5"/>
    <n v="0.5"/>
    <n v="0"/>
    <n v="0"/>
    <n v="0"/>
    <x v="2"/>
    <n v="0"/>
    <n v="0"/>
    <n v="-0.5"/>
    <m/>
    <m/>
    <m/>
    <m/>
    <m/>
  </r>
  <r>
    <s v="000021783"/>
    <s v="Paul MOREL"/>
    <x v="29"/>
    <x v="5"/>
    <s v="Non"/>
    <n v="18"/>
    <s v=""/>
    <n v="1"/>
    <n v="1"/>
    <n v="0"/>
    <e v="#REF!"/>
    <s v=""/>
    <s v=""/>
    <s v=""/>
    <n v="19"/>
    <n v="0"/>
    <n v="1"/>
    <n v="-1"/>
    <n v="1"/>
    <n v="0"/>
    <n v="0"/>
    <n v="0"/>
    <x v="2"/>
    <n v="0"/>
    <n v="0"/>
    <n v="-1"/>
    <m/>
    <m/>
    <m/>
    <m/>
    <m/>
  </r>
  <r>
    <s v="000020509"/>
    <s v="Paul VERGNAUD"/>
    <x v="20"/>
    <x v="7"/>
    <s v="Non"/>
    <n v="18"/>
    <s v=""/>
    <n v="0"/>
    <n v="2"/>
    <n v="0"/>
    <e v="#REF!"/>
    <s v=""/>
    <s v=""/>
    <s v=""/>
    <n v="9"/>
    <n v="9"/>
    <n v="2"/>
    <n v="9"/>
    <n v="-9"/>
    <n v="0"/>
    <n v="0"/>
    <n v="0"/>
    <x v="1"/>
    <n v="0"/>
    <n v="0"/>
    <n v="9"/>
    <m/>
    <m/>
    <m/>
    <m/>
    <m/>
  </r>
  <r>
    <s v="000005753"/>
    <s v="Paul WALLOIS"/>
    <x v="29"/>
    <x v="5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m/>
    <m/>
  </r>
  <r>
    <s v="000014527"/>
    <s v="Pauline CARLIEZ"/>
    <x v="30"/>
    <x v="7"/>
    <s v="Non"/>
    <n v="4.5"/>
    <s v=""/>
    <n v="15.5"/>
    <n v="0"/>
    <n v="0"/>
    <e v="#REF!"/>
    <s v=""/>
    <s v=""/>
    <s v=""/>
    <n v="5"/>
    <n v="15"/>
    <n v="0"/>
    <n v="-0.5"/>
    <n v="0.5"/>
    <n v="0"/>
    <n v="0"/>
    <n v="0"/>
    <x v="2"/>
    <n v="0"/>
    <n v="0"/>
    <n v="-0.5"/>
    <m/>
    <m/>
    <m/>
    <m/>
    <m/>
  </r>
  <r>
    <s v="000005566"/>
    <s v="Pauline SAUNIER"/>
    <x v="32"/>
    <x v="3"/>
    <s v="Oui"/>
    <n v="0"/>
    <s v=""/>
    <n v="14"/>
    <n v="6"/>
    <n v="0"/>
    <e v="#REF!"/>
    <s v=""/>
    <s v=""/>
    <s v=""/>
    <n v="0"/>
    <n v="14"/>
    <n v="6"/>
    <n v="0"/>
    <n v="0"/>
    <n v="0"/>
    <n v="0"/>
    <n v="0"/>
    <x v="0"/>
    <n v="0"/>
    <n v="0"/>
    <n v="0"/>
    <m/>
    <m/>
    <m/>
    <m/>
    <m/>
  </r>
  <r>
    <s v="000015522"/>
    <s v="Pauline TRUONG"/>
    <x v="51"/>
    <x v="0"/>
    <s v="Non"/>
    <n v="12.5"/>
    <s v=""/>
    <n v="7.5"/>
    <n v="0"/>
    <n v="0"/>
    <e v="#REF!"/>
    <s v=""/>
    <s v=""/>
    <s v=""/>
    <n v="16"/>
    <n v="4"/>
    <n v="0"/>
    <n v="-3.5"/>
    <n v="3.5"/>
    <n v="0"/>
    <n v="0"/>
    <n v="0"/>
    <x v="2"/>
    <n v="0"/>
    <n v="0"/>
    <n v="-3.5"/>
    <m/>
    <m/>
    <m/>
    <m/>
    <m/>
  </r>
  <r>
    <s v="000016525"/>
    <s v="Perrine YOUINOU"/>
    <x v="76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03271"/>
    <s v="Philibert DE MONTILLE"/>
    <x v="21"/>
    <x v="4"/>
    <s v="Oui"/>
    <n v="11"/>
    <s v=""/>
    <n v="9"/>
    <n v="0"/>
    <n v="0"/>
    <e v="#REF!"/>
    <s v=""/>
    <s v=""/>
    <s v=""/>
    <n v="13"/>
    <n v="7"/>
    <n v="0"/>
    <n v="-2"/>
    <n v="2"/>
    <n v="0"/>
    <n v="0"/>
    <n v="0"/>
    <x v="2"/>
    <n v="0"/>
    <n v="0"/>
    <n v="-2"/>
    <m/>
    <m/>
    <m/>
    <m/>
    <m/>
  </r>
  <r>
    <s v="000007140"/>
    <s v="Philip BESSIERE"/>
    <x v="98"/>
    <x v="8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4758"/>
    <s v="Philippe TRAN"/>
    <x v="16"/>
    <x v="7"/>
    <s v="Non"/>
    <n v="5.5"/>
    <s v=""/>
    <n v="14"/>
    <n v="0.5"/>
    <n v="0"/>
    <e v="#REF!"/>
    <s v=""/>
    <s v=""/>
    <s v=""/>
    <n v="6"/>
    <n v="14"/>
    <n v="0"/>
    <n v="-0.5"/>
    <n v="0"/>
    <n v="0.5"/>
    <n v="0"/>
    <n v="0"/>
    <x v="1"/>
    <n v="0.5"/>
    <n v="0"/>
    <n v="-0.5"/>
    <m/>
    <m/>
    <m/>
    <m/>
    <m/>
  </r>
  <r>
    <s v="000013960"/>
    <s v="Philippine LARROZE"/>
    <x v="69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3400"/>
    <s v="Pierre ATTIVISSIMO"/>
    <x v="38"/>
    <x v="3"/>
    <s v="Non"/>
    <n v="17"/>
    <s v=""/>
    <n v="1"/>
    <n v="2"/>
    <n v="0"/>
    <e v="#REF!"/>
    <s v=""/>
    <s v=""/>
    <s v=""/>
    <n v="17"/>
    <n v="1"/>
    <n v="2"/>
    <n v="0"/>
    <n v="0"/>
    <n v="0"/>
    <n v="0"/>
    <n v="0"/>
    <x v="0"/>
    <n v="0"/>
    <n v="0"/>
    <n v="0"/>
    <m/>
    <m/>
    <m/>
    <m/>
    <m/>
  </r>
  <r>
    <s v="000001571"/>
    <s v="Pierre BAZYDLO"/>
    <x v="33"/>
    <x v="7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m/>
    <m/>
  </r>
  <r>
    <s v="000016434"/>
    <s v="Pierre HUANG"/>
    <x v="34"/>
    <x v="7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m/>
    <m/>
  </r>
  <r>
    <s v="000005556"/>
    <s v="Pierre LEJEUNE"/>
    <x v="41"/>
    <x v="6"/>
    <s v="Oui"/>
    <n v="14"/>
    <s v=""/>
    <n v="2"/>
    <n v="4"/>
    <n v="0"/>
    <e v="#REF!"/>
    <s v=""/>
    <s v=""/>
    <s v=""/>
    <n v="14"/>
    <n v="2"/>
    <n v="4"/>
    <n v="0"/>
    <n v="0"/>
    <n v="0"/>
    <n v="0"/>
    <n v="0"/>
    <x v="0"/>
    <n v="0"/>
    <n v="0"/>
    <n v="0"/>
    <m/>
    <m/>
    <m/>
    <m/>
    <m/>
  </r>
  <r>
    <s v="000020801"/>
    <s v="Pierre MEGALLI"/>
    <x v="83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5515"/>
    <s v="Pierre MONCHALIN"/>
    <x v="25"/>
    <x v="0"/>
    <s v="Oui"/>
    <n v="11"/>
    <s v=""/>
    <n v="8"/>
    <n v="1"/>
    <n v="0"/>
    <e v="#REF!"/>
    <s v=""/>
    <s v=""/>
    <s v=""/>
    <n v="11"/>
    <n v="8"/>
    <n v="1"/>
    <n v="0"/>
    <n v="0"/>
    <n v="0"/>
    <n v="0"/>
    <n v="0"/>
    <x v="0"/>
    <n v="0"/>
    <n v="0"/>
    <n v="0"/>
    <m/>
    <m/>
    <m/>
    <m/>
    <m/>
  </r>
  <r>
    <s v="000004136"/>
    <s v="Pierre NARCE"/>
    <x v="66"/>
    <x v="5"/>
    <s v="Oui"/>
    <n v="4"/>
    <s v=""/>
    <n v="16"/>
    <n v="0"/>
    <n v="0"/>
    <e v="#REF!"/>
    <s v=""/>
    <s v=""/>
    <s v=""/>
    <n v="4"/>
    <n v="16"/>
    <n v="0"/>
    <n v="0"/>
    <n v="0"/>
    <n v="0"/>
    <n v="0"/>
    <n v="0"/>
    <x v="0"/>
    <n v="0"/>
    <n v="0"/>
    <n v="0"/>
    <m/>
    <m/>
    <m/>
    <m/>
    <m/>
  </r>
  <r>
    <s v="000022150"/>
    <s v="Pierre PIQUÉ"/>
    <x v="9"/>
    <x v="5"/>
    <s v="Non"/>
    <n v="0"/>
    <s v=""/>
    <n v="20"/>
    <n v="0"/>
    <n v="0"/>
    <e v="#REF!"/>
    <s v=""/>
    <s v=""/>
    <s v=""/>
    <n v="10"/>
    <n v="10"/>
    <n v="0"/>
    <n v="-10"/>
    <n v="10"/>
    <n v="0"/>
    <n v="0"/>
    <n v="0"/>
    <x v="2"/>
    <n v="0"/>
    <n v="0"/>
    <n v="-10"/>
    <m/>
    <m/>
    <m/>
    <m/>
    <m/>
  </r>
  <r>
    <s v="000000149"/>
    <s v="Pierre RENALDO"/>
    <x v="66"/>
    <x v="5"/>
    <s v="Non"/>
    <n v="18"/>
    <s v=""/>
    <n v="2"/>
    <n v="0"/>
    <n v="0"/>
    <e v="#REF!"/>
    <s v=""/>
    <s v=""/>
    <s v=""/>
    <n v="18"/>
    <n v="2"/>
    <n v="0"/>
    <n v="0"/>
    <n v="0"/>
    <n v="0"/>
    <n v="0"/>
    <n v="0"/>
    <x v="0"/>
    <n v="0"/>
    <n v="0"/>
    <n v="0"/>
    <m/>
    <m/>
    <m/>
    <m/>
    <m/>
  </r>
  <r>
    <s v="000021170"/>
    <s v="Pierre-Alexandre CLERC"/>
    <x v="46"/>
    <x v="1"/>
    <s v="Non"/>
    <n v="11"/>
    <s v=""/>
    <n v="9"/>
    <n v="0"/>
    <n v="0"/>
    <e v="#REF!"/>
    <s v=""/>
    <s v=""/>
    <s v=""/>
    <n v="10"/>
    <n v="10"/>
    <n v="0"/>
    <n v="1"/>
    <n v="-1"/>
    <n v="0"/>
    <n v="0"/>
    <n v="0"/>
    <x v="0"/>
    <n v="0"/>
    <n v="0"/>
    <n v="1"/>
    <m/>
    <m/>
    <m/>
    <m/>
    <m/>
  </r>
  <r>
    <s v="000014614"/>
    <s v="Quentin ARÉ"/>
    <x v="76"/>
    <x v="6"/>
    <s v="Non"/>
    <n v="13"/>
    <s v=""/>
    <n v="0"/>
    <n v="7"/>
    <n v="0"/>
    <e v="#REF!"/>
    <s v=""/>
    <s v=""/>
    <s v=""/>
    <n v="13"/>
    <n v="0"/>
    <n v="7"/>
    <n v="0"/>
    <n v="0"/>
    <n v="0"/>
    <n v="0"/>
    <n v="0"/>
    <x v="1"/>
    <n v="0"/>
    <n v="0"/>
    <n v="0"/>
    <m/>
    <m/>
    <m/>
    <m/>
    <m/>
  </r>
  <r>
    <s v="000013549"/>
    <s v="Quentin DUMONT"/>
    <x v="24"/>
    <x v="2"/>
    <s v="Oui"/>
    <n v="19"/>
    <s v=""/>
    <n v="1"/>
    <n v="0"/>
    <n v="0"/>
    <e v="#REF!"/>
    <s v=""/>
    <s v=""/>
    <s v=""/>
    <n v="18"/>
    <n v="2"/>
    <n v="0"/>
    <n v="1"/>
    <n v="-1"/>
    <n v="0"/>
    <n v="0"/>
    <n v="0"/>
    <x v="0"/>
    <n v="0"/>
    <n v="0"/>
    <n v="1"/>
    <m/>
    <m/>
    <m/>
    <m/>
    <m/>
  </r>
  <r>
    <s v="000017965"/>
    <s v="Quentin ILLY"/>
    <x v="65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6773"/>
    <s v="Quentin LE MOAL"/>
    <x v="68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180"/>
    <s v="Quentin LE TURDU"/>
    <x v="0"/>
    <x v="0"/>
    <s v="Non"/>
    <n v="18"/>
    <s v=""/>
    <n v="2"/>
    <n v="0"/>
    <n v="0"/>
    <e v="#REF!"/>
    <s v=""/>
    <s v=""/>
    <s v=""/>
    <n v="18"/>
    <n v="2"/>
    <n v="0"/>
    <n v="0"/>
    <n v="0"/>
    <n v="0"/>
    <n v="0"/>
    <n v="0"/>
    <x v="0"/>
    <n v="0"/>
    <n v="0"/>
    <n v="0"/>
    <m/>
    <m/>
    <m/>
    <m/>
    <m/>
  </r>
  <r>
    <s v="000008643"/>
    <s v="Quentin QUONIAM"/>
    <x v="39"/>
    <x v="1"/>
    <s v="Oui"/>
    <n v="15.5"/>
    <s v=""/>
    <n v="4.5"/>
    <n v="0"/>
    <n v="0"/>
    <e v="#REF!"/>
    <s v=""/>
    <s v=""/>
    <s v=""/>
    <n v="20"/>
    <n v="0"/>
    <n v="0"/>
    <n v="-4.5"/>
    <n v="4.5"/>
    <n v="0"/>
    <n v="0"/>
    <n v="0"/>
    <x v="2"/>
    <n v="0"/>
    <n v="0"/>
    <n v="-4.5"/>
    <m/>
    <m/>
    <m/>
    <m/>
    <m/>
  </r>
  <r>
    <s v="000015357"/>
    <s v="Rabah Amir CHENOUF"/>
    <x v="0"/>
    <x v="0"/>
    <s v="Non"/>
    <n v="0"/>
    <s v=""/>
    <n v="20"/>
    <n v="0"/>
    <n v="0"/>
    <e v="#REF!"/>
    <s v=""/>
    <s v=""/>
    <s v=""/>
    <n v="20"/>
    <n v="0"/>
    <n v="0"/>
    <n v="-20"/>
    <n v="20"/>
    <n v="0"/>
    <n v="0"/>
    <n v="0"/>
    <x v="3"/>
    <n v="0"/>
    <n v="20"/>
    <n v="0"/>
    <m/>
    <m/>
    <m/>
    <m/>
    <m/>
  </r>
  <r>
    <s v="000012779"/>
    <s v="Rachel FANHAN"/>
    <x v="69"/>
    <x v="6"/>
    <s v="Oui"/>
    <n v="18"/>
    <s v=""/>
    <n v="1"/>
    <n v="1"/>
    <n v="0"/>
    <e v="#REF!"/>
    <s v=""/>
    <s v=""/>
    <s v=""/>
    <n v="19"/>
    <n v="0"/>
    <n v="1"/>
    <n v="-1"/>
    <n v="1"/>
    <n v="0"/>
    <n v="0"/>
    <n v="0"/>
    <x v="2"/>
    <n v="0"/>
    <n v="0"/>
    <n v="-1"/>
    <m/>
    <m/>
    <m/>
    <m/>
    <m/>
  </r>
  <r>
    <s v="000017408"/>
    <s v="Rafael VAZQUEZ MORAES"/>
    <x v="1"/>
    <x v="1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15514"/>
    <s v="Rahma BERRIMA"/>
    <x v="37"/>
    <x v="4"/>
    <s v="Non"/>
    <n v="0"/>
    <s v=""/>
    <n v="9"/>
    <n v="11"/>
    <n v="0"/>
    <e v="#REF!"/>
    <s v=""/>
    <s v=""/>
    <s v=""/>
    <n v="0"/>
    <n v="10"/>
    <n v="10"/>
    <n v="0"/>
    <n v="-1"/>
    <n v="1"/>
    <n v="0"/>
    <n v="0"/>
    <x v="2"/>
    <n v="0"/>
    <n v="0"/>
    <n v="0"/>
    <m/>
    <m/>
    <m/>
    <m/>
    <m/>
  </r>
  <r>
    <s v="000014427"/>
    <s v="Ramz TSOULI"/>
    <x v="30"/>
    <x v="7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m/>
    <m/>
  </r>
  <r>
    <s v="000021261"/>
    <s v="Ramzi BENKHENNICHE"/>
    <x v="52"/>
    <x v="6"/>
    <s v="Non"/>
    <n v="13.5"/>
    <s v=""/>
    <n v="0"/>
    <n v="6.5"/>
    <n v="0"/>
    <e v="#REF!"/>
    <s v=""/>
    <s v=""/>
    <s v=""/>
    <n v="14"/>
    <n v="0"/>
    <n v="6"/>
    <n v="-0.5"/>
    <n v="0"/>
    <n v="0.5"/>
    <n v="0"/>
    <n v="0"/>
    <x v="1"/>
    <n v="0.5"/>
    <n v="0"/>
    <n v="-0.5"/>
    <m/>
    <m/>
    <m/>
    <m/>
    <m/>
  </r>
  <r>
    <s v="000020334"/>
    <s v="Rania EL BOURAQUI"/>
    <x v="44"/>
    <x v="6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20640"/>
    <s v="Rania HADOUCHI"/>
    <x v="49"/>
    <x v="7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3407"/>
    <s v="Raphael FRANCIS"/>
    <x v="69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6130"/>
    <s v="Raphaël CHOKRON"/>
    <x v="77"/>
    <x v="2"/>
    <s v="Non"/>
    <n v="19"/>
    <s v=""/>
    <n v="0"/>
    <n v="1"/>
    <n v="0"/>
    <e v="#REF!"/>
    <s v=""/>
    <s v=""/>
    <s v=""/>
    <n v="20"/>
    <n v="0"/>
    <n v="0"/>
    <n v="-1"/>
    <n v="0"/>
    <n v="1"/>
    <n v="0"/>
    <n v="0"/>
    <x v="1"/>
    <n v="1"/>
    <n v="0"/>
    <n v="-1"/>
    <m/>
    <m/>
    <m/>
    <m/>
    <m/>
  </r>
  <r>
    <s v="000022105"/>
    <s v="Raylane GUESSOUM"/>
    <x v="60"/>
    <x v="2"/>
    <s v="Non"/>
    <n v="0"/>
    <s v=""/>
    <n v="19.5"/>
    <n v="0.5"/>
    <n v="0"/>
    <e v="#REF!"/>
    <s v=""/>
    <s v=""/>
    <s v=""/>
    <n v="0"/>
    <n v="20"/>
    <n v="0"/>
    <n v="0"/>
    <n v="-0.5"/>
    <n v="0.5"/>
    <n v="0"/>
    <n v="0"/>
    <x v="2"/>
    <n v="0"/>
    <n v="0"/>
    <n v="0"/>
    <m/>
    <m/>
    <m/>
    <m/>
    <m/>
  </r>
  <r>
    <s v="000012118"/>
    <s v="Raúl MARTINEZ"/>
    <x v="12"/>
    <x v="6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05850"/>
    <s v="Rebecca LARRIVEE"/>
    <x v="71"/>
    <x v="1"/>
    <s v="Oui"/>
    <n v="4"/>
    <s v=""/>
    <n v="16"/>
    <n v="0"/>
    <n v="0"/>
    <e v="#REF!"/>
    <s v=""/>
    <s v=""/>
    <s v=""/>
    <n v="13"/>
    <n v="7"/>
    <n v="0"/>
    <n v="-9"/>
    <n v="9"/>
    <n v="0"/>
    <n v="0"/>
    <n v="0"/>
    <x v="3"/>
    <n v="0"/>
    <n v="10"/>
    <n v="1"/>
    <m/>
    <m/>
    <m/>
    <m/>
    <m/>
  </r>
  <r>
    <s v="000014688"/>
    <s v="Remy DAO"/>
    <x v="10"/>
    <x v="4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m/>
    <m/>
  </r>
  <r>
    <s v="000001604"/>
    <s v="Richard MEUNIER"/>
    <x v="21"/>
    <x v="4"/>
    <s v="Non"/>
    <n v="18"/>
    <s v=""/>
    <n v="0"/>
    <n v="2"/>
    <n v="0"/>
    <e v="#REF!"/>
    <s v=""/>
    <s v=""/>
    <s v=""/>
    <n v="20"/>
    <n v="0"/>
    <n v="0"/>
    <n v="-2"/>
    <n v="0"/>
    <n v="2"/>
    <n v="0"/>
    <n v="0"/>
    <x v="1"/>
    <n v="2"/>
    <n v="0"/>
    <n v="-2"/>
    <m/>
    <m/>
    <m/>
    <m/>
    <m/>
  </r>
  <r>
    <s v="000014243"/>
    <s v="Rida KAOURI"/>
    <x v="24"/>
    <x v="2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21730"/>
    <s v="Rime SELLAM"/>
    <x v="85"/>
    <x v="7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17948"/>
    <s v="Robert JOHNSON"/>
    <x v="36"/>
    <x v="5"/>
    <s v="Non"/>
    <n v="0"/>
    <s v=""/>
    <n v="17"/>
    <n v="3"/>
    <n v="0"/>
    <e v="#REF!"/>
    <s v=""/>
    <s v=""/>
    <s v=""/>
    <n v="0"/>
    <n v="17"/>
    <n v="3"/>
    <n v="0"/>
    <n v="0"/>
    <n v="0"/>
    <n v="0"/>
    <n v="0"/>
    <x v="0"/>
    <n v="0"/>
    <n v="0"/>
    <n v="0"/>
    <m/>
    <m/>
    <m/>
    <m/>
    <m/>
  </r>
  <r>
    <s v="000015844"/>
    <s v="Robin JONCOURT"/>
    <x v="15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7279"/>
    <s v="Romain BOYER"/>
    <x v="23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7583"/>
    <s v="Romain KERLOC'H"/>
    <x v="58"/>
    <x v="7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0849"/>
    <s v="Romain THIEBAUT"/>
    <x v="11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0406"/>
    <s v="Roman ESQUERRE"/>
    <x v="25"/>
    <x v="0"/>
    <s v="Oui"/>
    <n v="16"/>
    <s v=""/>
    <n v="4"/>
    <n v="0"/>
    <n v="0"/>
    <e v="#REF!"/>
    <s v=""/>
    <s v=""/>
    <s v=""/>
    <n v="18"/>
    <n v="2"/>
    <n v="0"/>
    <n v="-2"/>
    <n v="2"/>
    <n v="0"/>
    <n v="0"/>
    <n v="0"/>
    <x v="2"/>
    <n v="0"/>
    <n v="0"/>
    <n v="-2"/>
    <m/>
    <m/>
    <m/>
    <m/>
    <m/>
  </r>
  <r>
    <s v="000000473"/>
    <s v="Ronan CARON"/>
    <x v="80"/>
    <x v="0"/>
    <s v="Non"/>
    <n v="16"/>
    <s v=""/>
    <n v="4"/>
    <n v="0"/>
    <n v="0"/>
    <e v="#REF!"/>
    <s v=""/>
    <s v=""/>
    <s v=""/>
    <n v="12"/>
    <n v="3"/>
    <n v="5"/>
    <n v="4"/>
    <n v="1"/>
    <n v="-5"/>
    <n v="0"/>
    <n v="0"/>
    <x v="2"/>
    <n v="0"/>
    <n v="0"/>
    <n v="4"/>
    <m/>
    <m/>
    <m/>
    <m/>
    <m/>
  </r>
  <r>
    <s v="000022387"/>
    <s v="Ronan CHOQUER"/>
    <x v="99"/>
    <x v="6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129"/>
    <s v="Rose MEREL"/>
    <x v="84"/>
    <x v="2"/>
    <s v="Non"/>
    <n v="19"/>
    <s v=""/>
    <n v="1"/>
    <n v="0"/>
    <n v="0"/>
    <e v="#REF!"/>
    <s v=""/>
    <s v=""/>
    <s v=""/>
    <n v="19"/>
    <n v="1"/>
    <n v="0"/>
    <n v="0"/>
    <n v="0"/>
    <n v="0"/>
    <n v="0"/>
    <n v="0"/>
    <x v="0"/>
    <n v="0"/>
    <n v="0"/>
    <n v="0"/>
    <m/>
    <m/>
    <m/>
    <m/>
    <m/>
  </r>
  <r>
    <s v="000017957"/>
    <s v="Ruiya LI"/>
    <x v="9"/>
    <x v="5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m/>
    <m/>
  </r>
  <r>
    <s v="000020839"/>
    <s v="Ryan VICENTE"/>
    <x v="83"/>
    <x v="3"/>
    <s v="Non"/>
    <n v="6"/>
    <s v=""/>
    <n v="13"/>
    <n v="1"/>
    <n v="0"/>
    <e v="#REF!"/>
    <s v=""/>
    <s v=""/>
    <s v=""/>
    <n v="6"/>
    <n v="13"/>
    <n v="1"/>
    <n v="0"/>
    <n v="0"/>
    <n v="0"/>
    <n v="0"/>
    <n v="0"/>
    <x v="0"/>
    <n v="0"/>
    <n v="0"/>
    <n v="0"/>
    <m/>
    <m/>
    <m/>
    <m/>
    <m/>
  </r>
  <r>
    <s v="000018004"/>
    <s v="Rémi PAL"/>
    <x v="8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688"/>
    <s v="Rémi SPINELLI"/>
    <x v="13"/>
    <x v="0"/>
    <s v="Non"/>
    <n v="15"/>
    <s v=""/>
    <n v="0"/>
    <n v="5"/>
    <n v="0"/>
    <e v="#REF!"/>
    <s v=""/>
    <s v=""/>
    <s v=""/>
    <n v="15"/>
    <n v="0"/>
    <n v="5"/>
    <n v="0"/>
    <n v="0"/>
    <n v="0"/>
    <n v="0"/>
    <n v="0"/>
    <x v="1"/>
    <n v="0"/>
    <n v="0"/>
    <n v="0"/>
    <m/>
    <m/>
    <m/>
    <m/>
    <m/>
  </r>
  <r>
    <s v="000000972"/>
    <s v="Rémi TANIWAKI"/>
    <x v="66"/>
    <x v="5"/>
    <s v="Oui"/>
    <n v="16"/>
    <s v=""/>
    <n v="4"/>
    <n v="0"/>
    <n v="0"/>
    <e v="#REF!"/>
    <s v=""/>
    <s v=""/>
    <s v=""/>
    <n v="8"/>
    <n v="12"/>
    <n v="0"/>
    <n v="8"/>
    <n v="-8"/>
    <n v="0"/>
    <n v="0"/>
    <n v="0"/>
    <x v="0"/>
    <n v="0"/>
    <n v="0"/>
    <n v="8"/>
    <m/>
    <m/>
    <m/>
    <m/>
    <m/>
  </r>
  <r>
    <s v="000018055"/>
    <s v="Saad AIT MELLOUK"/>
    <x v="64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8090"/>
    <s v="Saad EL MAHDI"/>
    <x v="81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309"/>
    <s v="Sabah MOSTEFAOUI"/>
    <x v="67"/>
    <x v="3"/>
    <s v="Non"/>
    <n v="1.5"/>
    <s v=""/>
    <n v="18.5"/>
    <n v="0"/>
    <n v="0"/>
    <e v="#REF!"/>
    <s v=""/>
    <s v=""/>
    <s v=""/>
    <n v="0"/>
    <n v="20"/>
    <n v="0"/>
    <n v="1.5"/>
    <n v="-1.5"/>
    <n v="0"/>
    <n v="0"/>
    <n v="0"/>
    <x v="0"/>
    <n v="0"/>
    <n v="0"/>
    <n v="1.5"/>
    <m/>
    <m/>
    <m/>
    <m/>
    <m/>
  </r>
  <r>
    <s v="000021602"/>
    <s v="Sacha DI COSTANZO"/>
    <x v="11"/>
    <x v="3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m/>
    <m/>
  </r>
  <r>
    <s v="000021845"/>
    <s v="Sadri HANCER"/>
    <x v="1"/>
    <x v="1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m/>
    <m/>
  </r>
  <r>
    <s v="000013590"/>
    <s v="Saifeddine EL MADANI"/>
    <x v="3"/>
    <x v="2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21860"/>
    <s v="Salim ZAHIDI"/>
    <x v="52"/>
    <x v="6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1478"/>
    <s v="Salomé YAKOUBI"/>
    <x v="61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5007"/>
    <s v="Samuel CANICAVE"/>
    <x v="57"/>
    <x v="5"/>
    <s v="Non"/>
    <n v="10.5"/>
    <s v=""/>
    <n v="0"/>
    <n v="9.5"/>
    <n v="0"/>
    <e v="#REF!"/>
    <s v=""/>
    <s v=""/>
    <s v=""/>
    <n v="10.5"/>
    <n v="0"/>
    <n v="9.5"/>
    <n v="0"/>
    <n v="0"/>
    <n v="0"/>
    <n v="0"/>
    <n v="0"/>
    <x v="1"/>
    <n v="0"/>
    <n v="0"/>
    <n v="0"/>
    <m/>
    <m/>
    <m/>
    <m/>
    <m/>
  </r>
  <r>
    <s v="000022297"/>
    <s v="Samuel TILLIER"/>
    <x v="73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07371"/>
    <s v="Sandrine CHAILLEY"/>
    <x v="100"/>
    <x v="4"/>
    <s v="Non"/>
    <n v="0"/>
    <s v=""/>
    <n v="14.5"/>
    <n v="5.5"/>
    <n v="0"/>
    <e v="#REF!"/>
    <s v=""/>
    <s v=""/>
    <s v=""/>
    <n v="0"/>
    <n v="14.5"/>
    <n v="5.5"/>
    <n v="0"/>
    <n v="0"/>
    <n v="0"/>
    <n v="0"/>
    <n v="0"/>
    <x v="0"/>
    <n v="0"/>
    <n v="0"/>
    <n v="0"/>
    <m/>
    <m/>
    <m/>
    <m/>
    <m/>
  </r>
  <r>
    <s v="000010908"/>
    <s v="Sarah LEVI DIT BOCHI"/>
    <x v="33"/>
    <x v="7"/>
    <s v="Non"/>
    <n v="9.5"/>
    <s v=""/>
    <n v="8.5"/>
    <n v="2"/>
    <n v="0"/>
    <e v="#REF!"/>
    <s v=""/>
    <s v=""/>
    <s v=""/>
    <n v="10"/>
    <n v="8"/>
    <n v="2"/>
    <n v="-0.5"/>
    <n v="0.5"/>
    <n v="0"/>
    <n v="0"/>
    <n v="0"/>
    <x v="2"/>
    <n v="0"/>
    <n v="0"/>
    <n v="-0.5"/>
    <m/>
    <m/>
    <m/>
    <m/>
    <m/>
  </r>
  <r>
    <s v="000021679"/>
    <s v="Sarah OLGARD"/>
    <x v="23"/>
    <x v="4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m/>
    <m/>
  </r>
  <r>
    <s v="000020379"/>
    <s v="Sarah SIMON"/>
    <x v="43"/>
    <x v="0"/>
    <s v="Non"/>
    <n v="9.5"/>
    <s v=""/>
    <n v="10.5"/>
    <n v="0"/>
    <n v="0"/>
    <e v="#REF!"/>
    <s v=""/>
    <s v=""/>
    <s v=""/>
    <n v="10"/>
    <n v="10"/>
    <n v="0"/>
    <n v="-0.5"/>
    <n v="0.5"/>
    <n v="0"/>
    <n v="0"/>
    <n v="0"/>
    <x v="2"/>
    <n v="0"/>
    <n v="0"/>
    <n v="-0.5"/>
    <m/>
    <m/>
    <m/>
    <m/>
    <m/>
  </r>
  <r>
    <s v="000015463"/>
    <s v="Sawan-Lounès MOKHTARI"/>
    <x v="64"/>
    <x v="1"/>
    <s v="Non"/>
    <n v="0"/>
    <s v=""/>
    <n v="17.5"/>
    <n v="2.5"/>
    <n v="0"/>
    <e v="#REF!"/>
    <s v=""/>
    <s v=""/>
    <s v=""/>
    <n v="5"/>
    <n v="13"/>
    <n v="2"/>
    <n v="-5"/>
    <n v="4.5"/>
    <n v="0.5"/>
    <n v="0"/>
    <n v="0"/>
    <x v="2"/>
    <n v="0.5"/>
    <n v="0"/>
    <n v="-5"/>
    <m/>
    <m/>
    <m/>
    <m/>
    <m/>
  </r>
  <r>
    <s v="000014486"/>
    <s v="Serenah RAJAONSON"/>
    <x v="31"/>
    <x v="1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m/>
    <m/>
  </r>
  <r>
    <s v="000012946"/>
    <s v="Shayan KHAN"/>
    <x v="43"/>
    <x v="0"/>
    <s v="Non"/>
    <n v="10"/>
    <s v=""/>
    <n v="1"/>
    <n v="9"/>
    <n v="0"/>
    <e v="#REF!"/>
    <s v=""/>
    <s v=""/>
    <s v=""/>
    <n v="11"/>
    <n v="0"/>
    <n v="9"/>
    <n v="-1"/>
    <n v="1"/>
    <n v="0"/>
    <n v="0"/>
    <n v="0"/>
    <x v="2"/>
    <n v="0"/>
    <n v="0"/>
    <n v="-1"/>
    <m/>
    <m/>
    <m/>
    <m/>
    <m/>
  </r>
  <r>
    <s v="000017219"/>
    <s v="Shirley REVILLIER"/>
    <x v="7"/>
    <x v="2"/>
    <s v="Non"/>
    <n v="18"/>
    <s v=""/>
    <n v="2"/>
    <n v="0"/>
    <n v="0"/>
    <e v="#REF!"/>
    <s v=""/>
    <s v=""/>
    <s v=""/>
    <n v="17.5"/>
    <n v="2.5"/>
    <n v="0"/>
    <n v="0.5"/>
    <n v="-0.5"/>
    <n v="0"/>
    <n v="0"/>
    <n v="0"/>
    <x v="0"/>
    <n v="0"/>
    <n v="0"/>
    <n v="0.5"/>
    <m/>
    <m/>
    <m/>
    <m/>
    <m/>
  </r>
  <r>
    <s v="000014171"/>
    <s v="Sihem HACHI"/>
    <x v="81"/>
    <x v="4"/>
    <s v="Non"/>
    <n v="18"/>
    <s v=""/>
    <n v="1"/>
    <n v="1"/>
    <n v="0"/>
    <e v="#REF!"/>
    <s v=""/>
    <s v=""/>
    <s v=""/>
    <n v="20"/>
    <n v="0"/>
    <n v="0"/>
    <n v="-2"/>
    <n v="1"/>
    <n v="1"/>
    <n v="0"/>
    <n v="0"/>
    <x v="2"/>
    <n v="1"/>
    <n v="0"/>
    <n v="-2"/>
    <m/>
    <m/>
    <m/>
    <m/>
    <m/>
  </r>
  <r>
    <s v="000021035"/>
    <s v="Simon HAMEL-MONTHEAN"/>
    <x v="43"/>
    <x v="0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m/>
    <m/>
  </r>
  <r>
    <s v="000020415"/>
    <s v="Simon HERVE"/>
    <x v="43"/>
    <x v="0"/>
    <s v="Non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m/>
    <m/>
  </r>
  <r>
    <s v="000005788"/>
    <s v="Sina MOVAGHAR"/>
    <x v="25"/>
    <x v="0"/>
    <s v="Oui"/>
    <n v="14"/>
    <s v=""/>
    <n v="5"/>
    <n v="0"/>
    <n v="1"/>
    <e v="#REF!"/>
    <s v=""/>
    <s v=""/>
    <s v=""/>
    <n v="13"/>
    <n v="6"/>
    <n v="0"/>
    <n v="1"/>
    <n v="-1"/>
    <n v="0"/>
    <n v="0"/>
    <n v="0"/>
    <x v="0"/>
    <n v="0"/>
    <n v="0"/>
    <n v="1"/>
    <m/>
    <m/>
    <m/>
    <m/>
    <m/>
  </r>
  <r>
    <s v="000012126"/>
    <s v="Skander BAHRI"/>
    <x v="33"/>
    <x v="7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m/>
    <m/>
  </r>
  <r>
    <s v="000013734"/>
    <s v="Sofia ASMI"/>
    <x v="57"/>
    <x v="5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7981"/>
    <s v="Sofiane MAHFOUDI"/>
    <x v="5"/>
    <x v="4"/>
    <s v="Non"/>
    <n v="17.5"/>
    <s v=""/>
    <n v="0"/>
    <n v="2.5"/>
    <n v="0"/>
    <e v="#REF!"/>
    <s v=""/>
    <s v=""/>
    <s v=""/>
    <n v="18.5"/>
    <n v="0"/>
    <n v="1.5"/>
    <n v="-1"/>
    <n v="0"/>
    <n v="1"/>
    <n v="0"/>
    <n v="0"/>
    <x v="1"/>
    <n v="1"/>
    <n v="0"/>
    <n v="-1"/>
    <m/>
    <m/>
    <m/>
    <m/>
    <m/>
  </r>
  <r>
    <s v="000007137"/>
    <s v="Sofiane OUALLOUCHE"/>
    <x v="98"/>
    <x v="8"/>
    <s v="Non"/>
    <n v="0"/>
    <s v=""/>
    <n v="8.5"/>
    <n v="3"/>
    <n v="8.5"/>
    <e v="#REF!"/>
    <s v=""/>
    <s v=""/>
    <s v=""/>
    <n v="0"/>
    <n v="9"/>
    <n v="3"/>
    <n v="0"/>
    <n v="-0.5"/>
    <n v="0"/>
    <n v="0"/>
    <n v="0"/>
    <x v="0"/>
    <n v="0"/>
    <n v="0"/>
    <n v="0"/>
    <m/>
    <m/>
    <m/>
    <m/>
    <m/>
  </r>
  <r>
    <s v="000009138"/>
    <s v="Soline LE BLEVEC"/>
    <x v="77"/>
    <x v="2"/>
    <s v="Oui"/>
    <n v="16"/>
    <s v=""/>
    <n v="3.5"/>
    <n v="0.5"/>
    <n v="0"/>
    <e v="#REF!"/>
    <s v=""/>
    <s v=""/>
    <s v=""/>
    <n v="16"/>
    <n v="3.5"/>
    <n v="0.5"/>
    <n v="0"/>
    <n v="0"/>
    <n v="0"/>
    <n v="0"/>
    <n v="0"/>
    <x v="0"/>
    <n v="0"/>
    <n v="0"/>
    <n v="0"/>
    <m/>
    <m/>
    <m/>
    <m/>
    <m/>
  </r>
  <r>
    <s v="000012084"/>
    <s v="Solène MENARD"/>
    <x v="17"/>
    <x v="7"/>
    <s v="Oui"/>
    <n v="19.5"/>
    <s v=""/>
    <n v="0"/>
    <n v="0.5"/>
    <n v="0"/>
    <e v="#REF!"/>
    <s v=""/>
    <s v=""/>
    <s v=""/>
    <n v="20"/>
    <n v="0"/>
    <n v="0"/>
    <n v="-0.5"/>
    <n v="0"/>
    <n v="0.5"/>
    <n v="0"/>
    <n v="0"/>
    <x v="1"/>
    <n v="0.5"/>
    <n v="0"/>
    <n v="-0.5"/>
    <m/>
    <m/>
    <m/>
    <m/>
    <m/>
  </r>
  <r>
    <s v="000014959"/>
    <s v="Solène MORENO"/>
    <x v="12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3065"/>
    <s v="Solène PINEL"/>
    <x v="38"/>
    <x v="3"/>
    <s v="Non"/>
    <n v="18.5"/>
    <s v=""/>
    <n v="0.5"/>
    <n v="1"/>
    <n v="0"/>
    <e v="#REF!"/>
    <s v=""/>
    <s v=""/>
    <s v=""/>
    <n v="19"/>
    <n v="0"/>
    <n v="1"/>
    <n v="-0.5"/>
    <n v="0.5"/>
    <n v="0"/>
    <n v="0"/>
    <n v="0"/>
    <x v="2"/>
    <n v="0"/>
    <n v="0"/>
    <n v="-0.5"/>
    <m/>
    <m/>
    <m/>
    <m/>
    <m/>
  </r>
  <r>
    <s v="000015616"/>
    <s v="Stanislas BERGEN"/>
    <x v="57"/>
    <x v="5"/>
    <s v="Non"/>
    <n v="10.5"/>
    <s v=""/>
    <n v="9.5"/>
    <n v="0"/>
    <n v="0"/>
    <e v="#REF!"/>
    <s v=""/>
    <s v=""/>
    <s v=""/>
    <n v="10"/>
    <n v="10"/>
    <n v="0"/>
    <n v="0.5"/>
    <n v="-0.5"/>
    <n v="0"/>
    <n v="0"/>
    <n v="0"/>
    <x v="0"/>
    <n v="0"/>
    <n v="0"/>
    <n v="0.5"/>
    <m/>
    <m/>
    <m/>
    <m/>
    <m/>
  </r>
  <r>
    <s v="000020703"/>
    <s v="Stanislas DUBE"/>
    <x v="25"/>
    <x v="0"/>
    <s v="Non"/>
    <n v="16.5"/>
    <s v=""/>
    <n v="0.5"/>
    <n v="3"/>
    <n v="0"/>
    <e v="#REF!"/>
    <s v=""/>
    <s v=""/>
    <s v=""/>
    <n v="17"/>
    <n v="0"/>
    <n v="3"/>
    <n v="-0.5"/>
    <n v="0.5"/>
    <n v="0"/>
    <n v="0"/>
    <n v="0"/>
    <x v="2"/>
    <n v="0"/>
    <n v="0"/>
    <n v="-0.5"/>
    <m/>
    <m/>
    <m/>
    <m/>
    <m/>
  </r>
  <r>
    <s v="000017496"/>
    <s v="Steephan PONNUDURAI"/>
    <x v="51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1548"/>
    <s v="Suthiya YUN"/>
    <x v="76"/>
    <x v="6"/>
    <s v="Non"/>
    <n v="11"/>
    <s v=""/>
    <n v="0"/>
    <n v="9"/>
    <n v="0"/>
    <e v="#REF!"/>
    <s v=""/>
    <s v=""/>
    <s v=""/>
    <n v="11"/>
    <n v="0"/>
    <n v="9"/>
    <n v="0"/>
    <n v="0"/>
    <n v="0"/>
    <n v="0"/>
    <n v="0"/>
    <x v="1"/>
    <n v="0"/>
    <n v="0"/>
    <n v="0"/>
    <m/>
    <m/>
    <m/>
    <m/>
    <m/>
  </r>
  <r>
    <s v="000013164"/>
    <s v="Swan CAILLAUD"/>
    <x v="33"/>
    <x v="7"/>
    <s v="Non"/>
    <n v="17"/>
    <s v=""/>
    <n v="2"/>
    <n v="1"/>
    <n v="0"/>
    <e v="#REF!"/>
    <s v=""/>
    <s v=""/>
    <s v=""/>
    <n v="16.5"/>
    <n v="2.5"/>
    <n v="1"/>
    <n v="0.5"/>
    <n v="-0.5"/>
    <n v="0"/>
    <n v="0"/>
    <n v="0"/>
    <x v="0"/>
    <n v="0"/>
    <n v="0"/>
    <n v="0.5"/>
    <m/>
    <m/>
    <m/>
    <m/>
    <m/>
  </r>
  <r>
    <s v="000013582"/>
    <s v="Sébastien AKRICH"/>
    <x v="81"/>
    <x v="4"/>
    <s v="Oui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14602"/>
    <s v="Sébastien ANDREUX"/>
    <x v="22"/>
    <x v="2"/>
    <s v="Oui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1987"/>
    <s v="Sébastien BACHELLIER"/>
    <x v="26"/>
    <x v="3"/>
    <s v="Non"/>
    <n v="10"/>
    <s v=""/>
    <n v="0"/>
    <n v="10"/>
    <n v="0"/>
    <e v="#REF!"/>
    <s v=""/>
    <s v=""/>
    <s v=""/>
    <n v="7.5"/>
    <n v="2.5"/>
    <n v="10"/>
    <n v="2.5"/>
    <n v="-2.5"/>
    <n v="0"/>
    <n v="0"/>
    <n v="0"/>
    <x v="1"/>
    <n v="0"/>
    <n v="0"/>
    <n v="2.5"/>
    <m/>
    <m/>
    <m/>
    <m/>
    <m/>
  </r>
  <r>
    <s v="000000580"/>
    <s v="Sébastien TOURNOIS"/>
    <x v="72"/>
    <x v="1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m/>
    <m/>
  </r>
  <r>
    <s v="000013348"/>
    <s v="Taha NOURBAY"/>
    <x v="38"/>
    <x v="3"/>
    <s v="Non"/>
    <n v="17"/>
    <s v=""/>
    <n v="1"/>
    <n v="2"/>
    <n v="0"/>
    <e v="#REF!"/>
    <s v=""/>
    <s v=""/>
    <s v=""/>
    <n v="17"/>
    <n v="1"/>
    <n v="2"/>
    <n v="0"/>
    <n v="0"/>
    <n v="0"/>
    <n v="0"/>
    <n v="0"/>
    <x v="0"/>
    <n v="0"/>
    <n v="0"/>
    <n v="0"/>
    <m/>
    <m/>
    <m/>
    <m/>
    <m/>
  </r>
  <r>
    <s v="000013744"/>
    <s v="Tamara YOYOTTE"/>
    <x v="30"/>
    <x v="7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m/>
    <m/>
  </r>
  <r>
    <s v="000013202"/>
    <s v="Tara FOLI"/>
    <x v="29"/>
    <x v="5"/>
    <s v="Non"/>
    <n v="14"/>
    <s v=""/>
    <n v="0"/>
    <n v="6"/>
    <n v="0"/>
    <e v="#REF!"/>
    <s v=""/>
    <s v=""/>
    <s v=""/>
    <n v="11"/>
    <n v="3"/>
    <n v="6"/>
    <n v="3"/>
    <n v="-3"/>
    <n v="0"/>
    <n v="0"/>
    <n v="0"/>
    <x v="1"/>
    <n v="0"/>
    <n v="0"/>
    <n v="3"/>
    <m/>
    <m/>
    <m/>
    <m/>
    <m/>
  </r>
  <r>
    <s v="000017827"/>
    <s v="Tarek MOULEKAF"/>
    <x v="8"/>
    <x v="5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0265"/>
    <s v="Tasnim GHARBI"/>
    <x v="22"/>
    <x v="2"/>
    <s v="Non"/>
    <n v="11"/>
    <s v=""/>
    <n v="2"/>
    <n v="7"/>
    <n v="0"/>
    <e v="#REF!"/>
    <s v=""/>
    <s v=""/>
    <s v=""/>
    <n v="13"/>
    <n v="0"/>
    <n v="7"/>
    <n v="-2"/>
    <n v="2"/>
    <n v="0"/>
    <n v="0"/>
    <n v="0"/>
    <x v="2"/>
    <n v="0"/>
    <n v="0"/>
    <n v="-2"/>
    <m/>
    <m/>
    <m/>
    <m/>
    <m/>
  </r>
  <r>
    <s v="000013915"/>
    <s v="Thanusan SATHIAKUMAR"/>
    <x v="0"/>
    <x v="0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8136"/>
    <s v="Theodora CAUCHOIS"/>
    <x v="20"/>
    <x v="7"/>
    <s v="Non"/>
    <n v="17"/>
    <s v=""/>
    <n v="3"/>
    <n v="0"/>
    <n v="0"/>
    <e v="#REF!"/>
    <s v=""/>
    <s v=""/>
    <s v=""/>
    <n v="17"/>
    <n v="3"/>
    <n v="0"/>
    <n v="0"/>
    <n v="0"/>
    <n v="0"/>
    <n v="0"/>
    <n v="0"/>
    <x v="0"/>
    <n v="0"/>
    <n v="0"/>
    <n v="0"/>
    <m/>
    <m/>
    <m/>
    <m/>
    <m/>
  </r>
  <r>
    <s v="000021604"/>
    <s v="Thibaud VOISIN"/>
    <x v="9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21499"/>
    <s v="Thibault BROU"/>
    <x v="51"/>
    <x v="0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2778"/>
    <s v="Thibault ESPIE"/>
    <x v="75"/>
    <x v="2"/>
    <s v="Non"/>
    <n v="17.5"/>
    <s v=""/>
    <n v="1.5"/>
    <n v="1"/>
    <n v="0"/>
    <e v="#REF!"/>
    <s v=""/>
    <s v=""/>
    <s v=""/>
    <n v="19"/>
    <n v="0"/>
    <n v="1"/>
    <n v="-1.5"/>
    <n v="1.5"/>
    <n v="0"/>
    <n v="0"/>
    <n v="0"/>
    <x v="2"/>
    <n v="0"/>
    <n v="0"/>
    <n v="-1.5"/>
    <m/>
    <m/>
    <m/>
    <m/>
    <m/>
  </r>
  <r>
    <s v="000014705"/>
    <s v="Thibault GRELLET"/>
    <x v="68"/>
    <x v="2"/>
    <s v="Non"/>
    <n v="3"/>
    <s v=""/>
    <n v="17"/>
    <n v="0"/>
    <n v="0"/>
    <e v="#REF!"/>
    <s v=""/>
    <s v=""/>
    <s v=""/>
    <n v="5"/>
    <n v="15"/>
    <n v="0"/>
    <n v="-2"/>
    <n v="2"/>
    <n v="0"/>
    <n v="0"/>
    <n v="0"/>
    <x v="2"/>
    <n v="0"/>
    <n v="0"/>
    <n v="-2"/>
    <m/>
    <m/>
    <m/>
    <m/>
    <m/>
  </r>
  <r>
    <s v="000010231"/>
    <s v="Thibault MORISSEAU"/>
    <x v="41"/>
    <x v="6"/>
    <s v="Oui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20609"/>
    <s v="Thibault TEISSEIRE"/>
    <x v="9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266"/>
    <s v="Thomas BENETREAU"/>
    <x v="11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901"/>
    <s v="Thomas DOUKHAN"/>
    <x v="13"/>
    <x v="0"/>
    <s v="Non"/>
    <n v="19"/>
    <s v=""/>
    <n v="0"/>
    <n v="1"/>
    <n v="0"/>
    <e v="#REF!"/>
    <s v=""/>
    <s v=""/>
    <s v=""/>
    <n v="19"/>
    <n v="0"/>
    <n v="1"/>
    <n v="0"/>
    <n v="0"/>
    <n v="0"/>
    <n v="0"/>
    <n v="0"/>
    <x v="1"/>
    <n v="0"/>
    <n v="0"/>
    <n v="0"/>
    <m/>
    <m/>
    <m/>
    <m/>
    <m/>
  </r>
  <r>
    <s v="000013340"/>
    <s v="Thomas GALLOIS"/>
    <x v="37"/>
    <x v="4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7062"/>
    <s v="Thomas LAINE"/>
    <x v="31"/>
    <x v="1"/>
    <s v="Non"/>
    <n v="16"/>
    <s v=""/>
    <n v="0"/>
    <n v="4"/>
    <n v="0"/>
    <e v="#REF!"/>
    <s v=""/>
    <s v=""/>
    <s v=""/>
    <n v="16"/>
    <n v="0"/>
    <n v="4"/>
    <n v="0"/>
    <n v="0"/>
    <n v="0"/>
    <n v="0"/>
    <n v="0"/>
    <x v="1"/>
    <n v="0"/>
    <n v="0"/>
    <n v="0"/>
    <m/>
    <m/>
    <m/>
    <m/>
    <m/>
  </r>
  <r>
    <s v="000017293"/>
    <s v="Thomas LEFEBVRE"/>
    <x v="8"/>
    <x v="5"/>
    <s v="Non"/>
    <n v="13.5"/>
    <s v=""/>
    <n v="1"/>
    <n v="5.5"/>
    <n v="0"/>
    <e v="#REF!"/>
    <s v=""/>
    <s v=""/>
    <s v=""/>
    <n v="15"/>
    <n v="0"/>
    <n v="5"/>
    <n v="-1.5"/>
    <n v="1"/>
    <n v="0.5"/>
    <n v="0"/>
    <n v="0"/>
    <x v="2"/>
    <n v="0.5"/>
    <n v="0"/>
    <n v="-1.5"/>
    <m/>
    <m/>
    <m/>
    <m/>
    <m/>
  </r>
  <r>
    <s v="000020610"/>
    <s v="Thomas LUDGER"/>
    <x v="16"/>
    <x v="7"/>
    <s v="Non"/>
    <n v="19"/>
    <s v=""/>
    <n v="1"/>
    <n v="0"/>
    <n v="0"/>
    <e v="#REF!"/>
    <s v=""/>
    <s v=""/>
    <s v=""/>
    <n v="20"/>
    <n v="0"/>
    <n v="0"/>
    <n v="-1"/>
    <n v="1"/>
    <n v="0"/>
    <n v="0"/>
    <n v="0"/>
    <x v="2"/>
    <n v="0"/>
    <n v="0"/>
    <n v="-1"/>
    <m/>
    <m/>
    <m/>
    <m/>
    <m/>
  </r>
  <r>
    <s v="000013146"/>
    <s v="Thomas MARTINEAU"/>
    <x v="13"/>
    <x v="0"/>
    <s v="Non"/>
    <n v="14"/>
    <s v=""/>
    <n v="6"/>
    <n v="0"/>
    <n v="0"/>
    <e v="#REF!"/>
    <s v=""/>
    <s v=""/>
    <s v=""/>
    <n v="14"/>
    <n v="6"/>
    <n v="0"/>
    <n v="0"/>
    <n v="0"/>
    <n v="0"/>
    <n v="0"/>
    <n v="0"/>
    <x v="0"/>
    <n v="0"/>
    <n v="0"/>
    <n v="0"/>
    <m/>
    <m/>
    <m/>
    <m/>
    <m/>
  </r>
  <r>
    <s v="000015240"/>
    <s v="Thomas MEIER VERSCHAEVE"/>
    <x v="11"/>
    <x v="3"/>
    <s v="Non"/>
    <n v="9"/>
    <s v=""/>
    <n v="2"/>
    <n v="9"/>
    <n v="0"/>
    <e v="#REF!"/>
    <s v=""/>
    <s v=""/>
    <s v=""/>
    <n v="11"/>
    <n v="0"/>
    <n v="9"/>
    <n v="-2"/>
    <n v="2"/>
    <n v="0"/>
    <n v="0"/>
    <n v="0"/>
    <x v="2"/>
    <n v="0"/>
    <n v="0"/>
    <n v="-2"/>
    <m/>
    <m/>
    <m/>
    <m/>
    <m/>
  </r>
  <r>
    <s v="000021616"/>
    <s v="Thomas RIVOAL"/>
    <x v="2"/>
    <x v="2"/>
    <s v="Non"/>
    <n v="0"/>
    <s v=""/>
    <n v="17.5"/>
    <n v="2.5"/>
    <n v="0"/>
    <e v="#REF!"/>
    <s v=""/>
    <s v=""/>
    <s v=""/>
    <n v="0"/>
    <n v="17.5"/>
    <n v="2.5"/>
    <n v="0"/>
    <n v="0"/>
    <n v="0"/>
    <n v="0"/>
    <n v="0"/>
    <x v="0"/>
    <n v="0"/>
    <n v="0"/>
    <n v="0"/>
    <m/>
    <m/>
    <m/>
    <m/>
    <m/>
  </r>
  <r>
    <s v="000014890"/>
    <s v="Théo BEKHEDDA"/>
    <x v="48"/>
    <x v="0"/>
    <s v="Non"/>
    <n v="18"/>
    <s v=""/>
    <n v="0"/>
    <n v="2"/>
    <n v="0"/>
    <e v="#REF!"/>
    <s v=""/>
    <s v=""/>
    <s v=""/>
    <n v="18"/>
    <n v="0"/>
    <n v="2"/>
    <n v="0"/>
    <n v="0"/>
    <n v="0"/>
    <n v="0"/>
    <n v="0"/>
    <x v="1"/>
    <n v="0"/>
    <n v="0"/>
    <n v="0"/>
    <m/>
    <m/>
    <m/>
    <m/>
    <m/>
  </r>
  <r>
    <s v="000015201"/>
    <s v="Théo CUOQ"/>
    <x v="7"/>
    <x v="2"/>
    <s v="Non"/>
    <n v="11"/>
    <s v=""/>
    <n v="0"/>
    <n v="9"/>
    <n v="0"/>
    <e v="#REF!"/>
    <s v=""/>
    <s v=""/>
    <s v=""/>
    <n v="11"/>
    <n v="0"/>
    <n v="9"/>
    <n v="0"/>
    <n v="0"/>
    <n v="0"/>
    <n v="0"/>
    <n v="0"/>
    <x v="1"/>
    <n v="0"/>
    <n v="0"/>
    <n v="0"/>
    <m/>
    <m/>
    <m/>
    <m/>
    <m/>
  </r>
  <r>
    <s v="000021539"/>
    <s v="Théo JAOUDET"/>
    <x v="63"/>
    <x v="6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7866"/>
    <s v="Théo JOBBÉ-DUVAL"/>
    <x v="67"/>
    <x v="3"/>
    <s v="Non"/>
    <n v="2"/>
    <s v=""/>
    <n v="18"/>
    <n v="0"/>
    <n v="0"/>
    <e v="#REF!"/>
    <s v=""/>
    <s v=""/>
    <s v=""/>
    <n v="0"/>
    <n v="20"/>
    <n v="0"/>
    <n v="2"/>
    <n v="-2"/>
    <n v="0"/>
    <n v="0"/>
    <n v="0"/>
    <x v="0"/>
    <n v="0"/>
    <n v="0"/>
    <n v="2"/>
    <m/>
    <m/>
    <m/>
    <m/>
    <m/>
  </r>
  <r>
    <s v="000013057"/>
    <s v="Théo LINARD"/>
    <x v="11"/>
    <x v="3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09310"/>
    <s v="Théo ROCH"/>
    <x v="25"/>
    <x v="0"/>
    <s v="Oui"/>
    <n v="19"/>
    <s v=""/>
    <n v="1"/>
    <n v="0"/>
    <n v="0"/>
    <e v="#REF!"/>
    <s v=""/>
    <s v=""/>
    <s v=""/>
    <n v="19"/>
    <n v="1"/>
    <n v="0"/>
    <n v="0"/>
    <n v="0"/>
    <n v="0"/>
    <n v="0"/>
    <n v="0"/>
    <x v="0"/>
    <n v="0"/>
    <n v="0"/>
    <n v="0"/>
    <m/>
    <m/>
    <m/>
    <m/>
    <m/>
  </r>
  <r>
    <s v="000021947"/>
    <s v="Théo TRÉVALINET"/>
    <x v="89"/>
    <x v="3"/>
    <s v="Non"/>
    <n v="0"/>
    <s v=""/>
    <n v="9"/>
    <n v="0"/>
    <n v="11"/>
    <e v="#REF!"/>
    <s v=""/>
    <s v=""/>
    <s v=""/>
    <n v="0"/>
    <n v="9"/>
    <n v="0"/>
    <n v="0"/>
    <n v="0"/>
    <n v="0"/>
    <n v="0"/>
    <n v="0"/>
    <x v="0"/>
    <n v="0"/>
    <n v="0"/>
    <n v="0"/>
    <m/>
    <m/>
    <m/>
    <m/>
    <m/>
  </r>
  <r>
    <s v="000013393"/>
    <s v="Théophile PAHLAWAN"/>
    <x v="69"/>
    <x v="6"/>
    <s v="Oui"/>
    <n v="19"/>
    <s v=""/>
    <n v="1"/>
    <n v="0"/>
    <n v="0"/>
    <e v="#REF!"/>
    <s v=""/>
    <s v=""/>
    <s v=""/>
    <n v="18"/>
    <n v="2"/>
    <n v="0"/>
    <n v="1"/>
    <n v="-1"/>
    <n v="0"/>
    <n v="0"/>
    <n v="0"/>
    <x v="0"/>
    <n v="0"/>
    <n v="0"/>
    <n v="1"/>
    <m/>
    <m/>
    <m/>
    <m/>
    <m/>
  </r>
  <r>
    <s v="000008963"/>
    <s v="Timothée CARRICO"/>
    <x v="32"/>
    <x v="3"/>
    <s v="Oui"/>
    <n v="5.5"/>
    <s v=""/>
    <n v="14.5"/>
    <n v="0"/>
    <n v="0"/>
    <e v="#REF!"/>
    <s v=""/>
    <s v=""/>
    <s v=""/>
    <n v="5"/>
    <n v="15"/>
    <n v="0"/>
    <n v="0.5"/>
    <n v="-0.5"/>
    <n v="0"/>
    <n v="0"/>
    <n v="0"/>
    <x v="0"/>
    <n v="0"/>
    <n v="0"/>
    <n v="0.5"/>
    <m/>
    <m/>
    <m/>
    <m/>
    <m/>
  </r>
  <r>
    <s v="000017198"/>
    <s v="Tom DUPONT"/>
    <x v="67"/>
    <x v="3"/>
    <s v="Non"/>
    <n v="17"/>
    <s v=""/>
    <n v="3"/>
    <n v="0"/>
    <n v="0"/>
    <e v="#REF!"/>
    <s v=""/>
    <s v=""/>
    <s v=""/>
    <n v="10"/>
    <n v="10"/>
    <n v="0"/>
    <n v="7"/>
    <n v="-7"/>
    <n v="0"/>
    <n v="0"/>
    <n v="0"/>
    <x v="0"/>
    <n v="0"/>
    <n v="0"/>
    <n v="7"/>
    <m/>
    <m/>
    <m/>
    <m/>
    <m/>
  </r>
  <r>
    <s v="000022446"/>
    <s v="Tom SALON"/>
    <x v="62"/>
    <x v="3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0735"/>
    <s v="Tom WILTBERGER"/>
    <x v="27"/>
    <x v="4"/>
    <s v="Non"/>
    <n v="18"/>
    <s v=""/>
    <n v="0"/>
    <n v="2"/>
    <n v="0"/>
    <e v="#REF!"/>
    <s v=""/>
    <s v=""/>
    <s v=""/>
    <n v="10"/>
    <n v="6"/>
    <n v="4"/>
    <n v="8"/>
    <n v="-6"/>
    <n v="-2"/>
    <n v="0"/>
    <n v="0"/>
    <x v="1"/>
    <n v="0"/>
    <n v="0"/>
    <n v="8"/>
    <m/>
    <m/>
    <m/>
    <m/>
    <m/>
  </r>
  <r>
    <s v="000020775"/>
    <s v="Tristan DARRIGOL"/>
    <x v="70"/>
    <x v="1"/>
    <s v="Non"/>
    <n v="0"/>
    <s v=""/>
    <n v="19"/>
    <n v="1"/>
    <n v="0"/>
    <e v="#REF!"/>
    <s v=""/>
    <s v=""/>
    <s v=""/>
    <n v="12"/>
    <n v="6"/>
    <n v="2"/>
    <n v="-12"/>
    <n v="13"/>
    <n v="-1"/>
    <n v="0"/>
    <n v="0"/>
    <x v="3"/>
    <n v="0"/>
    <n v="11"/>
    <n v="-1"/>
    <m/>
    <m/>
    <m/>
    <m/>
    <m/>
  </r>
  <r>
    <s v="000012687"/>
    <s v="Téo TOUZÉ"/>
    <x v="26"/>
    <x v="3"/>
    <s v="Non"/>
    <n v="18"/>
    <s v=""/>
    <n v="0"/>
    <n v="2"/>
    <n v="0"/>
    <e v="#REF!"/>
    <s v=""/>
    <s v=""/>
    <s v=""/>
    <n v="19"/>
    <n v="0"/>
    <n v="1"/>
    <n v="-1"/>
    <n v="0"/>
    <n v="1"/>
    <n v="0"/>
    <n v="0"/>
    <x v="1"/>
    <n v="1"/>
    <n v="0"/>
    <n v="-1"/>
    <m/>
    <m/>
    <m/>
    <m/>
    <m/>
  </r>
  <r>
    <s v="000017451"/>
    <s v="Valentin CHANAL"/>
    <x v="91"/>
    <x v="1"/>
    <s v="Non"/>
    <n v="10"/>
    <s v=""/>
    <n v="10"/>
    <n v="0"/>
    <n v="0"/>
    <e v="#REF!"/>
    <s v=""/>
    <s v=""/>
    <s v=""/>
    <n v="10"/>
    <n v="10"/>
    <n v="0"/>
    <n v="0"/>
    <n v="0"/>
    <n v="0"/>
    <n v="0"/>
    <n v="0"/>
    <x v="0"/>
    <n v="0"/>
    <n v="0"/>
    <n v="0"/>
    <m/>
    <m/>
    <m/>
    <m/>
    <m/>
  </r>
  <r>
    <s v="000011191"/>
    <s v="Valentin DAVAUDET"/>
    <x v="29"/>
    <x v="5"/>
    <s v="Oui"/>
    <n v="19"/>
    <s v=""/>
    <n v="1"/>
    <n v="0"/>
    <n v="0"/>
    <e v="#REF!"/>
    <s v=""/>
    <s v=""/>
    <s v=""/>
    <n v="19"/>
    <n v="1"/>
    <n v="0"/>
    <n v="0"/>
    <n v="0"/>
    <n v="0"/>
    <n v="0"/>
    <n v="0"/>
    <x v="0"/>
    <n v="0"/>
    <n v="0"/>
    <n v="0"/>
    <m/>
    <m/>
    <m/>
    <m/>
    <m/>
  </r>
  <r>
    <s v="000017569"/>
    <s v="Valentina DIAZ-GRANADOS ORJUELA"/>
    <x v="76"/>
    <x v="6"/>
    <s v="Non"/>
    <n v="20"/>
    <s v=""/>
    <n v="0"/>
    <n v="0"/>
    <n v="0"/>
    <e v="#REF!"/>
    <s v=""/>
    <s v=""/>
    <s v=""/>
    <n v="19"/>
    <n v="1"/>
    <n v="0"/>
    <n v="1"/>
    <n v="-1"/>
    <n v="0"/>
    <n v="0"/>
    <n v="0"/>
    <x v="1"/>
    <n v="0"/>
    <n v="0"/>
    <n v="1"/>
    <m/>
    <m/>
    <m/>
    <m/>
    <m/>
  </r>
  <r>
    <s v="000020423"/>
    <s v="Valentine LAGARDE"/>
    <x v="12"/>
    <x v="6"/>
    <s v="Non"/>
    <n v="0"/>
    <s v=""/>
    <n v="19"/>
    <n v="1"/>
    <n v="0"/>
    <e v="#REF!"/>
    <s v=""/>
    <s v=""/>
    <s v=""/>
    <n v="0"/>
    <n v="19"/>
    <n v="1"/>
    <n v="0"/>
    <n v="0"/>
    <n v="0"/>
    <n v="0"/>
    <n v="0"/>
    <x v="0"/>
    <n v="0"/>
    <n v="0"/>
    <n v="0"/>
    <m/>
    <m/>
    <m/>
    <m/>
    <m/>
  </r>
  <r>
    <s v="000002654"/>
    <s v="Valérie WITTORSKI"/>
    <x v="80"/>
    <x v="0"/>
    <s v="Oui"/>
    <n v="18"/>
    <s v=""/>
    <n v="2"/>
    <n v="0"/>
    <n v="0"/>
    <e v="#REF!"/>
    <s v=""/>
    <s v=""/>
    <s v=""/>
    <n v="17"/>
    <n v="3"/>
    <n v="0"/>
    <n v="1"/>
    <n v="-1"/>
    <n v="0"/>
    <n v="0"/>
    <n v="0"/>
    <x v="0"/>
    <n v="0"/>
    <n v="0"/>
    <n v="1"/>
    <m/>
    <m/>
    <m/>
    <m/>
    <m/>
  </r>
  <r>
    <s v="000002559"/>
    <s v="Vianney TUARZE"/>
    <x v="66"/>
    <x v="5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297"/>
    <s v="Victoire MALINOVSKY"/>
    <x v="43"/>
    <x v="0"/>
    <s v="Oui"/>
    <n v="19.5"/>
    <s v=""/>
    <n v="0.5"/>
    <n v="0"/>
    <n v="0"/>
    <e v="#REF!"/>
    <s v=""/>
    <s v=""/>
    <s v=""/>
    <n v="19.5"/>
    <n v="0.5"/>
    <n v="0"/>
    <n v="0"/>
    <n v="0"/>
    <n v="0"/>
    <n v="0"/>
    <n v="0"/>
    <x v="0"/>
    <n v="0"/>
    <n v="0"/>
    <n v="0"/>
    <m/>
    <m/>
    <m/>
    <m/>
    <m/>
  </r>
  <r>
    <s v="000009028"/>
    <s v="Victor BUCAILLE"/>
    <x v="73"/>
    <x v="4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843"/>
    <s v="Victor CLOUD"/>
    <x v="6"/>
    <x v="1"/>
    <s v="Non"/>
    <n v="0"/>
    <s v=""/>
    <n v="19"/>
    <n v="1"/>
    <n v="0"/>
    <e v="#REF!"/>
    <s v=""/>
    <s v=""/>
    <s v=""/>
    <n v="20"/>
    <n v="0"/>
    <n v="0"/>
    <n v="-20"/>
    <n v="19"/>
    <n v="1"/>
    <n v="0"/>
    <n v="0"/>
    <x v="2"/>
    <n v="1"/>
    <n v="0"/>
    <n v="-20"/>
    <m/>
    <m/>
    <m/>
    <m/>
    <m/>
  </r>
  <r>
    <s v="000015321"/>
    <s v="Victor LAMBART"/>
    <x v="29"/>
    <x v="5"/>
    <s v="Non"/>
    <n v="18.5"/>
    <s v=""/>
    <n v="0"/>
    <n v="1.5"/>
    <n v="0"/>
    <e v="#REF!"/>
    <s v=""/>
    <s v=""/>
    <s v=""/>
    <n v="18.5"/>
    <n v="0"/>
    <n v="1.5"/>
    <n v="0"/>
    <n v="0"/>
    <n v="0"/>
    <n v="0"/>
    <n v="0"/>
    <x v="1"/>
    <n v="0"/>
    <n v="0"/>
    <n v="0"/>
    <m/>
    <m/>
    <m/>
    <m/>
    <m/>
  </r>
  <r>
    <s v="000016159"/>
    <s v="Victor LEBIEZ"/>
    <x v="10"/>
    <x v="4"/>
    <s v="Non"/>
    <n v="11.5"/>
    <s v=""/>
    <n v="8.5"/>
    <n v="0"/>
    <n v="0"/>
    <e v="#REF!"/>
    <s v=""/>
    <s v=""/>
    <s v=""/>
    <n v="10"/>
    <n v="10"/>
    <n v="0"/>
    <n v="1.5"/>
    <n v="-1.5"/>
    <n v="0"/>
    <n v="0"/>
    <n v="0"/>
    <x v="0"/>
    <n v="0"/>
    <n v="0"/>
    <n v="1.5"/>
    <m/>
    <m/>
    <m/>
    <m/>
    <m/>
  </r>
  <r>
    <s v="000021893"/>
    <s v="Victor RIOS"/>
    <x v="18"/>
    <x v="6"/>
    <s v="Non"/>
    <n v="0"/>
    <s v=""/>
    <n v="20"/>
    <n v="0"/>
    <n v="0"/>
    <e v="#REF!"/>
    <s v=""/>
    <s v=""/>
    <s v=""/>
    <n v="6"/>
    <n v="14"/>
    <n v="0"/>
    <n v="-6"/>
    <n v="6"/>
    <n v="0"/>
    <n v="0"/>
    <n v="0"/>
    <x v="3"/>
    <n v="0"/>
    <n v="1"/>
    <n v="-5"/>
    <m/>
    <m/>
    <m/>
    <m/>
    <m/>
  </r>
  <r>
    <s v="000022397"/>
    <s v="Victor SULLY"/>
    <x v="5"/>
    <x v="4"/>
    <s v="Non"/>
    <n v="0"/>
    <s v=""/>
    <n v="20"/>
    <n v="0"/>
    <n v="0"/>
    <e v="#REF!"/>
    <s v=""/>
    <s v=""/>
    <s v=""/>
    <n v="20"/>
    <n v="0"/>
    <n v="0"/>
    <n v="-20"/>
    <n v="20"/>
    <n v="0"/>
    <n v="0"/>
    <n v="0"/>
    <x v="2"/>
    <n v="0"/>
    <n v="0"/>
    <n v="-20"/>
    <m/>
    <m/>
    <m/>
    <m/>
    <m/>
  </r>
  <r>
    <s v="000021000"/>
    <s v="Vincent GOULART"/>
    <x v="14"/>
    <x v="7"/>
    <s v="Non"/>
    <n v="12.5"/>
    <s v=""/>
    <n v="7.5"/>
    <n v="0"/>
    <n v="0"/>
    <e v="#REF!"/>
    <s v=""/>
    <s v=""/>
    <s v=""/>
    <n v="11"/>
    <n v="7"/>
    <n v="2"/>
    <n v="1.5"/>
    <n v="0.5"/>
    <n v="-2"/>
    <n v="0"/>
    <n v="0"/>
    <x v="2"/>
    <n v="0"/>
    <n v="0"/>
    <n v="1.5"/>
    <m/>
    <m/>
    <m/>
    <m/>
    <m/>
  </r>
  <r>
    <s v="000022330"/>
    <s v="Violette PELGRIMS SEVRAIN"/>
    <x v="60"/>
    <x v="2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2022"/>
    <s v="Virgil NAUDET"/>
    <x v="11"/>
    <x v="3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21027"/>
    <s v="Virginie DEVAMBE"/>
    <x v="81"/>
    <x v="4"/>
    <s v="Non"/>
    <n v="19.5"/>
    <s v=""/>
    <n v="0.5"/>
    <n v="0"/>
    <n v="0"/>
    <e v="#REF!"/>
    <s v=""/>
    <s v=""/>
    <s v=""/>
    <n v="20"/>
    <n v="0"/>
    <n v="0"/>
    <n v="-0.5"/>
    <n v="0.5"/>
    <n v="0"/>
    <n v="0"/>
    <n v="0"/>
    <x v="2"/>
    <n v="0"/>
    <n v="0"/>
    <n v="-0.5"/>
    <m/>
    <m/>
    <m/>
    <m/>
    <m/>
  </r>
  <r>
    <s v="000010982"/>
    <s v="Vérane CHOAIN"/>
    <x v="17"/>
    <x v="7"/>
    <s v="Oui"/>
    <n v="9"/>
    <s v=""/>
    <n v="3"/>
    <n v="8"/>
    <n v="0"/>
    <e v="#REF!"/>
    <s v=""/>
    <s v=""/>
    <s v=""/>
    <n v="9"/>
    <n v="3"/>
    <n v="8"/>
    <n v="0"/>
    <n v="0"/>
    <n v="0"/>
    <n v="0"/>
    <n v="0"/>
    <x v="0"/>
    <n v="0"/>
    <n v="0"/>
    <n v="0"/>
    <m/>
    <m/>
    <m/>
    <m/>
    <m/>
  </r>
  <r>
    <s v="000021135"/>
    <s v="Walid DAHMANI"/>
    <x v="2"/>
    <x v="2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593"/>
    <s v="Walid LAAZIRI"/>
    <x v="10"/>
    <x v="4"/>
    <s v="Non"/>
    <n v="19"/>
    <s v=""/>
    <n v="0.5"/>
    <n v="0.5"/>
    <n v="0"/>
    <e v="#REF!"/>
    <s v=""/>
    <s v=""/>
    <s v=""/>
    <n v="20"/>
    <n v="0"/>
    <n v="0"/>
    <n v="-1"/>
    <n v="0.5"/>
    <n v="0.5"/>
    <n v="0"/>
    <n v="0"/>
    <x v="2"/>
    <n v="0.5"/>
    <n v="0"/>
    <n v="-1"/>
    <m/>
    <m/>
    <m/>
    <m/>
    <m/>
  </r>
  <r>
    <s v="000020704"/>
    <s v="Wiam BENABDERRAZAK"/>
    <x v="84"/>
    <x v="2"/>
    <s v="Non"/>
    <n v="0"/>
    <s v=""/>
    <n v="15"/>
    <n v="5"/>
    <n v="0"/>
    <e v="#REF!"/>
    <s v=""/>
    <s v=""/>
    <s v=""/>
    <n v="0"/>
    <n v="15"/>
    <n v="5"/>
    <n v="0"/>
    <n v="0"/>
    <n v="0"/>
    <n v="0"/>
    <n v="0"/>
    <x v="0"/>
    <n v="0"/>
    <n v="0"/>
    <n v="0"/>
    <m/>
    <m/>
    <m/>
    <m/>
    <m/>
  </r>
  <r>
    <s v="000014909"/>
    <s v="William BALASTRE"/>
    <x v="13"/>
    <x v="0"/>
    <s v="Non"/>
    <n v="19.5"/>
    <s v=""/>
    <n v="0"/>
    <n v="0.5"/>
    <n v="0"/>
    <e v="#REF!"/>
    <s v=""/>
    <s v=""/>
    <s v=""/>
    <n v="19.5"/>
    <n v="0"/>
    <n v="0.5"/>
    <n v="0"/>
    <n v="0"/>
    <n v="0"/>
    <n v="0"/>
    <n v="0"/>
    <x v="1"/>
    <n v="0"/>
    <n v="0"/>
    <n v="0"/>
    <m/>
    <m/>
    <m/>
    <m/>
    <m/>
  </r>
  <r>
    <s v="000008430"/>
    <s v="Willy TAN"/>
    <x v="32"/>
    <x v="3"/>
    <s v="Oui"/>
    <n v="16"/>
    <s v=""/>
    <n v="3"/>
    <n v="1"/>
    <n v="0"/>
    <e v="#REF!"/>
    <s v=""/>
    <s v=""/>
    <s v=""/>
    <n v="16"/>
    <n v="4"/>
    <n v="0"/>
    <n v="0"/>
    <n v="-1"/>
    <n v="1"/>
    <n v="0"/>
    <n v="0"/>
    <x v="2"/>
    <n v="0"/>
    <n v="0"/>
    <n v="0"/>
    <m/>
    <m/>
    <m/>
    <m/>
    <m/>
  </r>
  <r>
    <s v="000021653"/>
    <s v="Yann RENAUD"/>
    <x v="83"/>
    <x v="3"/>
    <s v="Non"/>
    <n v="11"/>
    <s v=""/>
    <n v="9"/>
    <n v="0"/>
    <n v="0"/>
    <e v="#REF!"/>
    <s v=""/>
    <s v=""/>
    <s v=""/>
    <n v="11"/>
    <n v="9"/>
    <n v="0"/>
    <n v="0"/>
    <n v="0"/>
    <n v="0"/>
    <n v="0"/>
    <n v="0"/>
    <x v="0"/>
    <n v="0"/>
    <n v="0"/>
    <n v="0"/>
    <m/>
    <m/>
    <m/>
    <m/>
    <m/>
  </r>
  <r>
    <s v="000000142"/>
    <s v="Yannick TAUPIAC"/>
    <x v="66"/>
    <x v="5"/>
    <s v="Oui"/>
    <n v="3"/>
    <s v=""/>
    <n v="17"/>
    <n v="0"/>
    <n v="0"/>
    <e v="#REF!"/>
    <s v=""/>
    <s v=""/>
    <s v=""/>
    <n v="3"/>
    <n v="17"/>
    <n v="0"/>
    <n v="0"/>
    <n v="0"/>
    <n v="0"/>
    <n v="0"/>
    <n v="0"/>
    <x v="0"/>
    <n v="0"/>
    <n v="0"/>
    <n v="0"/>
    <m/>
    <m/>
    <m/>
    <m/>
    <m/>
  </r>
  <r>
    <s v="000022013"/>
    <s v="Yannis TOUAHRI"/>
    <x v="83"/>
    <x v="3"/>
    <s v="Non"/>
    <n v="16"/>
    <s v=""/>
    <n v="4"/>
    <n v="0"/>
    <n v="0"/>
    <e v="#REF!"/>
    <s v=""/>
    <s v=""/>
    <s v=""/>
    <n v="20"/>
    <n v="0"/>
    <n v="0"/>
    <n v="-4"/>
    <n v="4"/>
    <n v="0"/>
    <n v="0"/>
    <n v="0"/>
    <x v="2"/>
    <n v="0"/>
    <n v="0"/>
    <n v="-4"/>
    <m/>
    <m/>
    <m/>
    <m/>
    <m/>
  </r>
  <r>
    <s v="000020507"/>
    <s v="Yasmine BELHADJ SALAH"/>
    <x v="91"/>
    <x v="1"/>
    <s v="Non"/>
    <n v="7"/>
    <s v=""/>
    <n v="8"/>
    <n v="5"/>
    <n v="0"/>
    <e v="#REF!"/>
    <s v=""/>
    <s v=""/>
    <s v=""/>
    <n v="7"/>
    <n v="8"/>
    <n v="5"/>
    <n v="0"/>
    <n v="0"/>
    <n v="0"/>
    <n v="0"/>
    <n v="0"/>
    <x v="0"/>
    <n v="0"/>
    <n v="0"/>
    <n v="0"/>
    <m/>
    <m/>
    <m/>
    <m/>
    <m/>
  </r>
  <r>
    <s v="000017899"/>
    <s v="Yasmine DRIDI"/>
    <x v="64"/>
    <x v="1"/>
    <s v="Non"/>
    <n v="20"/>
    <s v=""/>
    <n v="0"/>
    <n v="0"/>
    <n v="0"/>
    <e v="#REF!"/>
    <s v=""/>
    <s v=""/>
    <s v=""/>
    <n v="20"/>
    <n v="0"/>
    <n v="0"/>
    <n v="0"/>
    <n v="0"/>
    <n v="0"/>
    <n v="0"/>
    <n v="0"/>
    <x v="1"/>
    <n v="0"/>
    <n v="0"/>
    <n v="0"/>
    <m/>
    <m/>
    <m/>
    <m/>
    <m/>
  </r>
  <r>
    <s v="000014352"/>
    <s v="Yasmine SANHAJI"/>
    <x v="30"/>
    <x v="7"/>
    <s v="Non"/>
    <n v="15.5"/>
    <s v=""/>
    <n v="4"/>
    <n v="0.5"/>
    <n v="0"/>
    <e v="#REF!"/>
    <s v=""/>
    <s v=""/>
    <s v=""/>
    <n v="19.5"/>
    <n v="0"/>
    <n v="0.5"/>
    <n v="-4"/>
    <n v="4"/>
    <n v="0"/>
    <n v="0"/>
    <n v="0"/>
    <x v="2"/>
    <n v="0"/>
    <n v="0"/>
    <n v="-4"/>
    <m/>
    <m/>
    <m/>
    <m/>
    <m/>
  </r>
  <r>
    <s v="000011579"/>
    <s v="Yassine BOUSSAID"/>
    <x v="17"/>
    <x v="7"/>
    <s v="Non"/>
    <n v="12"/>
    <s v=""/>
    <n v="0"/>
    <n v="0"/>
    <n v="8"/>
    <e v="#REF!"/>
    <s v=""/>
    <s v=""/>
    <s v=""/>
    <n v="12"/>
    <n v="0"/>
    <n v="0"/>
    <n v="0"/>
    <n v="0"/>
    <n v="0"/>
    <n v="0"/>
    <n v="0"/>
    <x v="1"/>
    <n v="0"/>
    <n v="0"/>
    <n v="0"/>
    <m/>
    <m/>
    <m/>
    <m/>
    <m/>
  </r>
  <r>
    <s v="000015407"/>
    <s v="Yoann BELLAICHE"/>
    <x v="38"/>
    <x v="3"/>
    <s v="Non"/>
    <n v="0"/>
    <s v=""/>
    <n v="18"/>
    <n v="2"/>
    <n v="0"/>
    <e v="#REF!"/>
    <s v=""/>
    <s v=""/>
    <s v=""/>
    <n v="0"/>
    <n v="19"/>
    <n v="1"/>
    <n v="0"/>
    <n v="-1"/>
    <n v="1"/>
    <n v="0"/>
    <n v="0"/>
    <x v="2"/>
    <n v="0"/>
    <n v="0"/>
    <n v="0"/>
    <m/>
    <m/>
    <m/>
    <m/>
    <m/>
  </r>
  <r>
    <s v="000017222"/>
    <s v="Yohan JUNGER"/>
    <x v="67"/>
    <x v="3"/>
    <s v="Non"/>
    <n v="18"/>
    <s v=""/>
    <n v="2"/>
    <n v="0"/>
    <n v="0"/>
    <e v="#REF!"/>
    <s v=""/>
    <s v=""/>
    <s v=""/>
    <n v="20"/>
    <n v="0"/>
    <n v="0"/>
    <n v="-2"/>
    <n v="2"/>
    <n v="0"/>
    <n v="0"/>
    <n v="0"/>
    <x v="2"/>
    <n v="0"/>
    <n v="0"/>
    <n v="-2"/>
    <m/>
    <m/>
    <m/>
    <m/>
    <m/>
  </r>
  <r>
    <s v="000012100"/>
    <s v="Yosr ABIDA"/>
    <x v="81"/>
    <x v="4"/>
    <s v="Oui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m/>
    <m/>
  </r>
  <r>
    <s v="000017786"/>
    <s v="Youssef BEN ABDELGHENI"/>
    <x v="68"/>
    <x v="2"/>
    <s v="Non"/>
    <n v="0"/>
    <s v=""/>
    <n v="20"/>
    <n v="0"/>
    <n v="0"/>
    <e v="#REF!"/>
    <s v=""/>
    <s v=""/>
    <s v=""/>
    <n v="0"/>
    <n v="16"/>
    <n v="4"/>
    <n v="0"/>
    <n v="4"/>
    <n v="-4"/>
    <n v="0"/>
    <n v="0"/>
    <x v="2"/>
    <n v="0"/>
    <n v="0"/>
    <n v="0"/>
    <m/>
    <m/>
    <m/>
    <m/>
    <m/>
  </r>
  <r>
    <s v="000016995"/>
    <s v="Youssef HILMI"/>
    <x v="76"/>
    <x v="6"/>
    <s v="Non"/>
    <n v="0"/>
    <s v=""/>
    <n v="19"/>
    <n v="1"/>
    <n v="0"/>
    <e v="#REF!"/>
    <s v=""/>
    <s v=""/>
    <s v=""/>
    <n v="0"/>
    <n v="19"/>
    <n v="1"/>
    <n v="0"/>
    <n v="0"/>
    <n v="0"/>
    <n v="0"/>
    <n v="0"/>
    <x v="0"/>
    <n v="0"/>
    <n v="0"/>
    <n v="0"/>
    <m/>
    <m/>
    <m/>
    <m/>
    <m/>
  </r>
  <r>
    <s v="000017686"/>
    <s v="Youssef MOUSSAID"/>
    <x v="42"/>
    <x v="5"/>
    <s v="Non"/>
    <n v="12"/>
    <s v=""/>
    <n v="8"/>
    <n v="0"/>
    <n v="0"/>
    <e v="#REF!"/>
    <s v=""/>
    <s v=""/>
    <s v=""/>
    <n v="14"/>
    <n v="6"/>
    <n v="0"/>
    <n v="-2"/>
    <n v="2"/>
    <n v="0"/>
    <n v="0"/>
    <n v="0"/>
    <x v="2"/>
    <n v="0"/>
    <n v="0"/>
    <n v="-2"/>
    <m/>
    <m/>
    <m/>
    <m/>
    <m/>
  </r>
  <r>
    <s v="000013242"/>
    <s v="Youssef ZMAROU"/>
    <x v="40"/>
    <x v="4"/>
    <s v="Non"/>
    <n v="17"/>
    <s v=""/>
    <n v="0"/>
    <n v="3"/>
    <n v="0"/>
    <e v="#REF!"/>
    <s v=""/>
    <s v=""/>
    <s v=""/>
    <n v="17"/>
    <n v="0"/>
    <n v="3"/>
    <n v="0"/>
    <n v="0"/>
    <n v="0"/>
    <n v="0"/>
    <n v="0"/>
    <x v="1"/>
    <n v="0"/>
    <n v="0"/>
    <n v="0"/>
    <m/>
    <m/>
    <m/>
    <m/>
    <m/>
  </r>
  <r>
    <s v="000020788"/>
    <s v="Yoël POPOVIC"/>
    <x v="99"/>
    <x v="6"/>
    <s v="Non"/>
    <n v="0"/>
    <s v=""/>
    <n v="16"/>
    <n v="4"/>
    <n v="0"/>
    <e v="#REF!"/>
    <s v=""/>
    <s v=""/>
    <s v=""/>
    <n v="0"/>
    <n v="16"/>
    <n v="4"/>
    <n v="0"/>
    <n v="0"/>
    <n v="0"/>
    <n v="0"/>
    <n v="0"/>
    <x v="0"/>
    <n v="0"/>
    <n v="0"/>
    <n v="0"/>
    <m/>
    <m/>
    <m/>
    <m/>
    <m/>
  </r>
  <r>
    <s v="000003799"/>
    <s v="Yuri HOFTE"/>
    <x v="80"/>
    <x v="0"/>
    <s v="Oui"/>
    <n v="11"/>
    <s v=""/>
    <n v="7"/>
    <n v="2"/>
    <n v="0"/>
    <e v="#REF!"/>
    <s v=""/>
    <s v=""/>
    <s v=""/>
    <n v="10"/>
    <n v="8"/>
    <n v="2"/>
    <n v="1"/>
    <n v="-1"/>
    <n v="0"/>
    <n v="0"/>
    <n v="0"/>
    <x v="0"/>
    <n v="0"/>
    <n v="0"/>
    <n v="1"/>
    <m/>
    <m/>
    <m/>
    <m/>
    <m/>
  </r>
  <r>
    <s v="000003962"/>
    <s v="Yves REMBERT"/>
    <x v="14"/>
    <x v="7"/>
    <s v="Oui"/>
    <n v="12.5"/>
    <s v=""/>
    <n v="7.5"/>
    <n v="0"/>
    <n v="0"/>
    <e v="#REF!"/>
    <s v=""/>
    <s v=""/>
    <s v=""/>
    <n v="4"/>
    <n v="16"/>
    <n v="0"/>
    <n v="8.5"/>
    <n v="-8.5"/>
    <n v="0"/>
    <n v="0"/>
    <n v="0"/>
    <x v="0"/>
    <n v="0"/>
    <n v="0"/>
    <n v="8.5"/>
    <m/>
    <m/>
    <m/>
    <m/>
    <m/>
  </r>
  <r>
    <s v="000014627"/>
    <s v="Zaineb HARRIZI"/>
    <x v="51"/>
    <x v="0"/>
    <s v="Non"/>
    <n v="10"/>
    <s v=""/>
    <n v="10"/>
    <n v="0"/>
    <n v="0"/>
    <e v="#REF!"/>
    <s v=""/>
    <s v=""/>
    <s v=""/>
    <n v="8"/>
    <n v="12"/>
    <n v="0"/>
    <n v="2"/>
    <n v="-2"/>
    <n v="0"/>
    <n v="0"/>
    <n v="0"/>
    <x v="0"/>
    <n v="0"/>
    <n v="0"/>
    <n v="2"/>
    <m/>
    <m/>
    <m/>
    <m/>
    <m/>
  </r>
  <r>
    <s v="000022058"/>
    <s v="Zakaria EL MOUJOUD"/>
    <x v="94"/>
    <x v="2"/>
    <s v="Non"/>
    <n v="16"/>
    <s v=""/>
    <n v="4"/>
    <n v="0"/>
    <n v="0"/>
    <e v="#REF!"/>
    <s v=""/>
    <s v=""/>
    <s v=""/>
    <n v="16"/>
    <n v="4"/>
    <n v="0"/>
    <n v="0"/>
    <n v="0"/>
    <n v="0"/>
    <n v="0"/>
    <n v="0"/>
    <x v="0"/>
    <n v="0"/>
    <n v="0"/>
    <n v="0"/>
    <m/>
    <m/>
    <m/>
    <m/>
    <m/>
  </r>
  <r>
    <s v="000017502"/>
    <s v="Zakaria NATIJI"/>
    <x v="4"/>
    <x v="3"/>
    <s v="Non"/>
    <n v="0"/>
    <s v=""/>
    <n v="20"/>
    <n v="0"/>
    <n v="0"/>
    <e v="#REF!"/>
    <s v=""/>
    <s v=""/>
    <s v=""/>
    <n v="0"/>
    <n v="20"/>
    <n v="0"/>
    <n v="0"/>
    <n v="0"/>
    <n v="0"/>
    <n v="0"/>
    <n v="0"/>
    <x v="0"/>
    <n v="0"/>
    <n v="0"/>
    <n v="0"/>
    <m/>
    <m/>
    <m/>
    <m/>
    <m/>
  </r>
  <r>
    <s v="000017879"/>
    <s v="Zakaria TOUM BENCHEKROUN"/>
    <x v="65"/>
    <x v="4"/>
    <s v="Non"/>
    <n v="6.5"/>
    <s v=""/>
    <n v="4.5"/>
    <n v="9"/>
    <n v="0"/>
    <e v="#REF!"/>
    <s v=""/>
    <s v=""/>
    <s v=""/>
    <n v="8.5"/>
    <n v="2.5"/>
    <n v="9"/>
    <n v="-2"/>
    <n v="2"/>
    <n v="0"/>
    <n v="0"/>
    <n v="0"/>
    <x v="2"/>
    <n v="0"/>
    <n v="0"/>
    <n v="-2"/>
    <m/>
    <m/>
    <m/>
    <m/>
    <m/>
  </r>
  <r>
    <s v="000021985"/>
    <s v="Zine Eddine LAARFI"/>
    <x v="2"/>
    <x v="2"/>
    <s v="Non"/>
    <n v="0"/>
    <s v=""/>
    <n v="20"/>
    <n v="0"/>
    <n v="0"/>
    <e v="#REF!"/>
    <s v=""/>
    <s v=""/>
    <s v=""/>
    <n v="15"/>
    <n v="3"/>
    <n v="2"/>
    <n v="-15"/>
    <n v="17"/>
    <n v="-2"/>
    <n v="0"/>
    <n v="0"/>
    <x v="2"/>
    <n v="0"/>
    <n v="0"/>
    <n v="-15"/>
    <m/>
    <m/>
    <m/>
    <m/>
    <m/>
  </r>
  <r>
    <s v="000012169"/>
    <s v="Zineb MEZGUELDI"/>
    <x v="69"/>
    <x v="6"/>
    <s v="Oui"/>
    <n v="13.5"/>
    <s v=""/>
    <n v="0"/>
    <n v="6.5"/>
    <n v="0"/>
    <e v="#REF!"/>
    <s v=""/>
    <s v=""/>
    <s v=""/>
    <n v="13.5"/>
    <n v="0"/>
    <n v="6.5"/>
    <n v="0"/>
    <n v="0"/>
    <n v="0"/>
    <n v="0"/>
    <n v="0"/>
    <x v="1"/>
    <n v="0"/>
    <n v="0"/>
    <n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9755C-DC27-44B8-B444-F579397FEF0C}" name="Tableau croisé dynamique2" cacheId="119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B13" firstHeaderRow="1" firstDataRow="1" firstDataCol="1" rowPageCount="1" colPageCount="1"/>
  <pivotFields count="31">
    <pivotField showAll="0"/>
    <pivotField showAll="0"/>
    <pivotField axis="axisRow" showAll="0" sortType="ascending">
      <items count="115">
        <item x="53"/>
        <item x="84"/>
        <item x="62"/>
        <item x="23"/>
        <item x="55"/>
        <item x="16"/>
        <item x="49"/>
        <item x="70"/>
        <item x="48"/>
        <item x="12"/>
        <item x="46"/>
        <item m="1" x="101"/>
        <item x="82"/>
        <item m="1" x="107"/>
        <item x="81"/>
        <item x="31"/>
        <item x="89"/>
        <item x="34"/>
        <item x="60"/>
        <item x="73"/>
        <item x="50"/>
        <item x="72"/>
        <item x="74"/>
        <item x="42"/>
        <item x="61"/>
        <item m="1" x="105"/>
        <item m="1" x="104"/>
        <item x="66"/>
        <item x="14"/>
        <item x="17"/>
        <item x="40"/>
        <item x="38"/>
        <item x="39"/>
        <item x="100"/>
        <item x="4"/>
        <item x="71"/>
        <item x="36"/>
        <item x="19"/>
        <item x="20"/>
        <item x="83"/>
        <item x="69"/>
        <item x="15"/>
        <item x="33"/>
        <item x="5"/>
        <item x="13"/>
        <item x="22"/>
        <item x="27"/>
        <item x="10"/>
        <item x="94"/>
        <item m="1" x="112"/>
        <item x="3"/>
        <item x="78"/>
        <item x="98"/>
        <item x="75"/>
        <item x="28"/>
        <item x="11"/>
        <item x="64"/>
        <item m="1" x="103"/>
        <item x="6"/>
        <item x="18"/>
        <item m="1" x="106"/>
        <item x="67"/>
        <item x="85"/>
        <item x="9"/>
        <item x="45"/>
        <item x="2"/>
        <item m="1" x="113"/>
        <item x="1"/>
        <item x="68"/>
        <item x="7"/>
        <item m="1" x="110"/>
        <item m="1" x="109"/>
        <item x="29"/>
        <item x="76"/>
        <item x="24"/>
        <item x="77"/>
        <item x="59"/>
        <item x="91"/>
        <item x="57"/>
        <item x="21"/>
        <item x="51"/>
        <item x="86"/>
        <item x="43"/>
        <item x="8"/>
        <item x="30"/>
        <item x="0"/>
        <item x="52"/>
        <item x="44"/>
        <item x="37"/>
        <item x="54"/>
        <item x="35"/>
        <item x="26"/>
        <item x="80"/>
        <item x="65"/>
        <item x="32"/>
        <item x="25"/>
        <item x="63"/>
        <item x="87"/>
        <item m="1" x="111"/>
        <item m="1" x="108"/>
        <item x="41"/>
        <item x="93"/>
        <item x="47"/>
        <item x="96"/>
        <item x="97"/>
        <item x="99"/>
        <item x="79"/>
        <item x="92"/>
        <item x="88"/>
        <item x="95"/>
        <item m="1" x="102"/>
        <item x="56"/>
        <item x="58"/>
        <item x="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0">
        <item sd="0" x="8"/>
        <item sd="0" x="5"/>
        <item sd="0" x="0"/>
        <item sd="0" x="1"/>
        <item sd="0" x="4"/>
        <item sd="0" x="7"/>
        <item sd="0" x="3"/>
        <item sd="0" x="6"/>
        <item sd="0" x="2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2">
        <item m="1" x="9"/>
        <item m="1" x="6"/>
        <item x="2"/>
        <item x="3"/>
        <item x="4"/>
        <item m="1" x="10"/>
        <item x="1"/>
        <item x="0"/>
        <item m="1" x="8"/>
        <item m="1" x="7"/>
        <item h="1" m="1" x="5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2">
    <field x="3"/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22" hier="-1"/>
  </pageFields>
  <dataFields count="1">
    <dataField name="Somme de Delta prod days avec intention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F4A22B-74F0-4845-A7E3-64D00B004B13}" name="Tableau croisé dynamique1" cacheId="119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A4" firstHeaderRow="1" firstDataRow="1" firstDataCol="0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8"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omme de Delta prod days avec intention" fld="25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2DC324-4056-4026-96A1-A6A70AB32D83}" name="Tableau croisé dynamique8" cacheId="119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multipleFieldFilters="0" chartFormat="11">
  <location ref="A22:B24" firstHeaderRow="1" firstDataRow="2" firstDataCol="1" rowPageCount="1" colPageCount="1"/>
  <pivotFields count="31">
    <pivotField showAll="0"/>
    <pivotField showAll="0"/>
    <pivotField showAll="0"/>
    <pivotField axis="axisCol" showAll="0">
      <items count="10">
        <item x="8"/>
        <item x="3"/>
        <item x="1"/>
        <item x="4"/>
        <item x="7"/>
        <item x="5"/>
        <item x="2"/>
        <item x="0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3"/>
        <item h="1" x="4"/>
        <item h="1" x="1"/>
        <item h="1" x="0"/>
        <item t="default"/>
      </items>
    </pivotField>
    <pivotField showAll="0"/>
    <pivotField showAll="0"/>
    <pivotField dataField="1" numFmtId="168" showAll="0"/>
    <pivotField showAll="0"/>
    <pivotField showAll="0"/>
    <pivotField showAll="0"/>
    <pivotField axis="axisRow" showAll="0">
      <items count="10">
        <item m="1" x="3"/>
        <item m="1" x="7"/>
        <item m="1" x="5"/>
        <item m="1" x="8"/>
        <item m="1" x="4"/>
        <item m="1" x="6"/>
        <item m="1" x="2"/>
        <item m="1" x="1"/>
        <item h="1" x="0"/>
        <item t="default"/>
      </items>
    </pivotField>
    <pivotField showAll="0"/>
  </pivotFields>
  <rowFields count="1">
    <field x="29"/>
  </rowFields>
  <rowItems count="1">
    <i t="grand">
      <x/>
    </i>
  </rowItems>
  <colFields count="1">
    <field x="3"/>
  </colFields>
  <colItems count="1">
    <i t="grand">
      <x/>
    </i>
  </colItems>
  <pageFields count="1">
    <pageField fld="22" hier="-1"/>
  </pageFields>
  <dataFields count="1">
    <dataField name="Somme de Delta prod days avec intention" fld="25" baseField="0" baseItem="0" numFmtId="168"/>
  </dataFields>
  <formats count="10">
    <format dxfId="108">
      <pivotArea type="all" dataOnly="0" outline="0" fieldPosition="0"/>
    </format>
    <format dxfId="109">
      <pivotArea outline="0" collapsedLevelsAreSubtotals="1" fieldPosition="0"/>
    </format>
    <format dxfId="110">
      <pivotArea type="origin" dataOnly="0" labelOnly="1" outline="0" fieldPosition="0"/>
    </format>
    <format dxfId="111">
      <pivotArea field="3" type="button" dataOnly="0" labelOnly="1" outline="0" axis="axisCol" fieldPosition="0"/>
    </format>
    <format dxfId="112">
      <pivotArea type="topRight" dataOnly="0" labelOnly="1" outline="0" fieldPosition="0"/>
    </format>
    <format dxfId="113">
      <pivotArea field="29" type="button" dataOnly="0" labelOnly="1" outline="0" axis="axisRow" fieldPosition="0"/>
    </format>
    <format dxfId="114">
      <pivotArea dataOnly="0" labelOnly="1" fieldPosition="0">
        <references count="1">
          <reference field="29" count="6">
            <x v="1"/>
            <x v="2"/>
            <x v="3"/>
            <x v="4"/>
            <x v="6"/>
            <x v="7"/>
          </reference>
        </references>
      </pivotArea>
    </format>
    <format dxfId="115">
      <pivotArea dataOnly="0" labelOnly="1" grandRow="1" outline="0" fieldPosition="0"/>
    </format>
    <format dxfId="116">
      <pivotArea dataOnly="0" labelOnly="1" fieldPosition="0">
        <references count="1">
          <reference field="3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17">
      <pivotArea dataOnly="0" labelOnly="1" grandCol="1" outline="0" fieldPosition="0"/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EB3171-38E3-485C-8FAE-58239C151755}" name="Tableau croisé dynamique7" cacheId="119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multipleFieldFilters="0" chartFormat="11">
  <location ref="A3:B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3"/>
        <item h="1" x="4"/>
        <item h="1" x="1"/>
        <item h="1" x="0"/>
        <item t="default"/>
      </items>
    </pivotField>
    <pivotField showAll="0"/>
    <pivotField showAll="0"/>
    <pivotField dataField="1" numFmtId="168" showAll="0"/>
    <pivotField showAll="0"/>
    <pivotField showAll="0"/>
    <pivotField showAll="0"/>
    <pivotField axis="axisRow" showAll="0">
      <items count="10">
        <item m="1" x="3"/>
        <item m="1" x="7"/>
        <item m="1" x="5"/>
        <item m="1" x="8"/>
        <item m="1" x="4"/>
        <item m="1" x="6"/>
        <item m="1" x="2"/>
        <item m="1" x="1"/>
        <item h="1" x="0"/>
        <item t="default"/>
      </items>
    </pivotField>
    <pivotField showAll="0"/>
  </pivotFields>
  <rowFields count="1">
    <field x="29"/>
  </rowFields>
  <rowItems count="1">
    <i t="grand">
      <x/>
    </i>
  </rowItems>
  <colItems count="1">
    <i/>
  </colItems>
  <pageFields count="1">
    <pageField fld="22" hier="-1"/>
  </pageFields>
  <dataFields count="1">
    <dataField name="Somme de Delta prod days avec intention" fld="25" baseField="0" baseItem="0" numFmtId="168"/>
  </dataFields>
  <formats count="6">
    <format dxfId="102">
      <pivotArea type="all" dataOnly="0" outline="0" fieldPosition="0"/>
    </format>
    <format dxfId="103">
      <pivotArea outline="0" collapsedLevelsAreSubtotals="1" fieldPosition="0"/>
    </format>
    <format dxfId="104">
      <pivotArea field="29" type="button" dataOnly="0" labelOnly="1" outline="0" axis="axisRow" fieldPosition="0"/>
    </format>
    <format dxfId="105">
      <pivotArea dataOnly="0" labelOnly="1" fieldPosition="0">
        <references count="1">
          <reference field="29" count="6">
            <x v="1"/>
            <x v="2"/>
            <x v="3"/>
            <x v="4"/>
            <x v="6"/>
            <x v="7"/>
          </reference>
        </references>
      </pivotArea>
    </format>
    <format dxfId="106">
      <pivotArea dataOnly="0" labelOnly="1" grandRow="1" outline="0" fieldPosition="0"/>
    </format>
    <format dxfId="107">
      <pivotArea dataOnly="0" labelOnly="1" outline="0" axis="axisValues" fieldPosition="0"/>
    </format>
  </formats>
  <chartFormats count="8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9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3" format="14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E43023-426D-4568-8F41-EFE5BC76CDC0}" name="Tableau croisé dynamique28" cacheId="119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Squad">
  <location ref="K4:Q14" firstHeaderRow="0" firstDataRow="1" firstDataCol="1"/>
  <pivotFields count="8">
    <pivotField showAll="0"/>
    <pivotField axis="axisRow" showAll="0" sortType="ascending">
      <items count="10">
        <item x="6"/>
        <item x="3"/>
        <item x="4"/>
        <item x="0"/>
        <item x="1"/>
        <item x="5"/>
        <item x="2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5"/>
            </reference>
          </references>
        </pivotArea>
      </autoSortScope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0">
    <i>
      <x v="2"/>
    </i>
    <i>
      <x v="3"/>
    </i>
    <i>
      <x v="5"/>
    </i>
    <i>
      <x v="4"/>
    </i>
    <i>
      <x v="6"/>
    </i>
    <i>
      <x v="1"/>
    </i>
    <i>
      <x v="8"/>
    </i>
    <i>
      <x/>
    </i>
    <i>
      <x v="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omme de Delta Octobre" fld="2" baseField="1" baseItem="2"/>
    <dataField name="Somme de Delta novembre" fld="3" baseField="1" baseItem="0"/>
    <dataField name="Somme de Delta décembre" fld="4" baseField="1" baseItem="0"/>
    <dataField name="Somme de Delta janvier" fld="5" baseField="1" baseItem="0"/>
    <dataField name="Somme de Delta  février" fld="6" baseField="1" baseItem="0"/>
    <dataField name="Somme de Delta total" fld="7" baseField="1" baseItem="0"/>
  </dataFields>
  <formats count="6">
    <format dxfId="96">
      <pivotArea type="all" dataOnly="0" outline="0" fieldPosition="0"/>
    </format>
    <format dxfId="97">
      <pivotArea outline="0" collapsedLevelsAreSubtotals="1" fieldPosition="0"/>
    </format>
    <format dxfId="98">
      <pivotArea field="1" type="button" dataOnly="0" labelOnly="1" outline="0" axis="axisRow" fieldPosition="0"/>
    </format>
    <format dxfId="99">
      <pivotArea dataOnly="0" labelOnly="1" fieldPosition="0">
        <references count="1">
          <reference field="1" count="0"/>
        </references>
      </pivotArea>
    </format>
    <format dxfId="100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5"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242" displayName="Tableau242" ref="B4:AF729" totalsRowShown="0" headerRowDxfId="93" dataDxfId="92" headerRowBorderDxfId="90" tableBorderDxfId="91" totalsRowBorderDxfId="89">
  <autoFilter ref="B4:AF729" xr:uid="{00000000-0009-0000-0100-000001000000}"/>
  <tableColumns count="31">
    <tableColumn id="4" xr3:uid="{00000000-0010-0000-0000-000004000000}" name="Company number" dataDxfId="88"/>
    <tableColumn id="1" xr3:uid="{00000000-0010-0000-0000-000001000000}" name="Consultant" dataDxfId="87"/>
    <tableColumn id="2" xr3:uid="{00000000-0010-0000-0000-000002000000}" name="Manager ou CDM concerné" dataDxfId="86"/>
    <tableColumn id="3" xr3:uid="{00000000-0010-0000-0000-000003000000}" name="FAUX_x000a_" dataDxfId="85">
      <calculatedColumnFormula>IFERROR(VLOOKUP(Tableau242[[#This Row],[Manager ou CDM concerné]],Parametres!B:C,2,FALSE),"")</calculatedColumnFormula>
    </tableColumn>
    <tableColumn id="28" xr3:uid="{00000000-0010-0000-0000-00001C000000}" name="A corriger ? " dataDxfId="84">
      <calculatedColumnFormula>IF(Tableau242[[#This Row],[Consultant]]=Tableau242[[#This Row],[Manager ou CDM concerné]],"Non",IF(IFERROR(VLOOKUP(Tableau242[[#This Row],[Consultant]],Parametres!B:C,2,FALSE),0)=0,"Non","Oui"))</calculatedColumnFormula>
    </tableColumn>
    <tableColumn id="5" xr3:uid="{00000000-0010-0000-0000-000005000000}" name="Prod. days WK" dataDxfId="83">
      <calculatedColumnFormula>IFERROR(VLOOKUP(B5,Tableau5[#All],4,FALSE),"Matricule!")</calculatedColumnFormula>
    </tableColumn>
    <tableColumn id="6" xr3:uid="{00000000-0010-0000-0000-000006000000}" name="Maint. Days" dataDxfId="82">
      <calculatedColumnFormula>IFERROR(VLOOKUP(Tableau242[[#This Row],[Company number]],#REF!,6,FALSE),"")</calculatedColumnFormula>
    </tableColumn>
    <tableColumn id="7" xr3:uid="{00000000-0010-0000-0000-000007000000}" name="Non prod. days WK" dataDxfId="81">
      <calculatedColumnFormula>IFERROR(VLOOKUP(B5,Tableau5[#All],5,FALSE),"Matricule!")</calculatedColumnFormula>
    </tableColumn>
    <tableColumn id="11" xr3:uid="{00000000-0010-0000-0000-00000B000000}" name="Paid leave days WK" dataDxfId="80">
      <calculatedColumnFormula>IFERROR(VLOOKUP(B5,Tableau5[#All],6,FALSE),"Matricule!")</calculatedColumnFormula>
    </tableColumn>
    <tableColumn id="12" xr3:uid="{00000000-0010-0000-0000-00000C000000}" name="Unpaid leave days WK" dataDxfId="79">
      <calculatedColumnFormula>IFERROR(VLOOKUP(B5,Tableau5[#All],7,FALSE),"Matricule!")</calculatedColumnFormula>
    </tableColumn>
    <tableColumn id="24" xr3:uid="{00000000-0010-0000-0000-000018000000}" name="Justification" dataDxfId="78">
      <calculatedColumnFormula>VLOOKUP(Tableau242[[#This Row],[Company number]],#REF!,25,FALSE)</calculatedColumnFormula>
    </tableColumn>
    <tableColumn id="13" xr3:uid="{00000000-0010-0000-0000-00000D000000}" name="Prod. days FAP" dataDxfId="77">
      <calculatedColumnFormula>IFERROR(VLOOKUP(Tableau242[[#This Row],[Company number]],#REF!,30,FALSE),"")</calculatedColumnFormula>
    </tableColumn>
    <tableColumn id="14" xr3:uid="{00000000-0010-0000-0000-00000E000000}" name="Non prod. days FAP" dataDxfId="76">
      <calculatedColumnFormula>IFERROR(VLOOKUP(Tableau242[[#This Row],[Company number]],#REF!,31,FALSE),"")</calculatedColumnFormula>
    </tableColumn>
    <tableColumn id="15" xr3:uid="{00000000-0010-0000-0000-00000F000000}" name="Paid leave days FAP" dataDxfId="75">
      <calculatedColumnFormula>IFERROR(VLOOKUP(Tableau242[[#This Row],[Company number]],#REF!,32,FALSE),"")</calculatedColumnFormula>
    </tableColumn>
    <tableColumn id="31" xr3:uid="{CEAF8F06-6100-4CF2-A76A-258A1F34D0D0}" name="Prod PXX" dataDxfId="74">
      <calculatedColumnFormula>IFERROR(VLOOKUP(B5,Tableau3[#All],5,FALSE),"Matricule!")</calculatedColumnFormula>
    </tableColumn>
    <tableColumn id="29" xr3:uid="{95E0F0BF-9691-4F7B-9911-AEDAECB02757}" name="Improd PXX" dataDxfId="73">
      <calculatedColumnFormula>IFERROR(SUM(VLOOKUP(B5,Tableau3[#All],6,FALSE),VLOOKUP(B5,Tableau3[#All],8,FALSE)),"Matricule!")</calculatedColumnFormula>
    </tableColumn>
    <tableColumn id="25" xr3:uid="{B9B08DF7-D366-48D1-9110-0FD5F29576AE}" name="Congé PXX" dataDxfId="72">
      <calculatedColumnFormula>IFERROR(VLOOKUP(B5,Tableau3[#All],7,FALSE),"Matricule!")</calculatedColumnFormula>
    </tableColumn>
    <tableColumn id="16" xr3:uid="{00000000-0010-0000-0000-000010000000}" name="Prod. days" dataDxfId="71">
      <calculatedColumnFormula>IFERROR(Tableau242[[#This Row],[Prod. days WK]]-Tableau242[[#This Row],[Prod PXX]],"Matricule")</calculatedColumnFormula>
    </tableColumn>
    <tableColumn id="17" xr3:uid="{00000000-0010-0000-0000-000011000000}" name="Non prod. days" dataDxfId="70">
      <calculatedColumnFormula>IFERROR(Tableau242[[#This Row],[Non prod. days WK]]-Tableau242[[#This Row],[Improd PXX]],"Matricule")</calculatedColumnFormula>
    </tableColumn>
    <tableColumn id="18" xr3:uid="{00000000-0010-0000-0000-000012000000}" name="Paid leave days" dataDxfId="69">
      <calculatedColumnFormula>IFERROR(Tableau242[[#This Row],[Paid leave days WK]]-Tableau242[[#This Row],[Congé PXX]],"Matricule")</calculatedColumnFormula>
    </tableColumn>
    <tableColumn id="19" xr3:uid="{00000000-0010-0000-0000-000013000000}" name="Mail d'intention" dataDxfId="68">
      <calculatedColumnFormula>IFERROR(VLOOKUP($B5,#REF!,4,FALSE),0)</calculatedColumnFormula>
    </tableColumn>
    <tableColumn id="26" xr3:uid="{00000000-0010-0000-0000-00001A000000}" name="Contrôle de l'imputation (old)" dataDxfId="67">
      <calculatedColumnFormula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calculatedColumnFormula>
    </tableColumn>
    <tableColumn id="30" xr3:uid="{2BEBB594-39C4-4A3F-9FB0-CBCF1376C165}" name="Contrôle" dataDxfId="66">
      <calculatedColumnFormula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calculatedColumnFormula>
    </tableColumn>
    <tableColumn id="27" xr3:uid="{00000000-0010-0000-0000-00001B000000}" name="Impact congés" dataDxfId="65">
      <calculatedColumnFormula>IF(AND(Tableau242[[#This Row],[Paid leave days]]&gt;0,Tableau242[[#This Row],[Prod. days]]&lt;0),MIN(Tableau242[[#This Row],[Paid leave days]],-Tableau242[[#This Row],[Prod. days]]),0)</calculatedColumnFormula>
    </tableColumn>
    <tableColumn id="9" xr3:uid="{5CC4325E-9ADB-40A2-9616-225DD7961B0A}" name="Intention" dataDxfId="64">
      <calculatedColumnFormula>IFERROR(_xlfn.XLOOKUP(Tableau242[[#This Row],[Consultant]],Tableau2[Collaborateur/Nom affiché],Tableau2[Montant imputé],0),0)</calculatedColumnFormula>
    </tableColumn>
    <tableColumn id="10" xr3:uid="{33A641B6-B358-44A4-BC94-2063D153D6B3}" name="Delta prod days avec intention" dataDxfId="63">
      <calculatedColumnFormula>IFERROR(S5+Z5,S5)</calculatedColumnFormula>
    </tableColumn>
    <tableColumn id="20" xr3:uid="{00000000-0010-0000-0000-000014000000}" name="Statut" dataDxfId="62"/>
    <tableColumn id="21" xr3:uid="{00000000-0010-0000-0000-000015000000}" name="Jours éventuellement récupérables/optimisables" dataDxfId="61"/>
    <tableColumn id="22" xr3:uid="{00000000-0010-0000-0000-000016000000}" name="Jours récupérés/optimisés" dataDxfId="60"/>
    <tableColumn id="32" xr3:uid="{5F717B1F-92DD-45E2-B06D-A7EF7561B976}" name="Colonne1" dataDxfId="59"/>
    <tableColumn id="23" xr3:uid="{00000000-0010-0000-0000-000017000000}" name="Variance justification" dataDxfId="58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4CC8A3-0CF4-4C93-ADAB-00B6E741ECDA}" name="Tableau2" displayName="Tableau2" ref="A1:E25" totalsRowShown="0" headerRowDxfId="57" dataDxfId="56">
  <autoFilter ref="A1:E25" xr:uid="{674CC8A3-0CF4-4C93-ADAB-00B6E741ECDA}"/>
  <tableColumns count="5">
    <tableColumn id="1" xr3:uid="{85C8212F-9A4A-4B50-9A25-E8B32C1CFD96}" name="Date" dataDxfId="55"/>
    <tableColumn id="2" xr3:uid="{C684A99D-5279-4E0B-9EEF-BD22B58E96C0}" name="Tâche/Nom affiché" dataDxfId="54"/>
    <tableColumn id="3" xr3:uid="{A5C67244-EBBF-4EB5-B1EE-7386172166B9}" name="Collaborateur/Nom affiché" dataDxfId="53"/>
    <tableColumn id="4" xr3:uid="{96D506EA-5F98-4B52-9F33-6D5B9CD7A576}" name="Montant imputé" dataDxfId="52"/>
    <tableColumn id="5" xr3:uid="{C6D7D136-698E-41F0-953C-DCFBF0B9262D}" name="Collaborateur/CD Manager" dataDxfId="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CB2F1D-AC5F-41C9-9063-A9A21E30C7E7}" name="Tableau3" displayName="Tableau3" ref="A1:I870" totalsRowShown="0" headerRowDxfId="50" dataDxfId="49">
  <autoFilter ref="A1:I870" xr:uid="{36CB2F1D-AC5F-41C9-9063-A9A21E30C7E7}"/>
  <tableColumns count="9">
    <tableColumn id="1" xr3:uid="{BF62CEA4-EA5E-4C06-8450-26A3ADE58BB4}" name="Matricule" dataDxfId="48"/>
    <tableColumn id="2" xr3:uid="{86A0A9D5-C8EE-41FF-BB66-848BCB20C615}" name="Collaborateur" dataDxfId="47"/>
    <tableColumn id="3" xr3:uid="{DE4F25A9-07E4-45DC-BC2A-32CC75473B33}" name="CD Manager" dataDxfId="46"/>
    <tableColumn id="4" xr3:uid="{7CBD85A2-0A3A-4E4E-A232-82A08FA95709}" name="M" dataDxfId="45"/>
    <tableColumn id="5" xr3:uid="{A7435305-69C0-446C-B55D-5DD5F935B77B}" name="B" dataDxfId="44"/>
    <tableColumn id="6" xr3:uid="{6F3806A3-4387-4D73-8E98-42D0093DCAF5}" name="N" dataDxfId="43"/>
    <tableColumn id="7" xr3:uid="{2DC0A6F6-94AE-4012-A845-6EDE43E8A3D1}" name="Absences" dataDxfId="42"/>
    <tableColumn id="8" xr3:uid="{3B6FFBD2-E789-4FED-8F54-02F6C89AB52A}" name="Avail" dataDxfId="41"/>
    <tableColumn id="9" xr3:uid="{5B418F08-64E3-4BE1-9FE3-CAC6DE0EB94A}" name="Contract type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D0FF42-B21A-42B3-BC45-D9F3B6D47DB3}" name="Tableau4" displayName="Tableau4" ref="A1:D1937" totalsRowShown="0" headerRowDxfId="39" dataDxfId="38">
  <autoFilter ref="A1:D1937" xr:uid="{08D0FF42-B21A-42B3-BC45-D9F3B6D47DB3}"/>
  <tableColumns count="4">
    <tableColumn id="1" xr3:uid="{31758C61-113A-40F2-B4B8-B60074AB9F00}" name="Matricule cabinet" dataDxfId="37"/>
    <tableColumn id="2" xr3:uid="{E1205BA5-0AC8-426E-A214-9FCD10BFC220}" name="Collaborateur" dataDxfId="36"/>
    <tableColumn id="3" xr3:uid="{027FF85A-CACD-4CE7-965A-805A7D9A0D3D}" name="Type d'imputation" dataDxfId="35"/>
    <tableColumn id="4" xr3:uid="{ADE046A7-4B2A-4C91-9E2E-6A0B993F1E36}" name="Montant imputé" dataDxfId="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83EEEB-253B-493C-956A-335B33CBA100}" name="Tableau5" displayName="Tableau5" ref="A1:H725" totalsRowShown="0" headerRowDxfId="33" dataDxfId="32">
  <autoFilter ref="A1:H725" xr:uid="{A383EEEB-253B-493C-956A-335B33CBA100}"/>
  <tableColumns count="8">
    <tableColumn id="1" xr3:uid="{AF7151E2-8B64-4146-9921-2275AD0C93D6}" name="Matricule cabinet" dataDxfId="31"/>
    <tableColumn id="2" xr3:uid="{450D2D67-868C-49F3-B420-2D2A66953281}" name="Nom" dataDxfId="30"/>
    <tableColumn id="3" xr3:uid="{E06D4F04-292B-44BF-AA78-EA0D6C501D49}" name="CD Manager" dataDxfId="29"/>
    <tableColumn id="4" xr3:uid="{75BD205B-3421-40F3-9EB3-EE425B0BD841}" name="B WK" dataDxfId="28">
      <calculatedColumnFormula>SUMIFS(Tableau4[Montant imputé],Tableau4[Matricule cabinet],Tableau5[[#This Row],[Matricule cabinet]],Tableau4[Type d''imputation],"sale order")</calculatedColumnFormula>
    </tableColumn>
    <tableColumn id="5" xr3:uid="{B5186F89-7F7F-4AA9-AE78-D088979048BE}" name="N WK" dataDxfId="27">
      <calculatedColumnFormula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calculatedColumnFormula>
    </tableColumn>
    <tableColumn id="6" xr3:uid="{1187D2EA-4B44-4D87-9A50-816771ED33CE}" name="Paid leave WK" dataDxfId="26">
      <calculatedColumnFormula>SUMIFS(Tableau4[Montant imputé],Tableau4[Matricule cabinet],Tableau5[[#This Row],[Matricule cabinet]],Tableau4[Type d''imputation],"leave")</calculatedColumnFormula>
    </tableColumn>
    <tableColumn id="7" xr3:uid="{F741DC64-DD0D-4304-917E-693CDE6CC10A}" name="Unpaid leave WK" dataDxfId="25">
      <calculatedColumnFormula>SUMIFS(Tableau4[Montant imputé],Tableau4[Matricule cabinet],Tableau5[[#This Row],[Matricule cabinet]],Tableau4[Type d''imputation],"absence")</calculatedColumnFormula>
    </tableColumn>
    <tableColumn id="8" xr3:uid="{4FFD2B35-88E6-4AC7-8279-76CD81D0CA26}" name="Vérif total jours" dataDxfId="24">
      <calculatedColumnFormula>SUM(Tableau5[[#This Row],[B WK]:[Unpaid leave WK]])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DF2073-0C00-4488-957F-18A1CC241566}" name="Tableau6" displayName="Tableau6" ref="B2:F26" totalsRowShown="0" headerRowDxfId="23" dataDxfId="22">
  <autoFilter ref="B2:F26" xr:uid="{51DF2073-0C00-4488-957F-18A1CC241566}"/>
  <tableColumns count="5">
    <tableColumn id="1" xr3:uid="{3043AB6B-0B0B-44BE-9670-148F2DBE858C}" name="Consultant"/>
    <tableColumn id="2" xr3:uid="{2985E333-E8D1-4B3E-8C15-E98767C38A96}" name="Grade" dataDxfId="21"/>
    <tableColumn id="3" xr3:uid="{1A5D96FD-C0CC-419B-9DDA-AD82737BF624}" name="CDM" dataDxfId="20"/>
    <tableColumn id="4" xr3:uid="{A8C0EFE7-1ACF-4A51-BEF8-B0D780A4E824}" name="Squad" dataDxfId="19"/>
    <tableColumn id="5" xr3:uid="{9C94C8B6-87BA-4955-90B1-20047298EEAA}" name="Type de mission" dataDxfId="18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424DF2-3B5B-4C67-AE86-D61157620C4B}" name="Tableau7" displayName="Tableau7" ref="A1:H110" totalsRowShown="0" headerRowDxfId="11" headerRowBorderDxfId="9" tableBorderDxfId="10" totalsRowBorderDxfId="8">
  <autoFilter ref="A1:H110" xr:uid="{A4424DF2-3B5B-4C67-AE86-D61157620C4B}"/>
  <sortState xmlns:xlrd2="http://schemas.microsoft.com/office/spreadsheetml/2017/richdata2" ref="A2:H110">
    <sortCondition ref="H1:H91"/>
  </sortState>
  <tableColumns count="8">
    <tableColumn id="1" xr3:uid="{F913A516-71AA-4726-A5E5-1772EED99F27}" name="CDM" dataDxfId="7"/>
    <tableColumn id="2" xr3:uid="{C4B7B31F-C3CB-4957-96BC-0824952538D8}" name="Squad" dataDxfId="6">
      <calculatedColumnFormula>_xlfn.XLOOKUP(Tableau7[[#This Row],[CDM]],Parametres!B:B,Parametres!C:C,"")</calculatedColumnFormula>
    </tableColumn>
    <tableColumn id="8" xr3:uid="{868CF276-18BE-4839-9B54-904CF55DC516}" name="Delta Octobre" dataDxfId="5"/>
    <tableColumn id="3" xr3:uid="{1EECEC22-7610-419F-B651-CD9502FBA290}" name="Delta novembre" dataDxfId="4">
      <calculatedColumnFormula>_xlfn.XLOOKUP(Tableau7[[#This Row],[CDM]],'[1]Delta prod days sept. oct. nov.'!$A:$A,'[1]Delta prod days sept. oct. nov.'!$D:$D,"")</calculatedColumnFormula>
    </tableColumn>
    <tableColumn id="4" xr3:uid="{274CFDC0-D41D-489C-8A22-F122CA3AC591}" name="Delta décembre" dataDxfId="3"/>
    <tableColumn id="5" xr3:uid="{0E191223-85CC-4096-A585-434B4BEE7211}" name="Delta janvier" dataDxfId="2">
      <calculatedColumnFormula>_xlfn.XLOOKUP(Tableau7[[#This Row],[CDM]],'[2]TCD delta prod days'!$A:$A,'[2]TCD delta prod days'!$B:$B,"")</calculatedColumnFormula>
    </tableColumn>
    <tableColumn id="6" xr3:uid="{04FD7A04-C069-4BCD-8128-9E0D924A9AFD}" name="Delta  février" dataDxfId="1">
      <calculatedColumnFormula>_xlfn.XLOOKUP(Tableau7[[#This Row],[CDM]],'TCD delta prod days'!A:A,'TCD delta prod days'!B:B,"")</calculatedColumnFormula>
    </tableColumn>
    <tableColumn id="7" xr3:uid="{B9A47541-A4C4-4A95-BA2A-8FC00E449855}" name="Delta total" dataDxfId="0">
      <calculatedColumnFormula>SUM(Tableau7[[#This Row],[Delta Octobre]:[Delta  février]])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Wavestone May 24">
      <a:dk1>
        <a:srgbClr val="000000"/>
      </a:dk1>
      <a:lt1>
        <a:srgbClr val="FFFFFF"/>
      </a:lt1>
      <a:dk2>
        <a:srgbClr val="FFFFFF"/>
      </a:dk2>
      <a:lt2>
        <a:srgbClr val="451DC7"/>
      </a:lt2>
      <a:accent1>
        <a:srgbClr val="04F06A"/>
      </a:accent1>
      <a:accent2>
        <a:srgbClr val="CAFEE0"/>
      </a:accent2>
      <a:accent3>
        <a:srgbClr val="250F6B"/>
      </a:accent3>
      <a:accent4>
        <a:srgbClr val="331595"/>
      </a:accent4>
      <a:accent5>
        <a:srgbClr val="5C32E2"/>
      </a:accent5>
      <a:accent6>
        <a:srgbClr val="F2F2F2"/>
      </a:accent6>
      <a:hlink>
        <a:srgbClr val="451DC7"/>
      </a:hlink>
      <a:folHlink>
        <a:srgbClr val="451DC7"/>
      </a:folHlink>
    </a:clrScheme>
    <a:fontScheme name="Personnalisé Wavestone May 24">
      <a:majorFont>
        <a:latin typeface="Aptos SemiBold"/>
        <a:ea typeface=""/>
        <a:cs typeface=""/>
      </a:majorFont>
      <a:minorFont>
        <a:latin typeface="Apto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 bwMode="auto">
        <a:solidFill>
          <a:schemeClr val="accent2"/>
        </a:solidFill>
        <a:ln w="9525">
          <a:solidFill>
            <a:schemeClr val="bg2"/>
          </a:solidFill>
          <a:miter lim="800000"/>
          <a:headEnd/>
          <a:tailEnd/>
        </a:ln>
      </a:spPr>
      <a:bodyPr rot="0" vert="horz" wrap="square" lIns="91440" tIns="45720" rIns="91440" bIns="45720" rtlCol="0" anchor="t" anchorCtr="0">
        <a:spAutoFit/>
      </a:bodyPr>
      <a:lstStyle/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29DDA-6623-479B-9572-6881C79F49F3}">
  <dimension ref="A1:B708"/>
  <sheetViews>
    <sheetView topLeftCell="A39" workbookViewId="0"/>
  </sheetViews>
  <sheetFormatPr defaultColWidth="11" defaultRowHeight="14.45"/>
  <cols>
    <col min="1" max="1" width="10.625" bestFit="1" customWidth="1"/>
  </cols>
  <sheetData>
    <row r="1" spans="1:2">
      <c r="A1" s="32" t="s">
        <v>0</v>
      </c>
      <c r="B1" t="s">
        <v>1</v>
      </c>
    </row>
    <row r="2" spans="1:2">
      <c r="A2" t="s">
        <v>2</v>
      </c>
      <c r="B2">
        <v>22</v>
      </c>
    </row>
    <row r="3" spans="1:2">
      <c r="A3" t="s">
        <v>3</v>
      </c>
      <c r="B3">
        <v>20</v>
      </c>
    </row>
    <row r="4" spans="1:2">
      <c r="A4" t="s">
        <v>4</v>
      </c>
      <c r="B4">
        <v>16</v>
      </c>
    </row>
    <row r="5" spans="1:2">
      <c r="A5" t="s">
        <v>5</v>
      </c>
      <c r="B5">
        <v>16</v>
      </c>
    </row>
    <row r="6" spans="1:2">
      <c r="A6" t="s">
        <v>6</v>
      </c>
      <c r="B6">
        <v>15</v>
      </c>
    </row>
    <row r="7" spans="1:2">
      <c r="A7" t="s">
        <v>7</v>
      </c>
      <c r="B7">
        <v>14</v>
      </c>
    </row>
    <row r="8" spans="1:2">
      <c r="A8" t="s">
        <v>8</v>
      </c>
      <c r="B8">
        <v>12</v>
      </c>
    </row>
    <row r="9" spans="1:2">
      <c r="A9" t="s">
        <v>9</v>
      </c>
      <c r="B9">
        <v>10</v>
      </c>
    </row>
    <row r="10" spans="1:2">
      <c r="A10" t="s">
        <v>10</v>
      </c>
      <c r="B10">
        <v>10</v>
      </c>
    </row>
    <row r="11" spans="1:2">
      <c r="A11" t="s">
        <v>5</v>
      </c>
      <c r="B11">
        <v>9</v>
      </c>
    </row>
    <row r="12" spans="1:2">
      <c r="A12" t="s">
        <v>11</v>
      </c>
      <c r="B12">
        <v>8</v>
      </c>
    </row>
    <row r="13" spans="1:2">
      <c r="A13" t="s">
        <v>12</v>
      </c>
      <c r="B13">
        <v>8</v>
      </c>
    </row>
    <row r="14" spans="1:2">
      <c r="A14" t="s">
        <v>13</v>
      </c>
      <c r="B14">
        <v>7</v>
      </c>
    </row>
    <row r="15" spans="1:2">
      <c r="A15" t="s">
        <v>14</v>
      </c>
      <c r="B15">
        <v>6</v>
      </c>
    </row>
    <row r="16" spans="1:2">
      <c r="A16" t="s">
        <v>8</v>
      </c>
      <c r="B16">
        <v>6</v>
      </c>
    </row>
    <row r="17" spans="1:2">
      <c r="A17" t="s">
        <v>15</v>
      </c>
      <c r="B17">
        <v>5</v>
      </c>
    </row>
    <row r="18" spans="1:2">
      <c r="A18" t="s">
        <v>16</v>
      </c>
      <c r="B18">
        <v>5</v>
      </c>
    </row>
    <row r="19" spans="1:2">
      <c r="A19" t="s">
        <v>17</v>
      </c>
      <c r="B19">
        <v>5</v>
      </c>
    </row>
    <row r="20" spans="1:2">
      <c r="A20" t="s">
        <v>18</v>
      </c>
      <c r="B20">
        <v>5</v>
      </c>
    </row>
    <row r="21" spans="1:2">
      <c r="A21" t="s">
        <v>19</v>
      </c>
      <c r="B21">
        <v>5</v>
      </c>
    </row>
    <row r="22" spans="1:2">
      <c r="A22" t="s">
        <v>20</v>
      </c>
      <c r="B22">
        <v>5</v>
      </c>
    </row>
    <row r="23" spans="1:2">
      <c r="A23" t="s">
        <v>21</v>
      </c>
      <c r="B23">
        <v>5</v>
      </c>
    </row>
    <row r="24" spans="1:2">
      <c r="A24" t="s">
        <v>22</v>
      </c>
      <c r="B24">
        <v>5</v>
      </c>
    </row>
    <row r="25" spans="1:2">
      <c r="A25" t="s">
        <v>23</v>
      </c>
      <c r="B25">
        <v>5</v>
      </c>
    </row>
    <row r="26" spans="1:2">
      <c r="A26" t="s">
        <v>9</v>
      </c>
      <c r="B26">
        <v>5</v>
      </c>
    </row>
    <row r="27" spans="1:2">
      <c r="A27" t="s">
        <v>24</v>
      </c>
      <c r="B27">
        <v>4</v>
      </c>
    </row>
    <row r="28" spans="1:2">
      <c r="A28" t="s">
        <v>25</v>
      </c>
      <c r="B28">
        <v>4</v>
      </c>
    </row>
    <row r="29" spans="1:2">
      <c r="A29" t="s">
        <v>15</v>
      </c>
      <c r="B29">
        <v>4</v>
      </c>
    </row>
    <row r="30" spans="1:2">
      <c r="A30" t="s">
        <v>26</v>
      </c>
      <c r="B30">
        <v>4</v>
      </c>
    </row>
    <row r="31" spans="1:2">
      <c r="A31" t="s">
        <v>27</v>
      </c>
      <c r="B31">
        <v>4</v>
      </c>
    </row>
    <row r="32" spans="1:2">
      <c r="A32" t="s">
        <v>28</v>
      </c>
      <c r="B32">
        <v>4</v>
      </c>
    </row>
    <row r="33" spans="1:2">
      <c r="A33" t="s">
        <v>29</v>
      </c>
      <c r="B33">
        <v>4</v>
      </c>
    </row>
    <row r="34" spans="1:2">
      <c r="A34" t="s">
        <v>30</v>
      </c>
      <c r="B34">
        <v>4</v>
      </c>
    </row>
    <row r="35" spans="1:2">
      <c r="A35" t="s">
        <v>31</v>
      </c>
      <c r="B35">
        <v>4</v>
      </c>
    </row>
    <row r="36" spans="1:2">
      <c r="A36" t="s">
        <v>32</v>
      </c>
      <c r="B36">
        <v>4</v>
      </c>
    </row>
    <row r="37" spans="1:2">
      <c r="A37" t="s">
        <v>33</v>
      </c>
      <c r="B37">
        <v>3</v>
      </c>
    </row>
    <row r="38" spans="1:2">
      <c r="A38" t="s">
        <v>34</v>
      </c>
      <c r="B38">
        <v>3</v>
      </c>
    </row>
    <row r="39" spans="1:2">
      <c r="A39" t="s">
        <v>18</v>
      </c>
      <c r="B39">
        <v>3</v>
      </c>
    </row>
    <row r="40" spans="1:2">
      <c r="A40" t="s">
        <v>35</v>
      </c>
      <c r="B40">
        <v>3</v>
      </c>
    </row>
    <row r="41" spans="1:2">
      <c r="A41" t="s">
        <v>17</v>
      </c>
      <c r="B41">
        <v>3</v>
      </c>
    </row>
    <row r="42" spans="1:2">
      <c r="A42" t="s">
        <v>36</v>
      </c>
      <c r="B42">
        <v>3</v>
      </c>
    </row>
    <row r="43" spans="1:2">
      <c r="A43" t="s">
        <v>4</v>
      </c>
      <c r="B43">
        <v>3</v>
      </c>
    </row>
    <row r="44" spans="1:2">
      <c r="A44" t="s">
        <v>37</v>
      </c>
      <c r="B44">
        <v>3</v>
      </c>
    </row>
    <row r="45" spans="1:2">
      <c r="A45" t="s">
        <v>3</v>
      </c>
      <c r="B45">
        <v>3</v>
      </c>
    </row>
    <row r="46" spans="1:2">
      <c r="A46" t="s">
        <v>38</v>
      </c>
      <c r="B46">
        <v>3</v>
      </c>
    </row>
    <row r="47" spans="1:2">
      <c r="A47" t="s">
        <v>21</v>
      </c>
      <c r="B47">
        <v>3</v>
      </c>
    </row>
    <row r="48" spans="1:2">
      <c r="A48" t="s">
        <v>25</v>
      </c>
      <c r="B48">
        <v>3</v>
      </c>
    </row>
    <row r="49" spans="1:2">
      <c r="A49" t="s">
        <v>39</v>
      </c>
      <c r="B49">
        <v>3</v>
      </c>
    </row>
    <row r="50" spans="1:2">
      <c r="A50" t="s">
        <v>40</v>
      </c>
      <c r="B50">
        <v>3</v>
      </c>
    </row>
    <row r="51" spans="1:2">
      <c r="A51" t="s">
        <v>15</v>
      </c>
      <c r="B51">
        <v>3</v>
      </c>
    </row>
    <row r="52" spans="1:2">
      <c r="A52" t="s">
        <v>41</v>
      </c>
      <c r="B52">
        <v>3</v>
      </c>
    </row>
    <row r="53" spans="1:2">
      <c r="A53" t="s">
        <v>42</v>
      </c>
      <c r="B53">
        <v>3</v>
      </c>
    </row>
    <row r="54" spans="1:2">
      <c r="A54" t="s">
        <v>43</v>
      </c>
      <c r="B54">
        <v>3</v>
      </c>
    </row>
    <row r="55" spans="1:2">
      <c r="A55" t="s">
        <v>44</v>
      </c>
      <c r="B55">
        <v>2</v>
      </c>
    </row>
    <row r="56" spans="1:2">
      <c r="A56" t="s">
        <v>45</v>
      </c>
      <c r="B56">
        <v>2</v>
      </c>
    </row>
    <row r="57" spans="1:2">
      <c r="A57" t="s">
        <v>30</v>
      </c>
      <c r="B57">
        <v>2</v>
      </c>
    </row>
    <row r="58" spans="1:2">
      <c r="A58" t="s">
        <v>28</v>
      </c>
      <c r="B58">
        <v>2</v>
      </c>
    </row>
    <row r="59" spans="1:2">
      <c r="A59" t="s">
        <v>14</v>
      </c>
      <c r="B59">
        <v>2</v>
      </c>
    </row>
    <row r="60" spans="1:2">
      <c r="A60" t="s">
        <v>19</v>
      </c>
      <c r="B60">
        <v>2</v>
      </c>
    </row>
    <row r="61" spans="1:2">
      <c r="A61" t="s">
        <v>28</v>
      </c>
      <c r="B61">
        <v>2</v>
      </c>
    </row>
    <row r="62" spans="1:2">
      <c r="A62" t="s">
        <v>33</v>
      </c>
      <c r="B62">
        <v>2</v>
      </c>
    </row>
    <row r="63" spans="1:2">
      <c r="A63" t="s">
        <v>46</v>
      </c>
      <c r="B63">
        <v>2</v>
      </c>
    </row>
    <row r="64" spans="1:2">
      <c r="A64" t="s">
        <v>5</v>
      </c>
      <c r="B64">
        <v>2</v>
      </c>
    </row>
    <row r="65" spans="1:2">
      <c r="A65" t="s">
        <v>3</v>
      </c>
      <c r="B65">
        <v>2</v>
      </c>
    </row>
    <row r="66" spans="1:2">
      <c r="A66" t="s">
        <v>47</v>
      </c>
      <c r="B66">
        <v>2</v>
      </c>
    </row>
    <row r="67" spans="1:2">
      <c r="A67" t="s">
        <v>8</v>
      </c>
      <c r="B67">
        <v>2</v>
      </c>
    </row>
    <row r="68" spans="1:2">
      <c r="A68" t="s">
        <v>48</v>
      </c>
      <c r="B68">
        <v>2</v>
      </c>
    </row>
    <row r="69" spans="1:2">
      <c r="A69" t="s">
        <v>46</v>
      </c>
      <c r="B69">
        <v>2</v>
      </c>
    </row>
    <row r="70" spans="1:2">
      <c r="A70" t="s">
        <v>49</v>
      </c>
      <c r="B70">
        <v>2</v>
      </c>
    </row>
    <row r="71" spans="1:2">
      <c r="A71" t="s">
        <v>50</v>
      </c>
      <c r="B71">
        <v>2</v>
      </c>
    </row>
    <row r="72" spans="1:2">
      <c r="A72" t="s">
        <v>51</v>
      </c>
      <c r="B72">
        <v>2</v>
      </c>
    </row>
    <row r="73" spans="1:2">
      <c r="A73" t="s">
        <v>52</v>
      </c>
      <c r="B73">
        <v>2</v>
      </c>
    </row>
    <row r="74" spans="1:2">
      <c r="A74" t="s">
        <v>26</v>
      </c>
      <c r="B74">
        <v>2</v>
      </c>
    </row>
    <row r="75" spans="1:2">
      <c r="A75" t="s">
        <v>13</v>
      </c>
      <c r="B75">
        <v>2</v>
      </c>
    </row>
    <row r="76" spans="1:2">
      <c r="A76" t="s">
        <v>53</v>
      </c>
      <c r="B76">
        <v>2</v>
      </c>
    </row>
    <row r="77" spans="1:2">
      <c r="A77" t="s">
        <v>7</v>
      </c>
      <c r="B77">
        <v>2</v>
      </c>
    </row>
    <row r="78" spans="1:2">
      <c r="A78" t="s">
        <v>6</v>
      </c>
      <c r="B78">
        <v>2</v>
      </c>
    </row>
    <row r="79" spans="1:2">
      <c r="A79" t="s">
        <v>5</v>
      </c>
      <c r="B79">
        <v>2</v>
      </c>
    </row>
    <row r="80" spans="1:2">
      <c r="A80" t="s">
        <v>25</v>
      </c>
      <c r="B80">
        <v>2</v>
      </c>
    </row>
    <row r="81" spans="1:2">
      <c r="A81" t="s">
        <v>14</v>
      </c>
      <c r="B81">
        <v>2</v>
      </c>
    </row>
    <row r="82" spans="1:2">
      <c r="A82" t="s">
        <v>54</v>
      </c>
      <c r="B82">
        <v>2</v>
      </c>
    </row>
    <row r="83" spans="1:2">
      <c r="A83" t="s">
        <v>54</v>
      </c>
      <c r="B83">
        <v>2</v>
      </c>
    </row>
    <row r="84" spans="1:2">
      <c r="A84" t="s">
        <v>55</v>
      </c>
      <c r="B84">
        <v>2</v>
      </c>
    </row>
    <row r="85" spans="1:2">
      <c r="A85" t="s">
        <v>30</v>
      </c>
      <c r="B85">
        <v>2</v>
      </c>
    </row>
    <row r="86" spans="1:2">
      <c r="A86" t="s">
        <v>31</v>
      </c>
      <c r="B86">
        <v>2</v>
      </c>
    </row>
    <row r="87" spans="1:2">
      <c r="A87" t="s">
        <v>56</v>
      </c>
      <c r="B87">
        <v>2</v>
      </c>
    </row>
    <row r="88" spans="1:2">
      <c r="A88" t="s">
        <v>57</v>
      </c>
      <c r="B88">
        <v>1</v>
      </c>
    </row>
    <row r="89" spans="1:2">
      <c r="A89" t="s">
        <v>25</v>
      </c>
      <c r="B89">
        <v>1</v>
      </c>
    </row>
    <row r="90" spans="1:2">
      <c r="A90" t="s">
        <v>58</v>
      </c>
      <c r="B90">
        <v>1</v>
      </c>
    </row>
    <row r="91" spans="1:2">
      <c r="A91" t="s">
        <v>31</v>
      </c>
      <c r="B91">
        <v>1</v>
      </c>
    </row>
    <row r="92" spans="1:2">
      <c r="A92" t="s">
        <v>59</v>
      </c>
      <c r="B92">
        <v>1</v>
      </c>
    </row>
    <row r="93" spans="1:2">
      <c r="A93" t="s">
        <v>60</v>
      </c>
      <c r="B93">
        <v>1</v>
      </c>
    </row>
    <row r="94" spans="1:2">
      <c r="A94" t="s">
        <v>32</v>
      </c>
      <c r="B94">
        <v>1</v>
      </c>
    </row>
    <row r="95" spans="1:2">
      <c r="A95" t="s">
        <v>31</v>
      </c>
      <c r="B95">
        <v>1</v>
      </c>
    </row>
    <row r="96" spans="1:2">
      <c r="A96" t="s">
        <v>21</v>
      </c>
      <c r="B96">
        <v>1</v>
      </c>
    </row>
    <row r="97" spans="1:2">
      <c r="A97" t="s">
        <v>61</v>
      </c>
      <c r="B97">
        <v>1</v>
      </c>
    </row>
    <row r="98" spans="1:2">
      <c r="A98" t="s">
        <v>58</v>
      </c>
      <c r="B98">
        <v>1</v>
      </c>
    </row>
    <row r="99" spans="1:2">
      <c r="A99" t="s">
        <v>62</v>
      </c>
      <c r="B99">
        <v>1</v>
      </c>
    </row>
    <row r="100" spans="1:2">
      <c r="A100" t="s">
        <v>27</v>
      </c>
      <c r="B100">
        <v>1</v>
      </c>
    </row>
    <row r="101" spans="1:2">
      <c r="A101" t="s">
        <v>53</v>
      </c>
      <c r="B101">
        <v>1</v>
      </c>
    </row>
    <row r="102" spans="1:2">
      <c r="A102" t="s">
        <v>63</v>
      </c>
      <c r="B102">
        <v>1</v>
      </c>
    </row>
    <row r="103" spans="1:2">
      <c r="A103" t="s">
        <v>55</v>
      </c>
      <c r="B103">
        <v>1</v>
      </c>
    </row>
    <row r="104" spans="1:2">
      <c r="A104" t="s">
        <v>32</v>
      </c>
      <c r="B104">
        <v>1</v>
      </c>
    </row>
    <row r="105" spans="1:2">
      <c r="A105" t="s">
        <v>64</v>
      </c>
      <c r="B105">
        <v>1</v>
      </c>
    </row>
    <row r="106" spans="1:2">
      <c r="A106" t="s">
        <v>54</v>
      </c>
      <c r="B106">
        <v>1</v>
      </c>
    </row>
    <row r="107" spans="1:2">
      <c r="A107" t="s">
        <v>31</v>
      </c>
      <c r="B107">
        <v>1</v>
      </c>
    </row>
    <row r="108" spans="1:2">
      <c r="A108" t="s">
        <v>65</v>
      </c>
      <c r="B108">
        <v>1</v>
      </c>
    </row>
    <row r="109" spans="1:2">
      <c r="A109" t="s">
        <v>54</v>
      </c>
      <c r="B109">
        <v>1</v>
      </c>
    </row>
    <row r="110" spans="1:2">
      <c r="A110" t="s">
        <v>35</v>
      </c>
      <c r="B110">
        <v>1</v>
      </c>
    </row>
    <row r="111" spans="1:2">
      <c r="A111" t="s">
        <v>47</v>
      </c>
      <c r="B111">
        <v>1</v>
      </c>
    </row>
    <row r="112" spans="1:2">
      <c r="A112" t="s">
        <v>26</v>
      </c>
      <c r="B112">
        <v>1</v>
      </c>
    </row>
    <row r="113" spans="1:2">
      <c r="A113" t="s">
        <v>11</v>
      </c>
      <c r="B113">
        <v>1</v>
      </c>
    </row>
    <row r="114" spans="1:2">
      <c r="A114" t="s">
        <v>64</v>
      </c>
      <c r="B114">
        <v>1</v>
      </c>
    </row>
    <row r="115" spans="1:2">
      <c r="A115" t="s">
        <v>26</v>
      </c>
      <c r="B115">
        <v>1</v>
      </c>
    </row>
    <row r="116" spans="1:2">
      <c r="A116" t="s">
        <v>59</v>
      </c>
      <c r="B116">
        <v>1</v>
      </c>
    </row>
    <row r="117" spans="1:2">
      <c r="A117" t="s">
        <v>45</v>
      </c>
      <c r="B117">
        <v>1</v>
      </c>
    </row>
    <row r="118" spans="1:2">
      <c r="A118" t="s">
        <v>20</v>
      </c>
      <c r="B118">
        <v>1</v>
      </c>
    </row>
    <row r="119" spans="1:2">
      <c r="A119" t="s">
        <v>41</v>
      </c>
      <c r="B119">
        <v>1</v>
      </c>
    </row>
    <row r="120" spans="1:2">
      <c r="A120" t="s">
        <v>53</v>
      </c>
      <c r="B120">
        <v>1</v>
      </c>
    </row>
    <row r="121" spans="1:2">
      <c r="A121" t="s">
        <v>12</v>
      </c>
      <c r="B121">
        <v>1</v>
      </c>
    </row>
    <row r="122" spans="1:2">
      <c r="A122" t="s">
        <v>3</v>
      </c>
      <c r="B122">
        <v>1</v>
      </c>
    </row>
    <row r="123" spans="1:2">
      <c r="A123" t="s">
        <v>8</v>
      </c>
      <c r="B123">
        <v>1</v>
      </c>
    </row>
    <row r="124" spans="1:2">
      <c r="A124" t="s">
        <v>66</v>
      </c>
      <c r="B124">
        <v>1</v>
      </c>
    </row>
    <row r="125" spans="1:2">
      <c r="A125" t="s">
        <v>67</v>
      </c>
      <c r="B125">
        <v>1</v>
      </c>
    </row>
    <row r="126" spans="1:2">
      <c r="A126" t="s">
        <v>59</v>
      </c>
      <c r="B126">
        <v>1</v>
      </c>
    </row>
    <row r="127" spans="1:2">
      <c r="A127" t="s">
        <v>48</v>
      </c>
      <c r="B127">
        <v>1</v>
      </c>
    </row>
    <row r="128" spans="1:2">
      <c r="A128" t="s">
        <v>14</v>
      </c>
      <c r="B128">
        <v>1</v>
      </c>
    </row>
    <row r="129" spans="1:2">
      <c r="A129" t="s">
        <v>48</v>
      </c>
      <c r="B129">
        <v>1</v>
      </c>
    </row>
    <row r="130" spans="1:2">
      <c r="A130" t="s">
        <v>18</v>
      </c>
      <c r="B130">
        <v>1</v>
      </c>
    </row>
    <row r="131" spans="1:2">
      <c r="A131" t="s">
        <v>41</v>
      </c>
      <c r="B131">
        <v>1</v>
      </c>
    </row>
    <row r="132" spans="1:2">
      <c r="A132" t="s">
        <v>6</v>
      </c>
      <c r="B132">
        <v>1</v>
      </c>
    </row>
    <row r="133" spans="1:2">
      <c r="A133" t="s">
        <v>48</v>
      </c>
      <c r="B133">
        <v>1</v>
      </c>
    </row>
    <row r="134" spans="1:2">
      <c r="A134" t="s">
        <v>62</v>
      </c>
      <c r="B134">
        <v>1</v>
      </c>
    </row>
    <row r="135" spans="1:2">
      <c r="A135" t="s">
        <v>50</v>
      </c>
      <c r="B135">
        <v>1</v>
      </c>
    </row>
    <row r="136" spans="1:2">
      <c r="A136" t="s">
        <v>10</v>
      </c>
      <c r="B136">
        <v>1</v>
      </c>
    </row>
    <row r="137" spans="1:2">
      <c r="A137" t="s">
        <v>66</v>
      </c>
      <c r="B137">
        <v>1</v>
      </c>
    </row>
    <row r="138" spans="1:2">
      <c r="A138" t="s">
        <v>68</v>
      </c>
      <c r="B138">
        <v>1</v>
      </c>
    </row>
    <row r="139" spans="1:2">
      <c r="A139" t="s">
        <v>61</v>
      </c>
      <c r="B139">
        <v>1</v>
      </c>
    </row>
    <row r="140" spans="1:2">
      <c r="A140" t="s">
        <v>69</v>
      </c>
      <c r="B140">
        <v>1</v>
      </c>
    </row>
    <row r="141" spans="1:2">
      <c r="A141" t="s">
        <v>46</v>
      </c>
      <c r="B141">
        <v>1</v>
      </c>
    </row>
    <row r="142" spans="1:2">
      <c r="A142" t="s">
        <v>70</v>
      </c>
      <c r="B142">
        <v>1</v>
      </c>
    </row>
    <row r="143" spans="1:2">
      <c r="A143" t="s">
        <v>38</v>
      </c>
      <c r="B143">
        <v>1</v>
      </c>
    </row>
    <row r="144" spans="1:2">
      <c r="A144" t="s">
        <v>26</v>
      </c>
      <c r="B144">
        <v>1</v>
      </c>
    </row>
    <row r="145" spans="1:2">
      <c r="A145" t="s">
        <v>35</v>
      </c>
      <c r="B145">
        <v>1</v>
      </c>
    </row>
    <row r="146" spans="1:2">
      <c r="A146" t="s">
        <v>59</v>
      </c>
      <c r="B146">
        <v>1</v>
      </c>
    </row>
    <row r="147" spans="1:2">
      <c r="A147" t="s">
        <v>52</v>
      </c>
      <c r="B147">
        <v>1</v>
      </c>
    </row>
    <row r="148" spans="1:2">
      <c r="A148" t="s">
        <v>9</v>
      </c>
      <c r="B148">
        <v>1</v>
      </c>
    </row>
    <row r="149" spans="1:2">
      <c r="A149" t="s">
        <v>27</v>
      </c>
      <c r="B149">
        <v>1</v>
      </c>
    </row>
    <row r="150" spans="1:2">
      <c r="A150" t="s">
        <v>71</v>
      </c>
      <c r="B150">
        <v>0</v>
      </c>
    </row>
    <row r="151" spans="1:2">
      <c r="A151" t="s">
        <v>9</v>
      </c>
      <c r="B151">
        <v>0</v>
      </c>
    </row>
    <row r="152" spans="1:2">
      <c r="A152" t="s">
        <v>51</v>
      </c>
      <c r="B152">
        <v>0</v>
      </c>
    </row>
    <row r="153" spans="1:2">
      <c r="A153" t="s">
        <v>66</v>
      </c>
      <c r="B153">
        <v>0</v>
      </c>
    </row>
    <row r="154" spans="1:2">
      <c r="A154" t="s">
        <v>72</v>
      </c>
      <c r="B154">
        <v>0</v>
      </c>
    </row>
    <row r="155" spans="1:2">
      <c r="A155" t="s">
        <v>19</v>
      </c>
      <c r="B155">
        <v>0</v>
      </c>
    </row>
    <row r="156" spans="1:2">
      <c r="A156" t="s">
        <v>55</v>
      </c>
      <c r="B156">
        <v>0</v>
      </c>
    </row>
    <row r="157" spans="1:2">
      <c r="A157" t="s">
        <v>57</v>
      </c>
      <c r="B157">
        <v>0</v>
      </c>
    </row>
    <row r="158" spans="1:2">
      <c r="A158" t="s">
        <v>73</v>
      </c>
      <c r="B158">
        <v>0</v>
      </c>
    </row>
    <row r="159" spans="1:2">
      <c r="A159" t="s">
        <v>15</v>
      </c>
      <c r="B159">
        <v>0</v>
      </c>
    </row>
    <row r="160" spans="1:2">
      <c r="A160" t="s">
        <v>12</v>
      </c>
      <c r="B160">
        <v>0</v>
      </c>
    </row>
    <row r="161" spans="1:2">
      <c r="A161" t="s">
        <v>14</v>
      </c>
      <c r="B161">
        <v>0</v>
      </c>
    </row>
    <row r="162" spans="1:2">
      <c r="A162" t="s">
        <v>17</v>
      </c>
      <c r="B162">
        <v>0</v>
      </c>
    </row>
    <row r="163" spans="1:2">
      <c r="A163" t="s">
        <v>37</v>
      </c>
      <c r="B163">
        <v>0</v>
      </c>
    </row>
    <row r="164" spans="1:2">
      <c r="A164" t="s">
        <v>15</v>
      </c>
      <c r="B164">
        <v>0</v>
      </c>
    </row>
    <row r="165" spans="1:2">
      <c r="A165" t="s">
        <v>26</v>
      </c>
      <c r="B165">
        <v>0</v>
      </c>
    </row>
    <row r="166" spans="1:2">
      <c r="A166" t="s">
        <v>73</v>
      </c>
      <c r="B166">
        <v>0</v>
      </c>
    </row>
    <row r="167" spans="1:2">
      <c r="A167" t="s">
        <v>35</v>
      </c>
      <c r="B167">
        <v>0</v>
      </c>
    </row>
    <row r="168" spans="1:2">
      <c r="A168" t="s">
        <v>52</v>
      </c>
      <c r="B168">
        <v>0</v>
      </c>
    </row>
    <row r="169" spans="1:2">
      <c r="A169" t="s">
        <v>29</v>
      </c>
      <c r="B169">
        <v>0</v>
      </c>
    </row>
    <row r="170" spans="1:2">
      <c r="A170" t="s">
        <v>44</v>
      </c>
      <c r="B170">
        <v>0</v>
      </c>
    </row>
    <row r="171" spans="1:2">
      <c r="A171" t="s">
        <v>74</v>
      </c>
      <c r="B171">
        <v>0</v>
      </c>
    </row>
    <row r="172" spans="1:2">
      <c r="A172" t="s">
        <v>29</v>
      </c>
      <c r="B172">
        <v>0</v>
      </c>
    </row>
    <row r="173" spans="1:2">
      <c r="A173" t="s">
        <v>14</v>
      </c>
      <c r="B173">
        <v>0</v>
      </c>
    </row>
    <row r="174" spans="1:2">
      <c r="A174" t="s">
        <v>36</v>
      </c>
      <c r="B174">
        <v>0</v>
      </c>
    </row>
    <row r="175" spans="1:2">
      <c r="A175" t="s">
        <v>47</v>
      </c>
      <c r="B175">
        <v>0</v>
      </c>
    </row>
    <row r="176" spans="1:2">
      <c r="A176" t="s">
        <v>55</v>
      </c>
      <c r="B176">
        <v>0</v>
      </c>
    </row>
    <row r="177" spans="1:2">
      <c r="A177" t="s">
        <v>13</v>
      </c>
      <c r="B177">
        <v>0</v>
      </c>
    </row>
    <row r="178" spans="1:2">
      <c r="A178" t="s">
        <v>48</v>
      </c>
      <c r="B178">
        <v>0</v>
      </c>
    </row>
    <row r="179" spans="1:2">
      <c r="A179" t="s">
        <v>53</v>
      </c>
      <c r="B179">
        <v>0</v>
      </c>
    </row>
    <row r="180" spans="1:2">
      <c r="A180" t="s">
        <v>73</v>
      </c>
      <c r="B180">
        <v>0</v>
      </c>
    </row>
    <row r="181" spans="1:2">
      <c r="A181" t="s">
        <v>55</v>
      </c>
      <c r="B181">
        <v>0</v>
      </c>
    </row>
    <row r="182" spans="1:2">
      <c r="A182" t="s">
        <v>67</v>
      </c>
      <c r="B182">
        <v>0</v>
      </c>
    </row>
    <row r="183" spans="1:2">
      <c r="A183" t="s">
        <v>54</v>
      </c>
      <c r="B183">
        <v>0</v>
      </c>
    </row>
    <row r="184" spans="1:2">
      <c r="A184" t="s">
        <v>16</v>
      </c>
      <c r="B184">
        <v>0</v>
      </c>
    </row>
    <row r="185" spans="1:2">
      <c r="A185" t="s">
        <v>21</v>
      </c>
      <c r="B185">
        <v>0</v>
      </c>
    </row>
    <row r="186" spans="1:2">
      <c r="A186" t="s">
        <v>75</v>
      </c>
      <c r="B186">
        <v>0</v>
      </c>
    </row>
    <row r="187" spans="1:2">
      <c r="A187" t="s">
        <v>32</v>
      </c>
      <c r="B187">
        <v>0</v>
      </c>
    </row>
    <row r="188" spans="1:2">
      <c r="A188" t="s">
        <v>59</v>
      </c>
      <c r="B188">
        <v>0</v>
      </c>
    </row>
    <row r="189" spans="1:2">
      <c r="A189" t="s">
        <v>29</v>
      </c>
      <c r="B189">
        <v>0</v>
      </c>
    </row>
    <row r="190" spans="1:2">
      <c r="A190" t="s">
        <v>17</v>
      </c>
      <c r="B190">
        <v>0</v>
      </c>
    </row>
    <row r="191" spans="1:2">
      <c r="A191" t="s">
        <v>39</v>
      </c>
      <c r="B191">
        <v>0</v>
      </c>
    </row>
    <row r="192" spans="1:2">
      <c r="A192" t="s">
        <v>55</v>
      </c>
      <c r="B192">
        <v>0</v>
      </c>
    </row>
    <row r="193" spans="1:2">
      <c r="A193" t="s">
        <v>76</v>
      </c>
      <c r="B193">
        <v>0</v>
      </c>
    </row>
    <row r="194" spans="1:2">
      <c r="A194" t="s">
        <v>66</v>
      </c>
      <c r="B194">
        <v>0</v>
      </c>
    </row>
    <row r="195" spans="1:2">
      <c r="A195" t="s">
        <v>67</v>
      </c>
      <c r="B195">
        <v>0</v>
      </c>
    </row>
    <row r="196" spans="1:2">
      <c r="A196" t="s">
        <v>66</v>
      </c>
      <c r="B196">
        <v>0</v>
      </c>
    </row>
    <row r="197" spans="1:2">
      <c r="A197" t="s">
        <v>60</v>
      </c>
      <c r="B197">
        <v>0</v>
      </c>
    </row>
    <row r="198" spans="1:2">
      <c r="A198" t="s">
        <v>25</v>
      </c>
      <c r="B198">
        <v>0</v>
      </c>
    </row>
    <row r="199" spans="1:2">
      <c r="A199" t="s">
        <v>41</v>
      </c>
      <c r="B199">
        <v>0</v>
      </c>
    </row>
    <row r="200" spans="1:2">
      <c r="A200" t="s">
        <v>77</v>
      </c>
      <c r="B200">
        <v>0</v>
      </c>
    </row>
    <row r="201" spans="1:2">
      <c r="A201" t="s">
        <v>40</v>
      </c>
      <c r="B201">
        <v>0</v>
      </c>
    </row>
    <row r="202" spans="1:2">
      <c r="A202" t="s">
        <v>25</v>
      </c>
      <c r="B202">
        <v>0</v>
      </c>
    </row>
    <row r="203" spans="1:2">
      <c r="A203" t="s">
        <v>32</v>
      </c>
      <c r="B203">
        <v>0</v>
      </c>
    </row>
    <row r="204" spans="1:2">
      <c r="A204" t="s">
        <v>54</v>
      </c>
      <c r="B204">
        <v>0</v>
      </c>
    </row>
    <row r="205" spans="1:2">
      <c r="A205" t="s">
        <v>37</v>
      </c>
      <c r="B205">
        <v>0</v>
      </c>
    </row>
    <row r="206" spans="1:2">
      <c r="A206" t="s">
        <v>70</v>
      </c>
      <c r="B206">
        <v>0</v>
      </c>
    </row>
    <row r="207" spans="1:2">
      <c r="A207" t="s">
        <v>39</v>
      </c>
      <c r="B207">
        <v>0</v>
      </c>
    </row>
    <row r="208" spans="1:2">
      <c r="A208" t="s">
        <v>78</v>
      </c>
      <c r="B208">
        <v>0</v>
      </c>
    </row>
    <row r="209" spans="1:2">
      <c r="A209" t="s">
        <v>79</v>
      </c>
      <c r="B209">
        <v>0</v>
      </c>
    </row>
    <row r="210" spans="1:2">
      <c r="A210" t="s">
        <v>60</v>
      </c>
      <c r="B210">
        <v>0</v>
      </c>
    </row>
    <row r="211" spans="1:2">
      <c r="A211" t="s">
        <v>10</v>
      </c>
      <c r="B211">
        <v>0</v>
      </c>
    </row>
    <row r="212" spans="1:2">
      <c r="A212" t="s">
        <v>52</v>
      </c>
      <c r="B212">
        <v>0</v>
      </c>
    </row>
    <row r="213" spans="1:2">
      <c r="A213" t="s">
        <v>80</v>
      </c>
      <c r="B213">
        <v>0</v>
      </c>
    </row>
    <row r="214" spans="1:2">
      <c r="A214" t="s">
        <v>2</v>
      </c>
      <c r="B214">
        <v>0</v>
      </c>
    </row>
    <row r="215" spans="1:2">
      <c r="A215" t="s">
        <v>27</v>
      </c>
      <c r="B215">
        <v>0</v>
      </c>
    </row>
    <row r="216" spans="1:2">
      <c r="A216" t="s">
        <v>81</v>
      </c>
      <c r="B216">
        <v>0</v>
      </c>
    </row>
    <row r="217" spans="1:2">
      <c r="A217" t="s">
        <v>21</v>
      </c>
      <c r="B217">
        <v>0</v>
      </c>
    </row>
    <row r="218" spans="1:2">
      <c r="A218" t="s">
        <v>27</v>
      </c>
      <c r="B218">
        <v>0</v>
      </c>
    </row>
    <row r="219" spans="1:2">
      <c r="A219" t="s">
        <v>8</v>
      </c>
      <c r="B219">
        <v>0</v>
      </c>
    </row>
    <row r="220" spans="1:2">
      <c r="A220" t="s">
        <v>59</v>
      </c>
      <c r="B220">
        <v>0</v>
      </c>
    </row>
    <row r="221" spans="1:2">
      <c r="A221" t="s">
        <v>19</v>
      </c>
      <c r="B221">
        <v>0</v>
      </c>
    </row>
    <row r="222" spans="1:2">
      <c r="A222" t="s">
        <v>35</v>
      </c>
      <c r="B222">
        <v>0</v>
      </c>
    </row>
    <row r="223" spans="1:2">
      <c r="A223" t="s">
        <v>62</v>
      </c>
      <c r="B223">
        <v>0</v>
      </c>
    </row>
    <row r="224" spans="1:2">
      <c r="A224" t="s">
        <v>3</v>
      </c>
      <c r="B224">
        <v>0</v>
      </c>
    </row>
    <row r="225" spans="1:2">
      <c r="A225" t="s">
        <v>13</v>
      </c>
      <c r="B225">
        <v>0</v>
      </c>
    </row>
    <row r="226" spans="1:2">
      <c r="A226" t="s">
        <v>69</v>
      </c>
      <c r="B226">
        <v>0</v>
      </c>
    </row>
    <row r="227" spans="1:2">
      <c r="A227" t="s">
        <v>4</v>
      </c>
      <c r="B227">
        <v>0</v>
      </c>
    </row>
    <row r="228" spans="1:2">
      <c r="A228" t="s">
        <v>15</v>
      </c>
      <c r="B228">
        <v>0</v>
      </c>
    </row>
    <row r="229" spans="1:2">
      <c r="A229" t="s">
        <v>19</v>
      </c>
      <c r="B229">
        <v>0</v>
      </c>
    </row>
    <row r="230" spans="1:2">
      <c r="A230" t="s">
        <v>47</v>
      </c>
      <c r="B230">
        <v>0</v>
      </c>
    </row>
    <row r="231" spans="1:2">
      <c r="A231" t="s">
        <v>8</v>
      </c>
      <c r="B231">
        <v>0</v>
      </c>
    </row>
    <row r="232" spans="1:2">
      <c r="A232" t="s">
        <v>36</v>
      </c>
      <c r="B232">
        <v>0</v>
      </c>
    </row>
    <row r="233" spans="1:2">
      <c r="A233" t="s">
        <v>30</v>
      </c>
      <c r="B233">
        <v>0</v>
      </c>
    </row>
    <row r="234" spans="1:2">
      <c r="A234" t="s">
        <v>13</v>
      </c>
      <c r="B234">
        <v>0</v>
      </c>
    </row>
    <row r="235" spans="1:2">
      <c r="A235" t="s">
        <v>82</v>
      </c>
      <c r="B235">
        <v>0</v>
      </c>
    </row>
    <row r="236" spans="1:2">
      <c r="A236" t="s">
        <v>13</v>
      </c>
      <c r="B236">
        <v>0</v>
      </c>
    </row>
    <row r="237" spans="1:2">
      <c r="A237" t="s">
        <v>83</v>
      </c>
      <c r="B237">
        <v>0</v>
      </c>
    </row>
    <row r="238" spans="1:2">
      <c r="A238" t="s">
        <v>75</v>
      </c>
      <c r="B238">
        <v>0</v>
      </c>
    </row>
    <row r="239" spans="1:2">
      <c r="A239" t="s">
        <v>79</v>
      </c>
      <c r="B239">
        <v>0</v>
      </c>
    </row>
    <row r="240" spans="1:2">
      <c r="A240" t="s">
        <v>5</v>
      </c>
      <c r="B240">
        <v>0</v>
      </c>
    </row>
    <row r="241" spans="1:2">
      <c r="A241" t="s">
        <v>75</v>
      </c>
      <c r="B241">
        <v>0</v>
      </c>
    </row>
    <row r="242" spans="1:2">
      <c r="A242" t="s">
        <v>3</v>
      </c>
      <c r="B242">
        <v>0</v>
      </c>
    </row>
    <row r="243" spans="1:2">
      <c r="A243" t="s">
        <v>76</v>
      </c>
      <c r="B243">
        <v>0</v>
      </c>
    </row>
    <row r="244" spans="1:2">
      <c r="A244" t="s">
        <v>48</v>
      </c>
      <c r="B244">
        <v>0</v>
      </c>
    </row>
    <row r="245" spans="1:2">
      <c r="A245" t="s">
        <v>26</v>
      </c>
      <c r="B245">
        <v>0</v>
      </c>
    </row>
    <row r="246" spans="1:2">
      <c r="A246" t="s">
        <v>80</v>
      </c>
      <c r="B246">
        <v>0</v>
      </c>
    </row>
    <row r="247" spans="1:2">
      <c r="A247" t="s">
        <v>21</v>
      </c>
      <c r="B247">
        <v>0</v>
      </c>
    </row>
    <row r="248" spans="1:2">
      <c r="A248" t="s">
        <v>60</v>
      </c>
      <c r="B248">
        <v>0</v>
      </c>
    </row>
    <row r="249" spans="1:2">
      <c r="A249" t="s">
        <v>70</v>
      </c>
      <c r="B249">
        <v>0</v>
      </c>
    </row>
    <row r="250" spans="1:2">
      <c r="A250" t="s">
        <v>80</v>
      </c>
      <c r="B250">
        <v>0</v>
      </c>
    </row>
    <row r="251" spans="1:2">
      <c r="A251" t="s">
        <v>66</v>
      </c>
      <c r="B251">
        <v>0</v>
      </c>
    </row>
    <row r="252" spans="1:2">
      <c r="A252" t="s">
        <v>49</v>
      </c>
      <c r="B252">
        <v>0</v>
      </c>
    </row>
    <row r="253" spans="1:2">
      <c r="A253" t="s">
        <v>64</v>
      </c>
      <c r="B253">
        <v>0</v>
      </c>
    </row>
    <row r="254" spans="1:2">
      <c r="A254" t="s">
        <v>70</v>
      </c>
      <c r="B254">
        <v>0</v>
      </c>
    </row>
    <row r="255" spans="1:2">
      <c r="A255" t="s">
        <v>84</v>
      </c>
      <c r="B255">
        <v>0</v>
      </c>
    </row>
    <row r="256" spans="1:2">
      <c r="A256" t="s">
        <v>8</v>
      </c>
      <c r="B256">
        <v>0</v>
      </c>
    </row>
    <row r="257" spans="1:2">
      <c r="A257" t="s">
        <v>44</v>
      </c>
      <c r="B257">
        <v>0</v>
      </c>
    </row>
    <row r="258" spans="1:2">
      <c r="A258" t="s">
        <v>34</v>
      </c>
      <c r="B258">
        <v>0</v>
      </c>
    </row>
    <row r="259" spans="1:2">
      <c r="A259" t="s">
        <v>76</v>
      </c>
      <c r="B259">
        <v>0</v>
      </c>
    </row>
    <row r="260" spans="1:2">
      <c r="A260" t="s">
        <v>46</v>
      </c>
      <c r="B260">
        <v>0</v>
      </c>
    </row>
    <row r="261" spans="1:2">
      <c r="A261" t="s">
        <v>82</v>
      </c>
      <c r="B261">
        <v>0</v>
      </c>
    </row>
    <row r="262" spans="1:2">
      <c r="A262" t="s">
        <v>55</v>
      </c>
      <c r="B262">
        <v>0</v>
      </c>
    </row>
    <row r="263" spans="1:2">
      <c r="A263" t="s">
        <v>59</v>
      </c>
      <c r="B263">
        <v>0</v>
      </c>
    </row>
    <row r="264" spans="1:2">
      <c r="A264" t="s">
        <v>21</v>
      </c>
      <c r="B264">
        <v>0</v>
      </c>
    </row>
    <row r="265" spans="1:2">
      <c r="A265" t="s">
        <v>17</v>
      </c>
      <c r="B265">
        <v>0</v>
      </c>
    </row>
    <row r="266" spans="1:2">
      <c r="A266" t="s">
        <v>43</v>
      </c>
      <c r="B266">
        <v>0</v>
      </c>
    </row>
    <row r="267" spans="1:2">
      <c r="A267" t="s">
        <v>44</v>
      </c>
      <c r="B267">
        <v>0</v>
      </c>
    </row>
    <row r="268" spans="1:2">
      <c r="A268" t="s">
        <v>53</v>
      </c>
      <c r="B268">
        <v>0</v>
      </c>
    </row>
    <row r="269" spans="1:2">
      <c r="A269" t="s">
        <v>13</v>
      </c>
      <c r="B269">
        <v>0</v>
      </c>
    </row>
    <row r="270" spans="1:2">
      <c r="A270" t="s">
        <v>59</v>
      </c>
      <c r="B270">
        <v>0</v>
      </c>
    </row>
    <row r="271" spans="1:2">
      <c r="A271" t="s">
        <v>85</v>
      </c>
      <c r="B271">
        <v>0</v>
      </c>
    </row>
    <row r="272" spans="1:2">
      <c r="A272" t="s">
        <v>39</v>
      </c>
      <c r="B272">
        <v>0</v>
      </c>
    </row>
    <row r="273" spans="1:2">
      <c r="A273" t="s">
        <v>50</v>
      </c>
      <c r="B273">
        <v>0</v>
      </c>
    </row>
    <row r="274" spans="1:2">
      <c r="A274" t="s">
        <v>19</v>
      </c>
      <c r="B274">
        <v>0</v>
      </c>
    </row>
    <row r="275" spans="1:2">
      <c r="A275" t="s">
        <v>60</v>
      </c>
      <c r="B275">
        <v>0</v>
      </c>
    </row>
    <row r="276" spans="1:2">
      <c r="A276" t="s">
        <v>25</v>
      </c>
      <c r="B276">
        <v>0</v>
      </c>
    </row>
    <row r="277" spans="1:2">
      <c r="A277" t="s">
        <v>59</v>
      </c>
      <c r="B277">
        <v>0</v>
      </c>
    </row>
    <row r="278" spans="1:2">
      <c r="A278" t="s">
        <v>41</v>
      </c>
      <c r="B278">
        <v>0</v>
      </c>
    </row>
    <row r="279" spans="1:2">
      <c r="A279" t="s">
        <v>60</v>
      </c>
      <c r="B279">
        <v>0</v>
      </c>
    </row>
    <row r="280" spans="1:2">
      <c r="A280" t="s">
        <v>76</v>
      </c>
      <c r="B280">
        <v>0</v>
      </c>
    </row>
    <row r="281" spans="1:2">
      <c r="A281" t="s">
        <v>28</v>
      </c>
      <c r="B281">
        <v>0</v>
      </c>
    </row>
    <row r="282" spans="1:2">
      <c r="A282" t="s">
        <v>13</v>
      </c>
      <c r="B282">
        <v>0</v>
      </c>
    </row>
    <row r="283" spans="1:2">
      <c r="A283" t="s">
        <v>86</v>
      </c>
      <c r="B283">
        <v>0</v>
      </c>
    </row>
    <row r="284" spans="1:2">
      <c r="A284" t="s">
        <v>84</v>
      </c>
      <c r="B284">
        <v>0</v>
      </c>
    </row>
    <row r="285" spans="1:2">
      <c r="A285" t="s">
        <v>62</v>
      </c>
      <c r="B285">
        <v>0</v>
      </c>
    </row>
    <row r="286" spans="1:2">
      <c r="A286" t="s">
        <v>38</v>
      </c>
      <c r="B286">
        <v>0</v>
      </c>
    </row>
    <row r="287" spans="1:2">
      <c r="A287" t="s">
        <v>72</v>
      </c>
      <c r="B287">
        <v>0</v>
      </c>
    </row>
    <row r="288" spans="1:2">
      <c r="A288" t="s">
        <v>87</v>
      </c>
      <c r="B288">
        <v>0</v>
      </c>
    </row>
    <row r="289" spans="1:2">
      <c r="A289" t="s">
        <v>23</v>
      </c>
      <c r="B289">
        <v>0</v>
      </c>
    </row>
    <row r="290" spans="1:2">
      <c r="A290" t="s">
        <v>45</v>
      </c>
      <c r="B290">
        <v>0</v>
      </c>
    </row>
    <row r="291" spans="1:2">
      <c r="A291" t="s">
        <v>11</v>
      </c>
      <c r="B291">
        <v>0</v>
      </c>
    </row>
    <row r="292" spans="1:2">
      <c r="A292" t="s">
        <v>38</v>
      </c>
      <c r="B292">
        <v>0</v>
      </c>
    </row>
    <row r="293" spans="1:2">
      <c r="A293" t="s">
        <v>12</v>
      </c>
      <c r="B293">
        <v>0</v>
      </c>
    </row>
    <row r="294" spans="1:2">
      <c r="A294" t="s">
        <v>66</v>
      </c>
      <c r="B294">
        <v>0</v>
      </c>
    </row>
    <row r="295" spans="1:2">
      <c r="A295" t="s">
        <v>72</v>
      </c>
      <c r="B295">
        <v>0</v>
      </c>
    </row>
    <row r="296" spans="1:2">
      <c r="A296" t="s">
        <v>76</v>
      </c>
      <c r="B296">
        <v>0</v>
      </c>
    </row>
    <row r="297" spans="1:2">
      <c r="A297" t="s">
        <v>76</v>
      </c>
      <c r="B297">
        <v>0</v>
      </c>
    </row>
    <row r="298" spans="1:2">
      <c r="A298" t="s">
        <v>4</v>
      </c>
      <c r="B298">
        <v>0</v>
      </c>
    </row>
    <row r="299" spans="1:2">
      <c r="A299" t="s">
        <v>50</v>
      </c>
      <c r="B299">
        <v>0</v>
      </c>
    </row>
    <row r="300" spans="1:2">
      <c r="A300" t="s">
        <v>3</v>
      </c>
      <c r="B300">
        <v>0</v>
      </c>
    </row>
    <row r="301" spans="1:2">
      <c r="A301" t="s">
        <v>61</v>
      </c>
      <c r="B301">
        <v>0</v>
      </c>
    </row>
    <row r="302" spans="1:2">
      <c r="A302" t="s">
        <v>46</v>
      </c>
      <c r="B302">
        <v>0</v>
      </c>
    </row>
    <row r="303" spans="1:2">
      <c r="A303" t="s">
        <v>60</v>
      </c>
      <c r="B303">
        <v>0</v>
      </c>
    </row>
    <row r="304" spans="1:2">
      <c r="A304" t="s">
        <v>63</v>
      </c>
      <c r="B304">
        <v>0</v>
      </c>
    </row>
    <row r="305" spans="1:2">
      <c r="A305" t="s">
        <v>32</v>
      </c>
      <c r="B305">
        <v>0</v>
      </c>
    </row>
    <row r="306" spans="1:2">
      <c r="A306" t="s">
        <v>38</v>
      </c>
      <c r="B306">
        <v>0</v>
      </c>
    </row>
    <row r="307" spans="1:2">
      <c r="A307" t="s">
        <v>88</v>
      </c>
      <c r="B307">
        <v>0</v>
      </c>
    </row>
    <row r="308" spans="1:2">
      <c r="A308" t="s">
        <v>89</v>
      </c>
      <c r="B308">
        <v>0</v>
      </c>
    </row>
    <row r="309" spans="1:2">
      <c r="A309" t="s">
        <v>20</v>
      </c>
      <c r="B309">
        <v>0</v>
      </c>
    </row>
    <row r="310" spans="1:2">
      <c r="A310" t="s">
        <v>52</v>
      </c>
      <c r="B310">
        <v>0</v>
      </c>
    </row>
    <row r="311" spans="1:2">
      <c r="A311" t="s">
        <v>41</v>
      </c>
      <c r="B311">
        <v>0</v>
      </c>
    </row>
    <row r="312" spans="1:2">
      <c r="A312" t="s">
        <v>30</v>
      </c>
      <c r="B312">
        <v>0</v>
      </c>
    </row>
    <row r="313" spans="1:2">
      <c r="A313" t="s">
        <v>36</v>
      </c>
      <c r="B313">
        <v>0</v>
      </c>
    </row>
    <row r="314" spans="1:2">
      <c r="A314" t="s">
        <v>30</v>
      </c>
      <c r="B314">
        <v>0</v>
      </c>
    </row>
    <row r="315" spans="1:2">
      <c r="A315" t="s">
        <v>51</v>
      </c>
      <c r="B315">
        <v>0</v>
      </c>
    </row>
    <row r="316" spans="1:2">
      <c r="A316" t="s">
        <v>5</v>
      </c>
      <c r="B316">
        <v>0</v>
      </c>
    </row>
    <row r="317" spans="1:2">
      <c r="A317" t="s">
        <v>28</v>
      </c>
      <c r="B317">
        <v>0</v>
      </c>
    </row>
    <row r="318" spans="1:2">
      <c r="A318" t="s">
        <v>33</v>
      </c>
      <c r="B318">
        <v>0</v>
      </c>
    </row>
    <row r="319" spans="1:2">
      <c r="A319" t="s">
        <v>62</v>
      </c>
      <c r="B319">
        <v>0</v>
      </c>
    </row>
    <row r="320" spans="1:2">
      <c r="A320" t="s">
        <v>56</v>
      </c>
      <c r="B320">
        <v>0</v>
      </c>
    </row>
    <row r="321" spans="1:2">
      <c r="A321" t="s">
        <v>86</v>
      </c>
      <c r="B321">
        <v>0</v>
      </c>
    </row>
    <row r="322" spans="1:2">
      <c r="A322" t="s">
        <v>19</v>
      </c>
      <c r="B322">
        <v>0</v>
      </c>
    </row>
    <row r="323" spans="1:2">
      <c r="A323" t="s">
        <v>28</v>
      </c>
      <c r="B323">
        <v>0</v>
      </c>
    </row>
    <row r="324" spans="1:2">
      <c r="A324" t="s">
        <v>54</v>
      </c>
      <c r="B324">
        <v>0</v>
      </c>
    </row>
    <row r="325" spans="1:2">
      <c r="A325" t="s">
        <v>90</v>
      </c>
      <c r="B325">
        <v>0</v>
      </c>
    </row>
    <row r="326" spans="1:2">
      <c r="A326" t="s">
        <v>36</v>
      </c>
      <c r="B326">
        <v>0</v>
      </c>
    </row>
    <row r="327" spans="1:2">
      <c r="A327" t="s">
        <v>48</v>
      </c>
      <c r="B327">
        <v>0</v>
      </c>
    </row>
    <row r="328" spans="1:2">
      <c r="A328" t="s">
        <v>86</v>
      </c>
      <c r="B328">
        <v>0</v>
      </c>
    </row>
    <row r="329" spans="1:2">
      <c r="A329" t="s">
        <v>35</v>
      </c>
      <c r="B329">
        <v>0</v>
      </c>
    </row>
    <row r="330" spans="1:2">
      <c r="A330" t="s">
        <v>11</v>
      </c>
      <c r="B330">
        <v>0</v>
      </c>
    </row>
    <row r="331" spans="1:2">
      <c r="A331" t="s">
        <v>60</v>
      </c>
      <c r="B331">
        <v>0</v>
      </c>
    </row>
    <row r="332" spans="1:2">
      <c r="A332" t="s">
        <v>4</v>
      </c>
      <c r="B332">
        <v>0</v>
      </c>
    </row>
    <row r="333" spans="1:2">
      <c r="A333" t="s">
        <v>39</v>
      </c>
      <c r="B333">
        <v>0</v>
      </c>
    </row>
    <row r="334" spans="1:2">
      <c r="A334" t="s">
        <v>39</v>
      </c>
      <c r="B334">
        <v>0</v>
      </c>
    </row>
    <row r="335" spans="1:2">
      <c r="A335" t="s">
        <v>6</v>
      </c>
      <c r="B335">
        <v>0</v>
      </c>
    </row>
    <row r="336" spans="1:2">
      <c r="A336" t="s">
        <v>34</v>
      </c>
      <c r="B336">
        <v>0</v>
      </c>
    </row>
    <row r="337" spans="1:2">
      <c r="A337" t="s">
        <v>91</v>
      </c>
      <c r="B337">
        <v>0</v>
      </c>
    </row>
    <row r="338" spans="1:2">
      <c r="A338" t="s">
        <v>31</v>
      </c>
      <c r="B338">
        <v>0</v>
      </c>
    </row>
    <row r="339" spans="1:2">
      <c r="A339" t="s">
        <v>26</v>
      </c>
      <c r="B339">
        <v>0</v>
      </c>
    </row>
    <row r="340" spans="1:2">
      <c r="A340" t="s">
        <v>86</v>
      </c>
      <c r="B340">
        <v>0</v>
      </c>
    </row>
    <row r="341" spans="1:2">
      <c r="A341" t="s">
        <v>9</v>
      </c>
      <c r="B341">
        <v>0</v>
      </c>
    </row>
    <row r="342" spans="1:2">
      <c r="A342" t="s">
        <v>67</v>
      </c>
      <c r="B342">
        <v>0</v>
      </c>
    </row>
    <row r="343" spans="1:2">
      <c r="A343" t="s">
        <v>10</v>
      </c>
      <c r="B343">
        <v>0</v>
      </c>
    </row>
    <row r="344" spans="1:2">
      <c r="A344" t="s">
        <v>3</v>
      </c>
      <c r="B344">
        <v>0</v>
      </c>
    </row>
    <row r="345" spans="1:2">
      <c r="A345" t="s">
        <v>4</v>
      </c>
      <c r="B345">
        <v>0</v>
      </c>
    </row>
    <row r="346" spans="1:2">
      <c r="A346" t="s">
        <v>25</v>
      </c>
      <c r="B346">
        <v>0</v>
      </c>
    </row>
    <row r="347" spans="1:2">
      <c r="A347" t="s">
        <v>73</v>
      </c>
      <c r="B347">
        <v>0</v>
      </c>
    </row>
    <row r="348" spans="1:2">
      <c r="A348" t="s">
        <v>19</v>
      </c>
      <c r="B348">
        <v>0</v>
      </c>
    </row>
    <row r="349" spans="1:2">
      <c r="A349" t="s">
        <v>12</v>
      </c>
      <c r="B349">
        <v>0</v>
      </c>
    </row>
    <row r="350" spans="1:2">
      <c r="A350" t="s">
        <v>3</v>
      </c>
      <c r="B350">
        <v>0</v>
      </c>
    </row>
    <row r="351" spans="1:2">
      <c r="A351" t="s">
        <v>90</v>
      </c>
      <c r="B351">
        <v>0</v>
      </c>
    </row>
    <row r="352" spans="1:2">
      <c r="A352" t="s">
        <v>49</v>
      </c>
      <c r="B352">
        <v>0</v>
      </c>
    </row>
    <row r="353" spans="1:2">
      <c r="A353" t="s">
        <v>67</v>
      </c>
      <c r="B353">
        <v>0</v>
      </c>
    </row>
    <row r="354" spans="1:2">
      <c r="A354" t="s">
        <v>29</v>
      </c>
      <c r="B354">
        <v>0</v>
      </c>
    </row>
    <row r="355" spans="1:2">
      <c r="A355" t="s">
        <v>52</v>
      </c>
      <c r="B355">
        <v>0</v>
      </c>
    </row>
    <row r="356" spans="1:2">
      <c r="A356" t="s">
        <v>27</v>
      </c>
      <c r="B356">
        <v>0</v>
      </c>
    </row>
    <row r="357" spans="1:2">
      <c r="A357" t="s">
        <v>13</v>
      </c>
      <c r="B357">
        <v>0</v>
      </c>
    </row>
    <row r="358" spans="1:2">
      <c r="A358" t="s">
        <v>11</v>
      </c>
      <c r="B358">
        <v>0</v>
      </c>
    </row>
    <row r="359" spans="1:2">
      <c r="A359" t="s">
        <v>79</v>
      </c>
      <c r="B359">
        <v>0</v>
      </c>
    </row>
    <row r="360" spans="1:2">
      <c r="A360" t="s">
        <v>41</v>
      </c>
      <c r="B360">
        <v>0</v>
      </c>
    </row>
    <row r="361" spans="1:2">
      <c r="A361" t="s">
        <v>44</v>
      </c>
      <c r="B361">
        <v>0</v>
      </c>
    </row>
    <row r="362" spans="1:2">
      <c r="A362" t="s">
        <v>50</v>
      </c>
      <c r="B362">
        <v>0</v>
      </c>
    </row>
    <row r="363" spans="1:2">
      <c r="A363" t="s">
        <v>7</v>
      </c>
      <c r="B363">
        <v>0</v>
      </c>
    </row>
    <row r="364" spans="1:2">
      <c r="A364" t="s">
        <v>46</v>
      </c>
      <c r="B364">
        <v>0</v>
      </c>
    </row>
    <row r="365" spans="1:2">
      <c r="A365" t="s">
        <v>71</v>
      </c>
      <c r="B365">
        <v>0</v>
      </c>
    </row>
    <row r="366" spans="1:2">
      <c r="A366" t="s">
        <v>11</v>
      </c>
      <c r="B366">
        <v>0</v>
      </c>
    </row>
    <row r="367" spans="1:2">
      <c r="A367" t="s">
        <v>39</v>
      </c>
      <c r="B367">
        <v>0</v>
      </c>
    </row>
    <row r="368" spans="1:2">
      <c r="A368" t="s">
        <v>63</v>
      </c>
      <c r="B368">
        <v>0</v>
      </c>
    </row>
    <row r="369" spans="1:2">
      <c r="A369" t="s">
        <v>61</v>
      </c>
      <c r="B369">
        <v>0</v>
      </c>
    </row>
    <row r="370" spans="1:2">
      <c r="A370" t="s">
        <v>28</v>
      </c>
      <c r="B370">
        <v>0</v>
      </c>
    </row>
    <row r="371" spans="1:2">
      <c r="A371" t="s">
        <v>80</v>
      </c>
      <c r="B371">
        <v>0</v>
      </c>
    </row>
    <row r="372" spans="1:2">
      <c r="A372" t="s">
        <v>64</v>
      </c>
      <c r="B372">
        <v>0</v>
      </c>
    </row>
    <row r="373" spans="1:2">
      <c r="A373" t="s">
        <v>92</v>
      </c>
      <c r="B373">
        <v>0</v>
      </c>
    </row>
    <row r="374" spans="1:2">
      <c r="A374" t="s">
        <v>39</v>
      </c>
      <c r="B374">
        <v>0</v>
      </c>
    </row>
    <row r="375" spans="1:2">
      <c r="A375" t="s">
        <v>30</v>
      </c>
      <c r="B375">
        <v>0</v>
      </c>
    </row>
    <row r="376" spans="1:2">
      <c r="A376" t="s">
        <v>15</v>
      </c>
      <c r="B376">
        <v>0</v>
      </c>
    </row>
    <row r="377" spans="1:2">
      <c r="A377" t="s">
        <v>22</v>
      </c>
      <c r="B377">
        <v>0</v>
      </c>
    </row>
    <row r="378" spans="1:2">
      <c r="A378" t="s">
        <v>63</v>
      </c>
      <c r="B378">
        <v>0</v>
      </c>
    </row>
    <row r="379" spans="1:2">
      <c r="A379" t="s">
        <v>13</v>
      </c>
      <c r="B379">
        <v>0</v>
      </c>
    </row>
    <row r="380" spans="1:2">
      <c r="A380" t="s">
        <v>73</v>
      </c>
      <c r="B380">
        <v>0</v>
      </c>
    </row>
    <row r="381" spans="1:2">
      <c r="A381" t="s">
        <v>17</v>
      </c>
      <c r="B381">
        <v>0</v>
      </c>
    </row>
    <row r="382" spans="1:2">
      <c r="A382" t="s">
        <v>53</v>
      </c>
      <c r="B382">
        <v>0</v>
      </c>
    </row>
    <row r="383" spans="1:2">
      <c r="A383" t="s">
        <v>7</v>
      </c>
      <c r="B383">
        <v>0</v>
      </c>
    </row>
    <row r="384" spans="1:2">
      <c r="A384" t="s">
        <v>64</v>
      </c>
      <c r="B384">
        <v>0</v>
      </c>
    </row>
    <row r="385" spans="1:2">
      <c r="A385" t="s">
        <v>16</v>
      </c>
      <c r="B385">
        <v>0</v>
      </c>
    </row>
    <row r="386" spans="1:2">
      <c r="A386" t="s">
        <v>85</v>
      </c>
      <c r="B386">
        <v>0</v>
      </c>
    </row>
    <row r="387" spans="1:2">
      <c r="A387" t="s">
        <v>55</v>
      </c>
      <c r="B387">
        <v>0</v>
      </c>
    </row>
    <row r="388" spans="1:2">
      <c r="A388" t="s">
        <v>11</v>
      </c>
      <c r="B388">
        <v>0</v>
      </c>
    </row>
    <row r="389" spans="1:2">
      <c r="A389" t="s">
        <v>44</v>
      </c>
      <c r="B389">
        <v>0</v>
      </c>
    </row>
    <row r="390" spans="1:2">
      <c r="A390" t="s">
        <v>56</v>
      </c>
      <c r="B390">
        <v>0</v>
      </c>
    </row>
    <row r="391" spans="1:2">
      <c r="A391" t="s">
        <v>29</v>
      </c>
      <c r="B391">
        <v>0</v>
      </c>
    </row>
    <row r="392" spans="1:2">
      <c r="A392" t="s">
        <v>4</v>
      </c>
      <c r="B392">
        <v>0</v>
      </c>
    </row>
    <row r="393" spans="1:2">
      <c r="A393" t="s">
        <v>49</v>
      </c>
      <c r="B393">
        <v>0</v>
      </c>
    </row>
    <row r="394" spans="1:2">
      <c r="A394" t="s">
        <v>24</v>
      </c>
      <c r="B394">
        <v>0</v>
      </c>
    </row>
    <row r="395" spans="1:2">
      <c r="A395" t="s">
        <v>28</v>
      </c>
      <c r="B395">
        <v>0</v>
      </c>
    </row>
    <row r="396" spans="1:2">
      <c r="A396" t="s">
        <v>47</v>
      </c>
      <c r="B396">
        <v>0</v>
      </c>
    </row>
    <row r="397" spans="1:2">
      <c r="A397" t="s">
        <v>67</v>
      </c>
      <c r="B397">
        <v>0</v>
      </c>
    </row>
    <row r="398" spans="1:2">
      <c r="A398" t="s">
        <v>80</v>
      </c>
      <c r="B398">
        <v>0</v>
      </c>
    </row>
    <row r="399" spans="1:2">
      <c r="A399" t="s">
        <v>83</v>
      </c>
      <c r="B399">
        <v>0</v>
      </c>
    </row>
    <row r="400" spans="1:2">
      <c r="A400" t="s">
        <v>43</v>
      </c>
      <c r="B400">
        <v>0</v>
      </c>
    </row>
    <row r="401" spans="1:2">
      <c r="A401" t="s">
        <v>65</v>
      </c>
      <c r="B401">
        <v>0</v>
      </c>
    </row>
    <row r="402" spans="1:2">
      <c r="A402" t="s">
        <v>76</v>
      </c>
      <c r="B402">
        <v>0</v>
      </c>
    </row>
    <row r="403" spans="1:2">
      <c r="A403" t="s">
        <v>22</v>
      </c>
      <c r="B403">
        <v>0</v>
      </c>
    </row>
    <row r="404" spans="1:2">
      <c r="A404" t="s">
        <v>20</v>
      </c>
      <c r="B404">
        <v>0</v>
      </c>
    </row>
    <row r="405" spans="1:2">
      <c r="A405" t="s">
        <v>84</v>
      </c>
      <c r="B405">
        <v>0</v>
      </c>
    </row>
    <row r="406" spans="1:2">
      <c r="A406" t="s">
        <v>38</v>
      </c>
      <c r="B406">
        <v>0</v>
      </c>
    </row>
    <row r="407" spans="1:2">
      <c r="A407" t="s">
        <v>78</v>
      </c>
      <c r="B407">
        <v>0</v>
      </c>
    </row>
    <row r="408" spans="1:2">
      <c r="A408" t="s">
        <v>4</v>
      </c>
      <c r="B408">
        <v>0</v>
      </c>
    </row>
    <row r="409" spans="1:2">
      <c r="A409" t="s">
        <v>52</v>
      </c>
      <c r="B409">
        <v>0</v>
      </c>
    </row>
    <row r="410" spans="1:2">
      <c r="A410" t="s">
        <v>66</v>
      </c>
      <c r="B410">
        <v>0</v>
      </c>
    </row>
    <row r="411" spans="1:2">
      <c r="A411" t="s">
        <v>82</v>
      </c>
      <c r="B411">
        <v>16</v>
      </c>
    </row>
    <row r="412" spans="1:2">
      <c r="A412" t="s">
        <v>93</v>
      </c>
      <c r="B412">
        <v>0</v>
      </c>
    </row>
    <row r="413" spans="1:2">
      <c r="A413" t="s">
        <v>35</v>
      </c>
      <c r="B413">
        <v>0</v>
      </c>
    </row>
    <row r="414" spans="1:2">
      <c r="A414" t="s">
        <v>52</v>
      </c>
      <c r="B414">
        <v>0</v>
      </c>
    </row>
    <row r="415" spans="1:2">
      <c r="A415" t="s">
        <v>53</v>
      </c>
      <c r="B415">
        <v>0</v>
      </c>
    </row>
    <row r="416" spans="1:2">
      <c r="A416" t="s">
        <v>4</v>
      </c>
      <c r="B416">
        <v>0</v>
      </c>
    </row>
    <row r="417" spans="1:2">
      <c r="A417" t="s">
        <v>78</v>
      </c>
      <c r="B417">
        <v>0</v>
      </c>
    </row>
    <row r="418" spans="1:2">
      <c r="A418" t="s">
        <v>39</v>
      </c>
      <c r="B418">
        <v>0</v>
      </c>
    </row>
    <row r="419" spans="1:2">
      <c r="A419" t="s">
        <v>82</v>
      </c>
      <c r="B419">
        <v>0</v>
      </c>
    </row>
    <row r="420" spans="1:2">
      <c r="A420" t="s">
        <v>12</v>
      </c>
      <c r="B420">
        <v>0</v>
      </c>
    </row>
    <row r="421" spans="1:2">
      <c r="A421" t="s">
        <v>6</v>
      </c>
      <c r="B421">
        <v>0</v>
      </c>
    </row>
    <row r="422" spans="1:2">
      <c r="A422" t="s">
        <v>16</v>
      </c>
      <c r="B422">
        <v>0</v>
      </c>
    </row>
    <row r="423" spans="1:2">
      <c r="A423" t="s">
        <v>91</v>
      </c>
      <c r="B423">
        <v>0</v>
      </c>
    </row>
    <row r="424" spans="1:2">
      <c r="A424" t="s">
        <v>79</v>
      </c>
      <c r="B424">
        <v>0</v>
      </c>
    </row>
    <row r="425" spans="1:2">
      <c r="A425" t="s">
        <v>85</v>
      </c>
      <c r="B425">
        <v>0</v>
      </c>
    </row>
    <row r="426" spans="1:2">
      <c r="A426" t="s">
        <v>76</v>
      </c>
      <c r="B426">
        <v>0</v>
      </c>
    </row>
    <row r="427" spans="1:2">
      <c r="A427" t="s">
        <v>69</v>
      </c>
      <c r="B427">
        <v>0</v>
      </c>
    </row>
    <row r="428" spans="1:2">
      <c r="A428" t="s">
        <v>36</v>
      </c>
      <c r="B428">
        <v>0</v>
      </c>
    </row>
    <row r="429" spans="1:2">
      <c r="A429" t="s">
        <v>91</v>
      </c>
      <c r="B429">
        <v>0</v>
      </c>
    </row>
    <row r="430" spans="1:2">
      <c r="A430" t="s">
        <v>56</v>
      </c>
      <c r="B430">
        <v>0</v>
      </c>
    </row>
    <row r="431" spans="1:2">
      <c r="A431" t="s">
        <v>29</v>
      </c>
      <c r="B431">
        <v>0</v>
      </c>
    </row>
    <row r="432" spans="1:2">
      <c r="A432" t="s">
        <v>16</v>
      </c>
      <c r="B432">
        <v>0</v>
      </c>
    </row>
    <row r="433" spans="1:2">
      <c r="A433" t="s">
        <v>58</v>
      </c>
      <c r="B433">
        <v>0</v>
      </c>
    </row>
    <row r="434" spans="1:2">
      <c r="A434" t="s">
        <v>70</v>
      </c>
      <c r="B434">
        <v>0</v>
      </c>
    </row>
    <row r="435" spans="1:2">
      <c r="A435" t="s">
        <v>60</v>
      </c>
      <c r="B435">
        <v>0</v>
      </c>
    </row>
    <row r="436" spans="1:2">
      <c r="A436" t="s">
        <v>17</v>
      </c>
      <c r="B436">
        <v>0</v>
      </c>
    </row>
    <row r="437" spans="1:2">
      <c r="A437" t="s">
        <v>80</v>
      </c>
      <c r="B437">
        <v>0</v>
      </c>
    </row>
    <row r="438" spans="1:2">
      <c r="A438" t="s">
        <v>80</v>
      </c>
      <c r="B438">
        <v>0</v>
      </c>
    </row>
    <row r="439" spans="1:2">
      <c r="A439" t="s">
        <v>58</v>
      </c>
      <c r="B439">
        <v>0</v>
      </c>
    </row>
    <row r="440" spans="1:2">
      <c r="A440" t="s">
        <v>75</v>
      </c>
      <c r="B440">
        <v>0</v>
      </c>
    </row>
    <row r="441" spans="1:2">
      <c r="A441" t="s">
        <v>77</v>
      </c>
      <c r="B441">
        <v>0</v>
      </c>
    </row>
    <row r="442" spans="1:2">
      <c r="A442" t="s">
        <v>33</v>
      </c>
      <c r="B442">
        <v>0</v>
      </c>
    </row>
    <row r="443" spans="1:2">
      <c r="A443" t="s">
        <v>7</v>
      </c>
      <c r="B443">
        <v>0</v>
      </c>
    </row>
    <row r="444" spans="1:2">
      <c r="A444" t="s">
        <v>61</v>
      </c>
      <c r="B444">
        <v>0</v>
      </c>
    </row>
    <row r="445" spans="1:2">
      <c r="A445" t="s">
        <v>75</v>
      </c>
      <c r="B445">
        <v>0</v>
      </c>
    </row>
    <row r="446" spans="1:2">
      <c r="A446" t="s">
        <v>85</v>
      </c>
      <c r="B446">
        <v>0</v>
      </c>
    </row>
    <row r="447" spans="1:2">
      <c r="A447" t="s">
        <v>47</v>
      </c>
      <c r="B447">
        <v>0</v>
      </c>
    </row>
    <row r="448" spans="1:2">
      <c r="A448" t="s">
        <v>64</v>
      </c>
      <c r="B448">
        <v>0</v>
      </c>
    </row>
    <row r="449" spans="1:2">
      <c r="A449" t="s">
        <v>84</v>
      </c>
      <c r="B449">
        <v>0</v>
      </c>
    </row>
    <row r="450" spans="1:2">
      <c r="A450" t="s">
        <v>20</v>
      </c>
      <c r="B450">
        <v>0</v>
      </c>
    </row>
    <row r="451" spans="1:2">
      <c r="A451" t="s">
        <v>76</v>
      </c>
      <c r="B451">
        <v>0</v>
      </c>
    </row>
    <row r="452" spans="1:2">
      <c r="A452" t="s">
        <v>94</v>
      </c>
      <c r="B452">
        <v>0</v>
      </c>
    </row>
    <row r="453" spans="1:2">
      <c r="A453" t="s">
        <v>95</v>
      </c>
      <c r="B453">
        <v>0</v>
      </c>
    </row>
    <row r="454" spans="1:2">
      <c r="A454" t="s">
        <v>5</v>
      </c>
      <c r="B454">
        <v>0</v>
      </c>
    </row>
    <row r="455" spans="1:2">
      <c r="A455" t="s">
        <v>17</v>
      </c>
      <c r="B455">
        <v>0</v>
      </c>
    </row>
    <row r="456" spans="1:2">
      <c r="A456" t="s">
        <v>29</v>
      </c>
      <c r="B456">
        <v>0</v>
      </c>
    </row>
    <row r="457" spans="1:2">
      <c r="A457" t="s">
        <v>16</v>
      </c>
      <c r="B457">
        <v>0</v>
      </c>
    </row>
    <row r="458" spans="1:2">
      <c r="A458" t="s">
        <v>51</v>
      </c>
      <c r="B458">
        <v>0</v>
      </c>
    </row>
    <row r="459" spans="1:2">
      <c r="A459" t="s">
        <v>7</v>
      </c>
      <c r="B459">
        <v>0</v>
      </c>
    </row>
    <row r="460" spans="1:2">
      <c r="A460" t="s">
        <v>86</v>
      </c>
      <c r="B460">
        <v>0</v>
      </c>
    </row>
    <row r="461" spans="1:2">
      <c r="A461" t="s">
        <v>62</v>
      </c>
      <c r="B461">
        <v>0</v>
      </c>
    </row>
    <row r="462" spans="1:2">
      <c r="A462" t="s">
        <v>46</v>
      </c>
      <c r="B462">
        <v>0</v>
      </c>
    </row>
    <row r="463" spans="1:2">
      <c r="A463" t="s">
        <v>47</v>
      </c>
      <c r="B463">
        <v>0</v>
      </c>
    </row>
    <row r="464" spans="1:2">
      <c r="A464" t="s">
        <v>66</v>
      </c>
      <c r="B464">
        <v>0</v>
      </c>
    </row>
    <row r="465" spans="1:2">
      <c r="A465" t="s">
        <v>22</v>
      </c>
      <c r="B465">
        <v>0</v>
      </c>
    </row>
    <row r="466" spans="1:2">
      <c r="A466" t="s">
        <v>37</v>
      </c>
      <c r="B466">
        <v>0</v>
      </c>
    </row>
    <row r="467" spans="1:2">
      <c r="A467" t="s">
        <v>73</v>
      </c>
      <c r="B467">
        <v>0</v>
      </c>
    </row>
    <row r="468" spans="1:2">
      <c r="A468" t="s">
        <v>12</v>
      </c>
      <c r="B468">
        <v>0</v>
      </c>
    </row>
    <row r="469" spans="1:2">
      <c r="A469" t="s">
        <v>70</v>
      </c>
      <c r="B469">
        <v>0</v>
      </c>
    </row>
    <row r="470" spans="1:2">
      <c r="A470" t="s">
        <v>10</v>
      </c>
      <c r="B470">
        <v>0</v>
      </c>
    </row>
    <row r="471" spans="1:2">
      <c r="A471" t="s">
        <v>67</v>
      </c>
      <c r="B471">
        <v>0</v>
      </c>
    </row>
    <row r="472" spans="1:2">
      <c r="A472" t="s">
        <v>45</v>
      </c>
      <c r="B472">
        <v>0</v>
      </c>
    </row>
    <row r="473" spans="1:2">
      <c r="A473" t="s">
        <v>76</v>
      </c>
      <c r="B473">
        <v>0</v>
      </c>
    </row>
    <row r="474" spans="1:2">
      <c r="A474" t="s">
        <v>58</v>
      </c>
      <c r="B474">
        <v>0</v>
      </c>
    </row>
    <row r="475" spans="1:2">
      <c r="A475" t="s">
        <v>67</v>
      </c>
      <c r="B475">
        <v>0</v>
      </c>
    </row>
    <row r="476" spans="1:2">
      <c r="A476" t="s">
        <v>73</v>
      </c>
      <c r="B476">
        <v>0</v>
      </c>
    </row>
    <row r="477" spans="1:2">
      <c r="A477" t="s">
        <v>64</v>
      </c>
      <c r="B477">
        <v>0</v>
      </c>
    </row>
    <row r="478" spans="1:2">
      <c r="A478" t="s">
        <v>84</v>
      </c>
      <c r="B478">
        <v>0</v>
      </c>
    </row>
    <row r="479" spans="1:2">
      <c r="A479" t="s">
        <v>4</v>
      </c>
      <c r="B479">
        <v>0</v>
      </c>
    </row>
    <row r="480" spans="1:2">
      <c r="A480" t="s">
        <v>46</v>
      </c>
      <c r="B480">
        <v>0</v>
      </c>
    </row>
    <row r="481" spans="1:2">
      <c r="A481" t="s">
        <v>11</v>
      </c>
      <c r="B481">
        <v>0</v>
      </c>
    </row>
    <row r="482" spans="1:2">
      <c r="A482" t="s">
        <v>30</v>
      </c>
      <c r="B482">
        <v>0</v>
      </c>
    </row>
    <row r="483" spans="1:2">
      <c r="A483" t="s">
        <v>84</v>
      </c>
      <c r="B483">
        <v>0</v>
      </c>
    </row>
    <row r="484" spans="1:2">
      <c r="A484" t="s">
        <v>45</v>
      </c>
      <c r="B484">
        <v>0</v>
      </c>
    </row>
    <row r="485" spans="1:2">
      <c r="A485" t="s">
        <v>32</v>
      </c>
      <c r="B485">
        <v>0</v>
      </c>
    </row>
    <row r="486" spans="1:2">
      <c r="A486" t="s">
        <v>14</v>
      </c>
      <c r="B486">
        <v>0</v>
      </c>
    </row>
    <row r="487" spans="1:2">
      <c r="A487" t="s">
        <v>60</v>
      </c>
      <c r="B487">
        <v>0</v>
      </c>
    </row>
    <row r="488" spans="1:2">
      <c r="A488" t="s">
        <v>85</v>
      </c>
      <c r="B488">
        <v>0</v>
      </c>
    </row>
    <row r="489" spans="1:2">
      <c r="A489" t="s">
        <v>91</v>
      </c>
      <c r="B489">
        <v>0</v>
      </c>
    </row>
    <row r="490" spans="1:2">
      <c r="A490" t="s">
        <v>6</v>
      </c>
      <c r="B490">
        <v>0</v>
      </c>
    </row>
    <row r="491" spans="1:2">
      <c r="A491" t="s">
        <v>22</v>
      </c>
      <c r="B491">
        <v>0</v>
      </c>
    </row>
    <row r="492" spans="1:2">
      <c r="A492" t="s">
        <v>32</v>
      </c>
      <c r="B492">
        <v>0</v>
      </c>
    </row>
    <row r="493" spans="1:2">
      <c r="A493" t="s">
        <v>96</v>
      </c>
      <c r="B493">
        <v>0</v>
      </c>
    </row>
    <row r="494" spans="1:2">
      <c r="A494" t="s">
        <v>80</v>
      </c>
      <c r="B494">
        <v>0</v>
      </c>
    </row>
    <row r="495" spans="1:2">
      <c r="A495" t="s">
        <v>7</v>
      </c>
      <c r="B495">
        <v>0</v>
      </c>
    </row>
    <row r="496" spans="1:2">
      <c r="A496" t="s">
        <v>34</v>
      </c>
      <c r="B496">
        <v>0</v>
      </c>
    </row>
    <row r="497" spans="1:2">
      <c r="A497" t="s">
        <v>49</v>
      </c>
      <c r="B497">
        <v>0</v>
      </c>
    </row>
    <row r="498" spans="1:2">
      <c r="A498" t="s">
        <v>32</v>
      </c>
      <c r="B498">
        <v>0</v>
      </c>
    </row>
    <row r="499" spans="1:2">
      <c r="A499" t="s">
        <v>21</v>
      </c>
      <c r="B499">
        <v>0</v>
      </c>
    </row>
    <row r="500" spans="1:2">
      <c r="A500" t="s">
        <v>48</v>
      </c>
      <c r="B500">
        <v>0</v>
      </c>
    </row>
    <row r="501" spans="1:2">
      <c r="A501" t="s">
        <v>53</v>
      </c>
      <c r="B501">
        <v>0</v>
      </c>
    </row>
    <row r="502" spans="1:2">
      <c r="A502" t="s">
        <v>54</v>
      </c>
      <c r="B502">
        <v>0</v>
      </c>
    </row>
    <row r="503" spans="1:2">
      <c r="A503" t="s">
        <v>86</v>
      </c>
      <c r="B503">
        <v>0</v>
      </c>
    </row>
    <row r="504" spans="1:2">
      <c r="A504" t="s">
        <v>47</v>
      </c>
      <c r="B504">
        <v>0</v>
      </c>
    </row>
    <row r="505" spans="1:2">
      <c r="A505" t="s">
        <v>53</v>
      </c>
      <c r="B505">
        <v>0</v>
      </c>
    </row>
    <row r="506" spans="1:2">
      <c r="A506" t="s">
        <v>16</v>
      </c>
      <c r="B506">
        <v>0</v>
      </c>
    </row>
    <row r="507" spans="1:2">
      <c r="A507" t="s">
        <v>91</v>
      </c>
      <c r="B507">
        <v>0</v>
      </c>
    </row>
    <row r="508" spans="1:2">
      <c r="A508" t="s">
        <v>8</v>
      </c>
      <c r="B508">
        <v>0</v>
      </c>
    </row>
    <row r="509" spans="1:2">
      <c r="A509" t="s">
        <v>6</v>
      </c>
      <c r="B509">
        <v>0</v>
      </c>
    </row>
    <row r="510" spans="1:2">
      <c r="A510" t="s">
        <v>44</v>
      </c>
      <c r="B510">
        <v>0</v>
      </c>
    </row>
    <row r="511" spans="1:2">
      <c r="A511" t="s">
        <v>6</v>
      </c>
      <c r="B511">
        <v>0</v>
      </c>
    </row>
    <row r="512" spans="1:2">
      <c r="A512" t="s">
        <v>86</v>
      </c>
      <c r="B512">
        <v>0</v>
      </c>
    </row>
    <row r="513" spans="1:2">
      <c r="A513" t="s">
        <v>55</v>
      </c>
      <c r="B513">
        <v>0</v>
      </c>
    </row>
    <row r="514" spans="1:2">
      <c r="A514" t="s">
        <v>26</v>
      </c>
      <c r="B514">
        <v>0</v>
      </c>
    </row>
    <row r="515" spans="1:2">
      <c r="A515" t="s">
        <v>18</v>
      </c>
      <c r="B515">
        <v>0</v>
      </c>
    </row>
    <row r="516" spans="1:2">
      <c r="A516" t="s">
        <v>31</v>
      </c>
      <c r="B516">
        <v>0</v>
      </c>
    </row>
    <row r="517" spans="1:2">
      <c r="A517" t="s">
        <v>15</v>
      </c>
      <c r="B517">
        <v>0</v>
      </c>
    </row>
    <row r="518" spans="1:2">
      <c r="A518" t="s">
        <v>51</v>
      </c>
      <c r="B518">
        <v>0</v>
      </c>
    </row>
    <row r="519" spans="1:2">
      <c r="A519" t="s">
        <v>8</v>
      </c>
      <c r="B519">
        <v>0</v>
      </c>
    </row>
    <row r="520" spans="1:2">
      <c r="A520" t="s">
        <v>78</v>
      </c>
      <c r="B520">
        <v>0</v>
      </c>
    </row>
    <row r="521" spans="1:2">
      <c r="A521" t="s">
        <v>95</v>
      </c>
      <c r="B521">
        <v>0</v>
      </c>
    </row>
    <row r="522" spans="1:2">
      <c r="A522" t="s">
        <v>62</v>
      </c>
      <c r="B522">
        <v>0</v>
      </c>
    </row>
    <row r="523" spans="1:2">
      <c r="A523" t="s">
        <v>56</v>
      </c>
      <c r="B523">
        <v>0</v>
      </c>
    </row>
    <row r="524" spans="1:2">
      <c r="A524" t="s">
        <v>38</v>
      </c>
      <c r="B524">
        <v>0</v>
      </c>
    </row>
    <row r="525" spans="1:2">
      <c r="A525" t="s">
        <v>69</v>
      </c>
      <c r="B525">
        <v>0</v>
      </c>
    </row>
    <row r="526" spans="1:2">
      <c r="A526" t="s">
        <v>17</v>
      </c>
      <c r="B526">
        <v>0</v>
      </c>
    </row>
    <row r="527" spans="1:2">
      <c r="A527" t="s">
        <v>46</v>
      </c>
      <c r="B527">
        <v>0</v>
      </c>
    </row>
    <row r="528" spans="1:2">
      <c r="A528" t="s">
        <v>14</v>
      </c>
      <c r="B528">
        <v>0</v>
      </c>
    </row>
    <row r="529" spans="1:2">
      <c r="A529" t="s">
        <v>28</v>
      </c>
      <c r="B529">
        <v>0</v>
      </c>
    </row>
    <row r="530" spans="1:2">
      <c r="A530" t="s">
        <v>55</v>
      </c>
      <c r="B530">
        <v>0</v>
      </c>
    </row>
    <row r="531" spans="1:2">
      <c r="A531" t="s">
        <v>24</v>
      </c>
      <c r="B531">
        <v>0</v>
      </c>
    </row>
    <row r="532" spans="1:2">
      <c r="A532" t="s">
        <v>47</v>
      </c>
      <c r="B532">
        <v>0</v>
      </c>
    </row>
    <row r="533" spans="1:2">
      <c r="A533" t="s">
        <v>2</v>
      </c>
      <c r="B533">
        <v>0</v>
      </c>
    </row>
    <row r="534" spans="1:2">
      <c r="A534" t="s">
        <v>2</v>
      </c>
      <c r="B534">
        <v>0</v>
      </c>
    </row>
    <row r="535" spans="1:2">
      <c r="A535" t="s">
        <v>44</v>
      </c>
      <c r="B535">
        <v>0</v>
      </c>
    </row>
    <row r="536" spans="1:2">
      <c r="A536" t="s">
        <v>91</v>
      </c>
      <c r="B536">
        <v>0</v>
      </c>
    </row>
    <row r="537" spans="1:2">
      <c r="A537" t="s">
        <v>59</v>
      </c>
      <c r="B537">
        <v>0</v>
      </c>
    </row>
    <row r="538" spans="1:2">
      <c r="A538" t="s">
        <v>61</v>
      </c>
      <c r="B538">
        <v>0</v>
      </c>
    </row>
    <row r="539" spans="1:2">
      <c r="A539" t="s">
        <v>49</v>
      </c>
      <c r="B539">
        <v>0</v>
      </c>
    </row>
    <row r="540" spans="1:2">
      <c r="A540" t="s">
        <v>51</v>
      </c>
      <c r="B540">
        <v>0</v>
      </c>
    </row>
    <row r="541" spans="1:2">
      <c r="A541" t="s">
        <v>66</v>
      </c>
      <c r="B541">
        <v>0</v>
      </c>
    </row>
    <row r="542" spans="1:2">
      <c r="A542" t="s">
        <v>58</v>
      </c>
      <c r="B542">
        <v>0</v>
      </c>
    </row>
    <row r="543" spans="1:2">
      <c r="A543" t="s">
        <v>80</v>
      </c>
      <c r="B543">
        <v>0</v>
      </c>
    </row>
    <row r="544" spans="1:2">
      <c r="A544" t="s">
        <v>97</v>
      </c>
      <c r="B544">
        <v>0</v>
      </c>
    </row>
    <row r="545" spans="1:2">
      <c r="A545" t="s">
        <v>16</v>
      </c>
      <c r="B545">
        <v>0</v>
      </c>
    </row>
    <row r="546" spans="1:2">
      <c r="A546" t="s">
        <v>41</v>
      </c>
      <c r="B546">
        <v>0</v>
      </c>
    </row>
    <row r="547" spans="1:2">
      <c r="A547" t="s">
        <v>67</v>
      </c>
      <c r="B547">
        <v>0</v>
      </c>
    </row>
    <row r="548" spans="1:2">
      <c r="A548" t="s">
        <v>73</v>
      </c>
      <c r="B548">
        <v>0</v>
      </c>
    </row>
    <row r="549" spans="1:2">
      <c r="A549" t="s">
        <v>61</v>
      </c>
      <c r="B549">
        <v>0</v>
      </c>
    </row>
    <row r="550" spans="1:2">
      <c r="A550" t="s">
        <v>41</v>
      </c>
      <c r="B550">
        <v>0</v>
      </c>
    </row>
    <row r="551" spans="1:2">
      <c r="A551" t="s">
        <v>41</v>
      </c>
      <c r="B551">
        <v>0</v>
      </c>
    </row>
    <row r="552" spans="1:2">
      <c r="A552" t="s">
        <v>8</v>
      </c>
      <c r="B552">
        <v>0</v>
      </c>
    </row>
    <row r="553" spans="1:2">
      <c r="A553" t="s">
        <v>16</v>
      </c>
      <c r="B553">
        <v>0</v>
      </c>
    </row>
    <row r="554" spans="1:2">
      <c r="A554" t="s">
        <v>80</v>
      </c>
      <c r="B554">
        <v>0</v>
      </c>
    </row>
    <row r="555" spans="1:2">
      <c r="A555" t="s">
        <v>19</v>
      </c>
      <c r="B555">
        <v>0</v>
      </c>
    </row>
    <row r="556" spans="1:2">
      <c r="A556" t="s">
        <v>42</v>
      </c>
      <c r="B556">
        <v>0</v>
      </c>
    </row>
    <row r="557" spans="1:2">
      <c r="A557" t="s">
        <v>38</v>
      </c>
      <c r="B557">
        <v>0</v>
      </c>
    </row>
    <row r="558" spans="1:2">
      <c r="A558" t="s">
        <v>58</v>
      </c>
      <c r="B558">
        <v>0</v>
      </c>
    </row>
    <row r="559" spans="1:2">
      <c r="A559" t="s">
        <v>17</v>
      </c>
      <c r="B559">
        <v>0</v>
      </c>
    </row>
    <row r="560" spans="1:2">
      <c r="A560" t="s">
        <v>39</v>
      </c>
      <c r="B560">
        <v>0</v>
      </c>
    </row>
    <row r="561" spans="1:2">
      <c r="A561" t="s">
        <v>80</v>
      </c>
      <c r="B561">
        <v>0</v>
      </c>
    </row>
    <row r="562" spans="1:2">
      <c r="A562" t="s">
        <v>27</v>
      </c>
      <c r="B562">
        <v>0</v>
      </c>
    </row>
    <row r="563" spans="1:2">
      <c r="A563" t="s">
        <v>78</v>
      </c>
      <c r="B563">
        <v>0</v>
      </c>
    </row>
    <row r="564" spans="1:2">
      <c r="A564" t="s">
        <v>86</v>
      </c>
      <c r="B564">
        <v>0</v>
      </c>
    </row>
    <row r="565" spans="1:2">
      <c r="A565" t="s">
        <v>53</v>
      </c>
      <c r="B565">
        <v>0</v>
      </c>
    </row>
    <row r="566" spans="1:2">
      <c r="A566" t="s">
        <v>61</v>
      </c>
      <c r="B566">
        <v>0</v>
      </c>
    </row>
    <row r="567" spans="1:2">
      <c r="A567" t="s">
        <v>66</v>
      </c>
      <c r="B567">
        <v>0</v>
      </c>
    </row>
    <row r="568" spans="1:2">
      <c r="A568" t="s">
        <v>13</v>
      </c>
      <c r="B568">
        <v>0</v>
      </c>
    </row>
    <row r="569" spans="1:2">
      <c r="A569" t="s">
        <v>39</v>
      </c>
      <c r="B569">
        <v>0</v>
      </c>
    </row>
    <row r="570" spans="1:2">
      <c r="A570" t="s">
        <v>36</v>
      </c>
      <c r="B570">
        <v>0</v>
      </c>
    </row>
    <row r="571" spans="1:2">
      <c r="A571" t="s">
        <v>15</v>
      </c>
      <c r="B571">
        <v>0</v>
      </c>
    </row>
    <row r="572" spans="1:2">
      <c r="A572" t="s">
        <v>44</v>
      </c>
      <c r="B572">
        <v>0</v>
      </c>
    </row>
    <row r="573" spans="1:2">
      <c r="A573" t="s">
        <v>58</v>
      </c>
      <c r="B573">
        <v>0</v>
      </c>
    </row>
    <row r="574" spans="1:2">
      <c r="A574" t="s">
        <v>18</v>
      </c>
      <c r="B574">
        <v>0</v>
      </c>
    </row>
    <row r="575" spans="1:2">
      <c r="A575" t="s">
        <v>65</v>
      </c>
      <c r="B575">
        <v>0</v>
      </c>
    </row>
    <row r="576" spans="1:2">
      <c r="A576" t="s">
        <v>44</v>
      </c>
      <c r="B576">
        <v>0</v>
      </c>
    </row>
    <row r="577" spans="1:2">
      <c r="A577" t="s">
        <v>45</v>
      </c>
      <c r="B577">
        <v>0</v>
      </c>
    </row>
    <row r="578" spans="1:2">
      <c r="A578" t="s">
        <v>32</v>
      </c>
      <c r="B578">
        <v>0</v>
      </c>
    </row>
    <row r="579" spans="1:2">
      <c r="A579" t="s">
        <v>67</v>
      </c>
      <c r="B579">
        <v>0</v>
      </c>
    </row>
    <row r="580" spans="1:2">
      <c r="A580" t="s">
        <v>59</v>
      </c>
      <c r="B580">
        <v>0</v>
      </c>
    </row>
    <row r="581" spans="1:2">
      <c r="A581" t="s">
        <v>45</v>
      </c>
      <c r="B581">
        <v>0</v>
      </c>
    </row>
    <row r="582" spans="1:2">
      <c r="A582" t="s">
        <v>37</v>
      </c>
      <c r="B582">
        <v>0</v>
      </c>
    </row>
    <row r="583" spans="1:2">
      <c r="A583" t="s">
        <v>73</v>
      </c>
      <c r="B583">
        <v>0</v>
      </c>
    </row>
    <row r="584" spans="1:2">
      <c r="A584" t="s">
        <v>85</v>
      </c>
      <c r="B584">
        <v>0</v>
      </c>
    </row>
    <row r="585" spans="1:2">
      <c r="A585" t="s">
        <v>45</v>
      </c>
      <c r="B585">
        <v>0</v>
      </c>
    </row>
    <row r="586" spans="1:2">
      <c r="A586" t="s">
        <v>7</v>
      </c>
      <c r="B586">
        <v>0</v>
      </c>
    </row>
    <row r="587" spans="1:2">
      <c r="A587" t="s">
        <v>54</v>
      </c>
      <c r="B587">
        <v>0</v>
      </c>
    </row>
    <row r="588" spans="1:2">
      <c r="A588" t="s">
        <v>49</v>
      </c>
      <c r="B588">
        <v>0</v>
      </c>
    </row>
    <row r="589" spans="1:2">
      <c r="A589" t="s">
        <v>34</v>
      </c>
      <c r="B589">
        <v>0</v>
      </c>
    </row>
    <row r="590" spans="1:2">
      <c r="A590" t="s">
        <v>84</v>
      </c>
      <c r="B590">
        <v>0</v>
      </c>
    </row>
    <row r="591" spans="1:2">
      <c r="A591" t="s">
        <v>13</v>
      </c>
      <c r="B591">
        <v>0</v>
      </c>
    </row>
    <row r="592" spans="1:2">
      <c r="A592" t="s">
        <v>5</v>
      </c>
      <c r="B592">
        <v>0</v>
      </c>
    </row>
    <row r="593" spans="1:2">
      <c r="A593" t="s">
        <v>48</v>
      </c>
      <c r="B593">
        <v>0</v>
      </c>
    </row>
    <row r="594" spans="1:2">
      <c r="A594" t="s">
        <v>86</v>
      </c>
      <c r="B594">
        <v>0</v>
      </c>
    </row>
    <row r="595" spans="1:2">
      <c r="A595" t="s">
        <v>17</v>
      </c>
      <c r="B595">
        <v>0</v>
      </c>
    </row>
    <row r="596" spans="1:2">
      <c r="A596" t="s">
        <v>65</v>
      </c>
      <c r="B596">
        <v>0</v>
      </c>
    </row>
    <row r="597" spans="1:2">
      <c r="A597" t="s">
        <v>14</v>
      </c>
      <c r="B597">
        <v>0</v>
      </c>
    </row>
    <row r="598" spans="1:2">
      <c r="A598" t="s">
        <v>96</v>
      </c>
      <c r="B598">
        <v>0</v>
      </c>
    </row>
    <row r="599" spans="1:2">
      <c r="A599" t="s">
        <v>45</v>
      </c>
      <c r="B599">
        <v>0</v>
      </c>
    </row>
    <row r="600" spans="1:2">
      <c r="A600" t="s">
        <v>61</v>
      </c>
      <c r="B600">
        <v>0</v>
      </c>
    </row>
    <row r="601" spans="1:2">
      <c r="A601" t="s">
        <v>29</v>
      </c>
      <c r="B601">
        <v>0</v>
      </c>
    </row>
    <row r="602" spans="1:2">
      <c r="A602" t="s">
        <v>37</v>
      </c>
      <c r="B602">
        <v>0</v>
      </c>
    </row>
    <row r="603" spans="1:2">
      <c r="A603" t="s">
        <v>76</v>
      </c>
      <c r="B603">
        <v>0</v>
      </c>
    </row>
    <row r="604" spans="1:2">
      <c r="A604" t="s">
        <v>2</v>
      </c>
      <c r="B604">
        <v>0</v>
      </c>
    </row>
    <row r="605" spans="1:2">
      <c r="A605" t="s">
        <v>12</v>
      </c>
      <c r="B605">
        <v>0</v>
      </c>
    </row>
    <row r="606" spans="1:2">
      <c r="A606" t="s">
        <v>54</v>
      </c>
      <c r="B606">
        <v>0</v>
      </c>
    </row>
    <row r="607" spans="1:2">
      <c r="A607" t="s">
        <v>91</v>
      </c>
      <c r="B607">
        <v>0</v>
      </c>
    </row>
    <row r="608" spans="1:2">
      <c r="A608" t="s">
        <v>22</v>
      </c>
      <c r="B608">
        <v>0</v>
      </c>
    </row>
    <row r="609" spans="1:2">
      <c r="A609" t="s">
        <v>5</v>
      </c>
      <c r="B609">
        <v>0</v>
      </c>
    </row>
    <row r="610" spans="1:2">
      <c r="A610" t="s">
        <v>53</v>
      </c>
      <c r="B610">
        <v>0</v>
      </c>
    </row>
    <row r="611" spans="1:2">
      <c r="A611" t="s">
        <v>39</v>
      </c>
      <c r="B611">
        <v>0</v>
      </c>
    </row>
    <row r="612" spans="1:2">
      <c r="A612" t="s">
        <v>49</v>
      </c>
      <c r="B612">
        <v>0</v>
      </c>
    </row>
    <row r="613" spans="1:2">
      <c r="A613" t="s">
        <v>61</v>
      </c>
      <c r="B613">
        <v>0</v>
      </c>
    </row>
    <row r="614" spans="1:2">
      <c r="A614" t="s">
        <v>18</v>
      </c>
      <c r="B614">
        <v>0</v>
      </c>
    </row>
    <row r="615" spans="1:2">
      <c r="A615" t="s">
        <v>33</v>
      </c>
      <c r="B615">
        <v>0</v>
      </c>
    </row>
    <row r="616" spans="1:2">
      <c r="A616" t="s">
        <v>76</v>
      </c>
      <c r="B616">
        <v>0</v>
      </c>
    </row>
    <row r="617" spans="1:2">
      <c r="A617" t="s">
        <v>79</v>
      </c>
      <c r="B617">
        <v>0</v>
      </c>
    </row>
    <row r="618" spans="1:2">
      <c r="A618" t="s">
        <v>72</v>
      </c>
      <c r="B618">
        <v>0</v>
      </c>
    </row>
    <row r="619" spans="1:2">
      <c r="A619" t="s">
        <v>26</v>
      </c>
      <c r="B619">
        <v>0</v>
      </c>
    </row>
    <row r="620" spans="1:2">
      <c r="A620" t="s">
        <v>56</v>
      </c>
      <c r="B620">
        <v>0</v>
      </c>
    </row>
    <row r="621" spans="1:2">
      <c r="A621" t="s">
        <v>67</v>
      </c>
      <c r="B621">
        <v>0</v>
      </c>
    </row>
    <row r="622" spans="1:2">
      <c r="A622" t="s">
        <v>52</v>
      </c>
      <c r="B622">
        <v>1</v>
      </c>
    </row>
    <row r="623" spans="1:2">
      <c r="A623" t="s">
        <v>38</v>
      </c>
      <c r="B623">
        <v>1</v>
      </c>
    </row>
    <row r="624" spans="1:2">
      <c r="A624" t="s">
        <v>85</v>
      </c>
      <c r="B624">
        <v>1</v>
      </c>
    </row>
    <row r="625" spans="1:2">
      <c r="A625" t="s">
        <v>60</v>
      </c>
      <c r="B625">
        <v>1</v>
      </c>
    </row>
    <row r="626" spans="1:2">
      <c r="A626" t="s">
        <v>49</v>
      </c>
      <c r="B626">
        <v>1</v>
      </c>
    </row>
    <row r="627" spans="1:2">
      <c r="A627" t="s">
        <v>65</v>
      </c>
      <c r="B627">
        <v>1</v>
      </c>
    </row>
    <row r="628" spans="1:2">
      <c r="A628" t="s">
        <v>98</v>
      </c>
      <c r="B628">
        <v>1</v>
      </c>
    </row>
    <row r="629" spans="1:2">
      <c r="A629" t="s">
        <v>30</v>
      </c>
      <c r="B629">
        <v>1</v>
      </c>
    </row>
    <row r="630" spans="1:2">
      <c r="A630" t="s">
        <v>3</v>
      </c>
      <c r="B630">
        <v>1</v>
      </c>
    </row>
    <row r="631" spans="1:2">
      <c r="A631" t="s">
        <v>62</v>
      </c>
      <c r="B631">
        <v>1</v>
      </c>
    </row>
    <row r="632" spans="1:2">
      <c r="A632" t="s">
        <v>14</v>
      </c>
      <c r="B632">
        <v>1</v>
      </c>
    </row>
    <row r="633" spans="1:2">
      <c r="A633" t="s">
        <v>43</v>
      </c>
      <c r="B633">
        <v>1</v>
      </c>
    </row>
    <row r="634" spans="1:2">
      <c r="A634" t="s">
        <v>95</v>
      </c>
      <c r="B634">
        <v>1</v>
      </c>
    </row>
    <row r="635" spans="1:2">
      <c r="A635" t="s">
        <v>6</v>
      </c>
      <c r="B635">
        <v>1</v>
      </c>
    </row>
    <row r="636" spans="1:2">
      <c r="A636" t="s">
        <v>63</v>
      </c>
      <c r="B636">
        <v>1</v>
      </c>
    </row>
    <row r="637" spans="1:2">
      <c r="A637" t="s">
        <v>6</v>
      </c>
      <c r="B637">
        <v>1</v>
      </c>
    </row>
    <row r="638" spans="1:2">
      <c r="A638" t="s">
        <v>31</v>
      </c>
      <c r="B638">
        <v>1</v>
      </c>
    </row>
    <row r="639" spans="1:2">
      <c r="A639" t="s">
        <v>6</v>
      </c>
      <c r="B639">
        <v>1</v>
      </c>
    </row>
    <row r="640" spans="1:2">
      <c r="A640" t="s">
        <v>76</v>
      </c>
      <c r="B640">
        <v>1</v>
      </c>
    </row>
    <row r="641" spans="1:2">
      <c r="A641" t="s">
        <v>8</v>
      </c>
      <c r="B641">
        <v>1</v>
      </c>
    </row>
    <row r="642" spans="1:2">
      <c r="A642" t="s">
        <v>43</v>
      </c>
      <c r="B642">
        <v>1</v>
      </c>
    </row>
    <row r="643" spans="1:2">
      <c r="A643" t="s">
        <v>29</v>
      </c>
      <c r="B643">
        <v>1</v>
      </c>
    </row>
    <row r="644" spans="1:2">
      <c r="A644" t="s">
        <v>16</v>
      </c>
      <c r="B644">
        <v>1</v>
      </c>
    </row>
    <row r="645" spans="1:2">
      <c r="A645" t="s">
        <v>63</v>
      </c>
      <c r="B645">
        <v>1</v>
      </c>
    </row>
    <row r="646" spans="1:2">
      <c r="A646" t="s">
        <v>70</v>
      </c>
      <c r="B646">
        <v>2</v>
      </c>
    </row>
    <row r="647" spans="1:2">
      <c r="A647" t="s">
        <v>62</v>
      </c>
      <c r="B647">
        <v>2</v>
      </c>
    </row>
    <row r="648" spans="1:2">
      <c r="A648" t="s">
        <v>27</v>
      </c>
      <c r="B648">
        <v>2</v>
      </c>
    </row>
    <row r="649" spans="1:2">
      <c r="A649" t="s">
        <v>19</v>
      </c>
      <c r="B649">
        <v>2</v>
      </c>
    </row>
    <row r="650" spans="1:2">
      <c r="A650" t="s">
        <v>46</v>
      </c>
      <c r="B650">
        <v>2</v>
      </c>
    </row>
    <row r="651" spans="1:2">
      <c r="A651" t="s">
        <v>63</v>
      </c>
      <c r="B651">
        <v>2</v>
      </c>
    </row>
    <row r="652" spans="1:2">
      <c r="A652" t="s">
        <v>72</v>
      </c>
      <c r="B652">
        <v>2</v>
      </c>
    </row>
    <row r="653" spans="1:2">
      <c r="A653" t="s">
        <v>70</v>
      </c>
      <c r="B653">
        <v>2</v>
      </c>
    </row>
    <row r="654" spans="1:2">
      <c r="A654" t="s">
        <v>16</v>
      </c>
      <c r="B654">
        <v>2</v>
      </c>
    </row>
    <row r="655" spans="1:2">
      <c r="A655" t="s">
        <v>25</v>
      </c>
      <c r="B655">
        <v>2</v>
      </c>
    </row>
    <row r="656" spans="1:2">
      <c r="A656" t="s">
        <v>48</v>
      </c>
      <c r="B656">
        <v>2</v>
      </c>
    </row>
    <row r="657" spans="1:2">
      <c r="A657" t="s">
        <v>27</v>
      </c>
      <c r="B657">
        <v>2</v>
      </c>
    </row>
    <row r="658" spans="1:2">
      <c r="A658" t="s">
        <v>75</v>
      </c>
      <c r="B658">
        <v>2</v>
      </c>
    </row>
    <row r="659" spans="1:2">
      <c r="A659" t="s">
        <v>71</v>
      </c>
      <c r="B659">
        <v>2</v>
      </c>
    </row>
    <row r="660" spans="1:2">
      <c r="A660" t="s">
        <v>20</v>
      </c>
      <c r="B660">
        <v>3</v>
      </c>
    </row>
    <row r="661" spans="1:2">
      <c r="A661" t="s">
        <v>30</v>
      </c>
      <c r="B661">
        <v>3</v>
      </c>
    </row>
    <row r="662" spans="1:2">
      <c r="A662" t="s">
        <v>34</v>
      </c>
      <c r="B662">
        <v>3</v>
      </c>
    </row>
    <row r="663" spans="1:2">
      <c r="A663" t="s">
        <v>11</v>
      </c>
      <c r="B663">
        <v>3</v>
      </c>
    </row>
    <row r="664" spans="1:2">
      <c r="A664" t="s">
        <v>27</v>
      </c>
      <c r="B664">
        <v>3</v>
      </c>
    </row>
    <row r="665" spans="1:2">
      <c r="A665" t="s">
        <v>6</v>
      </c>
      <c r="B665">
        <v>3</v>
      </c>
    </row>
    <row r="666" spans="1:2">
      <c r="A666" t="s">
        <v>38</v>
      </c>
      <c r="B666">
        <v>3</v>
      </c>
    </row>
    <row r="667" spans="1:2">
      <c r="A667" t="s">
        <v>8</v>
      </c>
      <c r="B667">
        <v>3</v>
      </c>
    </row>
    <row r="668" spans="1:2">
      <c r="A668" t="s">
        <v>56</v>
      </c>
      <c r="B668">
        <v>3</v>
      </c>
    </row>
    <row r="669" spans="1:2">
      <c r="A669" t="s">
        <v>6</v>
      </c>
      <c r="B669">
        <v>3</v>
      </c>
    </row>
    <row r="670" spans="1:2">
      <c r="A670" t="s">
        <v>86</v>
      </c>
      <c r="B670">
        <v>3</v>
      </c>
    </row>
    <row r="671" spans="1:2">
      <c r="A671" t="s">
        <v>60</v>
      </c>
      <c r="B671">
        <v>4</v>
      </c>
    </row>
    <row r="672" spans="1:2">
      <c r="A672" t="s">
        <v>38</v>
      </c>
      <c r="B672">
        <v>4</v>
      </c>
    </row>
    <row r="673" spans="1:2">
      <c r="A673" t="s">
        <v>28</v>
      </c>
      <c r="B673">
        <v>4</v>
      </c>
    </row>
    <row r="674" spans="1:2">
      <c r="A674" t="s">
        <v>38</v>
      </c>
      <c r="B674">
        <v>4</v>
      </c>
    </row>
    <row r="675" spans="1:2">
      <c r="A675" t="s">
        <v>65</v>
      </c>
      <c r="B675">
        <v>4</v>
      </c>
    </row>
    <row r="676" spans="1:2">
      <c r="A676" t="s">
        <v>63</v>
      </c>
      <c r="B676">
        <v>4</v>
      </c>
    </row>
    <row r="677" spans="1:2">
      <c r="A677" t="s">
        <v>29</v>
      </c>
      <c r="B677">
        <v>4</v>
      </c>
    </row>
    <row r="678" spans="1:2">
      <c r="A678" t="s">
        <v>34</v>
      </c>
      <c r="B678">
        <v>5</v>
      </c>
    </row>
    <row r="679" spans="1:2">
      <c r="A679" t="s">
        <v>3</v>
      </c>
      <c r="B679">
        <v>5</v>
      </c>
    </row>
    <row r="680" spans="1:2">
      <c r="A680" t="s">
        <v>61</v>
      </c>
      <c r="B680">
        <v>5</v>
      </c>
    </row>
    <row r="681" spans="1:2">
      <c r="A681" t="s">
        <v>31</v>
      </c>
      <c r="B681">
        <v>5</v>
      </c>
    </row>
    <row r="682" spans="1:2">
      <c r="A682" t="s">
        <v>65</v>
      </c>
      <c r="B682">
        <v>5</v>
      </c>
    </row>
    <row r="683" spans="1:2">
      <c r="A683" t="s">
        <v>63</v>
      </c>
      <c r="B683">
        <v>5</v>
      </c>
    </row>
    <row r="684" spans="1:2">
      <c r="A684" t="s">
        <v>58</v>
      </c>
      <c r="B684">
        <v>6</v>
      </c>
    </row>
    <row r="685" spans="1:2">
      <c r="A685" t="s">
        <v>54</v>
      </c>
      <c r="B685">
        <v>6</v>
      </c>
    </row>
    <row r="686" spans="1:2">
      <c r="A686" t="s">
        <v>33</v>
      </c>
      <c r="B686">
        <v>6</v>
      </c>
    </row>
    <row r="687" spans="1:2">
      <c r="A687" t="s">
        <v>3</v>
      </c>
      <c r="B687">
        <v>6</v>
      </c>
    </row>
    <row r="688" spans="1:2">
      <c r="A688" t="s">
        <v>63</v>
      </c>
      <c r="B688">
        <v>6</v>
      </c>
    </row>
    <row r="689" spans="1:2">
      <c r="A689" t="s">
        <v>82</v>
      </c>
      <c r="B689">
        <v>6</v>
      </c>
    </row>
    <row r="690" spans="1:2">
      <c r="A690" t="s">
        <v>70</v>
      </c>
      <c r="B690">
        <v>6</v>
      </c>
    </row>
    <row r="691" spans="1:2">
      <c r="A691" t="s">
        <v>31</v>
      </c>
      <c r="B691">
        <v>6</v>
      </c>
    </row>
    <row r="692" spans="1:2">
      <c r="A692" t="s">
        <v>56</v>
      </c>
      <c r="B692">
        <v>7</v>
      </c>
    </row>
    <row r="693" spans="1:2">
      <c r="A693" t="s">
        <v>21</v>
      </c>
      <c r="B693">
        <v>7</v>
      </c>
    </row>
    <row r="694" spans="1:2">
      <c r="A694" t="s">
        <v>86</v>
      </c>
      <c r="B694">
        <v>7</v>
      </c>
    </row>
    <row r="695" spans="1:2">
      <c r="A695" t="s">
        <v>31</v>
      </c>
      <c r="B695">
        <v>7</v>
      </c>
    </row>
    <row r="696" spans="1:2">
      <c r="A696" t="s">
        <v>70</v>
      </c>
      <c r="B696">
        <v>8</v>
      </c>
    </row>
    <row r="697" spans="1:2">
      <c r="A697" t="s">
        <v>47</v>
      </c>
      <c r="B697">
        <v>0</v>
      </c>
    </row>
    <row r="698" spans="1:2">
      <c r="A698" t="s">
        <v>37</v>
      </c>
      <c r="B698">
        <v>8</v>
      </c>
    </row>
    <row r="699" spans="1:2">
      <c r="A699" t="s">
        <v>35</v>
      </c>
      <c r="B699">
        <v>9</v>
      </c>
    </row>
    <row r="700" spans="1:2">
      <c r="A700" t="s">
        <v>95</v>
      </c>
      <c r="B700">
        <v>9</v>
      </c>
    </row>
    <row r="701" spans="1:2">
      <c r="A701" t="s">
        <v>57</v>
      </c>
      <c r="B701">
        <v>0</v>
      </c>
    </row>
    <row r="702" spans="1:2">
      <c r="A702" t="s">
        <v>18</v>
      </c>
      <c r="B702">
        <v>10</v>
      </c>
    </row>
    <row r="703" spans="1:2">
      <c r="A703" t="s">
        <v>56</v>
      </c>
      <c r="B703">
        <v>12</v>
      </c>
    </row>
    <row r="704" spans="1:2">
      <c r="A704" t="s">
        <v>96</v>
      </c>
      <c r="B704">
        <v>0</v>
      </c>
    </row>
    <row r="705" spans="1:2">
      <c r="A705" t="s">
        <v>78</v>
      </c>
      <c r="B705">
        <v>12</v>
      </c>
    </row>
    <row r="706" spans="1:2">
      <c r="A706" t="s">
        <v>40</v>
      </c>
      <c r="B706">
        <v>15</v>
      </c>
    </row>
    <row r="707" spans="1:2">
      <c r="A707" t="s">
        <v>49</v>
      </c>
      <c r="B707">
        <v>0</v>
      </c>
    </row>
    <row r="708" spans="1:2">
      <c r="A708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0B050"/>
  </sheetPr>
  <dimension ref="A1:AF800"/>
  <sheetViews>
    <sheetView showGridLines="0" tabSelected="1" zoomScale="70" zoomScaleNormal="70" workbookViewId="0">
      <pane xSplit="6" ySplit="4" topLeftCell="AA114" activePane="bottomRight" state="frozen"/>
      <selection pane="bottomRight" activeCell="AC730" sqref="AC730"/>
      <selection pane="bottomLeft" activeCell="X615" sqref="X615"/>
      <selection pane="topRight" activeCell="AC14" sqref="AC14"/>
    </sheetView>
  </sheetViews>
  <sheetFormatPr defaultColWidth="11.375" defaultRowHeight="14.45"/>
  <cols>
    <col min="1" max="1" width="11.75" style="15" customWidth="1"/>
    <col min="2" max="2" width="11.375" style="16"/>
    <col min="3" max="3" width="20.75" style="16" bestFit="1" customWidth="1"/>
    <col min="4" max="4" width="24.875" style="16" customWidth="1"/>
    <col min="5" max="7" width="11.375" style="16" customWidth="1"/>
    <col min="8" max="8" width="11.375" style="16" hidden="1" customWidth="1"/>
    <col min="9" max="10" width="11.375" style="16" customWidth="1"/>
    <col min="11" max="11" width="7.5" style="16" customWidth="1"/>
    <col min="12" max="12" width="11.375" style="16" hidden="1" customWidth="1"/>
    <col min="13" max="15" width="0" style="16" hidden="1" customWidth="1"/>
    <col min="16" max="18" width="11.375" style="16"/>
    <col min="19" max="19" width="11.375" style="16" customWidth="1"/>
    <col min="20" max="21" width="11.375" style="16"/>
    <col min="22" max="22" width="16.5" style="18" hidden="1" customWidth="1"/>
    <col min="23" max="23" width="23.375" style="18" hidden="1" customWidth="1"/>
    <col min="24" max="24" width="23.375" style="18" customWidth="1"/>
    <col min="25" max="25" width="7.5" style="18" customWidth="1"/>
    <col min="26" max="26" width="8.5" style="16" customWidth="1"/>
    <col min="27" max="27" width="15.25" style="16" customWidth="1"/>
    <col min="28" max="28" width="25.75" style="85" customWidth="1"/>
    <col min="29" max="29" width="11.375" style="16" customWidth="1"/>
    <col min="30" max="31" width="11.375" style="16"/>
    <col min="32" max="32" width="36.5" style="91" customWidth="1"/>
    <col min="33" max="16384" width="11.375" style="16"/>
  </cols>
  <sheetData>
    <row r="1" spans="1:32">
      <c r="C1" s="16" t="s">
        <v>99</v>
      </c>
      <c r="D1" s="17">
        <v>20</v>
      </c>
    </row>
    <row r="2" spans="1:32" s="27" customFormat="1" ht="10.5" customHeight="1">
      <c r="A2" s="19"/>
      <c r="B2" s="20"/>
      <c r="C2" s="21"/>
      <c r="D2" s="22"/>
      <c r="E2" s="21"/>
      <c r="F2" s="21"/>
      <c r="G2" s="122" t="s">
        <v>100</v>
      </c>
      <c r="H2" s="122"/>
      <c r="I2" s="122"/>
      <c r="J2" s="122"/>
      <c r="K2" s="122"/>
      <c r="L2" s="23"/>
      <c r="M2" s="123" t="s">
        <v>101</v>
      </c>
      <c r="N2" s="123"/>
      <c r="O2" s="123"/>
      <c r="P2" s="125" t="s">
        <v>102</v>
      </c>
      <c r="Q2" s="125"/>
      <c r="R2" s="125"/>
      <c r="S2" s="124" t="s">
        <v>103</v>
      </c>
      <c r="T2" s="124"/>
      <c r="U2" s="124"/>
      <c r="V2" s="24"/>
      <c r="W2" s="25"/>
      <c r="X2" s="25"/>
      <c r="Y2" s="25"/>
      <c r="Z2" s="26"/>
      <c r="AA2" s="26"/>
      <c r="AB2" s="26"/>
      <c r="AC2" s="26"/>
      <c r="AF2" s="28"/>
    </row>
    <row r="3" spans="1:32">
      <c r="D3" s="29" t="s">
        <v>104</v>
      </c>
    </row>
    <row r="4" spans="1:32" ht="53.25" customHeight="1">
      <c r="B4" s="50" t="s">
        <v>105</v>
      </c>
      <c r="C4" s="51" t="s">
        <v>106</v>
      </c>
      <c r="D4" s="52" t="s">
        <v>0</v>
      </c>
      <c r="E4" s="52" t="s">
        <v>107</v>
      </c>
      <c r="F4" s="52" t="s">
        <v>108</v>
      </c>
      <c r="G4" s="53" t="s">
        <v>109</v>
      </c>
      <c r="H4" s="53" t="s">
        <v>110</v>
      </c>
      <c r="I4" s="53" t="s">
        <v>111</v>
      </c>
      <c r="J4" s="53" t="s">
        <v>112</v>
      </c>
      <c r="K4" s="53" t="s">
        <v>113</v>
      </c>
      <c r="L4" s="54" t="s">
        <v>114</v>
      </c>
      <c r="M4" s="55" t="s">
        <v>115</v>
      </c>
      <c r="N4" s="55" t="s">
        <v>116</v>
      </c>
      <c r="O4" s="55" t="s">
        <v>117</v>
      </c>
      <c r="P4" s="56" t="s">
        <v>118</v>
      </c>
      <c r="Q4" s="56" t="s">
        <v>119</v>
      </c>
      <c r="R4" s="56" t="s">
        <v>120</v>
      </c>
      <c r="S4" s="57" t="s">
        <v>121</v>
      </c>
      <c r="T4" s="57" t="s">
        <v>122</v>
      </c>
      <c r="U4" s="57" t="s">
        <v>123</v>
      </c>
      <c r="V4" s="57" t="s">
        <v>124</v>
      </c>
      <c r="W4" s="57" t="s">
        <v>125</v>
      </c>
      <c r="X4" s="57" t="s">
        <v>126</v>
      </c>
      <c r="Y4" s="57" t="s">
        <v>127</v>
      </c>
      <c r="Z4" s="57" t="s">
        <v>128</v>
      </c>
      <c r="AA4" s="57" t="s">
        <v>129</v>
      </c>
      <c r="AB4" s="58" t="s">
        <v>130</v>
      </c>
      <c r="AC4" s="58" t="s">
        <v>131</v>
      </c>
      <c r="AD4" s="58" t="s">
        <v>132</v>
      </c>
      <c r="AE4" s="59" t="s">
        <v>133</v>
      </c>
      <c r="AF4" s="59" t="s">
        <v>134</v>
      </c>
    </row>
    <row r="5" spans="1:32">
      <c r="A5" s="15">
        <f>Tableau242[[#This Row],[Company number]]+0</f>
        <v>10405</v>
      </c>
      <c r="B5" s="60" t="s">
        <v>135</v>
      </c>
      <c r="C5" s="61" t="s">
        <v>136</v>
      </c>
      <c r="D5" s="61" t="s">
        <v>60</v>
      </c>
      <c r="E5" s="62" t="str">
        <f>IFERROR(VLOOKUP(Tableau242[[#This Row],[Manager ou CDM concerné]],Parametres!B:C,2,FALSE),"")</f>
        <v>Squad A</v>
      </c>
      <c r="F5" s="62" t="str">
        <f>IF(Tableau242[[#This Row],[Consultant]]=Tableau242[[#This Row],[Manager ou CDM concerné]],"Non",IF(IFERROR(VLOOKUP(Tableau242[[#This Row],[Consultant]],Parametres!B:C,2,FALSE),0)=0,"Non","Oui"))</f>
        <v>Non</v>
      </c>
      <c r="G5" s="62">
        <f>IFERROR(VLOOKUP(B5,Tableau5[#All],4,FALSE),"Matricule!")</f>
        <v>19</v>
      </c>
      <c r="H5" s="62" t="str">
        <f>IFERROR(VLOOKUP(Tableau242[[#This Row],[Company number]],#REF!,6,FALSE),"")</f>
        <v/>
      </c>
      <c r="I5" s="62">
        <f>IFERROR(VLOOKUP(B5,Tableau5[#All],5,FALSE),"Matricule!")</f>
        <v>0</v>
      </c>
      <c r="J5" s="62">
        <f>IFERROR(VLOOKUP(B5,Tableau5[#All],6,FALSE),"Matricule!")</f>
        <v>1</v>
      </c>
      <c r="K5" s="62">
        <f>IFERROR(VLOOKUP(B5,Tableau5[#All],7,FALSE),"Matricule!")</f>
        <v>0</v>
      </c>
      <c r="L5" s="62" t="e">
        <f>VLOOKUP(Tableau242[[#This Row],[Company number]],#REF!,25,FALSE)</f>
        <v>#REF!</v>
      </c>
      <c r="M5" s="62" t="str">
        <f>IFERROR(VLOOKUP(Tableau242[[#This Row],[Company number]],#REF!,30,FALSE),"")</f>
        <v/>
      </c>
      <c r="N5" s="62" t="str">
        <f>IFERROR(VLOOKUP(Tableau242[[#This Row],[Company number]],#REF!,31,FALSE),"")</f>
        <v/>
      </c>
      <c r="O5" s="62" t="str">
        <f>IFERROR(VLOOKUP(Tableau242[[#This Row],[Company number]],#REF!,32,FALSE),"")</f>
        <v/>
      </c>
      <c r="P5" s="62">
        <f>IFERROR(VLOOKUP(B5,Tableau3[#All],5,FALSE),"Matricule!")</f>
        <v>19</v>
      </c>
      <c r="Q5" s="62">
        <f>IFERROR(SUM(VLOOKUP(B5,Tableau3[#All],6,FALSE),VLOOKUP(B5,Tableau3[#All],8,FALSE)),"Matricule!")</f>
        <v>0</v>
      </c>
      <c r="R5" s="62">
        <f>IFERROR(VLOOKUP(B5,Tableau3[#All],7,FALSE),"Matricule!")</f>
        <v>1</v>
      </c>
      <c r="S5" s="62">
        <f>IFERROR(Tableau242[[#This Row],[Prod. days WK]]-Tableau242[[#This Row],[Prod PXX]],"Matricule")</f>
        <v>0</v>
      </c>
      <c r="T5" s="62">
        <f>IFERROR(Tableau242[[#This Row],[Non prod. days WK]]-Tableau242[[#This Row],[Improd PXX]],"Matricule")</f>
        <v>0</v>
      </c>
      <c r="U5" s="62">
        <f>IFERROR(Tableau242[[#This Row],[Paid leave days WK]]-Tableau242[[#This Row],[Congé PXX]],"Matricule")</f>
        <v>0</v>
      </c>
      <c r="V5" s="63">
        <f>IFERROR(VLOOKUP($B5,#REF!,4,FALSE),0)</f>
        <v>0</v>
      </c>
      <c r="W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" s="63">
        <f>IF(AND(Tableau242[[#This Row],[Paid leave days]]&gt;0,Tableau242[[#This Row],[Prod. days]]&lt;0),MIN(Tableau242[[#This Row],[Paid leave days]],-Tableau242[[#This Row],[Prod. days]]),0)</f>
        <v>0</v>
      </c>
      <c r="Z5" s="63">
        <f>IFERROR(_xlfn.XLOOKUP(Tableau242[[#This Row],[Consultant]],Tableau2[Collaborateur/Nom affiché],Tableau2[Montant imputé],0),0)</f>
        <v>0</v>
      </c>
      <c r="AA5" s="64">
        <f t="shared" ref="AA5:AA10" si="0">IFERROR(S5+Z5,S5)</f>
        <v>0</v>
      </c>
      <c r="AB5" s="65"/>
      <c r="AC5" s="66"/>
      <c r="AD5" s="66"/>
      <c r="AE5"/>
      <c r="AF5" s="90"/>
    </row>
    <row r="6" spans="1:32">
      <c r="A6" s="15">
        <f>Tableau242[[#This Row],[Company number]]+0</f>
        <v>15165</v>
      </c>
      <c r="B6" s="60" t="s">
        <v>137</v>
      </c>
      <c r="C6" s="61" t="s">
        <v>138</v>
      </c>
      <c r="D6" s="61" t="s">
        <v>60</v>
      </c>
      <c r="E6" s="62" t="str">
        <f>IFERROR(VLOOKUP(Tableau242[[#This Row],[Manager ou CDM concerné]],Parametres!B:C,2,FALSE),"")</f>
        <v>Squad A</v>
      </c>
      <c r="F6" s="62" t="str">
        <f>IF(Tableau242[[#This Row],[Consultant]]=Tableau242[[#This Row],[Manager ou CDM concerné]],"Non",IF(IFERROR(VLOOKUP(Tableau242[[#This Row],[Consultant]],Parametres!B:C,2,FALSE),0)=0,"Non","Oui"))</f>
        <v>Non</v>
      </c>
      <c r="G6" s="62">
        <f>IFERROR(VLOOKUP(B6,Tableau5[#All],4,FALSE),"Matricule!")</f>
        <v>16</v>
      </c>
      <c r="H6" s="62" t="str">
        <f>IFERROR(VLOOKUP(Tableau242[[#This Row],[Company number]],#REF!,6,FALSE),"")</f>
        <v/>
      </c>
      <c r="I6" s="62">
        <f>IFERROR(VLOOKUP(B6,Tableau5[#All],5,FALSE),"Matricule!")</f>
        <v>0</v>
      </c>
      <c r="J6" s="62">
        <f>IFERROR(VLOOKUP(B6,Tableau5[#All],6,FALSE),"Matricule!")</f>
        <v>4</v>
      </c>
      <c r="K6" s="62">
        <f>IFERROR(VLOOKUP(B6,Tableau5[#All],7,FALSE),"Matricule!")</f>
        <v>0</v>
      </c>
      <c r="L6" s="62" t="e">
        <f>VLOOKUP(Tableau242[[#This Row],[Company number]],#REF!,25,FALSE)</f>
        <v>#REF!</v>
      </c>
      <c r="M6" s="62" t="str">
        <f>IFERROR(VLOOKUP(Tableau242[[#This Row],[Company number]],#REF!,30,FALSE),"")</f>
        <v/>
      </c>
      <c r="N6" s="62" t="str">
        <f>IFERROR(VLOOKUP(Tableau242[[#This Row],[Company number]],#REF!,31,FALSE),"")</f>
        <v/>
      </c>
      <c r="O6" s="62" t="str">
        <f>IFERROR(VLOOKUP(Tableau242[[#This Row],[Company number]],#REF!,32,FALSE),"")</f>
        <v/>
      </c>
      <c r="P6" s="62">
        <f>IFERROR(VLOOKUP(B6,Tableau3[#All],5,FALSE),"Matricule!")</f>
        <v>16</v>
      </c>
      <c r="Q6" s="62">
        <f>IFERROR(SUM(VLOOKUP(B6,Tableau3[#All],6,FALSE),VLOOKUP(B6,Tableau3[#All],8,FALSE)),"Matricule!")</f>
        <v>0</v>
      </c>
      <c r="R6" s="62">
        <f>IFERROR(VLOOKUP(B6,Tableau3[#All],7,FALSE),"Matricule!")</f>
        <v>4</v>
      </c>
      <c r="S6" s="62">
        <f>IFERROR(Tableau242[[#This Row],[Prod. days WK]]-Tableau242[[#This Row],[Prod PXX]],"Matricule")</f>
        <v>0</v>
      </c>
      <c r="T6" s="62">
        <f>IFERROR(Tableau242[[#This Row],[Non prod. days WK]]-Tableau242[[#This Row],[Improd PXX]],"Matricule")</f>
        <v>0</v>
      </c>
      <c r="U6" s="62">
        <f>IFERROR(Tableau242[[#This Row],[Paid leave days WK]]-Tableau242[[#This Row],[Congé PXX]],"Matricule")</f>
        <v>0</v>
      </c>
      <c r="V6" s="63">
        <f>IFERROR(VLOOKUP($B6,#REF!,4,FALSE),0)</f>
        <v>0</v>
      </c>
      <c r="W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" s="63">
        <f>IF(AND(Tableau242[[#This Row],[Paid leave days]]&gt;0,Tableau242[[#This Row],[Prod. days]]&lt;0),MIN(Tableau242[[#This Row],[Paid leave days]],-Tableau242[[#This Row],[Prod. days]]),0)</f>
        <v>0</v>
      </c>
      <c r="Z6" s="63">
        <f>IFERROR(_xlfn.XLOOKUP(Tableau242[[#This Row],[Consultant]],Tableau2[Collaborateur/Nom affiché],Tableau2[Montant imputé],0),0)</f>
        <v>0</v>
      </c>
      <c r="AA6" s="64">
        <f t="shared" si="0"/>
        <v>0</v>
      </c>
      <c r="AB6" s="65"/>
      <c r="AC6" s="66"/>
      <c r="AD6" s="66"/>
      <c r="AE6" s="115"/>
      <c r="AF6" s="90"/>
    </row>
    <row r="7" spans="1:32">
      <c r="A7" s="15">
        <f>Tableau242[[#This Row],[Company number]]+0</f>
        <v>16517</v>
      </c>
      <c r="B7" s="60" t="s">
        <v>139</v>
      </c>
      <c r="C7" s="61" t="s">
        <v>140</v>
      </c>
      <c r="D7" s="61" t="s">
        <v>60</v>
      </c>
      <c r="E7" s="62" t="str">
        <f>IFERROR(VLOOKUP(Tableau242[[#This Row],[Manager ou CDM concerné]],Parametres!B:C,2,FALSE),"")</f>
        <v>Squad A</v>
      </c>
      <c r="F7" s="62" t="str">
        <f>IF(Tableau242[[#This Row],[Consultant]]=Tableau242[[#This Row],[Manager ou CDM concerné]],"Non",IF(IFERROR(VLOOKUP(Tableau242[[#This Row],[Consultant]],Parametres!B:C,2,FALSE),0)=0,"Non","Oui"))</f>
        <v>Oui</v>
      </c>
      <c r="G7" s="62">
        <f>IFERROR(VLOOKUP(B7,Tableau5[#All],4,FALSE),"Matricule!")</f>
        <v>18</v>
      </c>
      <c r="H7" s="62" t="str">
        <f>IFERROR(VLOOKUP(Tableau242[[#This Row],[Company number]],#REF!,6,FALSE),"")</f>
        <v/>
      </c>
      <c r="I7" s="62">
        <f>IFERROR(VLOOKUP(B7,Tableau5[#All],5,FALSE),"Matricule!")</f>
        <v>0</v>
      </c>
      <c r="J7" s="62">
        <f>IFERROR(VLOOKUP(B7,Tableau5[#All],6,FALSE),"Matricule!")</f>
        <v>2</v>
      </c>
      <c r="K7" s="62">
        <f>IFERROR(VLOOKUP(B7,Tableau5[#All],7,FALSE),"Matricule!")</f>
        <v>0</v>
      </c>
      <c r="L7" s="62" t="e">
        <f>VLOOKUP(Tableau242[[#This Row],[Company number]],#REF!,25,FALSE)</f>
        <v>#REF!</v>
      </c>
      <c r="M7" s="62" t="str">
        <f>IFERROR(VLOOKUP(Tableau242[[#This Row],[Company number]],#REF!,30,FALSE),"")</f>
        <v/>
      </c>
      <c r="N7" s="62" t="str">
        <f>IFERROR(VLOOKUP(Tableau242[[#This Row],[Company number]],#REF!,31,FALSE),"")</f>
        <v/>
      </c>
      <c r="O7" s="62" t="str">
        <f>IFERROR(VLOOKUP(Tableau242[[#This Row],[Company number]],#REF!,32,FALSE),"")</f>
        <v/>
      </c>
      <c r="P7" s="68">
        <f>IFERROR(VLOOKUP(B7,Tableau3[#All],5,FALSE),"Matricule!")</f>
        <v>18</v>
      </c>
      <c r="Q7" s="68">
        <f>IFERROR(SUM(VLOOKUP(B7,Tableau3[#All],6,FALSE),VLOOKUP(B7,Tableau3[#All],8,FALSE)),"Matricule!")</f>
        <v>0</v>
      </c>
      <c r="R7" s="68">
        <f>IFERROR(VLOOKUP(B7,Tableau3[#All],7,FALSE),"Matricule!")</f>
        <v>2</v>
      </c>
      <c r="S7" s="62">
        <f>IFERROR(Tableau242[[#This Row],[Prod. days WK]]-Tableau242[[#This Row],[Prod PXX]],"Matricule")</f>
        <v>0</v>
      </c>
      <c r="T7" s="62">
        <f>IFERROR(Tableau242[[#This Row],[Non prod. days WK]]-Tableau242[[#This Row],[Improd PXX]],"Matricule")</f>
        <v>0</v>
      </c>
      <c r="U7" s="62">
        <f>IFERROR(Tableau242[[#This Row],[Paid leave days WK]]-Tableau242[[#This Row],[Congé PXX]],"Matricule")</f>
        <v>0</v>
      </c>
      <c r="V7" s="63">
        <f>IFERROR(VLOOKUP($B7,#REF!,4,FALSE),0)</f>
        <v>0</v>
      </c>
      <c r="W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" s="63">
        <f>IF(AND(Tableau242[[#This Row],[Paid leave days]]&gt;0,Tableau242[[#This Row],[Prod. days]]&lt;0),MIN(Tableau242[[#This Row],[Paid leave days]],-Tableau242[[#This Row],[Prod. days]]),0)</f>
        <v>0</v>
      </c>
      <c r="Z7" s="63">
        <f>IFERROR(_xlfn.XLOOKUP(Tableau242[[#This Row],[Consultant]],Tableau2[Collaborateur/Nom affiché],Tableau2[Montant imputé],0),0)</f>
        <v>0</v>
      </c>
      <c r="AA7" s="64">
        <f t="shared" si="0"/>
        <v>0</v>
      </c>
      <c r="AB7" s="65"/>
      <c r="AC7" s="66"/>
      <c r="AD7" s="66"/>
      <c r="AE7" s="66"/>
      <c r="AF7" s="90"/>
    </row>
    <row r="8" spans="1:32">
      <c r="A8" s="15">
        <f>Tableau242[[#This Row],[Company number]]+0</f>
        <v>10022</v>
      </c>
      <c r="B8" s="60" t="s">
        <v>141</v>
      </c>
      <c r="C8" s="61" t="s">
        <v>33</v>
      </c>
      <c r="D8" s="61" t="s">
        <v>60</v>
      </c>
      <c r="E8" s="62" t="str">
        <f>IFERROR(VLOOKUP(Tableau242[[#This Row],[Manager ou CDM concerné]],Parametres!B:C,2,FALSE),"")</f>
        <v>Squad A</v>
      </c>
      <c r="F8" s="62" t="str">
        <f>IF(Tableau242[[#This Row],[Consultant]]=Tableau242[[#This Row],[Manager ou CDM concerné]],"Non",IF(IFERROR(VLOOKUP(Tableau242[[#This Row],[Consultant]],Parametres!B:C,2,FALSE),0)=0,"Non","Oui"))</f>
        <v>Oui</v>
      </c>
      <c r="G8" s="62">
        <f>IFERROR(VLOOKUP(B8,Tableau5[#All],4,FALSE),"Matricule!")</f>
        <v>12</v>
      </c>
      <c r="H8" s="62" t="str">
        <f>IFERROR(VLOOKUP(Tableau242[[#This Row],[Company number]],#REF!,6,FALSE),"")</f>
        <v/>
      </c>
      <c r="I8" s="62">
        <f>IFERROR(VLOOKUP(B8,Tableau5[#All],5,FALSE),"Matricule!")</f>
        <v>3</v>
      </c>
      <c r="J8" s="62">
        <f>IFERROR(VLOOKUP(B8,Tableau5[#All],6,FALSE),"Matricule!")</f>
        <v>5</v>
      </c>
      <c r="K8" s="62">
        <f>IFERROR(VLOOKUP(B8,Tableau5[#All],7,FALSE),"Matricule!")</f>
        <v>0</v>
      </c>
      <c r="L8" s="62" t="e">
        <f>VLOOKUP(Tableau242[[#This Row],[Company number]],#REF!,25,FALSE)</f>
        <v>#REF!</v>
      </c>
      <c r="M8" s="62" t="str">
        <f>IFERROR(VLOOKUP(Tableau242[[#This Row],[Company number]],#REF!,30,FALSE),"")</f>
        <v/>
      </c>
      <c r="N8" s="62" t="str">
        <f>IFERROR(VLOOKUP(Tableau242[[#This Row],[Company number]],#REF!,31,FALSE),"")</f>
        <v/>
      </c>
      <c r="O8" s="62" t="str">
        <f>IFERROR(VLOOKUP(Tableau242[[#This Row],[Company number]],#REF!,32,FALSE),"")</f>
        <v/>
      </c>
      <c r="P8" s="62">
        <f>IFERROR(VLOOKUP(B8,Tableau3[#All],5,FALSE),"Matricule!")</f>
        <v>12</v>
      </c>
      <c r="Q8" s="62">
        <f>IFERROR(SUM(VLOOKUP(B8,Tableau3[#All],6,FALSE),VLOOKUP(B8,Tableau3[#All],8,FALSE)),"Matricule!")</f>
        <v>3</v>
      </c>
      <c r="R8" s="62">
        <f>IFERROR(VLOOKUP(B8,Tableau3[#All],7,FALSE),"Matricule!")</f>
        <v>5</v>
      </c>
      <c r="S8" s="62">
        <f>IFERROR(Tableau242[[#This Row],[Prod. days WK]]-Tableau242[[#This Row],[Prod PXX]],"Matricule")</f>
        <v>0</v>
      </c>
      <c r="T8" s="62">
        <f>IFERROR(Tableau242[[#This Row],[Non prod. days WK]]-Tableau242[[#This Row],[Improd PXX]],"Matricule")</f>
        <v>0</v>
      </c>
      <c r="U8" s="62">
        <f>IFERROR(Tableau242[[#This Row],[Paid leave days WK]]-Tableau242[[#This Row],[Congé PXX]],"Matricule")</f>
        <v>0</v>
      </c>
      <c r="V8" s="63">
        <f>IFERROR(VLOOKUP($B8,#REF!,4,FALSE),0)</f>
        <v>0</v>
      </c>
      <c r="W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8" s="63">
        <f>IF(AND(Tableau242[[#This Row],[Paid leave days]]&gt;0,Tableau242[[#This Row],[Prod. days]]&lt;0),MIN(Tableau242[[#This Row],[Paid leave days]],-Tableau242[[#This Row],[Prod. days]]),0)</f>
        <v>0</v>
      </c>
      <c r="Z8" s="63">
        <f>IFERROR(_xlfn.XLOOKUP(Tableau242[[#This Row],[Consultant]],Tableau2[Collaborateur/Nom affiché],Tableau2[Montant imputé],0),0)</f>
        <v>0</v>
      </c>
      <c r="AA8" s="64">
        <f t="shared" si="0"/>
        <v>0</v>
      </c>
      <c r="AB8" s="65"/>
      <c r="AC8" s="66"/>
      <c r="AD8" s="66"/>
      <c r="AE8" s="115"/>
      <c r="AF8" s="90"/>
    </row>
    <row r="9" spans="1:32">
      <c r="A9" s="15">
        <f>Tableau242[[#This Row],[Company number]]+0</f>
        <v>13055</v>
      </c>
      <c r="B9" s="60" t="s">
        <v>142</v>
      </c>
      <c r="C9" s="61" t="s">
        <v>143</v>
      </c>
      <c r="D9" s="61" t="s">
        <v>60</v>
      </c>
      <c r="E9" s="62" t="str">
        <f>IFERROR(VLOOKUP(Tableau242[[#This Row],[Manager ou CDM concerné]],Parametres!B:C,2,FALSE),"")</f>
        <v>Squad A</v>
      </c>
      <c r="F9" s="62" t="str">
        <f>IF(Tableau242[[#This Row],[Consultant]]=Tableau242[[#This Row],[Manager ou CDM concerné]],"Non",IF(IFERROR(VLOOKUP(Tableau242[[#This Row],[Consultant]],Parametres!B:C,2,FALSE),0)=0,"Non","Oui"))</f>
        <v>Oui</v>
      </c>
      <c r="G9" s="62">
        <f>IFERROR(VLOOKUP(B9,Tableau5[#All],4,FALSE),"Matricule!")</f>
        <v>0</v>
      </c>
      <c r="H9" s="62" t="str">
        <f>IFERROR(VLOOKUP(Tableau242[[#This Row],[Company number]],#REF!,6,FALSE),"")</f>
        <v/>
      </c>
      <c r="I9" s="62">
        <f>IFERROR(VLOOKUP(B9,Tableau5[#All],5,FALSE),"Matricule!")</f>
        <v>20</v>
      </c>
      <c r="J9" s="62">
        <f>IFERROR(VLOOKUP(B9,Tableau5[#All],6,FALSE),"Matricule!")</f>
        <v>0</v>
      </c>
      <c r="K9" s="62">
        <f>IFERROR(VLOOKUP(B9,Tableau5[#All],7,FALSE),"Matricule!")</f>
        <v>0</v>
      </c>
      <c r="L9" s="62" t="e">
        <f>VLOOKUP(Tableau242[[#This Row],[Company number]],#REF!,25,FALSE)</f>
        <v>#REF!</v>
      </c>
      <c r="M9" s="62" t="str">
        <f>IFERROR(VLOOKUP(Tableau242[[#This Row],[Company number]],#REF!,30,FALSE),"")</f>
        <v/>
      </c>
      <c r="N9" s="62" t="str">
        <f>IFERROR(VLOOKUP(Tableau242[[#This Row],[Company number]],#REF!,31,FALSE),"")</f>
        <v/>
      </c>
      <c r="O9" s="62" t="str">
        <f>IFERROR(VLOOKUP(Tableau242[[#This Row],[Company number]],#REF!,32,FALSE),"")</f>
        <v/>
      </c>
      <c r="P9" s="62">
        <f>IFERROR(VLOOKUP(B9,Tableau3[#All],5,FALSE),"Matricule!")</f>
        <v>0</v>
      </c>
      <c r="Q9" s="62">
        <f>IFERROR(SUM(VLOOKUP(B9,Tableau3[#All],6,FALSE),VLOOKUP(B9,Tableau3[#All],8,FALSE)),"Matricule!")</f>
        <v>20</v>
      </c>
      <c r="R9" s="62">
        <f>IFERROR(VLOOKUP(B9,Tableau3[#All],7,FALSE),"Matricule!")</f>
        <v>0</v>
      </c>
      <c r="S9" s="62">
        <f>IFERROR(Tableau242[[#This Row],[Prod. days WK]]-Tableau242[[#This Row],[Prod PXX]],"Matricule")</f>
        <v>0</v>
      </c>
      <c r="T9" s="62">
        <f>IFERROR(Tableau242[[#This Row],[Non prod. days WK]]-Tableau242[[#This Row],[Improd PXX]],"Matricule")</f>
        <v>0</v>
      </c>
      <c r="U9" s="62">
        <f>IFERROR(Tableau242[[#This Row],[Paid leave days WK]]-Tableau242[[#This Row],[Congé PXX]],"Matricule")</f>
        <v>0</v>
      </c>
      <c r="V9" s="63">
        <f>IFERROR(VLOOKUP($B9,#REF!,4,FALSE),0)</f>
        <v>0</v>
      </c>
      <c r="W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9" s="63">
        <f>IF(AND(Tableau242[[#This Row],[Paid leave days]]&gt;0,Tableau242[[#This Row],[Prod. days]]&lt;0),MIN(Tableau242[[#This Row],[Paid leave days]],-Tableau242[[#This Row],[Prod. days]]),0)</f>
        <v>0</v>
      </c>
      <c r="Z9" s="63">
        <f>IFERROR(_xlfn.XLOOKUP(Tableau242[[#This Row],[Consultant]],Tableau2[Collaborateur/Nom affiché],Tableau2[Montant imputé],0),0)</f>
        <v>0</v>
      </c>
      <c r="AA9" s="64">
        <f t="shared" si="0"/>
        <v>0</v>
      </c>
      <c r="AB9" s="78"/>
      <c r="AC9" s="67"/>
      <c r="AD9" s="67"/>
      <c r="AE9" s="67"/>
      <c r="AF9" s="92"/>
    </row>
    <row r="10" spans="1:32">
      <c r="A10" s="15">
        <f>Tableau242[[#This Row],[Company number]]+0</f>
        <v>21198</v>
      </c>
      <c r="B10" s="60" t="s">
        <v>144</v>
      </c>
      <c r="C10" s="61" t="s">
        <v>145</v>
      </c>
      <c r="D10" s="61" t="s">
        <v>60</v>
      </c>
      <c r="E10" s="62" t="str">
        <f>IFERROR(VLOOKUP(Tableau242[[#This Row],[Manager ou CDM concerné]],Parametres!B:C,2,FALSE),"")</f>
        <v>Squad A</v>
      </c>
      <c r="F10" s="62" t="str">
        <f>IF(Tableau242[[#This Row],[Consultant]]=Tableau242[[#This Row],[Manager ou CDM concerné]],"Non",IF(IFERROR(VLOOKUP(Tableau242[[#This Row],[Consultant]],Parametres!B:C,2,FALSE),0)=0,"Non","Oui"))</f>
        <v>Non</v>
      </c>
      <c r="G10" s="62">
        <f>IFERROR(VLOOKUP(B10,Tableau5[#All],4,FALSE),"Matricule!")</f>
        <v>20</v>
      </c>
      <c r="H10" s="62" t="str">
        <f>IFERROR(VLOOKUP(Tableau242[[#This Row],[Company number]],#REF!,6,FALSE),"")</f>
        <v/>
      </c>
      <c r="I10" s="62">
        <f>IFERROR(VLOOKUP(B10,Tableau5[#All],5,FALSE),"Matricule!")</f>
        <v>0</v>
      </c>
      <c r="J10" s="62">
        <f>IFERROR(VLOOKUP(B10,Tableau5[#All],6,FALSE),"Matricule!")</f>
        <v>0</v>
      </c>
      <c r="K10" s="62">
        <f>IFERROR(VLOOKUP(B10,Tableau5[#All],7,FALSE),"Matricule!")</f>
        <v>0</v>
      </c>
      <c r="L10" s="62" t="e">
        <f>VLOOKUP(Tableau242[[#This Row],[Company number]],#REF!,25,FALSE)</f>
        <v>#REF!</v>
      </c>
      <c r="M10" s="62" t="str">
        <f>IFERROR(VLOOKUP(Tableau242[[#This Row],[Company number]],#REF!,30,FALSE),"")</f>
        <v/>
      </c>
      <c r="N10" s="62" t="str">
        <f>IFERROR(VLOOKUP(Tableau242[[#This Row],[Company number]],#REF!,31,FALSE),"")</f>
        <v/>
      </c>
      <c r="O10" s="62" t="str">
        <f>IFERROR(VLOOKUP(Tableau242[[#This Row],[Company number]],#REF!,32,FALSE),"")</f>
        <v/>
      </c>
      <c r="P10" s="62">
        <f>IFERROR(VLOOKUP(B10,Tableau3[#All],5,FALSE),"Matricule!")</f>
        <v>20</v>
      </c>
      <c r="Q10" s="62">
        <f>IFERROR(SUM(VLOOKUP(B10,Tableau3[#All],6,FALSE),VLOOKUP(B10,Tableau3[#All],8,FALSE)),"Matricule!")</f>
        <v>0</v>
      </c>
      <c r="R10" s="62">
        <f>IFERROR(VLOOKUP(B10,Tableau3[#All],7,FALSE),"Matricule!")</f>
        <v>0</v>
      </c>
      <c r="S10" s="62">
        <f>IFERROR(Tableau242[[#This Row],[Prod. days WK]]-Tableau242[[#This Row],[Prod PXX]],"Matricule")</f>
        <v>0</v>
      </c>
      <c r="T10" s="62">
        <f>IFERROR(Tableau242[[#This Row],[Non prod. days WK]]-Tableau242[[#This Row],[Improd PXX]],"Matricule")</f>
        <v>0</v>
      </c>
      <c r="U10" s="62">
        <f>IFERROR(Tableau242[[#This Row],[Paid leave days WK]]-Tableau242[[#This Row],[Congé PXX]],"Matricule")</f>
        <v>0</v>
      </c>
      <c r="V10" s="63">
        <f>IFERROR(VLOOKUP($B10,#REF!,4,FALSE),0)</f>
        <v>0</v>
      </c>
      <c r="W1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0" s="63">
        <f>IF(AND(Tableau242[[#This Row],[Paid leave days]]&gt;0,Tableau242[[#This Row],[Prod. days]]&lt;0),MIN(Tableau242[[#This Row],[Paid leave days]],-Tableau242[[#This Row],[Prod. days]]),0)</f>
        <v>0</v>
      </c>
      <c r="Z10" s="63">
        <f>IFERROR(_xlfn.XLOOKUP(Tableau242[[#This Row],[Consultant]],Tableau2[Collaborateur/Nom affiché],Tableau2[Montant imputé],0),0)</f>
        <v>0</v>
      </c>
      <c r="AA10" s="64">
        <f t="shared" si="0"/>
        <v>0</v>
      </c>
      <c r="AB10" s="65"/>
      <c r="AC10" s="66"/>
      <c r="AD10" s="66"/>
      <c r="AE10" s="66"/>
      <c r="AF10" s="90"/>
    </row>
    <row r="11" spans="1:32">
      <c r="A11" s="15">
        <f>Tableau242[[#This Row],[Company number]]+0</f>
        <v>8374</v>
      </c>
      <c r="B11" s="60" t="s">
        <v>146</v>
      </c>
      <c r="C11" s="61" t="s">
        <v>84</v>
      </c>
      <c r="D11" s="61" t="s">
        <v>31</v>
      </c>
      <c r="E11" s="62" t="str">
        <f>IFERROR(VLOOKUP(Tableau242[[#This Row],[Manager ou CDM concerné]],Parametres!B:C,2,FALSE),"")</f>
        <v>Squad C</v>
      </c>
      <c r="F11" s="62" t="str">
        <f>IF(Tableau242[[#This Row],[Consultant]]=Tableau242[[#This Row],[Manager ou CDM concerné]],"Non",IF(IFERROR(VLOOKUP(Tableau242[[#This Row],[Consultant]],Parametres!B:C,2,FALSE),0)=0,"Non","Oui"))</f>
        <v>Oui</v>
      </c>
      <c r="G11" s="62">
        <f>IFERROR(VLOOKUP(B11,Tableau5[#All],4,FALSE),"Matricule!")</f>
        <v>0</v>
      </c>
      <c r="H11" s="62" t="str">
        <f>IFERROR(VLOOKUP(Tableau242[[#This Row],[Company number]],#REF!,6,FALSE),"")</f>
        <v/>
      </c>
      <c r="I11" s="62">
        <f>IFERROR(VLOOKUP(B11,Tableau5[#All],5,FALSE),"Matricule!")</f>
        <v>19</v>
      </c>
      <c r="J11" s="62">
        <f>IFERROR(VLOOKUP(B11,Tableau5[#All],6,FALSE),"Matricule!")</f>
        <v>1</v>
      </c>
      <c r="K11" s="62">
        <f>IFERROR(VLOOKUP(B11,Tableau5[#All],7,FALSE),"Matricule!")</f>
        <v>0</v>
      </c>
      <c r="L11" s="62" t="e">
        <f>VLOOKUP(Tableau242[[#This Row],[Company number]],#REF!,25,FALSE)</f>
        <v>#REF!</v>
      </c>
      <c r="M11" s="62" t="str">
        <f>IFERROR(VLOOKUP(Tableau242[[#This Row],[Company number]],#REF!,30,FALSE),"")</f>
        <v/>
      </c>
      <c r="N11" s="62" t="str">
        <f>IFERROR(VLOOKUP(Tableau242[[#This Row],[Company number]],#REF!,31,FALSE),"")</f>
        <v/>
      </c>
      <c r="O11" s="62" t="str">
        <f>IFERROR(VLOOKUP(Tableau242[[#This Row],[Company number]],#REF!,32,FALSE),"")</f>
        <v/>
      </c>
      <c r="P11" s="62">
        <f>IFERROR(VLOOKUP(B11,Tableau3[#All],5,FALSE),"Matricule!")</f>
        <v>20</v>
      </c>
      <c r="Q11" s="62">
        <f>IFERROR(SUM(VLOOKUP(B11,Tableau3[#All],6,FALSE),VLOOKUP(B11,Tableau3[#All],8,FALSE)),"Matricule!")</f>
        <v>0</v>
      </c>
      <c r="R11" s="62">
        <f>IFERROR(VLOOKUP(B11,Tableau3[#All],7,FALSE),"Matricule!")</f>
        <v>0</v>
      </c>
      <c r="S11" s="62">
        <f>IFERROR(Tableau242[[#This Row],[Prod. days WK]]-Tableau242[[#This Row],[Prod PXX]],"Matricule")</f>
        <v>-20</v>
      </c>
      <c r="T11" s="62">
        <f>IFERROR(Tableau242[[#This Row],[Non prod. days WK]]-Tableau242[[#This Row],[Improd PXX]],"Matricule")</f>
        <v>19</v>
      </c>
      <c r="U11" s="62">
        <f>IFERROR(Tableau242[[#This Row],[Paid leave days WK]]-Tableau242[[#This Row],[Congé PXX]],"Matricule")</f>
        <v>1</v>
      </c>
      <c r="V11" s="63">
        <f>IFERROR(VLOOKUP($B11,#REF!,4,FALSE),0)</f>
        <v>0</v>
      </c>
      <c r="W1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1" s="63">
        <f>IF(AND(Tableau242[[#This Row],[Paid leave days]]&gt;0,Tableau242[[#This Row],[Prod. days]]&lt;0),MIN(Tableau242[[#This Row],[Paid leave days]],-Tableau242[[#This Row],[Prod. days]]),0)</f>
        <v>1</v>
      </c>
      <c r="Z11" s="63">
        <f>IFERROR(_xlfn.XLOOKUP(Tableau242[[#This Row],[Consultant]],Tableau2[Collaborateur/Nom affiché],Tableau2[Montant imputé],0),0)</f>
        <v>0</v>
      </c>
      <c r="AA11" s="64">
        <f t="shared" ref="AA11:AA74" si="1">IFERROR(S11+Z11,S11)</f>
        <v>-20</v>
      </c>
      <c r="AB11" s="65" t="s">
        <v>147</v>
      </c>
      <c r="AC11" s="66"/>
      <c r="AD11" s="66"/>
      <c r="AE11" s="38"/>
      <c r="AF11" s="90"/>
    </row>
    <row r="12" spans="1:32">
      <c r="A12" s="15">
        <f>Tableau242[[#This Row],[Company number]]+0</f>
        <v>13978</v>
      </c>
      <c r="B12" s="60" t="s">
        <v>148</v>
      </c>
      <c r="C12" s="61" t="s">
        <v>77</v>
      </c>
      <c r="D12" s="61" t="s">
        <v>60</v>
      </c>
      <c r="E12" s="62" t="str">
        <f>IFERROR(VLOOKUP(Tableau242[[#This Row],[Manager ou CDM concerné]],Parametres!B:C,2,FALSE),"")</f>
        <v>Squad A</v>
      </c>
      <c r="F12" s="62" t="str">
        <f>IF(Tableau242[[#This Row],[Consultant]]=Tableau242[[#This Row],[Manager ou CDM concerné]],"Non",IF(IFERROR(VLOOKUP(Tableau242[[#This Row],[Consultant]],Parametres!B:C,2,FALSE),0)=0,"Non","Oui"))</f>
        <v>Oui</v>
      </c>
      <c r="G12" s="62">
        <f>IFERROR(VLOOKUP(B12,Tableau5[#All],4,FALSE),"Matricule!")</f>
        <v>18.5</v>
      </c>
      <c r="H12" s="62" t="str">
        <f>IFERROR(VLOOKUP(Tableau242[[#This Row],[Company number]],#REF!,6,FALSE),"")</f>
        <v/>
      </c>
      <c r="I12" s="62">
        <f>IFERROR(VLOOKUP(B12,Tableau5[#All],5,FALSE),"Matricule!")</f>
        <v>1</v>
      </c>
      <c r="J12" s="62">
        <f>IFERROR(VLOOKUP(B12,Tableau5[#All],6,FALSE),"Matricule!")</f>
        <v>0.5</v>
      </c>
      <c r="K12" s="62">
        <f>IFERROR(VLOOKUP(B12,Tableau5[#All],7,FALSE),"Matricule!")</f>
        <v>0</v>
      </c>
      <c r="L12" s="62" t="e">
        <f>VLOOKUP(Tableau242[[#This Row],[Company number]],#REF!,25,FALSE)</f>
        <v>#REF!</v>
      </c>
      <c r="M12" s="62" t="str">
        <f>IFERROR(VLOOKUP(Tableau242[[#This Row],[Company number]],#REF!,30,FALSE),"")</f>
        <v/>
      </c>
      <c r="N12" s="62" t="str">
        <f>IFERROR(VLOOKUP(Tableau242[[#This Row],[Company number]],#REF!,31,FALSE),"")</f>
        <v/>
      </c>
      <c r="O12" s="62" t="str">
        <f>IFERROR(VLOOKUP(Tableau242[[#This Row],[Company number]],#REF!,32,FALSE),"")</f>
        <v/>
      </c>
      <c r="P12" s="68">
        <f>IFERROR(VLOOKUP(B12,Tableau3[#All],5,FALSE),"Matricule!")</f>
        <v>18.5</v>
      </c>
      <c r="Q12" s="68">
        <f>IFERROR(SUM(VLOOKUP(B12,Tableau3[#All],6,FALSE),VLOOKUP(B12,Tableau3[#All],8,FALSE)),"Matricule!")</f>
        <v>1</v>
      </c>
      <c r="R12" s="68">
        <f>IFERROR(VLOOKUP(B12,Tableau3[#All],7,FALSE),"Matricule!")</f>
        <v>0.5</v>
      </c>
      <c r="S12" s="62">
        <f>IFERROR(Tableau242[[#This Row],[Prod. days WK]]-Tableau242[[#This Row],[Prod PXX]],"Matricule")</f>
        <v>0</v>
      </c>
      <c r="T12" s="62">
        <f>IFERROR(Tableau242[[#This Row],[Non prod. days WK]]-Tableau242[[#This Row],[Improd PXX]],"Matricule")</f>
        <v>0</v>
      </c>
      <c r="U12" s="62">
        <f>IFERROR(Tableau242[[#This Row],[Paid leave days WK]]-Tableau242[[#This Row],[Congé PXX]],"Matricule")</f>
        <v>0</v>
      </c>
      <c r="V12" s="63">
        <f>IFERROR(VLOOKUP($B12,#REF!,4,FALSE),0)</f>
        <v>0</v>
      </c>
      <c r="W1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2" s="63">
        <f>IF(AND(Tableau242[[#This Row],[Paid leave days]]&gt;0,Tableau242[[#This Row],[Prod. days]]&lt;0),MIN(Tableau242[[#This Row],[Paid leave days]],-Tableau242[[#This Row],[Prod. days]]),0)</f>
        <v>0</v>
      </c>
      <c r="Z12" s="63">
        <f>IFERROR(_xlfn.XLOOKUP(Tableau242[[#This Row],[Consultant]],Tableau2[Collaborateur/Nom affiché],Tableau2[Montant imputé],0),0)</f>
        <v>0</v>
      </c>
      <c r="AA12" s="64">
        <f t="shared" si="1"/>
        <v>0</v>
      </c>
      <c r="AB12" s="65"/>
      <c r="AC12" s="67"/>
      <c r="AD12" s="67"/>
      <c r="AE12" s="106"/>
      <c r="AF12" s="92"/>
    </row>
    <row r="13" spans="1:32">
      <c r="A13" s="15">
        <f>Tableau242[[#This Row],[Company number]]+0</f>
        <v>12209</v>
      </c>
      <c r="B13" s="60" t="s">
        <v>149</v>
      </c>
      <c r="C13" s="61" t="s">
        <v>89</v>
      </c>
      <c r="D13" s="61" t="s">
        <v>60</v>
      </c>
      <c r="E13" s="62" t="str">
        <f>IFERROR(VLOOKUP(Tableau242[[#This Row],[Manager ou CDM concerné]],Parametres!B:C,2,FALSE),"")</f>
        <v>Squad A</v>
      </c>
      <c r="F13" s="62" t="str">
        <f>IF(Tableau242[[#This Row],[Consultant]]=Tableau242[[#This Row],[Manager ou CDM concerné]],"Non",IF(IFERROR(VLOOKUP(Tableau242[[#This Row],[Consultant]],Parametres!B:C,2,FALSE),0)=0,"Non","Oui"))</f>
        <v>Oui</v>
      </c>
      <c r="G13" s="62">
        <f>IFERROR(VLOOKUP(B13,Tableau5[#All],4,FALSE),"Matricule!")</f>
        <v>17</v>
      </c>
      <c r="H13" s="62" t="str">
        <f>IFERROR(VLOOKUP(Tableau242[[#This Row],[Company number]],#REF!,6,FALSE),"")</f>
        <v/>
      </c>
      <c r="I13" s="62">
        <f>IFERROR(VLOOKUP(B13,Tableau5[#All],5,FALSE),"Matricule!")</f>
        <v>3</v>
      </c>
      <c r="J13" s="62">
        <f>IFERROR(VLOOKUP(B13,Tableau5[#All],6,FALSE),"Matricule!")</f>
        <v>0</v>
      </c>
      <c r="K13" s="62">
        <f>IFERROR(VLOOKUP(B13,Tableau5[#All],7,FALSE),"Matricule!")</f>
        <v>0</v>
      </c>
      <c r="L13" s="62" t="e">
        <f>VLOOKUP(Tableau242[[#This Row],[Company number]],#REF!,25,FALSE)</f>
        <v>#REF!</v>
      </c>
      <c r="M13" s="62" t="str">
        <f>IFERROR(VLOOKUP(Tableau242[[#This Row],[Company number]],#REF!,30,FALSE),"")</f>
        <v/>
      </c>
      <c r="N13" s="62" t="str">
        <f>IFERROR(VLOOKUP(Tableau242[[#This Row],[Company number]],#REF!,31,FALSE),"")</f>
        <v/>
      </c>
      <c r="O13" s="62" t="str">
        <f>IFERROR(VLOOKUP(Tableau242[[#This Row],[Company number]],#REF!,32,FALSE),"")</f>
        <v/>
      </c>
      <c r="P13" s="62">
        <f>IFERROR(VLOOKUP(B13,Tableau3[#All],5,FALSE),"Matricule!")</f>
        <v>16</v>
      </c>
      <c r="Q13" s="62">
        <f>IFERROR(SUM(VLOOKUP(B13,Tableau3[#All],6,FALSE),VLOOKUP(B13,Tableau3[#All],8,FALSE)),"Matricule!")</f>
        <v>4</v>
      </c>
      <c r="R13" s="62">
        <f>IFERROR(VLOOKUP(B13,Tableau3[#All],7,FALSE),"Matricule!")</f>
        <v>0</v>
      </c>
      <c r="S13" s="62">
        <f>IFERROR(Tableau242[[#This Row],[Prod. days WK]]-Tableau242[[#This Row],[Prod PXX]],"Matricule")</f>
        <v>1</v>
      </c>
      <c r="T13" s="62">
        <f>IFERROR(Tableau242[[#This Row],[Non prod. days WK]]-Tableau242[[#This Row],[Improd PXX]],"Matricule")</f>
        <v>-1</v>
      </c>
      <c r="U13" s="62">
        <f>IFERROR(Tableau242[[#This Row],[Paid leave days WK]]-Tableau242[[#This Row],[Congé PXX]],"Matricule")</f>
        <v>0</v>
      </c>
      <c r="V13" s="63">
        <f>IFERROR(VLOOKUP($B13,#REF!,4,FALSE),0)</f>
        <v>0</v>
      </c>
      <c r="W1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3" s="63">
        <f>IF(AND(Tableau242[[#This Row],[Paid leave days]]&gt;0,Tableau242[[#This Row],[Prod. days]]&lt;0),MIN(Tableau242[[#This Row],[Paid leave days]],-Tableau242[[#This Row],[Prod. days]]),0)</f>
        <v>0</v>
      </c>
      <c r="Z13" s="63">
        <f>IFERROR(_xlfn.XLOOKUP(Tableau242[[#This Row],[Consultant]],Tableau2[Collaborateur/Nom affiché],Tableau2[Montant imputé],0),0)</f>
        <v>0</v>
      </c>
      <c r="AA13" s="64">
        <f t="shared" si="1"/>
        <v>1</v>
      </c>
      <c r="AB13" s="65"/>
      <c r="AC13" s="66"/>
      <c r="AD13" s="66"/>
      <c r="AE13" s="105"/>
      <c r="AF13" s="90"/>
    </row>
    <row r="14" spans="1:32" ht="15" customHeight="1">
      <c r="A14" s="15">
        <f>Tableau242[[#This Row],[Company number]]+0</f>
        <v>21749</v>
      </c>
      <c r="B14" s="60" t="s">
        <v>150</v>
      </c>
      <c r="C14" s="61" t="s">
        <v>151</v>
      </c>
      <c r="D14" s="61" t="s">
        <v>2</v>
      </c>
      <c r="E14" s="62" t="str">
        <f>IFERROR(VLOOKUP(Tableau242[[#This Row],[Manager ou CDM concerné]],Parametres!B:C,2,FALSE),"")</f>
        <v>Squad H</v>
      </c>
      <c r="F14" s="62" t="str">
        <f>IF(Tableau242[[#This Row],[Consultant]]=Tableau242[[#This Row],[Manager ou CDM concerné]],"Non",IF(IFERROR(VLOOKUP(Tableau242[[#This Row],[Consultant]],Parametres!B:C,2,FALSE),0)=0,"Non","Oui"))</f>
        <v>Non</v>
      </c>
      <c r="G14" s="62">
        <f>IFERROR(VLOOKUP(B14,Tableau5[#All],4,FALSE),"Matricule!")</f>
        <v>20</v>
      </c>
      <c r="H14" s="62" t="str">
        <f>IFERROR(VLOOKUP(Tableau242[[#This Row],[Company number]],#REF!,6,FALSE),"")</f>
        <v/>
      </c>
      <c r="I14" s="62">
        <f>IFERROR(VLOOKUP(B14,Tableau5[#All],5,FALSE),"Matricule!")</f>
        <v>0</v>
      </c>
      <c r="J14" s="62">
        <f>IFERROR(VLOOKUP(B14,Tableau5[#All],6,FALSE),"Matricule!")</f>
        <v>0</v>
      </c>
      <c r="K14" s="62">
        <f>IFERROR(VLOOKUP(B14,Tableau5[#All],7,FALSE),"Matricule!")</f>
        <v>0</v>
      </c>
      <c r="L14" s="62" t="e">
        <f>VLOOKUP(Tableau242[[#This Row],[Company number]],#REF!,25,FALSE)</f>
        <v>#REF!</v>
      </c>
      <c r="M14" s="62" t="str">
        <f>IFERROR(VLOOKUP(Tableau242[[#This Row],[Company number]],#REF!,30,FALSE),"")</f>
        <v/>
      </c>
      <c r="N14" s="62" t="str">
        <f>IFERROR(VLOOKUP(Tableau242[[#This Row],[Company number]],#REF!,31,FALSE),"")</f>
        <v/>
      </c>
      <c r="O14" s="62" t="str">
        <f>IFERROR(VLOOKUP(Tableau242[[#This Row],[Company number]],#REF!,32,FALSE),"")</f>
        <v/>
      </c>
      <c r="P14" s="62">
        <f>IFERROR(VLOOKUP(B14,Tableau3[#All],5,FALSE),"Matricule!")</f>
        <v>20</v>
      </c>
      <c r="Q14" s="62">
        <f>IFERROR(SUM(VLOOKUP(B14,Tableau3[#All],6,FALSE),VLOOKUP(B14,Tableau3[#All],8,FALSE)),"Matricule!")</f>
        <v>0</v>
      </c>
      <c r="R14" s="62">
        <f>IFERROR(VLOOKUP(B14,Tableau3[#All],7,FALSE),"Matricule!")</f>
        <v>0</v>
      </c>
      <c r="S14" s="62">
        <f>IFERROR(Tableau242[[#This Row],[Prod. days WK]]-Tableau242[[#This Row],[Prod PXX]],"Matricule")</f>
        <v>0</v>
      </c>
      <c r="T14" s="62">
        <f>IFERROR(Tableau242[[#This Row],[Non prod. days WK]]-Tableau242[[#This Row],[Improd PXX]],"Matricule")</f>
        <v>0</v>
      </c>
      <c r="U14" s="62">
        <f>IFERROR(Tableau242[[#This Row],[Paid leave days WK]]-Tableau242[[#This Row],[Congé PXX]],"Matricule")</f>
        <v>0</v>
      </c>
      <c r="V14" s="63">
        <f>IFERROR(VLOOKUP($B14,#REF!,4,FALSE),0)</f>
        <v>0</v>
      </c>
      <c r="W1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4" s="63">
        <f>IF(AND(Tableau242[[#This Row],[Paid leave days]]&gt;0,Tableau242[[#This Row],[Prod. days]]&lt;0),MIN(Tableau242[[#This Row],[Paid leave days]],-Tableau242[[#This Row],[Prod. days]]),0)</f>
        <v>0</v>
      </c>
      <c r="Z14" s="63">
        <f>IFERROR(_xlfn.XLOOKUP(Tableau242[[#This Row],[Consultant]],Tableau2[Collaborateur/Nom affiché],Tableau2[Montant imputé],0),0)</f>
        <v>0</v>
      </c>
      <c r="AA14" s="64">
        <f t="shared" si="1"/>
        <v>0</v>
      </c>
      <c r="AB14" s="65"/>
      <c r="AC14" s="66"/>
      <c r="AD14" s="66"/>
      <c r="AE14" s="66"/>
      <c r="AF14" s="90"/>
    </row>
    <row r="15" spans="1:32" ht="14.45" customHeight="1">
      <c r="A15" s="15">
        <f>Tableau242[[#This Row],[Company number]]+0</f>
        <v>22397</v>
      </c>
      <c r="B15" s="60" t="s">
        <v>152</v>
      </c>
      <c r="C15" s="61" t="s">
        <v>153</v>
      </c>
      <c r="D15" s="61" t="s">
        <v>19</v>
      </c>
      <c r="E15" s="62" t="str">
        <f>IFERROR(VLOOKUP(Tableau242[[#This Row],[Manager ou CDM concerné]],Parametres!B:C,2,FALSE),"")</f>
        <v>Squad D</v>
      </c>
      <c r="F15" s="62" t="str">
        <f>IF(Tableau242[[#This Row],[Consultant]]=Tableau242[[#This Row],[Manager ou CDM concerné]],"Non",IF(IFERROR(VLOOKUP(Tableau242[[#This Row],[Consultant]],Parametres!B:C,2,FALSE),0)=0,"Non","Oui"))</f>
        <v>Non</v>
      </c>
      <c r="G15" s="62">
        <f>IFERROR(VLOOKUP(B15,Tableau5[#All],4,FALSE),"Matricule!")</f>
        <v>0</v>
      </c>
      <c r="H15" s="62" t="str">
        <f>IFERROR(VLOOKUP(Tableau242[[#This Row],[Company number]],#REF!,6,FALSE),"")</f>
        <v/>
      </c>
      <c r="I15" s="62">
        <f>IFERROR(VLOOKUP(B15,Tableau5[#All],5,FALSE),"Matricule!")</f>
        <v>20</v>
      </c>
      <c r="J15" s="62">
        <f>IFERROR(VLOOKUP(B15,Tableau5[#All],6,FALSE),"Matricule!")</f>
        <v>0</v>
      </c>
      <c r="K15" s="62">
        <f>IFERROR(VLOOKUP(B15,Tableau5[#All],7,FALSE),"Matricule!")</f>
        <v>0</v>
      </c>
      <c r="L15" s="62" t="e">
        <f>VLOOKUP(Tableau242[[#This Row],[Company number]],#REF!,25,FALSE)</f>
        <v>#REF!</v>
      </c>
      <c r="M15" s="62" t="str">
        <f>IFERROR(VLOOKUP(Tableau242[[#This Row],[Company number]],#REF!,30,FALSE),"")</f>
        <v/>
      </c>
      <c r="N15" s="62" t="str">
        <f>IFERROR(VLOOKUP(Tableau242[[#This Row],[Company number]],#REF!,31,FALSE),"")</f>
        <v/>
      </c>
      <c r="O15" s="62" t="str">
        <f>IFERROR(VLOOKUP(Tableau242[[#This Row],[Company number]],#REF!,32,FALSE),"")</f>
        <v/>
      </c>
      <c r="P15" s="68">
        <f>IFERROR(VLOOKUP(B15,Tableau3[#All],5,FALSE),"Matricule!")</f>
        <v>20</v>
      </c>
      <c r="Q15" s="68">
        <f>IFERROR(SUM(VLOOKUP(B15,Tableau3[#All],6,FALSE),VLOOKUP(B15,Tableau3[#All],8,FALSE)),"Matricule!")</f>
        <v>0</v>
      </c>
      <c r="R15" s="68">
        <f>IFERROR(VLOOKUP(B15,Tableau3[#All],7,FALSE),"Matricule!")</f>
        <v>0</v>
      </c>
      <c r="S15" s="62">
        <f>IFERROR(Tableau242[[#This Row],[Prod. days WK]]-Tableau242[[#This Row],[Prod PXX]],"Matricule")</f>
        <v>-20</v>
      </c>
      <c r="T15" s="62">
        <f>IFERROR(Tableau242[[#This Row],[Non prod. days WK]]-Tableau242[[#This Row],[Improd PXX]],"Matricule")</f>
        <v>20</v>
      </c>
      <c r="U15" s="62">
        <f>IFERROR(Tableau242[[#This Row],[Paid leave days WK]]-Tableau242[[#This Row],[Congé PXX]],"Matricule")</f>
        <v>0</v>
      </c>
      <c r="V15" s="63">
        <f>IFERROR(VLOOKUP($B15,#REF!,4,FALSE),0)</f>
        <v>0</v>
      </c>
      <c r="W1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5" s="63">
        <f>IF(AND(Tableau242[[#This Row],[Paid leave days]]&gt;0,Tableau242[[#This Row],[Prod. days]]&lt;0),MIN(Tableau242[[#This Row],[Paid leave days]],-Tableau242[[#This Row],[Prod. days]]),0)</f>
        <v>0</v>
      </c>
      <c r="Z15" s="63">
        <f>IFERROR(_xlfn.XLOOKUP(Tableau242[[#This Row],[Consultant]],Tableau2[Collaborateur/Nom affiché],Tableau2[Montant imputé],0),0)</f>
        <v>0</v>
      </c>
      <c r="AA15" s="64">
        <f t="shared" si="1"/>
        <v>-20</v>
      </c>
      <c r="AB15" s="65" t="s">
        <v>154</v>
      </c>
      <c r="AC15" s="66"/>
      <c r="AD15" s="66"/>
      <c r="AE15" s="115"/>
      <c r="AF15" s="121" t="s">
        <v>155</v>
      </c>
    </row>
    <row r="16" spans="1:32" ht="21.95">
      <c r="A16" s="15">
        <f>Tableau242[[#This Row],[Company number]]+0</f>
        <v>21843</v>
      </c>
      <c r="B16" s="60" t="s">
        <v>156</v>
      </c>
      <c r="C16" s="61" t="s">
        <v>157</v>
      </c>
      <c r="D16" s="61" t="s">
        <v>57</v>
      </c>
      <c r="E16" s="62" t="str">
        <f>IFERROR(VLOOKUP(Tableau242[[#This Row],[Manager ou CDM concerné]],Parametres!B:C,2,FALSE),"")</f>
        <v>Squad C</v>
      </c>
      <c r="F16" s="62" t="str">
        <f>IF(Tableau242[[#This Row],[Consultant]]=Tableau242[[#This Row],[Manager ou CDM concerné]],"Non",IF(IFERROR(VLOOKUP(Tableau242[[#This Row],[Consultant]],Parametres!B:C,2,FALSE),0)=0,"Non","Oui"))</f>
        <v>Non</v>
      </c>
      <c r="G16" s="62">
        <f>IFERROR(VLOOKUP(B16,Tableau5[#All],4,FALSE),"Matricule!")</f>
        <v>0</v>
      </c>
      <c r="H16" s="62" t="str">
        <f>IFERROR(VLOOKUP(Tableau242[[#This Row],[Company number]],#REF!,6,FALSE),"")</f>
        <v/>
      </c>
      <c r="I16" s="62">
        <f>IFERROR(VLOOKUP(B16,Tableau5[#All],5,FALSE),"Matricule!")</f>
        <v>19</v>
      </c>
      <c r="J16" s="62">
        <f>IFERROR(VLOOKUP(B16,Tableau5[#All],6,FALSE),"Matricule!")</f>
        <v>1</v>
      </c>
      <c r="K16" s="62">
        <f>IFERROR(VLOOKUP(B16,Tableau5[#All],7,FALSE),"Matricule!")</f>
        <v>0</v>
      </c>
      <c r="L16" s="62" t="e">
        <f>VLOOKUP(Tableau242[[#This Row],[Company number]],#REF!,25,FALSE)</f>
        <v>#REF!</v>
      </c>
      <c r="M16" s="62" t="str">
        <f>IFERROR(VLOOKUP(Tableau242[[#This Row],[Company number]],#REF!,30,FALSE),"")</f>
        <v/>
      </c>
      <c r="N16" s="62" t="str">
        <f>IFERROR(VLOOKUP(Tableau242[[#This Row],[Company number]],#REF!,31,FALSE),"")</f>
        <v/>
      </c>
      <c r="O16" s="62" t="str">
        <f>IFERROR(VLOOKUP(Tableau242[[#This Row],[Company number]],#REF!,32,FALSE),"")</f>
        <v/>
      </c>
      <c r="P16" s="62">
        <f>IFERROR(VLOOKUP(B16,Tableau3[#All],5,FALSE),"Matricule!")</f>
        <v>20</v>
      </c>
      <c r="Q16" s="62">
        <f>IFERROR(SUM(VLOOKUP(B16,Tableau3[#All],6,FALSE),VLOOKUP(B16,Tableau3[#All],8,FALSE)),"Matricule!")</f>
        <v>0</v>
      </c>
      <c r="R16" s="62">
        <f>IFERROR(VLOOKUP(B16,Tableau3[#All],7,FALSE),"Matricule!")</f>
        <v>0</v>
      </c>
      <c r="S16" s="62">
        <f>IFERROR(Tableau242[[#This Row],[Prod. days WK]]-Tableau242[[#This Row],[Prod PXX]],"Matricule")</f>
        <v>-20</v>
      </c>
      <c r="T16" s="62">
        <f>IFERROR(Tableau242[[#This Row],[Non prod. days WK]]-Tableau242[[#This Row],[Improd PXX]],"Matricule")</f>
        <v>19</v>
      </c>
      <c r="U16" s="62">
        <f>IFERROR(Tableau242[[#This Row],[Paid leave days WK]]-Tableau242[[#This Row],[Congé PXX]],"Matricule")</f>
        <v>1</v>
      </c>
      <c r="V16" s="63">
        <f>IFERROR(VLOOKUP($B16,#REF!,4,FALSE),0)</f>
        <v>0</v>
      </c>
      <c r="W1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6" s="63">
        <f>IF(AND(Tableau242[[#This Row],[Paid leave days]]&gt;0,Tableau242[[#This Row],[Prod. days]]&lt;0),MIN(Tableau242[[#This Row],[Paid leave days]],-Tableau242[[#This Row],[Prod. days]]),0)</f>
        <v>1</v>
      </c>
      <c r="Z16" s="63">
        <f>IFERROR(_xlfn.XLOOKUP(Tableau242[[#This Row],[Consultant]],Tableau2[Collaborateur/Nom affiché],Tableau2[Montant imputé],0),0)</f>
        <v>0</v>
      </c>
      <c r="AA16" s="64">
        <f t="shared" si="1"/>
        <v>-20</v>
      </c>
      <c r="AB16" s="65" t="s">
        <v>154</v>
      </c>
      <c r="AC16" s="66"/>
      <c r="AD16" s="66"/>
      <c r="AE16" s="66"/>
      <c r="AF16" s="90" t="s">
        <v>158</v>
      </c>
    </row>
    <row r="17" spans="1:32">
      <c r="A17" s="15">
        <f>Tableau242[[#This Row],[Company number]]+0</f>
        <v>21129</v>
      </c>
      <c r="B17" s="60" t="s">
        <v>159</v>
      </c>
      <c r="C17" s="61" t="s">
        <v>160</v>
      </c>
      <c r="D17" s="61" t="s">
        <v>2</v>
      </c>
      <c r="E17" s="62" t="str">
        <f>IFERROR(VLOOKUP(Tableau242[[#This Row],[Manager ou CDM concerné]],Parametres!B:C,2,FALSE),"")</f>
        <v>Squad H</v>
      </c>
      <c r="F17" s="62" t="str">
        <f>IF(Tableau242[[#This Row],[Consultant]]=Tableau242[[#This Row],[Manager ou CDM concerné]],"Non",IF(IFERROR(VLOOKUP(Tableau242[[#This Row],[Consultant]],Parametres!B:C,2,FALSE),0)=0,"Non","Oui"))</f>
        <v>Non</v>
      </c>
      <c r="G17" s="62">
        <f>IFERROR(VLOOKUP(B17,Tableau5[#All],4,FALSE),"Matricule!")</f>
        <v>19</v>
      </c>
      <c r="H17" s="62" t="str">
        <f>IFERROR(VLOOKUP(Tableau242[[#This Row],[Company number]],#REF!,6,FALSE),"")</f>
        <v/>
      </c>
      <c r="I17" s="62">
        <f>IFERROR(VLOOKUP(B17,Tableau5[#All],5,FALSE),"Matricule!")</f>
        <v>1</v>
      </c>
      <c r="J17" s="62">
        <f>IFERROR(VLOOKUP(B17,Tableau5[#All],6,FALSE),"Matricule!")</f>
        <v>0</v>
      </c>
      <c r="K17" s="62">
        <f>IFERROR(VLOOKUP(B17,Tableau5[#All],7,FALSE),"Matricule!")</f>
        <v>0</v>
      </c>
      <c r="L17" s="62" t="e">
        <f>VLOOKUP(Tableau242[[#This Row],[Company number]],#REF!,25,FALSE)</f>
        <v>#REF!</v>
      </c>
      <c r="M17" s="62" t="str">
        <f>IFERROR(VLOOKUP(Tableau242[[#This Row],[Company number]],#REF!,30,FALSE),"")</f>
        <v/>
      </c>
      <c r="N17" s="62" t="str">
        <f>IFERROR(VLOOKUP(Tableau242[[#This Row],[Company number]],#REF!,31,FALSE),"")</f>
        <v/>
      </c>
      <c r="O17" s="62" t="str">
        <f>IFERROR(VLOOKUP(Tableau242[[#This Row],[Company number]],#REF!,32,FALSE),"")</f>
        <v/>
      </c>
      <c r="P17" s="62">
        <f>IFERROR(VLOOKUP(B17,Tableau3[#All],5,FALSE),"Matricule!")</f>
        <v>19</v>
      </c>
      <c r="Q17" s="62">
        <f>IFERROR(SUM(VLOOKUP(B17,Tableau3[#All],6,FALSE),VLOOKUP(B17,Tableau3[#All],8,FALSE)),"Matricule!")</f>
        <v>1</v>
      </c>
      <c r="R17" s="62">
        <f>IFERROR(VLOOKUP(B17,Tableau3[#All],7,FALSE),"Matricule!")</f>
        <v>0</v>
      </c>
      <c r="S17" s="62">
        <f>IFERROR(Tableau242[[#This Row],[Prod. days WK]]-Tableau242[[#This Row],[Prod PXX]],"Matricule")</f>
        <v>0</v>
      </c>
      <c r="T17" s="62">
        <f>IFERROR(Tableau242[[#This Row],[Non prod. days WK]]-Tableau242[[#This Row],[Improd PXX]],"Matricule")</f>
        <v>0</v>
      </c>
      <c r="U17" s="62">
        <f>IFERROR(Tableau242[[#This Row],[Paid leave days WK]]-Tableau242[[#This Row],[Congé PXX]],"Matricule")</f>
        <v>0</v>
      </c>
      <c r="V17" s="63">
        <f>IFERROR(VLOOKUP($B17,#REF!,4,FALSE),0)</f>
        <v>0</v>
      </c>
      <c r="W1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7" s="63">
        <f>IF(AND(Tableau242[[#This Row],[Paid leave days]]&gt;0,Tableau242[[#This Row],[Prod. days]]&lt;0),MIN(Tableau242[[#This Row],[Paid leave days]],-Tableau242[[#This Row],[Prod. days]]),0)</f>
        <v>0</v>
      </c>
      <c r="Z17" s="63">
        <f>IFERROR(_xlfn.XLOOKUP(Tableau242[[#This Row],[Consultant]],Tableau2[Collaborateur/Nom affiché],Tableau2[Montant imputé],0),0)</f>
        <v>0</v>
      </c>
      <c r="AA17" s="64">
        <f t="shared" si="1"/>
        <v>0</v>
      </c>
      <c r="AB17" s="65"/>
      <c r="AC17" s="66"/>
      <c r="AD17" s="66"/>
      <c r="AE17" s="66"/>
      <c r="AF17" s="90"/>
    </row>
    <row r="18" spans="1:32">
      <c r="A18" s="15">
        <f>Tableau242[[#This Row],[Company number]]+0</f>
        <v>20704</v>
      </c>
      <c r="B18" s="60" t="s">
        <v>161</v>
      </c>
      <c r="C18" s="61" t="s">
        <v>162</v>
      </c>
      <c r="D18" s="61" t="s">
        <v>2</v>
      </c>
      <c r="E18" s="62" t="str">
        <f>IFERROR(VLOOKUP(Tableau242[[#This Row],[Manager ou CDM concerné]],Parametres!B:C,2,FALSE),"")</f>
        <v>Squad H</v>
      </c>
      <c r="F18" s="62" t="str">
        <f>IF(Tableau242[[#This Row],[Consultant]]=Tableau242[[#This Row],[Manager ou CDM concerné]],"Non",IF(IFERROR(VLOOKUP(Tableau242[[#This Row],[Consultant]],Parametres!B:C,2,FALSE),0)=0,"Non","Oui"))</f>
        <v>Non</v>
      </c>
      <c r="G18" s="62">
        <f>IFERROR(VLOOKUP(B18,Tableau5[#All],4,FALSE),"Matricule!")</f>
        <v>0</v>
      </c>
      <c r="H18" s="62" t="str">
        <f>IFERROR(VLOOKUP(Tableau242[[#This Row],[Company number]],#REF!,6,FALSE),"")</f>
        <v/>
      </c>
      <c r="I18" s="62">
        <f>IFERROR(VLOOKUP(B18,Tableau5[#All],5,FALSE),"Matricule!")</f>
        <v>15</v>
      </c>
      <c r="J18" s="62">
        <f>IFERROR(VLOOKUP(B18,Tableau5[#All],6,FALSE),"Matricule!")</f>
        <v>5</v>
      </c>
      <c r="K18" s="62">
        <f>IFERROR(VLOOKUP(B18,Tableau5[#All],7,FALSE),"Matricule!")</f>
        <v>0</v>
      </c>
      <c r="L18" s="62" t="e">
        <f>VLOOKUP(Tableau242[[#This Row],[Company number]],#REF!,25,FALSE)</f>
        <v>#REF!</v>
      </c>
      <c r="M18" s="62" t="str">
        <f>IFERROR(VLOOKUP(Tableau242[[#This Row],[Company number]],#REF!,30,FALSE),"")</f>
        <v/>
      </c>
      <c r="N18" s="62" t="str">
        <f>IFERROR(VLOOKUP(Tableau242[[#This Row],[Company number]],#REF!,31,FALSE),"")</f>
        <v/>
      </c>
      <c r="O18" s="62" t="str">
        <f>IFERROR(VLOOKUP(Tableau242[[#This Row],[Company number]],#REF!,32,FALSE),"")</f>
        <v/>
      </c>
      <c r="P18" s="62">
        <f>IFERROR(VLOOKUP(B18,Tableau3[#All],5,FALSE),"Matricule!")</f>
        <v>0</v>
      </c>
      <c r="Q18" s="62">
        <f>IFERROR(SUM(VLOOKUP(B18,Tableau3[#All],6,FALSE),VLOOKUP(B18,Tableau3[#All],8,FALSE)),"Matricule!")</f>
        <v>15</v>
      </c>
      <c r="R18" s="62">
        <f>IFERROR(VLOOKUP(B18,Tableau3[#All],7,FALSE),"Matricule!")</f>
        <v>5</v>
      </c>
      <c r="S18" s="62">
        <f>IFERROR(Tableau242[[#This Row],[Prod. days WK]]-Tableau242[[#This Row],[Prod PXX]],"Matricule")</f>
        <v>0</v>
      </c>
      <c r="T18" s="62">
        <f>IFERROR(Tableau242[[#This Row],[Non prod. days WK]]-Tableau242[[#This Row],[Improd PXX]],"Matricule")</f>
        <v>0</v>
      </c>
      <c r="U18" s="62">
        <f>IFERROR(Tableau242[[#This Row],[Paid leave days WK]]-Tableau242[[#This Row],[Congé PXX]],"Matricule")</f>
        <v>0</v>
      </c>
      <c r="V18" s="63">
        <f>IFERROR(VLOOKUP($B18,#REF!,4,FALSE),0)</f>
        <v>0</v>
      </c>
      <c r="W1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8" s="63">
        <f>IF(AND(Tableau242[[#This Row],[Paid leave days]]&gt;0,Tableau242[[#This Row],[Prod. days]]&lt;0),MIN(Tableau242[[#This Row],[Paid leave days]],-Tableau242[[#This Row],[Prod. days]]),0)</f>
        <v>0</v>
      </c>
      <c r="Z18" s="63">
        <f>IFERROR(_xlfn.XLOOKUP(Tableau242[[#This Row],[Consultant]],Tableau2[Collaborateur/Nom affiché],Tableau2[Montant imputé],0),0)</f>
        <v>0</v>
      </c>
      <c r="AA18" s="64">
        <f t="shared" si="1"/>
        <v>0</v>
      </c>
      <c r="AB18" s="65"/>
      <c r="AC18" s="66"/>
      <c r="AD18" s="66"/>
      <c r="AE18" s="66"/>
      <c r="AF18" s="90"/>
    </row>
    <row r="19" spans="1:32">
      <c r="A19" s="15">
        <f>Tableau242[[#This Row],[Company number]]+0</f>
        <v>15230</v>
      </c>
      <c r="B19" s="60" t="s">
        <v>163</v>
      </c>
      <c r="C19" s="61" t="s">
        <v>164</v>
      </c>
      <c r="D19" s="61" t="s">
        <v>67</v>
      </c>
      <c r="E19" s="62" t="str">
        <f>IFERROR(VLOOKUP(Tableau242[[#This Row],[Manager ou CDM concerné]],Parametres!B:C,2,FALSE),"")</f>
        <v>Squad C</v>
      </c>
      <c r="F19" s="62" t="str">
        <f>IF(Tableau242[[#This Row],[Consultant]]=Tableau242[[#This Row],[Manager ou CDM concerné]],"Non",IF(IFERROR(VLOOKUP(Tableau242[[#This Row],[Consultant]],Parametres!B:C,2,FALSE),0)=0,"Non","Oui"))</f>
        <v>Non</v>
      </c>
      <c r="G19" s="62">
        <f>IFERROR(VLOOKUP(B19,Tableau5[#All],4,FALSE),"Matricule!")</f>
        <v>0</v>
      </c>
      <c r="H19" s="62" t="str">
        <f>IFERROR(VLOOKUP(Tableau242[[#This Row],[Company number]],#REF!,6,FALSE),"")</f>
        <v/>
      </c>
      <c r="I19" s="62">
        <f>IFERROR(VLOOKUP(B19,Tableau5[#All],5,FALSE),"Matricule!")</f>
        <v>19</v>
      </c>
      <c r="J19" s="62">
        <f>IFERROR(VLOOKUP(B19,Tableau5[#All],6,FALSE),"Matricule!")</f>
        <v>1</v>
      </c>
      <c r="K19" s="62">
        <f>IFERROR(VLOOKUP(B19,Tableau5[#All],7,FALSE),"Matricule!")</f>
        <v>0</v>
      </c>
      <c r="L19" s="62" t="e">
        <f>VLOOKUP(Tableau242[[#This Row],[Company number]],#REF!,25,FALSE)</f>
        <v>#REF!</v>
      </c>
      <c r="M19" s="62" t="str">
        <f>IFERROR(VLOOKUP(Tableau242[[#This Row],[Company number]],#REF!,30,FALSE),"")</f>
        <v/>
      </c>
      <c r="N19" s="62" t="str">
        <f>IFERROR(VLOOKUP(Tableau242[[#This Row],[Company number]],#REF!,31,FALSE),"")</f>
        <v/>
      </c>
      <c r="O19" s="62" t="str">
        <f>IFERROR(VLOOKUP(Tableau242[[#This Row],[Company number]],#REF!,32,FALSE),"")</f>
        <v/>
      </c>
      <c r="P19" s="62">
        <f>IFERROR(VLOOKUP(B19,Tableau3[#All],5,FALSE),"Matricule!")</f>
        <v>19</v>
      </c>
      <c r="Q19" s="62">
        <f>IFERROR(SUM(VLOOKUP(B19,Tableau3[#All],6,FALSE),VLOOKUP(B19,Tableau3[#All],8,FALSE)),"Matricule!")</f>
        <v>0</v>
      </c>
      <c r="R19" s="62">
        <f>IFERROR(VLOOKUP(B19,Tableau3[#All],7,FALSE),"Matricule!")</f>
        <v>1</v>
      </c>
      <c r="S19" s="62">
        <f>IFERROR(Tableau242[[#This Row],[Prod. days WK]]-Tableau242[[#This Row],[Prod PXX]],"Matricule")</f>
        <v>-19</v>
      </c>
      <c r="T19" s="62">
        <f>IFERROR(Tableau242[[#This Row],[Non prod. days WK]]-Tableau242[[#This Row],[Improd PXX]],"Matricule")</f>
        <v>19</v>
      </c>
      <c r="U19" s="62">
        <f>IFERROR(Tableau242[[#This Row],[Paid leave days WK]]-Tableau242[[#This Row],[Congé PXX]],"Matricule")</f>
        <v>0</v>
      </c>
      <c r="V19" s="63">
        <f>IFERROR(VLOOKUP($B19,#REF!,4,FALSE),0)</f>
        <v>0</v>
      </c>
      <c r="W1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9" s="63">
        <f>IF(AND(Tableau242[[#This Row],[Paid leave days]]&gt;0,Tableau242[[#This Row],[Prod. days]]&lt;0),MIN(Tableau242[[#This Row],[Paid leave days]],-Tableau242[[#This Row],[Prod. days]]),0)</f>
        <v>0</v>
      </c>
      <c r="Z19" s="63">
        <f>IFERROR(_xlfn.XLOOKUP(Tableau242[[#This Row],[Consultant]],Tableau2[Collaborateur/Nom affiché],Tableau2[Montant imputé],0),0)</f>
        <v>0</v>
      </c>
      <c r="AA19" s="64">
        <f t="shared" si="1"/>
        <v>-19</v>
      </c>
      <c r="AB19" s="65" t="s">
        <v>165</v>
      </c>
      <c r="AC19" s="66"/>
      <c r="AD19" s="66"/>
      <c r="AE19" s="66"/>
      <c r="AF19" s="90"/>
    </row>
    <row r="20" spans="1:32">
      <c r="A20" s="15">
        <f>Tableau242[[#This Row],[Company number]]+0</f>
        <v>21126</v>
      </c>
      <c r="B20" s="60" t="s">
        <v>166</v>
      </c>
      <c r="C20" s="61" t="s">
        <v>167</v>
      </c>
      <c r="D20" s="61" t="s">
        <v>7</v>
      </c>
      <c r="E20" s="62" t="str">
        <f>IFERROR(VLOOKUP(Tableau242[[#This Row],[Manager ou CDM concerné]],Parametres!B:C,2,FALSE),"")</f>
        <v>Squad F</v>
      </c>
      <c r="F20" s="62" t="str">
        <f>IF(Tableau242[[#This Row],[Consultant]]=Tableau242[[#This Row],[Manager ou CDM concerné]],"Non",IF(IFERROR(VLOOKUP(Tableau242[[#This Row],[Consultant]],Parametres!B:C,2,FALSE),0)=0,"Non","Oui"))</f>
        <v>Non</v>
      </c>
      <c r="G20" s="62">
        <f>IFERROR(VLOOKUP(B20,Tableau5[#All],4,FALSE),"Matricule!")</f>
        <v>0</v>
      </c>
      <c r="H20" s="62" t="str">
        <f>IFERROR(VLOOKUP(Tableau242[[#This Row],[Company number]],#REF!,6,FALSE),"")</f>
        <v/>
      </c>
      <c r="I20" s="62">
        <f>IFERROR(VLOOKUP(B20,Tableau5[#All],5,FALSE),"Matricule!")</f>
        <v>20</v>
      </c>
      <c r="J20" s="62">
        <f>IFERROR(VLOOKUP(B20,Tableau5[#All],6,FALSE),"Matricule!")</f>
        <v>0</v>
      </c>
      <c r="K20" s="62">
        <f>IFERROR(VLOOKUP(B20,Tableau5[#All],7,FALSE),"Matricule!")</f>
        <v>0</v>
      </c>
      <c r="L20" s="62" t="e">
        <f>VLOOKUP(Tableau242[[#This Row],[Company number]],#REF!,25,FALSE)</f>
        <v>#REF!</v>
      </c>
      <c r="M20" s="62" t="str">
        <f>IFERROR(VLOOKUP(Tableau242[[#This Row],[Company number]],#REF!,30,FALSE),"")</f>
        <v/>
      </c>
      <c r="N20" s="62" t="str">
        <f>IFERROR(VLOOKUP(Tableau242[[#This Row],[Company number]],#REF!,31,FALSE),"")</f>
        <v/>
      </c>
      <c r="O20" s="62" t="str">
        <f>IFERROR(VLOOKUP(Tableau242[[#This Row],[Company number]],#REF!,32,FALSE),"")</f>
        <v/>
      </c>
      <c r="P20" s="62">
        <f>IFERROR(VLOOKUP(B20,Tableau3[#All],5,FALSE),"Matricule!")</f>
        <v>16</v>
      </c>
      <c r="Q20" s="62">
        <f>IFERROR(SUM(VLOOKUP(B20,Tableau3[#All],6,FALSE),VLOOKUP(B20,Tableau3[#All],8,FALSE)),"Matricule!")</f>
        <v>4</v>
      </c>
      <c r="R20" s="62">
        <f>IFERROR(VLOOKUP(B20,Tableau3[#All],7,FALSE),"Matricule!")</f>
        <v>0</v>
      </c>
      <c r="S20" s="62">
        <f>IFERROR(Tableau242[[#This Row],[Prod. days WK]]-Tableau242[[#This Row],[Prod PXX]],"Matricule")</f>
        <v>-16</v>
      </c>
      <c r="T20" s="62">
        <f>IFERROR(Tableau242[[#This Row],[Non prod. days WK]]-Tableau242[[#This Row],[Improd PXX]],"Matricule")</f>
        <v>16</v>
      </c>
      <c r="U20" s="62">
        <f>IFERROR(Tableau242[[#This Row],[Paid leave days WK]]-Tableau242[[#This Row],[Congé PXX]],"Matricule")</f>
        <v>0</v>
      </c>
      <c r="V20" s="63">
        <f>IFERROR(VLOOKUP($B20,#REF!,4,FALSE),0)</f>
        <v>0</v>
      </c>
      <c r="W2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0" s="63">
        <f>IF(AND(Tableau242[[#This Row],[Paid leave days]]&gt;0,Tableau242[[#This Row],[Prod. days]]&lt;0),MIN(Tableau242[[#This Row],[Paid leave days]],-Tableau242[[#This Row],[Prod. days]]),0)</f>
        <v>0</v>
      </c>
      <c r="Z20" s="63">
        <f>IFERROR(_xlfn.XLOOKUP(Tableau242[[#This Row],[Consultant]],Tableau2[Collaborateur/Nom affiché],Tableau2[Montant imputé],0),0)</f>
        <v>0</v>
      </c>
      <c r="AA20" s="64">
        <f t="shared" si="1"/>
        <v>-16</v>
      </c>
      <c r="AB20" s="65" t="s">
        <v>154</v>
      </c>
      <c r="AC20" s="71"/>
      <c r="AD20" s="66"/>
      <c r="AE20" s="66"/>
      <c r="AF20" s="90"/>
    </row>
    <row r="21" spans="1:32" s="30" customFormat="1" ht="21.75" customHeight="1">
      <c r="A21" s="15">
        <f>Tableau242[[#This Row],[Company number]]+0</f>
        <v>21985</v>
      </c>
      <c r="B21" s="60" t="s">
        <v>168</v>
      </c>
      <c r="C21" s="61" t="s">
        <v>169</v>
      </c>
      <c r="D21" s="61" t="s">
        <v>37</v>
      </c>
      <c r="E21" s="62" t="str">
        <f>IFERROR(VLOOKUP(Tableau242[[#This Row],[Manager ou CDM concerné]],Parametres!B:C,2,FALSE),"")</f>
        <v>Squad H</v>
      </c>
      <c r="F21" s="62" t="str">
        <f>IF(Tableau242[[#This Row],[Consultant]]=Tableau242[[#This Row],[Manager ou CDM concerné]],"Non",IF(IFERROR(VLOOKUP(Tableau242[[#This Row],[Consultant]],Parametres!B:C,2,FALSE),0)=0,"Non","Oui"))</f>
        <v>Non</v>
      </c>
      <c r="G21" s="62">
        <f>IFERROR(VLOOKUP(B21,Tableau5[#All],4,FALSE),"Matricule!")</f>
        <v>0</v>
      </c>
      <c r="H21" s="62" t="str">
        <f>IFERROR(VLOOKUP(Tableau242[[#This Row],[Company number]],#REF!,6,FALSE),"")</f>
        <v/>
      </c>
      <c r="I21" s="62">
        <f>IFERROR(VLOOKUP(B21,Tableau5[#All],5,FALSE),"Matricule!")</f>
        <v>20</v>
      </c>
      <c r="J21" s="62">
        <f>IFERROR(VLOOKUP(B21,Tableau5[#All],6,FALSE),"Matricule!")</f>
        <v>0</v>
      </c>
      <c r="K21" s="62">
        <f>IFERROR(VLOOKUP(B21,Tableau5[#All],7,FALSE),"Matricule!")</f>
        <v>0</v>
      </c>
      <c r="L21" s="62" t="e">
        <f>VLOOKUP(Tableau242[[#This Row],[Company number]],#REF!,25,FALSE)</f>
        <v>#REF!</v>
      </c>
      <c r="M21" s="62" t="str">
        <f>IFERROR(VLOOKUP(Tableau242[[#This Row],[Company number]],#REF!,30,FALSE),"")</f>
        <v/>
      </c>
      <c r="N21" s="62" t="str">
        <f>IFERROR(VLOOKUP(Tableau242[[#This Row],[Company number]],#REF!,31,FALSE),"")</f>
        <v/>
      </c>
      <c r="O21" s="62" t="str">
        <f>IFERROR(VLOOKUP(Tableau242[[#This Row],[Company number]],#REF!,32,FALSE),"")</f>
        <v/>
      </c>
      <c r="P21" s="68">
        <f>IFERROR(VLOOKUP(B21,Tableau3[#All],5,FALSE),"Matricule!")</f>
        <v>15</v>
      </c>
      <c r="Q21" s="68">
        <f>IFERROR(SUM(VLOOKUP(B21,Tableau3[#All],6,FALSE),VLOOKUP(B21,Tableau3[#All],8,FALSE)),"Matricule!")</f>
        <v>3</v>
      </c>
      <c r="R21" s="68">
        <f>IFERROR(VLOOKUP(B21,Tableau3[#All],7,FALSE),"Matricule!")</f>
        <v>2</v>
      </c>
      <c r="S21" s="62">
        <f>IFERROR(Tableau242[[#This Row],[Prod. days WK]]-Tableau242[[#This Row],[Prod PXX]],"Matricule")</f>
        <v>-15</v>
      </c>
      <c r="T21" s="62">
        <f>IFERROR(Tableau242[[#This Row],[Non prod. days WK]]-Tableau242[[#This Row],[Improd PXX]],"Matricule")</f>
        <v>17</v>
      </c>
      <c r="U21" s="62">
        <f>IFERROR(Tableau242[[#This Row],[Paid leave days WK]]-Tableau242[[#This Row],[Congé PXX]],"Matricule")</f>
        <v>-2</v>
      </c>
      <c r="V21" s="63">
        <f>IFERROR(VLOOKUP($B21,#REF!,4,FALSE),0)</f>
        <v>0</v>
      </c>
      <c r="W2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1" s="63">
        <f>IF(AND(Tableau242[[#This Row],[Paid leave days]]&gt;0,Tableau242[[#This Row],[Prod. days]]&lt;0),MIN(Tableau242[[#This Row],[Paid leave days]],-Tableau242[[#This Row],[Prod. days]]),0)</f>
        <v>0</v>
      </c>
      <c r="Z21" s="63">
        <f>IFERROR(_xlfn.XLOOKUP(Tableau242[[#This Row],[Consultant]],Tableau2[Collaborateur/Nom affiché],Tableau2[Montant imputé],0),0)</f>
        <v>0</v>
      </c>
      <c r="AA21" s="64">
        <f t="shared" si="1"/>
        <v>-15</v>
      </c>
      <c r="AB21" s="65" t="s">
        <v>154</v>
      </c>
      <c r="AC21" s="66"/>
      <c r="AD21" s="66"/>
      <c r="AE21" s="66"/>
      <c r="AF21" s="90"/>
    </row>
    <row r="22" spans="1:32">
      <c r="A22" s="15">
        <f>Tableau242[[#This Row],[Company number]]+0</f>
        <v>21656</v>
      </c>
      <c r="B22" s="60" t="s">
        <v>170</v>
      </c>
      <c r="C22" s="61" t="s">
        <v>171</v>
      </c>
      <c r="D22" s="61" t="s">
        <v>72</v>
      </c>
      <c r="E22" s="62" t="str">
        <f>IFERROR(VLOOKUP(Tableau242[[#This Row],[Manager ou CDM concerné]],Parametres!B:C,2,FALSE),"")</f>
        <v>Squad F</v>
      </c>
      <c r="F22" s="62" t="str">
        <f>IF(Tableau242[[#This Row],[Consultant]]=Tableau242[[#This Row],[Manager ou CDM concerné]],"Non",IF(IFERROR(VLOOKUP(Tableau242[[#This Row],[Consultant]],Parametres!B:C,2,FALSE),0)=0,"Non","Oui"))</f>
        <v>Non</v>
      </c>
      <c r="G22" s="62">
        <f>IFERROR(VLOOKUP(B22,Tableau5[#All],4,FALSE),"Matricule!")</f>
        <v>0</v>
      </c>
      <c r="H22" s="62" t="str">
        <f>IFERROR(VLOOKUP(Tableau242[[#This Row],[Company number]],#REF!,6,FALSE),"")</f>
        <v/>
      </c>
      <c r="I22" s="62">
        <f>IFERROR(VLOOKUP(B22,Tableau5[#All],5,FALSE),"Matricule!")</f>
        <v>20</v>
      </c>
      <c r="J22" s="62">
        <f>IFERROR(VLOOKUP(B22,Tableau5[#All],6,FALSE),"Matricule!")</f>
        <v>0</v>
      </c>
      <c r="K22" s="62">
        <f>IFERROR(VLOOKUP(B22,Tableau5[#All],7,FALSE),"Matricule!")</f>
        <v>0</v>
      </c>
      <c r="L22" s="62" t="e">
        <f>VLOOKUP(Tableau242[[#This Row],[Company number]],#REF!,25,FALSE)</f>
        <v>#REF!</v>
      </c>
      <c r="M22" s="62" t="str">
        <f>IFERROR(VLOOKUP(Tableau242[[#This Row],[Company number]],#REF!,30,FALSE),"")</f>
        <v/>
      </c>
      <c r="N22" s="62" t="str">
        <f>IFERROR(VLOOKUP(Tableau242[[#This Row],[Company number]],#REF!,31,FALSE),"")</f>
        <v/>
      </c>
      <c r="O22" s="62" t="str">
        <f>IFERROR(VLOOKUP(Tableau242[[#This Row],[Company number]],#REF!,32,FALSE),"")</f>
        <v/>
      </c>
      <c r="P22" s="62">
        <f>IFERROR(VLOOKUP(B22,Tableau3[#All],5,FALSE),"Matricule!")</f>
        <v>20</v>
      </c>
      <c r="Q22" s="62">
        <f>IFERROR(SUM(VLOOKUP(B22,Tableau3[#All],6,FALSE),VLOOKUP(B22,Tableau3[#All],8,FALSE)),"Matricule!")</f>
        <v>0</v>
      </c>
      <c r="R22" s="62">
        <f>IFERROR(VLOOKUP(B22,Tableau3[#All],7,FALSE),"Matricule!")</f>
        <v>0</v>
      </c>
      <c r="S22" s="62">
        <f>IFERROR(Tableau242[[#This Row],[Prod. days WK]]-Tableau242[[#This Row],[Prod PXX]],"Matricule")</f>
        <v>-20</v>
      </c>
      <c r="T22" s="62">
        <f>IFERROR(Tableau242[[#This Row],[Non prod. days WK]]-Tableau242[[#This Row],[Improd PXX]],"Matricule")</f>
        <v>20</v>
      </c>
      <c r="U22" s="62">
        <f>IFERROR(Tableau242[[#This Row],[Paid leave days WK]]-Tableau242[[#This Row],[Congé PXX]],"Matricule")</f>
        <v>0</v>
      </c>
      <c r="V22" s="63">
        <f>IFERROR(VLOOKUP($B22,#REF!,4,FALSE),0)</f>
        <v>0</v>
      </c>
      <c r="W2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22" s="63">
        <f>IF(AND(Tableau242[[#This Row],[Paid leave days]]&gt;0,Tableau242[[#This Row],[Prod. days]]&lt;0),MIN(Tableau242[[#This Row],[Paid leave days]],-Tableau242[[#This Row],[Prod. days]]),0)</f>
        <v>0</v>
      </c>
      <c r="Z22" s="63">
        <f>IFERROR(_xlfn.XLOOKUP(Tableau242[[#This Row],[Consultant]],Tableau2[Collaborateur/Nom affiché],Tableau2[Montant imputé],0),0)</f>
        <v>15</v>
      </c>
      <c r="AA22" s="64">
        <f t="shared" si="1"/>
        <v>-5</v>
      </c>
      <c r="AB22" s="65"/>
      <c r="AC22" s="66"/>
      <c r="AD22" s="66"/>
      <c r="AE22"/>
      <c r="AF22" s="90"/>
    </row>
    <row r="23" spans="1:32">
      <c r="A23" s="15">
        <f>Tableau242[[#This Row],[Company number]]+0</f>
        <v>22150</v>
      </c>
      <c r="B23" s="60" t="s">
        <v>172</v>
      </c>
      <c r="C23" s="61" t="s">
        <v>173</v>
      </c>
      <c r="D23" s="61" t="s">
        <v>44</v>
      </c>
      <c r="E23" s="62" t="str">
        <f>IFERROR(VLOOKUP(Tableau242[[#This Row],[Manager ou CDM concerné]],Parametres!B:C,2,FALSE),"")</f>
        <v>Squad A</v>
      </c>
      <c r="F23" s="62" t="str">
        <f>IF(Tableau242[[#This Row],[Consultant]]=Tableau242[[#This Row],[Manager ou CDM concerné]],"Non",IF(IFERROR(VLOOKUP(Tableau242[[#This Row],[Consultant]],Parametres!B:C,2,FALSE),0)=0,"Non","Oui"))</f>
        <v>Non</v>
      </c>
      <c r="G23" s="62">
        <f>IFERROR(VLOOKUP(B23,Tableau5[#All],4,FALSE),"Matricule!")</f>
        <v>0</v>
      </c>
      <c r="H23" s="62" t="str">
        <f>IFERROR(VLOOKUP(Tableau242[[#This Row],[Company number]],#REF!,6,FALSE),"")</f>
        <v/>
      </c>
      <c r="I23" s="62">
        <f>IFERROR(VLOOKUP(B23,Tableau5[#All],5,FALSE),"Matricule!")</f>
        <v>20</v>
      </c>
      <c r="J23" s="62">
        <f>IFERROR(VLOOKUP(B23,Tableau5[#All],6,FALSE),"Matricule!")</f>
        <v>0</v>
      </c>
      <c r="K23" s="62">
        <f>IFERROR(VLOOKUP(B23,Tableau5[#All],7,FALSE),"Matricule!")</f>
        <v>0</v>
      </c>
      <c r="L23" s="62" t="e">
        <f>VLOOKUP(Tableau242[[#This Row],[Company number]],#REF!,25,FALSE)</f>
        <v>#REF!</v>
      </c>
      <c r="M23" s="62" t="str">
        <f>IFERROR(VLOOKUP(Tableau242[[#This Row],[Company number]],#REF!,30,FALSE),"")</f>
        <v/>
      </c>
      <c r="N23" s="62" t="str">
        <f>IFERROR(VLOOKUP(Tableau242[[#This Row],[Company number]],#REF!,31,FALSE),"")</f>
        <v/>
      </c>
      <c r="O23" s="62" t="str">
        <f>IFERROR(VLOOKUP(Tableau242[[#This Row],[Company number]],#REF!,32,FALSE),"")</f>
        <v/>
      </c>
      <c r="P23" s="62">
        <f>IFERROR(VLOOKUP(B23,Tableau3[#All],5,FALSE),"Matricule!")</f>
        <v>10</v>
      </c>
      <c r="Q23" s="62">
        <f>IFERROR(SUM(VLOOKUP(B23,Tableau3[#All],6,FALSE),VLOOKUP(B23,Tableau3[#All],8,FALSE)),"Matricule!")</f>
        <v>10</v>
      </c>
      <c r="R23" s="62">
        <f>IFERROR(VLOOKUP(B23,Tableau3[#All],7,FALSE),"Matricule!")</f>
        <v>0</v>
      </c>
      <c r="S23" s="62">
        <f>IFERROR(Tableau242[[#This Row],[Prod. days WK]]-Tableau242[[#This Row],[Prod PXX]],"Matricule")</f>
        <v>-10</v>
      </c>
      <c r="T23" s="62">
        <f>IFERROR(Tableau242[[#This Row],[Non prod. days WK]]-Tableau242[[#This Row],[Improd PXX]],"Matricule")</f>
        <v>10</v>
      </c>
      <c r="U23" s="62">
        <f>IFERROR(Tableau242[[#This Row],[Paid leave days WK]]-Tableau242[[#This Row],[Congé PXX]],"Matricule")</f>
        <v>0</v>
      </c>
      <c r="V23" s="63">
        <f>IFERROR(VLOOKUP($B23,#REF!,4,FALSE),0)</f>
        <v>0</v>
      </c>
      <c r="W2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3" s="63">
        <f>IF(AND(Tableau242[[#This Row],[Paid leave days]]&gt;0,Tableau242[[#This Row],[Prod. days]]&lt;0),MIN(Tableau242[[#This Row],[Paid leave days]],-Tableau242[[#This Row],[Prod. days]]),0)</f>
        <v>0</v>
      </c>
      <c r="Z23" s="63">
        <f>IFERROR(_xlfn.XLOOKUP(Tableau242[[#This Row],[Consultant]],Tableau2[Collaborateur/Nom affiché],Tableau2[Montant imputé],0),0)</f>
        <v>0</v>
      </c>
      <c r="AA23" s="64">
        <f t="shared" si="1"/>
        <v>-10</v>
      </c>
      <c r="AB23" s="78" t="s">
        <v>147</v>
      </c>
      <c r="AC23" s="66"/>
      <c r="AD23" s="66"/>
      <c r="AE23" s="66"/>
      <c r="AF23" s="90"/>
    </row>
    <row r="24" spans="1:32" ht="21.95">
      <c r="A24" s="15">
        <f>Tableau242[[#This Row],[Company number]]+0</f>
        <v>22194</v>
      </c>
      <c r="B24" s="60" t="s">
        <v>174</v>
      </c>
      <c r="C24" s="112" t="s">
        <v>175</v>
      </c>
      <c r="D24" s="61" t="s">
        <v>95</v>
      </c>
      <c r="E24" s="62" t="str">
        <f>IFERROR(VLOOKUP(Tableau242[[#This Row],[Manager ou CDM concerné]],Parametres!B:C,2,FALSE),"")</f>
        <v>Squad G</v>
      </c>
      <c r="F24" s="62" t="str">
        <f>IF(Tableau242[[#This Row],[Consultant]]=Tableau242[[#This Row],[Manager ou CDM concerné]],"Non",IF(IFERROR(VLOOKUP(Tableau242[[#This Row],[Consultant]],Parametres!B:C,2,FALSE),0)=0,"Non","Oui"))</f>
        <v>Non</v>
      </c>
      <c r="G24" s="62">
        <f>IFERROR(VLOOKUP(B24,Tableau5[#All],4,FALSE),"Matricule!")</f>
        <v>0</v>
      </c>
      <c r="H24" s="62" t="str">
        <f>IFERROR(VLOOKUP(Tableau242[[#This Row],[Company number]],#REF!,6,FALSE),"")</f>
        <v/>
      </c>
      <c r="I24" s="62">
        <f>IFERROR(VLOOKUP(B24,Tableau5[#All],5,FALSE),"Matricule!")</f>
        <v>19</v>
      </c>
      <c r="J24" s="62">
        <f>IFERROR(VLOOKUP(B24,Tableau5[#All],6,FALSE),"Matricule!")</f>
        <v>1</v>
      </c>
      <c r="K24" s="62">
        <f>IFERROR(VLOOKUP(B24,Tableau5[#All],7,FALSE),"Matricule!")</f>
        <v>0</v>
      </c>
      <c r="L24" s="62" t="e">
        <f>VLOOKUP(Tableau242[[#This Row],[Company number]],#REF!,25,FALSE)</f>
        <v>#REF!</v>
      </c>
      <c r="M24" s="62" t="str">
        <f>IFERROR(VLOOKUP(Tableau242[[#This Row],[Company number]],#REF!,30,FALSE),"")</f>
        <v/>
      </c>
      <c r="N24" s="62" t="str">
        <f>IFERROR(VLOOKUP(Tableau242[[#This Row],[Company number]],#REF!,31,FALSE),"")</f>
        <v/>
      </c>
      <c r="O24" s="62" t="str">
        <f>IFERROR(VLOOKUP(Tableau242[[#This Row],[Company number]],#REF!,32,FALSE),"")</f>
        <v/>
      </c>
      <c r="P24" s="62">
        <f>IFERROR(VLOOKUP(B24,Tableau3[#All],5,FALSE),"Matricule!")</f>
        <v>10</v>
      </c>
      <c r="Q24" s="62">
        <f>IFERROR(SUM(VLOOKUP(B24,Tableau3[#All],6,FALSE),VLOOKUP(B24,Tableau3[#All],8,FALSE)),"Matricule!")</f>
        <v>9</v>
      </c>
      <c r="R24" s="62">
        <f>IFERROR(VLOOKUP(B24,Tableau3[#All],7,FALSE),"Matricule!")</f>
        <v>1</v>
      </c>
      <c r="S24" s="62">
        <f>IFERROR(Tableau242[[#This Row],[Prod. days WK]]-Tableau242[[#This Row],[Prod PXX]],"Matricule")</f>
        <v>-10</v>
      </c>
      <c r="T24" s="62">
        <f>IFERROR(Tableau242[[#This Row],[Non prod. days WK]]-Tableau242[[#This Row],[Improd PXX]],"Matricule")</f>
        <v>10</v>
      </c>
      <c r="U24" s="62">
        <f>IFERROR(Tableau242[[#This Row],[Paid leave days WK]]-Tableau242[[#This Row],[Congé PXX]],"Matricule")</f>
        <v>0</v>
      </c>
      <c r="V24" s="63">
        <f>IFERROR(VLOOKUP($B24,#REF!,4,FALSE),0)</f>
        <v>0</v>
      </c>
      <c r="W2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4" s="63">
        <f>IF(AND(Tableau242[[#This Row],[Paid leave days]]&gt;0,Tableau242[[#This Row],[Prod. days]]&lt;0),MIN(Tableau242[[#This Row],[Paid leave days]],-Tableau242[[#This Row],[Prod. days]]),0)</f>
        <v>0</v>
      </c>
      <c r="Z24" s="63">
        <f>IFERROR(_xlfn.XLOOKUP(Tableau242[[#This Row],[Consultant]],Tableau2[Collaborateur/Nom affiché],Tableau2[Montant imputé],0),0)</f>
        <v>0</v>
      </c>
      <c r="AA24" s="64">
        <f t="shared" si="1"/>
        <v>-10</v>
      </c>
      <c r="AB24" s="65" t="s">
        <v>154</v>
      </c>
      <c r="AC24" s="66"/>
      <c r="AD24" s="66"/>
      <c r="AE24" s="38"/>
      <c r="AF24" s="90" t="s">
        <v>176</v>
      </c>
    </row>
    <row r="25" spans="1:32">
      <c r="A25" s="15">
        <f>Tableau242[[#This Row],[Company number]]+0</f>
        <v>18026</v>
      </c>
      <c r="B25" s="60" t="s">
        <v>177</v>
      </c>
      <c r="C25" s="61" t="s">
        <v>178</v>
      </c>
      <c r="D25" s="61" t="s">
        <v>47</v>
      </c>
      <c r="E25" s="62" t="str">
        <f>IFERROR(VLOOKUP(Tableau242[[#This Row],[Manager ou CDM concerné]],Parametres!B:C,2,FALSE),"")</f>
        <v>Squad D</v>
      </c>
      <c r="F25" s="62" t="str">
        <f>IF(Tableau242[[#This Row],[Consultant]]=Tableau242[[#This Row],[Manager ou CDM concerné]],"Non",IF(IFERROR(VLOOKUP(Tableau242[[#This Row],[Consultant]],Parametres!B:C,2,FALSE),0)=0,"Non","Oui"))</f>
        <v>Non</v>
      </c>
      <c r="G25" s="62">
        <f>IFERROR(VLOOKUP(B25,Tableau5[#All],4,FALSE),"Matricule!")</f>
        <v>0</v>
      </c>
      <c r="H25" s="62" t="str">
        <f>IFERROR(VLOOKUP(Tableau242[[#This Row],[Company number]],#REF!,6,FALSE),"")</f>
        <v/>
      </c>
      <c r="I25" s="62">
        <f>IFERROR(VLOOKUP(B25,Tableau5[#All],5,FALSE),"Matricule!")</f>
        <v>20</v>
      </c>
      <c r="J25" s="62">
        <f>IFERROR(VLOOKUP(B25,Tableau5[#All],6,FALSE),"Matricule!")</f>
        <v>0</v>
      </c>
      <c r="K25" s="62">
        <f>IFERROR(VLOOKUP(B25,Tableau5[#All],7,FALSE),"Matricule!")</f>
        <v>0</v>
      </c>
      <c r="L25" s="62" t="e">
        <f>VLOOKUP(Tableau242[[#This Row],[Company number]],#REF!,25,FALSE)</f>
        <v>#REF!</v>
      </c>
      <c r="M25" s="62" t="str">
        <f>IFERROR(VLOOKUP(Tableau242[[#This Row],[Company number]],#REF!,30,FALSE),"")</f>
        <v/>
      </c>
      <c r="N25" s="62" t="str">
        <f>IFERROR(VLOOKUP(Tableau242[[#This Row],[Company number]],#REF!,31,FALSE),"")</f>
        <v/>
      </c>
      <c r="O25" s="62" t="str">
        <f>IFERROR(VLOOKUP(Tableau242[[#This Row],[Company number]],#REF!,32,FALSE),"")</f>
        <v/>
      </c>
      <c r="P25" s="62">
        <f>IFERROR(VLOOKUP(B25,Tableau3[#All],5,FALSE),"Matricule!")</f>
        <v>0</v>
      </c>
      <c r="Q25" s="62">
        <f>IFERROR(SUM(VLOOKUP(B25,Tableau3[#All],6,FALSE),VLOOKUP(B25,Tableau3[#All],8,FALSE)),"Matricule!")</f>
        <v>20</v>
      </c>
      <c r="R25" s="62">
        <f>IFERROR(VLOOKUP(B25,Tableau3[#All],7,FALSE),"Matricule!")</f>
        <v>0</v>
      </c>
      <c r="S25" s="62">
        <f>IFERROR(Tableau242[[#This Row],[Prod. days WK]]-Tableau242[[#This Row],[Prod PXX]],"Matricule")</f>
        <v>0</v>
      </c>
      <c r="T25" s="62">
        <f>IFERROR(Tableau242[[#This Row],[Non prod. days WK]]-Tableau242[[#This Row],[Improd PXX]],"Matricule")</f>
        <v>0</v>
      </c>
      <c r="U25" s="62">
        <f>IFERROR(Tableau242[[#This Row],[Paid leave days WK]]-Tableau242[[#This Row],[Congé PXX]],"Matricule")</f>
        <v>0</v>
      </c>
      <c r="V25" s="63">
        <f>IFERROR(VLOOKUP($B25,#REF!,4,FALSE),0)</f>
        <v>0</v>
      </c>
      <c r="W2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5" s="63">
        <f>IF(AND(Tableau242[[#This Row],[Paid leave days]]&gt;0,Tableau242[[#This Row],[Prod. days]]&lt;0),MIN(Tableau242[[#This Row],[Paid leave days]],-Tableau242[[#This Row],[Prod. days]]),0)</f>
        <v>0</v>
      </c>
      <c r="Z25" s="63">
        <f>IFERROR(_xlfn.XLOOKUP(Tableau242[[#This Row],[Consultant]],Tableau2[Collaborateur/Nom affiché],Tableau2[Montant imputé],0),0)</f>
        <v>0</v>
      </c>
      <c r="AA25" s="64">
        <f t="shared" si="1"/>
        <v>0</v>
      </c>
      <c r="AB25" s="65" t="s">
        <v>154</v>
      </c>
      <c r="AC25" s="66"/>
      <c r="AD25" s="66"/>
      <c r="AE25" s="66"/>
      <c r="AF25" s="90" t="s">
        <v>179</v>
      </c>
    </row>
    <row r="26" spans="1:32">
      <c r="A26" s="15">
        <f>Tableau242[[#This Row],[Company number]]+0</f>
        <v>20773</v>
      </c>
      <c r="B26" s="60" t="s">
        <v>180</v>
      </c>
      <c r="C26" s="61" t="s">
        <v>181</v>
      </c>
      <c r="D26" s="61" t="s">
        <v>47</v>
      </c>
      <c r="E26" s="62" t="str">
        <f>IFERROR(VLOOKUP(Tableau242[[#This Row],[Manager ou CDM concerné]],Parametres!B:C,2,FALSE),"")</f>
        <v>Squad D</v>
      </c>
      <c r="F26" s="62" t="str">
        <f>IF(Tableau242[[#This Row],[Consultant]]=Tableau242[[#This Row],[Manager ou CDM concerné]],"Non",IF(IFERROR(VLOOKUP(Tableau242[[#This Row],[Consultant]],Parametres!B:C,2,FALSE),0)=0,"Non","Oui"))</f>
        <v>Non</v>
      </c>
      <c r="G26" s="62">
        <f>IFERROR(VLOOKUP(B26,Tableau5[#All],4,FALSE),"Matricule!")</f>
        <v>20</v>
      </c>
      <c r="H26" s="62" t="str">
        <f>IFERROR(VLOOKUP(Tableau242[[#This Row],[Company number]],#REF!,6,FALSE),"")</f>
        <v/>
      </c>
      <c r="I26" s="62">
        <f>IFERROR(VLOOKUP(B26,Tableau5[#All],5,FALSE),"Matricule!")</f>
        <v>0</v>
      </c>
      <c r="J26" s="62">
        <f>IFERROR(VLOOKUP(B26,Tableau5[#All],6,FALSE),"Matricule!")</f>
        <v>0</v>
      </c>
      <c r="K26" s="62">
        <f>IFERROR(VLOOKUP(B26,Tableau5[#All],7,FALSE),"Matricule!")</f>
        <v>0</v>
      </c>
      <c r="L26" s="62" t="e">
        <f>VLOOKUP(Tableau242[[#This Row],[Company number]],#REF!,25,FALSE)</f>
        <v>#REF!</v>
      </c>
      <c r="M26" s="62" t="str">
        <f>IFERROR(VLOOKUP(Tableau242[[#This Row],[Company number]],#REF!,30,FALSE),"")</f>
        <v/>
      </c>
      <c r="N26" s="62" t="str">
        <f>IFERROR(VLOOKUP(Tableau242[[#This Row],[Company number]],#REF!,31,FALSE),"")</f>
        <v/>
      </c>
      <c r="O26" s="62" t="str">
        <f>IFERROR(VLOOKUP(Tableau242[[#This Row],[Company number]],#REF!,32,FALSE),"")</f>
        <v/>
      </c>
      <c r="P26" s="62">
        <f>IFERROR(VLOOKUP(B26,Tableau3[#All],5,FALSE),"Matricule!")</f>
        <v>20</v>
      </c>
      <c r="Q26" s="62">
        <f>IFERROR(SUM(VLOOKUP(B26,Tableau3[#All],6,FALSE),VLOOKUP(B26,Tableau3[#All],8,FALSE)),"Matricule!")</f>
        <v>0</v>
      </c>
      <c r="R26" s="62">
        <f>IFERROR(VLOOKUP(B26,Tableau3[#All],7,FALSE),"Matricule!")</f>
        <v>0</v>
      </c>
      <c r="S26" s="62">
        <f>IFERROR(Tableau242[[#This Row],[Prod. days WK]]-Tableau242[[#This Row],[Prod PXX]],"Matricule")</f>
        <v>0</v>
      </c>
      <c r="T26" s="62">
        <f>IFERROR(Tableau242[[#This Row],[Non prod. days WK]]-Tableau242[[#This Row],[Improd PXX]],"Matricule")</f>
        <v>0</v>
      </c>
      <c r="U26" s="62">
        <f>IFERROR(Tableau242[[#This Row],[Paid leave days WK]]-Tableau242[[#This Row],[Congé PXX]],"Matricule")</f>
        <v>0</v>
      </c>
      <c r="V26" s="63">
        <f>IFERROR(VLOOKUP($B26,#REF!,4,FALSE),0)</f>
        <v>0</v>
      </c>
      <c r="W2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6" s="63">
        <f>IF(AND(Tableau242[[#This Row],[Paid leave days]]&gt;0,Tableau242[[#This Row],[Prod. days]]&lt;0),MIN(Tableau242[[#This Row],[Paid leave days]],-Tableau242[[#This Row],[Prod. days]]),0)</f>
        <v>0</v>
      </c>
      <c r="Z26" s="63">
        <f>IFERROR(_xlfn.XLOOKUP(Tableau242[[#This Row],[Consultant]],Tableau2[Collaborateur/Nom affiché],Tableau2[Montant imputé],0),0)</f>
        <v>0</v>
      </c>
      <c r="AA26" s="64">
        <f t="shared" si="1"/>
        <v>0</v>
      </c>
      <c r="AB26" s="65"/>
      <c r="AC26" s="66"/>
      <c r="AD26" s="66"/>
      <c r="AE26" s="66"/>
      <c r="AF26" s="90"/>
    </row>
    <row r="27" spans="1:32">
      <c r="A27" s="15">
        <f>Tableau242[[#This Row],[Company number]]+0</f>
        <v>17238</v>
      </c>
      <c r="B27" s="60" t="s">
        <v>182</v>
      </c>
      <c r="C27" s="61" t="s">
        <v>183</v>
      </c>
      <c r="D27" s="61" t="s">
        <v>47</v>
      </c>
      <c r="E27" s="62" t="str">
        <f>IFERROR(VLOOKUP(Tableau242[[#This Row],[Manager ou CDM concerné]],Parametres!B:C,2,FALSE),"")</f>
        <v>Squad D</v>
      </c>
      <c r="F27" s="62" t="str">
        <f>IF(Tableau242[[#This Row],[Consultant]]=Tableau242[[#This Row],[Manager ou CDM concerné]],"Non",IF(IFERROR(VLOOKUP(Tableau242[[#This Row],[Consultant]],Parametres!B:C,2,FALSE),0)=0,"Non","Oui"))</f>
        <v>Non</v>
      </c>
      <c r="G27" s="62">
        <f>IFERROR(VLOOKUP(B27,Tableau5[#All],4,FALSE),"Matricule!")</f>
        <v>20</v>
      </c>
      <c r="H27" s="62" t="str">
        <f>IFERROR(VLOOKUP(Tableau242[[#This Row],[Company number]],#REF!,6,FALSE),"")</f>
        <v/>
      </c>
      <c r="I27" s="62">
        <f>IFERROR(VLOOKUP(B27,Tableau5[#All],5,FALSE),"Matricule!")</f>
        <v>0</v>
      </c>
      <c r="J27" s="62">
        <f>IFERROR(VLOOKUP(B27,Tableau5[#All],6,FALSE),"Matricule!")</f>
        <v>0</v>
      </c>
      <c r="K27" s="62">
        <f>IFERROR(VLOOKUP(B27,Tableau5[#All],7,FALSE),"Matricule!")</f>
        <v>0</v>
      </c>
      <c r="L27" s="62" t="e">
        <f>VLOOKUP(Tableau242[[#This Row],[Company number]],#REF!,25,FALSE)</f>
        <v>#REF!</v>
      </c>
      <c r="M27" s="62" t="str">
        <f>IFERROR(VLOOKUP(Tableau242[[#This Row],[Company number]],#REF!,30,FALSE),"")</f>
        <v/>
      </c>
      <c r="N27" s="62" t="str">
        <f>IFERROR(VLOOKUP(Tableau242[[#This Row],[Company number]],#REF!,31,FALSE),"")</f>
        <v/>
      </c>
      <c r="O27" s="62" t="str">
        <f>IFERROR(VLOOKUP(Tableau242[[#This Row],[Company number]],#REF!,32,FALSE),"")</f>
        <v/>
      </c>
      <c r="P27" s="68">
        <f>IFERROR(VLOOKUP(B27,Tableau3[#All],5,FALSE),"Matricule!")</f>
        <v>18</v>
      </c>
      <c r="Q27" s="68">
        <f>IFERROR(SUM(VLOOKUP(B27,Tableau3[#All],6,FALSE),VLOOKUP(B27,Tableau3[#All],8,FALSE)),"Matricule!")</f>
        <v>2</v>
      </c>
      <c r="R27" s="68">
        <f>IFERROR(VLOOKUP(B27,Tableau3[#All],7,FALSE),"Matricule!")</f>
        <v>0</v>
      </c>
      <c r="S27" s="62">
        <f>IFERROR(Tableau242[[#This Row],[Prod. days WK]]-Tableau242[[#This Row],[Prod PXX]],"Matricule")</f>
        <v>2</v>
      </c>
      <c r="T27" s="62">
        <f>IFERROR(Tableau242[[#This Row],[Non prod. days WK]]-Tableau242[[#This Row],[Improd PXX]],"Matricule")</f>
        <v>-2</v>
      </c>
      <c r="U27" s="62">
        <f>IFERROR(Tableau242[[#This Row],[Paid leave days WK]]-Tableau242[[#This Row],[Congé PXX]],"Matricule")</f>
        <v>0</v>
      </c>
      <c r="V27" s="63">
        <f>IFERROR(VLOOKUP($B27,#REF!,4,FALSE),0)</f>
        <v>0</v>
      </c>
      <c r="W2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7" s="63">
        <f>IF(AND(Tableau242[[#This Row],[Paid leave days]]&gt;0,Tableau242[[#This Row],[Prod. days]]&lt;0),MIN(Tableau242[[#This Row],[Paid leave days]],-Tableau242[[#This Row],[Prod. days]]),0)</f>
        <v>0</v>
      </c>
      <c r="Z27" s="63">
        <f>IFERROR(_xlfn.XLOOKUP(Tableau242[[#This Row],[Consultant]],Tableau2[Collaborateur/Nom affiché],Tableau2[Montant imputé],0),0)</f>
        <v>0</v>
      </c>
      <c r="AA27" s="64">
        <f t="shared" si="1"/>
        <v>2</v>
      </c>
      <c r="AB27" s="65"/>
      <c r="AC27" s="66"/>
      <c r="AD27" s="66"/>
      <c r="AE27" s="105"/>
      <c r="AF27" s="90"/>
    </row>
    <row r="28" spans="1:32">
      <c r="A28" s="15">
        <f>Tableau242[[#This Row],[Company number]]+0</f>
        <v>20567</v>
      </c>
      <c r="B28" s="60" t="s">
        <v>184</v>
      </c>
      <c r="C28" s="61" t="s">
        <v>185</v>
      </c>
      <c r="D28" s="61" t="s">
        <v>47</v>
      </c>
      <c r="E28" s="62" t="str">
        <f>IFERROR(VLOOKUP(Tableau242[[#This Row],[Manager ou CDM concerné]],Parametres!B:C,2,FALSE),"")</f>
        <v>Squad D</v>
      </c>
      <c r="F28" s="62" t="str">
        <f>IF(Tableau242[[#This Row],[Consultant]]=Tableau242[[#This Row],[Manager ou CDM concerné]],"Non",IF(IFERROR(VLOOKUP(Tableau242[[#This Row],[Consultant]],Parametres!B:C,2,FALSE),0)=0,"Non","Oui"))</f>
        <v>Non</v>
      </c>
      <c r="G28" s="62">
        <f>IFERROR(VLOOKUP(B28,Tableau5[#All],4,FALSE),"Matricule!")</f>
        <v>20</v>
      </c>
      <c r="H28" s="62" t="str">
        <f>IFERROR(VLOOKUP(Tableau242[[#This Row],[Company number]],#REF!,6,FALSE),"")</f>
        <v/>
      </c>
      <c r="I28" s="62">
        <f>IFERROR(VLOOKUP(B28,Tableau5[#All],5,FALSE),"Matricule!")</f>
        <v>0</v>
      </c>
      <c r="J28" s="62">
        <f>IFERROR(VLOOKUP(B28,Tableau5[#All],6,FALSE),"Matricule!")</f>
        <v>0</v>
      </c>
      <c r="K28" s="62">
        <f>IFERROR(VLOOKUP(B28,Tableau5[#All],7,FALSE),"Matricule!")</f>
        <v>0</v>
      </c>
      <c r="L28" s="62" t="e">
        <f>VLOOKUP(Tableau242[[#This Row],[Company number]],#REF!,25,FALSE)</f>
        <v>#REF!</v>
      </c>
      <c r="M28" s="62" t="str">
        <f>IFERROR(VLOOKUP(Tableau242[[#This Row],[Company number]],#REF!,30,FALSE),"")</f>
        <v/>
      </c>
      <c r="N28" s="62" t="str">
        <f>IFERROR(VLOOKUP(Tableau242[[#This Row],[Company number]],#REF!,31,FALSE),"")</f>
        <v/>
      </c>
      <c r="O28" s="62" t="str">
        <f>IFERROR(VLOOKUP(Tableau242[[#This Row],[Company number]],#REF!,32,FALSE),"")</f>
        <v/>
      </c>
      <c r="P28" s="62">
        <f>IFERROR(VLOOKUP(B28,Tableau3[#All],5,FALSE),"Matricule!")</f>
        <v>20</v>
      </c>
      <c r="Q28" s="62">
        <f>IFERROR(SUM(VLOOKUP(B28,Tableau3[#All],6,FALSE),VLOOKUP(B28,Tableau3[#All],8,FALSE)),"Matricule!")</f>
        <v>0</v>
      </c>
      <c r="R28" s="62">
        <f>IFERROR(VLOOKUP(B28,Tableau3[#All],7,FALSE),"Matricule!")</f>
        <v>0</v>
      </c>
      <c r="S28" s="62">
        <f>IFERROR(Tableau242[[#This Row],[Prod. days WK]]-Tableau242[[#This Row],[Prod PXX]],"Matricule")</f>
        <v>0</v>
      </c>
      <c r="T28" s="62">
        <f>IFERROR(Tableau242[[#This Row],[Non prod. days WK]]-Tableau242[[#This Row],[Improd PXX]],"Matricule")</f>
        <v>0</v>
      </c>
      <c r="U28" s="62">
        <f>IFERROR(Tableau242[[#This Row],[Paid leave days WK]]-Tableau242[[#This Row],[Congé PXX]],"Matricule")</f>
        <v>0</v>
      </c>
      <c r="V28" s="63">
        <f>IFERROR(VLOOKUP($B28,#REF!,4,FALSE),0)</f>
        <v>0</v>
      </c>
      <c r="W2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8" s="63">
        <f>IF(AND(Tableau242[[#This Row],[Paid leave days]]&gt;0,Tableau242[[#This Row],[Prod. days]]&lt;0),MIN(Tableau242[[#This Row],[Paid leave days]],-Tableau242[[#This Row],[Prod. days]]),0)</f>
        <v>0</v>
      </c>
      <c r="Z28" s="63">
        <f>IFERROR(_xlfn.XLOOKUP(Tableau242[[#This Row],[Consultant]],Tableau2[Collaborateur/Nom affiché],Tableau2[Montant imputé],0),0)</f>
        <v>0</v>
      </c>
      <c r="AA28" s="64">
        <f t="shared" si="1"/>
        <v>0</v>
      </c>
      <c r="AB28" s="65"/>
      <c r="AC28" s="66"/>
      <c r="AD28" s="66"/>
      <c r="AE28" s="66"/>
      <c r="AF28" s="90"/>
    </row>
    <row r="29" spans="1:32">
      <c r="A29" s="15">
        <f>Tableau242[[#This Row],[Company number]]+0</f>
        <v>15860</v>
      </c>
      <c r="B29" s="60" t="s">
        <v>186</v>
      </c>
      <c r="C29" s="61" t="s">
        <v>187</v>
      </c>
      <c r="D29" s="61" t="s">
        <v>47</v>
      </c>
      <c r="E29" s="62" t="str">
        <f>IFERROR(VLOOKUP(Tableau242[[#This Row],[Manager ou CDM concerné]],Parametres!B:C,2,FALSE),"")</f>
        <v>Squad D</v>
      </c>
      <c r="F29" s="62" t="str">
        <f>IF(Tableau242[[#This Row],[Consultant]]=Tableau242[[#This Row],[Manager ou CDM concerné]],"Non",IF(IFERROR(VLOOKUP(Tableau242[[#This Row],[Consultant]],Parametres!B:C,2,FALSE),0)=0,"Non","Oui"))</f>
        <v>Non</v>
      </c>
      <c r="G29" s="62">
        <f>IFERROR(VLOOKUP(B29,Tableau5[#All],4,FALSE),"Matricule!")</f>
        <v>19.5</v>
      </c>
      <c r="H29" s="62" t="str">
        <f>IFERROR(VLOOKUP(Tableau242[[#This Row],[Company number]],#REF!,6,FALSE),"")</f>
        <v/>
      </c>
      <c r="I29" s="62">
        <f>IFERROR(VLOOKUP(B29,Tableau5[#All],5,FALSE),"Matricule!")</f>
        <v>0</v>
      </c>
      <c r="J29" s="62">
        <f>IFERROR(VLOOKUP(B29,Tableau5[#All],6,FALSE),"Matricule!")</f>
        <v>0.5</v>
      </c>
      <c r="K29" s="62">
        <f>IFERROR(VLOOKUP(B29,Tableau5[#All],7,FALSE),"Matricule!")</f>
        <v>0</v>
      </c>
      <c r="L29" s="62" t="e">
        <f>VLOOKUP(Tableau242[[#This Row],[Company number]],#REF!,25,FALSE)</f>
        <v>#REF!</v>
      </c>
      <c r="M29" s="62" t="str">
        <f>IFERROR(VLOOKUP(Tableau242[[#This Row],[Company number]],#REF!,30,FALSE),"")</f>
        <v/>
      </c>
      <c r="N29" s="62" t="str">
        <f>IFERROR(VLOOKUP(Tableau242[[#This Row],[Company number]],#REF!,31,FALSE),"")</f>
        <v/>
      </c>
      <c r="O29" s="62" t="str">
        <f>IFERROR(VLOOKUP(Tableau242[[#This Row],[Company number]],#REF!,32,FALSE),"")</f>
        <v/>
      </c>
      <c r="P29" s="62">
        <f>IFERROR(VLOOKUP(B29,Tableau3[#All],5,FALSE),"Matricule!")</f>
        <v>19.5</v>
      </c>
      <c r="Q29" s="62">
        <f>IFERROR(SUM(VLOOKUP(B29,Tableau3[#All],6,FALSE),VLOOKUP(B29,Tableau3[#All],8,FALSE)),"Matricule!")</f>
        <v>0</v>
      </c>
      <c r="R29" s="62">
        <f>IFERROR(VLOOKUP(B29,Tableau3[#All],7,FALSE),"Matricule!")</f>
        <v>0.5</v>
      </c>
      <c r="S29" s="62">
        <f>IFERROR(Tableau242[[#This Row],[Prod. days WK]]-Tableau242[[#This Row],[Prod PXX]],"Matricule")</f>
        <v>0</v>
      </c>
      <c r="T29" s="62">
        <f>IFERROR(Tableau242[[#This Row],[Non prod. days WK]]-Tableau242[[#This Row],[Improd PXX]],"Matricule")</f>
        <v>0</v>
      </c>
      <c r="U29" s="62">
        <f>IFERROR(Tableau242[[#This Row],[Paid leave days WK]]-Tableau242[[#This Row],[Congé PXX]],"Matricule")</f>
        <v>0</v>
      </c>
      <c r="V29" s="63">
        <f>IFERROR(VLOOKUP($B29,#REF!,4,FALSE),0)</f>
        <v>0</v>
      </c>
      <c r="W2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9" s="63">
        <f>IF(AND(Tableau242[[#This Row],[Paid leave days]]&gt;0,Tableau242[[#This Row],[Prod. days]]&lt;0),MIN(Tableau242[[#This Row],[Paid leave days]],-Tableau242[[#This Row],[Prod. days]]),0)</f>
        <v>0</v>
      </c>
      <c r="Z29" s="63">
        <f>IFERROR(_xlfn.XLOOKUP(Tableau242[[#This Row],[Consultant]],Tableau2[Collaborateur/Nom affiché],Tableau2[Montant imputé],0),0)</f>
        <v>0</v>
      </c>
      <c r="AA29" s="64">
        <f t="shared" si="1"/>
        <v>0</v>
      </c>
      <c r="AB29" s="65"/>
      <c r="AC29" s="66"/>
      <c r="AD29" s="66"/>
      <c r="AE29" s="66"/>
      <c r="AF29" s="90"/>
    </row>
    <row r="30" spans="1:32">
      <c r="A30" s="15">
        <f>Tableau242[[#This Row],[Company number]]+0</f>
        <v>21049</v>
      </c>
      <c r="B30" s="60" t="s">
        <v>188</v>
      </c>
      <c r="C30" s="61" t="s">
        <v>189</v>
      </c>
      <c r="D30" s="61" t="s">
        <v>47</v>
      </c>
      <c r="E30" s="62" t="str">
        <f>IFERROR(VLOOKUP(Tableau242[[#This Row],[Manager ou CDM concerné]],Parametres!B:C,2,FALSE),"")</f>
        <v>Squad D</v>
      </c>
      <c r="F30" s="62" t="str">
        <f>IF(Tableau242[[#This Row],[Consultant]]=Tableau242[[#This Row],[Manager ou CDM concerné]],"Non",IF(IFERROR(VLOOKUP(Tableau242[[#This Row],[Consultant]],Parametres!B:C,2,FALSE),0)=0,"Non","Oui"))</f>
        <v>Non</v>
      </c>
      <c r="G30" s="62">
        <f>IFERROR(VLOOKUP(B30,Tableau5[#All],4,FALSE),"Matricule!")</f>
        <v>8</v>
      </c>
      <c r="H30" s="62" t="str">
        <f>IFERROR(VLOOKUP(Tableau242[[#This Row],[Company number]],#REF!,6,FALSE),"")</f>
        <v/>
      </c>
      <c r="I30" s="62">
        <f>IFERROR(VLOOKUP(B30,Tableau5[#All],5,FALSE),"Matricule!")</f>
        <v>0</v>
      </c>
      <c r="J30" s="62">
        <f>IFERROR(VLOOKUP(B30,Tableau5[#All],6,FALSE),"Matricule!")</f>
        <v>12</v>
      </c>
      <c r="K30" s="62">
        <f>IFERROR(VLOOKUP(B30,Tableau5[#All],7,FALSE),"Matricule!")</f>
        <v>0</v>
      </c>
      <c r="L30" s="62" t="e">
        <f>VLOOKUP(Tableau242[[#This Row],[Company number]],#REF!,25,FALSE)</f>
        <v>#REF!</v>
      </c>
      <c r="M30" s="62" t="str">
        <f>IFERROR(VLOOKUP(Tableau242[[#This Row],[Company number]],#REF!,30,FALSE),"")</f>
        <v/>
      </c>
      <c r="N30" s="62" t="str">
        <f>IFERROR(VLOOKUP(Tableau242[[#This Row],[Company number]],#REF!,31,FALSE),"")</f>
        <v/>
      </c>
      <c r="O30" s="62" t="str">
        <f>IFERROR(VLOOKUP(Tableau242[[#This Row],[Company number]],#REF!,32,FALSE),"")</f>
        <v/>
      </c>
      <c r="P30" s="62">
        <f>IFERROR(VLOOKUP(B30,Tableau3[#All],5,FALSE),"Matricule!")</f>
        <v>8</v>
      </c>
      <c r="Q30" s="62">
        <f>IFERROR(SUM(VLOOKUP(B30,Tableau3[#All],6,FALSE),VLOOKUP(B30,Tableau3[#All],8,FALSE)),"Matricule!")</f>
        <v>0</v>
      </c>
      <c r="R30" s="62">
        <f>IFERROR(VLOOKUP(B30,Tableau3[#All],7,FALSE),"Matricule!")</f>
        <v>12</v>
      </c>
      <c r="S30" s="62">
        <f>IFERROR(Tableau242[[#This Row],[Prod. days WK]]-Tableau242[[#This Row],[Prod PXX]],"Matricule")</f>
        <v>0</v>
      </c>
      <c r="T30" s="62">
        <f>IFERROR(Tableau242[[#This Row],[Non prod. days WK]]-Tableau242[[#This Row],[Improd PXX]],"Matricule")</f>
        <v>0</v>
      </c>
      <c r="U30" s="62">
        <f>IFERROR(Tableau242[[#This Row],[Paid leave days WK]]-Tableau242[[#This Row],[Congé PXX]],"Matricule")</f>
        <v>0</v>
      </c>
      <c r="V30" s="63">
        <f>IFERROR(VLOOKUP($B30,#REF!,4,FALSE),0)</f>
        <v>0</v>
      </c>
      <c r="W3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0" s="63">
        <f>IF(AND(Tableau242[[#This Row],[Paid leave days]]&gt;0,Tableau242[[#This Row],[Prod. days]]&lt;0),MIN(Tableau242[[#This Row],[Paid leave days]],-Tableau242[[#This Row],[Prod. days]]),0)</f>
        <v>0</v>
      </c>
      <c r="Z30" s="63">
        <f>IFERROR(_xlfn.XLOOKUP(Tableau242[[#This Row],[Consultant]],Tableau2[Collaborateur/Nom affiché],Tableau2[Montant imputé],0),0)</f>
        <v>0</v>
      </c>
      <c r="AA30" s="64">
        <f t="shared" si="1"/>
        <v>0</v>
      </c>
      <c r="AB30" s="65"/>
      <c r="AC30" s="66"/>
      <c r="AD30" s="66"/>
      <c r="AE30" s="66"/>
      <c r="AF30" s="90"/>
    </row>
    <row r="31" spans="1:32">
      <c r="A31" s="15">
        <f>Tableau242[[#This Row],[Company number]]+0</f>
        <v>14548</v>
      </c>
      <c r="B31" s="60" t="s">
        <v>190</v>
      </c>
      <c r="C31" s="61" t="s">
        <v>191</v>
      </c>
      <c r="D31" s="61" t="s">
        <v>47</v>
      </c>
      <c r="E31" s="62" t="str">
        <f>IFERROR(VLOOKUP(Tableau242[[#This Row],[Manager ou CDM concerné]],Parametres!B:C,2,FALSE),"")</f>
        <v>Squad D</v>
      </c>
      <c r="F31" s="62" t="str">
        <f>IF(Tableau242[[#This Row],[Consultant]]=Tableau242[[#This Row],[Manager ou CDM concerné]],"Non",IF(IFERROR(VLOOKUP(Tableau242[[#This Row],[Consultant]],Parametres!B:C,2,FALSE),0)=0,"Non","Oui"))</f>
        <v>Non</v>
      </c>
      <c r="G31" s="62">
        <f>IFERROR(VLOOKUP(B31,Tableau5[#All],4,FALSE),"Matricule!")</f>
        <v>17</v>
      </c>
      <c r="H31" s="62" t="str">
        <f>IFERROR(VLOOKUP(Tableau242[[#This Row],[Company number]],#REF!,6,FALSE),"")</f>
        <v/>
      </c>
      <c r="I31" s="62">
        <f>IFERROR(VLOOKUP(B31,Tableau5[#All],5,FALSE),"Matricule!")</f>
        <v>0</v>
      </c>
      <c r="J31" s="62">
        <f>IFERROR(VLOOKUP(B31,Tableau5[#All],6,FALSE),"Matricule!")</f>
        <v>3</v>
      </c>
      <c r="K31" s="62">
        <f>IFERROR(VLOOKUP(B31,Tableau5[#All],7,FALSE),"Matricule!")</f>
        <v>0</v>
      </c>
      <c r="L31" s="62" t="e">
        <f>VLOOKUP(Tableau242[[#This Row],[Company number]],#REF!,25,FALSE)</f>
        <v>#REF!</v>
      </c>
      <c r="M31" s="62" t="str">
        <f>IFERROR(VLOOKUP(Tableau242[[#This Row],[Company number]],#REF!,30,FALSE),"")</f>
        <v/>
      </c>
      <c r="N31" s="62" t="str">
        <f>IFERROR(VLOOKUP(Tableau242[[#This Row],[Company number]],#REF!,31,FALSE),"")</f>
        <v/>
      </c>
      <c r="O31" s="62" t="str">
        <f>IFERROR(VLOOKUP(Tableau242[[#This Row],[Company number]],#REF!,32,FALSE),"")</f>
        <v/>
      </c>
      <c r="P31" s="62">
        <f>IFERROR(VLOOKUP(B31,Tableau3[#All],5,FALSE),"Matricule!")</f>
        <v>17</v>
      </c>
      <c r="Q31" s="62">
        <f>IFERROR(SUM(VLOOKUP(B31,Tableau3[#All],6,FALSE),VLOOKUP(B31,Tableau3[#All],8,FALSE)),"Matricule!")</f>
        <v>0</v>
      </c>
      <c r="R31" s="62">
        <f>IFERROR(VLOOKUP(B31,Tableau3[#All],7,FALSE),"Matricule!")</f>
        <v>3</v>
      </c>
      <c r="S31" s="62">
        <f>IFERROR(Tableau242[[#This Row],[Prod. days WK]]-Tableau242[[#This Row],[Prod PXX]],"Matricule")</f>
        <v>0</v>
      </c>
      <c r="T31" s="62">
        <f>IFERROR(Tableau242[[#This Row],[Non prod. days WK]]-Tableau242[[#This Row],[Improd PXX]],"Matricule")</f>
        <v>0</v>
      </c>
      <c r="U31" s="62">
        <f>IFERROR(Tableau242[[#This Row],[Paid leave days WK]]-Tableau242[[#This Row],[Congé PXX]],"Matricule")</f>
        <v>0</v>
      </c>
      <c r="V31" s="63">
        <f>IFERROR(VLOOKUP($B31,#REF!,4,FALSE),0)</f>
        <v>0</v>
      </c>
      <c r="W3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1" s="63">
        <f>IF(AND(Tableau242[[#This Row],[Paid leave days]]&gt;0,Tableau242[[#This Row],[Prod. days]]&lt;0),MIN(Tableau242[[#This Row],[Paid leave days]],-Tableau242[[#This Row],[Prod. days]]),0)</f>
        <v>0</v>
      </c>
      <c r="Z31" s="63">
        <f>IFERROR(_xlfn.XLOOKUP(Tableau242[[#This Row],[Consultant]],Tableau2[Collaborateur/Nom affiché],Tableau2[Montant imputé],0),0)</f>
        <v>0</v>
      </c>
      <c r="AA31" s="64">
        <f t="shared" si="1"/>
        <v>0</v>
      </c>
      <c r="AB31" s="65"/>
      <c r="AC31" s="67"/>
      <c r="AD31" s="67"/>
      <c r="AE31" s="67"/>
      <c r="AF31" s="92"/>
    </row>
    <row r="32" spans="1:32">
      <c r="A32" s="15">
        <f>Tableau242[[#This Row],[Company number]]+0</f>
        <v>17279</v>
      </c>
      <c r="B32" s="60" t="s">
        <v>192</v>
      </c>
      <c r="C32" s="61" t="s">
        <v>193</v>
      </c>
      <c r="D32" s="61" t="s">
        <v>47</v>
      </c>
      <c r="E32" s="62" t="str">
        <f>IFERROR(VLOOKUP(Tableau242[[#This Row],[Manager ou CDM concerné]],Parametres!B:C,2,FALSE),"")</f>
        <v>Squad D</v>
      </c>
      <c r="F32" s="62" t="str">
        <f>IF(Tableau242[[#This Row],[Consultant]]=Tableau242[[#This Row],[Manager ou CDM concerné]],"Non",IF(IFERROR(VLOOKUP(Tableau242[[#This Row],[Consultant]],Parametres!B:C,2,FALSE),0)=0,"Non","Oui"))</f>
        <v>Non</v>
      </c>
      <c r="G32" s="62">
        <f>IFERROR(VLOOKUP(B32,Tableau5[#All],4,FALSE),"Matricule!")</f>
        <v>20</v>
      </c>
      <c r="H32" s="62" t="str">
        <f>IFERROR(VLOOKUP(Tableau242[[#This Row],[Company number]],#REF!,6,FALSE),"")</f>
        <v/>
      </c>
      <c r="I32" s="62">
        <f>IFERROR(VLOOKUP(B32,Tableau5[#All],5,FALSE),"Matricule!")</f>
        <v>0</v>
      </c>
      <c r="J32" s="62">
        <f>IFERROR(VLOOKUP(B32,Tableau5[#All],6,FALSE),"Matricule!")</f>
        <v>0</v>
      </c>
      <c r="K32" s="62">
        <f>IFERROR(VLOOKUP(B32,Tableau5[#All],7,FALSE),"Matricule!")</f>
        <v>0</v>
      </c>
      <c r="L32" s="62" t="e">
        <f>VLOOKUP(Tableau242[[#This Row],[Company number]],#REF!,25,FALSE)</f>
        <v>#REF!</v>
      </c>
      <c r="M32" s="62" t="str">
        <f>IFERROR(VLOOKUP(Tableau242[[#This Row],[Company number]],#REF!,30,FALSE),"")</f>
        <v/>
      </c>
      <c r="N32" s="62" t="str">
        <f>IFERROR(VLOOKUP(Tableau242[[#This Row],[Company number]],#REF!,31,FALSE),"")</f>
        <v/>
      </c>
      <c r="O32" s="62" t="str">
        <f>IFERROR(VLOOKUP(Tableau242[[#This Row],[Company number]],#REF!,32,FALSE),"")</f>
        <v/>
      </c>
      <c r="P32" s="62">
        <f>IFERROR(VLOOKUP(B32,Tableau3[#All],5,FALSE),"Matricule!")</f>
        <v>20</v>
      </c>
      <c r="Q32" s="62">
        <f>IFERROR(SUM(VLOOKUP(B32,Tableau3[#All],6,FALSE),VLOOKUP(B32,Tableau3[#All],8,FALSE)),"Matricule!")</f>
        <v>0</v>
      </c>
      <c r="R32" s="62">
        <f>IFERROR(VLOOKUP(B32,Tableau3[#All],7,FALSE),"Matricule!")</f>
        <v>0</v>
      </c>
      <c r="S32" s="62">
        <f>IFERROR(Tableau242[[#This Row],[Prod. days WK]]-Tableau242[[#This Row],[Prod PXX]],"Matricule")</f>
        <v>0</v>
      </c>
      <c r="T32" s="62">
        <f>IFERROR(Tableau242[[#This Row],[Non prod. days WK]]-Tableau242[[#This Row],[Improd PXX]],"Matricule")</f>
        <v>0</v>
      </c>
      <c r="U32" s="62">
        <f>IFERROR(Tableau242[[#This Row],[Paid leave days WK]]-Tableau242[[#This Row],[Congé PXX]],"Matricule")</f>
        <v>0</v>
      </c>
      <c r="V32" s="63">
        <f>IFERROR(VLOOKUP($B32,#REF!,4,FALSE),0)</f>
        <v>0</v>
      </c>
      <c r="W3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2" s="63">
        <f>IF(AND(Tableau242[[#This Row],[Paid leave days]]&gt;0,Tableau242[[#This Row],[Prod. days]]&lt;0),MIN(Tableau242[[#This Row],[Paid leave days]],-Tableau242[[#This Row],[Prod. days]]),0)</f>
        <v>0</v>
      </c>
      <c r="Z32" s="63">
        <f>IFERROR(_xlfn.XLOOKUP(Tableau242[[#This Row],[Consultant]],Tableau2[Collaborateur/Nom affiché],Tableau2[Montant imputé],0),0)</f>
        <v>0</v>
      </c>
      <c r="AA32" s="64">
        <f t="shared" si="1"/>
        <v>0</v>
      </c>
      <c r="AB32" s="78"/>
      <c r="AC32" s="67"/>
      <c r="AD32" s="67"/>
      <c r="AE32" s="67"/>
      <c r="AF32" s="92"/>
    </row>
    <row r="33" spans="1:32" ht="15" customHeight="1">
      <c r="A33" s="15">
        <f>Tableau242[[#This Row],[Company number]]+0</f>
        <v>21679</v>
      </c>
      <c r="B33" s="60" t="s">
        <v>194</v>
      </c>
      <c r="C33" s="61" t="s">
        <v>195</v>
      </c>
      <c r="D33" s="61" t="s">
        <v>47</v>
      </c>
      <c r="E33" s="62" t="str">
        <f>IFERROR(VLOOKUP(Tableau242[[#This Row],[Manager ou CDM concerné]],Parametres!B:C,2,FALSE),"")</f>
        <v>Squad D</v>
      </c>
      <c r="F33" s="62" t="str">
        <f>IF(Tableau242[[#This Row],[Consultant]]=Tableau242[[#This Row],[Manager ou CDM concerné]],"Non",IF(IFERROR(VLOOKUP(Tableau242[[#This Row],[Consultant]],Parametres!B:C,2,FALSE),0)=0,"Non","Oui"))</f>
        <v>Non</v>
      </c>
      <c r="G33" s="62">
        <f>IFERROR(VLOOKUP(B33,Tableau5[#All],4,FALSE),"Matricule!")</f>
        <v>17</v>
      </c>
      <c r="H33" s="62" t="str">
        <f>IFERROR(VLOOKUP(Tableau242[[#This Row],[Company number]],#REF!,6,FALSE),"")</f>
        <v/>
      </c>
      <c r="I33" s="62">
        <f>IFERROR(VLOOKUP(B33,Tableau5[#All],5,FALSE),"Matricule!")</f>
        <v>0</v>
      </c>
      <c r="J33" s="62">
        <f>IFERROR(VLOOKUP(B33,Tableau5[#All],6,FALSE),"Matricule!")</f>
        <v>3</v>
      </c>
      <c r="K33" s="62">
        <f>IFERROR(VLOOKUP(B33,Tableau5[#All],7,FALSE),"Matricule!")</f>
        <v>0</v>
      </c>
      <c r="L33" s="62" t="e">
        <f>VLOOKUP(Tableau242[[#This Row],[Company number]],#REF!,25,FALSE)</f>
        <v>#REF!</v>
      </c>
      <c r="M33" s="62" t="str">
        <f>IFERROR(VLOOKUP(Tableau242[[#This Row],[Company number]],#REF!,30,FALSE),"")</f>
        <v/>
      </c>
      <c r="N33" s="62" t="str">
        <f>IFERROR(VLOOKUP(Tableau242[[#This Row],[Company number]],#REF!,31,FALSE),"")</f>
        <v/>
      </c>
      <c r="O33" s="62" t="str">
        <f>IFERROR(VLOOKUP(Tableau242[[#This Row],[Company number]],#REF!,32,FALSE),"")</f>
        <v/>
      </c>
      <c r="P33" s="62">
        <f>IFERROR(VLOOKUP(B33,Tableau3[#All],5,FALSE),"Matricule!")</f>
        <v>17</v>
      </c>
      <c r="Q33" s="62">
        <f>IFERROR(SUM(VLOOKUP(B33,Tableau3[#All],6,FALSE),VLOOKUP(B33,Tableau3[#All],8,FALSE)),"Matricule!")</f>
        <v>0</v>
      </c>
      <c r="R33" s="62">
        <f>IFERROR(VLOOKUP(B33,Tableau3[#All],7,FALSE),"Matricule!")</f>
        <v>3</v>
      </c>
      <c r="S33" s="62">
        <f>IFERROR(Tableau242[[#This Row],[Prod. days WK]]-Tableau242[[#This Row],[Prod PXX]],"Matricule")</f>
        <v>0</v>
      </c>
      <c r="T33" s="62">
        <f>IFERROR(Tableau242[[#This Row],[Non prod. days WK]]-Tableau242[[#This Row],[Improd PXX]],"Matricule")</f>
        <v>0</v>
      </c>
      <c r="U33" s="62">
        <f>IFERROR(Tableau242[[#This Row],[Paid leave days WK]]-Tableau242[[#This Row],[Congé PXX]],"Matricule")</f>
        <v>0</v>
      </c>
      <c r="V33" s="63">
        <f>IFERROR(VLOOKUP($B33,#REF!,4,FALSE),0)</f>
        <v>0</v>
      </c>
      <c r="W3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3" s="63">
        <f>IF(AND(Tableau242[[#This Row],[Paid leave days]]&gt;0,Tableau242[[#This Row],[Prod. days]]&lt;0),MIN(Tableau242[[#This Row],[Paid leave days]],-Tableau242[[#This Row],[Prod. days]]),0)</f>
        <v>0</v>
      </c>
      <c r="Z33" s="63">
        <f>IFERROR(_xlfn.XLOOKUP(Tableau242[[#This Row],[Consultant]],Tableau2[Collaborateur/Nom affiché],Tableau2[Montant imputé],0),0)</f>
        <v>0</v>
      </c>
      <c r="AA33" s="64">
        <f t="shared" si="1"/>
        <v>0</v>
      </c>
      <c r="AB33" s="65"/>
      <c r="AC33" s="66"/>
      <c r="AD33" s="66"/>
      <c r="AE33" s="66"/>
      <c r="AF33" s="90"/>
    </row>
    <row r="34" spans="1:32">
      <c r="A34" s="15">
        <f>Tableau242[[#This Row],[Company number]]+0</f>
        <v>16288</v>
      </c>
      <c r="B34" s="60" t="s">
        <v>196</v>
      </c>
      <c r="C34" s="112" t="s">
        <v>197</v>
      </c>
      <c r="D34" s="61" t="s">
        <v>32</v>
      </c>
      <c r="E34" s="62" t="str">
        <f>IFERROR(VLOOKUP(Tableau242[[#This Row],[Manager ou CDM concerné]],Parametres!B:C,2,FALSE),"")</f>
        <v>Squad D</v>
      </c>
      <c r="F34" s="62" t="str">
        <f>IF(Tableau242[[#This Row],[Consultant]]=Tableau242[[#This Row],[Manager ou CDM concerné]],"Non",IF(IFERROR(VLOOKUP(Tableau242[[#This Row],[Consultant]],Parametres!B:C,2,FALSE),0)=0,"Non","Oui"))</f>
        <v>Non</v>
      </c>
      <c r="G34" s="62">
        <f>IFERROR(VLOOKUP(B34,Tableau5[#All],4,FALSE),"Matricule!")</f>
        <v>5</v>
      </c>
      <c r="H34" s="62" t="str">
        <f>IFERROR(VLOOKUP(Tableau242[[#This Row],[Company number]],#REF!,6,FALSE),"")</f>
        <v/>
      </c>
      <c r="I34" s="62">
        <f>IFERROR(VLOOKUP(B34,Tableau5[#All],5,FALSE),"Matricule!")</f>
        <v>15</v>
      </c>
      <c r="J34" s="62">
        <f>IFERROR(VLOOKUP(B34,Tableau5[#All],6,FALSE),"Matricule!")</f>
        <v>0</v>
      </c>
      <c r="K34" s="62">
        <f>IFERROR(VLOOKUP(B34,Tableau5[#All],7,FALSE),"Matricule!")</f>
        <v>0</v>
      </c>
      <c r="L34" s="62" t="e">
        <f>VLOOKUP(Tableau242[[#This Row],[Company number]],#REF!,25,FALSE)</f>
        <v>#REF!</v>
      </c>
      <c r="M34" s="62" t="str">
        <f>IFERROR(VLOOKUP(Tableau242[[#This Row],[Company number]],#REF!,30,FALSE),"")</f>
        <v/>
      </c>
      <c r="N34" s="62" t="str">
        <f>IFERROR(VLOOKUP(Tableau242[[#This Row],[Company number]],#REF!,31,FALSE),"")</f>
        <v/>
      </c>
      <c r="O34" s="62" t="str">
        <f>IFERROR(VLOOKUP(Tableau242[[#This Row],[Company number]],#REF!,32,FALSE),"")</f>
        <v/>
      </c>
      <c r="P34" s="62">
        <f>IFERROR(VLOOKUP(B34,Tableau3[#All],5,FALSE),"Matricule!")</f>
        <v>15</v>
      </c>
      <c r="Q34" s="62">
        <f>IFERROR(SUM(VLOOKUP(B34,Tableau3[#All],6,FALSE),VLOOKUP(B34,Tableau3[#All],8,FALSE)),"Matricule!")</f>
        <v>5</v>
      </c>
      <c r="R34" s="62">
        <f>IFERROR(VLOOKUP(B34,Tableau3[#All],7,FALSE),"Matricule!")</f>
        <v>0</v>
      </c>
      <c r="S34" s="62">
        <f>IFERROR(Tableau242[[#This Row],[Prod. days WK]]-Tableau242[[#This Row],[Prod PXX]],"Matricule")</f>
        <v>-10</v>
      </c>
      <c r="T34" s="62">
        <f>IFERROR(Tableau242[[#This Row],[Non prod. days WK]]-Tableau242[[#This Row],[Improd PXX]],"Matricule")</f>
        <v>10</v>
      </c>
      <c r="U34" s="62">
        <f>IFERROR(Tableau242[[#This Row],[Paid leave days WK]]-Tableau242[[#This Row],[Congé PXX]],"Matricule")</f>
        <v>0</v>
      </c>
      <c r="V34" s="63">
        <f>IFERROR(VLOOKUP($B34,#REF!,4,FALSE),0)</f>
        <v>0</v>
      </c>
      <c r="W3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4" s="63">
        <f>IF(AND(Tableau242[[#This Row],[Paid leave days]]&gt;0,Tableau242[[#This Row],[Prod. days]]&lt;0),MIN(Tableau242[[#This Row],[Paid leave days]],-Tableau242[[#This Row],[Prod. days]]),0)</f>
        <v>0</v>
      </c>
      <c r="Z34" s="63">
        <f>IFERROR(_xlfn.XLOOKUP(Tableau242[[#This Row],[Consultant]],Tableau2[Collaborateur/Nom affiché],Tableau2[Montant imputé],0),0)</f>
        <v>0</v>
      </c>
      <c r="AA34" s="64">
        <f t="shared" si="1"/>
        <v>-10</v>
      </c>
      <c r="AB34" s="65" t="s">
        <v>154</v>
      </c>
      <c r="AC34" s="66"/>
      <c r="AD34" s="66"/>
      <c r="AE34" s="105"/>
      <c r="AF34" s="90" t="s">
        <v>198</v>
      </c>
    </row>
    <row r="35" spans="1:32">
      <c r="A35" s="15">
        <f>Tableau242[[#This Row],[Company number]]+0</f>
        <v>16959</v>
      </c>
      <c r="B35" s="60" t="s">
        <v>199</v>
      </c>
      <c r="C35" s="61" t="s">
        <v>200</v>
      </c>
      <c r="D35" s="61" t="s">
        <v>11</v>
      </c>
      <c r="E35" s="62" t="str">
        <f>IFERROR(VLOOKUP(Tableau242[[#This Row],[Manager ou CDM concerné]],Parametres!B:C,2,FALSE),"")</f>
        <v>Squad A</v>
      </c>
      <c r="F35" s="62" t="str">
        <f>IF(Tableau242[[#This Row],[Consultant]]=Tableau242[[#This Row],[Manager ou CDM concerné]],"Non",IF(IFERROR(VLOOKUP(Tableau242[[#This Row],[Consultant]],Parametres!B:C,2,FALSE),0)=0,"Non","Oui"))</f>
        <v>Non</v>
      </c>
      <c r="G35" s="62">
        <f>IFERROR(VLOOKUP(B35,Tableau5[#All],4,FALSE),"Matricule!")</f>
        <v>19</v>
      </c>
      <c r="H35" s="62" t="str">
        <f>IFERROR(VLOOKUP(Tableau242[[#This Row],[Company number]],#REF!,6,FALSE),"")</f>
        <v/>
      </c>
      <c r="I35" s="62">
        <f>IFERROR(VLOOKUP(B35,Tableau5[#All],5,FALSE),"Matricule!")</f>
        <v>0</v>
      </c>
      <c r="J35" s="62">
        <f>IFERROR(VLOOKUP(B35,Tableau5[#All],6,FALSE),"Matricule!")</f>
        <v>1</v>
      </c>
      <c r="K35" s="62">
        <f>IFERROR(VLOOKUP(B35,Tableau5[#All],7,FALSE),"Matricule!")</f>
        <v>0</v>
      </c>
      <c r="L35" s="62" t="e">
        <f>VLOOKUP(Tableau242[[#This Row],[Company number]],#REF!,25,FALSE)</f>
        <v>#REF!</v>
      </c>
      <c r="M35" s="62" t="str">
        <f>IFERROR(VLOOKUP(Tableau242[[#This Row],[Company number]],#REF!,30,FALSE),"")</f>
        <v/>
      </c>
      <c r="N35" s="62" t="str">
        <f>IFERROR(VLOOKUP(Tableau242[[#This Row],[Company number]],#REF!,31,FALSE),"")</f>
        <v/>
      </c>
      <c r="O35" s="62" t="str">
        <f>IFERROR(VLOOKUP(Tableau242[[#This Row],[Company number]],#REF!,32,FALSE),"")</f>
        <v/>
      </c>
      <c r="P35" s="62">
        <f>IFERROR(VLOOKUP(B35,Tableau3[#All],5,FALSE),"Matricule!")</f>
        <v>19</v>
      </c>
      <c r="Q35" s="62">
        <f>IFERROR(SUM(VLOOKUP(B35,Tableau3[#All],6,FALSE),VLOOKUP(B35,Tableau3[#All],8,FALSE)),"Matricule!")</f>
        <v>0</v>
      </c>
      <c r="R35" s="62">
        <f>IFERROR(VLOOKUP(B35,Tableau3[#All],7,FALSE),"Matricule!")</f>
        <v>1</v>
      </c>
      <c r="S35" s="62">
        <f>IFERROR(Tableau242[[#This Row],[Prod. days WK]]-Tableau242[[#This Row],[Prod PXX]],"Matricule")</f>
        <v>0</v>
      </c>
      <c r="T35" s="62">
        <f>IFERROR(Tableau242[[#This Row],[Non prod. days WK]]-Tableau242[[#This Row],[Improd PXX]],"Matricule")</f>
        <v>0</v>
      </c>
      <c r="U35" s="62">
        <f>IFERROR(Tableau242[[#This Row],[Paid leave days WK]]-Tableau242[[#This Row],[Congé PXX]],"Matricule")</f>
        <v>0</v>
      </c>
      <c r="V35" s="63">
        <f>IFERROR(VLOOKUP($B35,#REF!,4,FALSE),0)</f>
        <v>0</v>
      </c>
      <c r="W3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5" s="63">
        <f>IF(AND(Tableau242[[#This Row],[Paid leave days]]&gt;0,Tableau242[[#This Row],[Prod. days]]&lt;0),MIN(Tableau242[[#This Row],[Paid leave days]],-Tableau242[[#This Row],[Prod. days]]),0)</f>
        <v>0</v>
      </c>
      <c r="Z35" s="63">
        <f>IFERROR(_xlfn.XLOOKUP(Tableau242[[#This Row],[Consultant]],Tableau2[Collaborateur/Nom affiché],Tableau2[Montant imputé],0),0)</f>
        <v>0</v>
      </c>
      <c r="AA35" s="64">
        <f t="shared" si="1"/>
        <v>0</v>
      </c>
      <c r="AB35" s="65"/>
      <c r="AC35" s="66"/>
      <c r="AD35" s="66"/>
      <c r="AE35" s="66"/>
      <c r="AF35" s="90"/>
    </row>
    <row r="36" spans="1:32">
      <c r="A36" s="15">
        <f>Tableau242[[#This Row],[Company number]]+0</f>
        <v>17016</v>
      </c>
      <c r="B36" s="60" t="s">
        <v>201</v>
      </c>
      <c r="C36" s="61" t="s">
        <v>202</v>
      </c>
      <c r="D36" s="61" t="s">
        <v>11</v>
      </c>
      <c r="E36" s="62" t="str">
        <f>IFERROR(VLOOKUP(Tableau242[[#This Row],[Manager ou CDM concerné]],Parametres!B:C,2,FALSE),"")</f>
        <v>Squad A</v>
      </c>
      <c r="F36" s="62" t="str">
        <f>IF(Tableau242[[#This Row],[Consultant]]=Tableau242[[#This Row],[Manager ou CDM concerné]],"Non",IF(IFERROR(VLOOKUP(Tableau242[[#This Row],[Consultant]],Parametres!B:C,2,FALSE),0)=0,"Non","Oui"))</f>
        <v>Non</v>
      </c>
      <c r="G36" s="62">
        <f>IFERROR(VLOOKUP(B36,Tableau5[#All],4,FALSE),"Matricule!")</f>
        <v>20</v>
      </c>
      <c r="H36" s="62" t="str">
        <f>IFERROR(VLOOKUP(Tableau242[[#This Row],[Company number]],#REF!,6,FALSE),"")</f>
        <v/>
      </c>
      <c r="I36" s="62">
        <f>IFERROR(VLOOKUP(B36,Tableau5[#All],5,FALSE),"Matricule!")</f>
        <v>0</v>
      </c>
      <c r="J36" s="62">
        <f>IFERROR(VLOOKUP(B36,Tableau5[#All],6,FALSE),"Matricule!")</f>
        <v>0</v>
      </c>
      <c r="K36" s="62">
        <f>IFERROR(VLOOKUP(B36,Tableau5[#All],7,FALSE),"Matricule!")</f>
        <v>0</v>
      </c>
      <c r="L36" s="62" t="e">
        <f>VLOOKUP(Tableau242[[#This Row],[Company number]],#REF!,25,FALSE)</f>
        <v>#REF!</v>
      </c>
      <c r="M36" s="62" t="str">
        <f>IFERROR(VLOOKUP(Tableau242[[#This Row],[Company number]],#REF!,30,FALSE),"")</f>
        <v/>
      </c>
      <c r="N36" s="62" t="str">
        <f>IFERROR(VLOOKUP(Tableau242[[#This Row],[Company number]],#REF!,31,FALSE),"")</f>
        <v/>
      </c>
      <c r="O36" s="62" t="str">
        <f>IFERROR(VLOOKUP(Tableau242[[#This Row],[Company number]],#REF!,32,FALSE),"")</f>
        <v/>
      </c>
      <c r="P36" s="62">
        <f>IFERROR(VLOOKUP(B36,Tableau3[#All],5,FALSE),"Matricule!")</f>
        <v>20</v>
      </c>
      <c r="Q36" s="62">
        <f>IFERROR(SUM(VLOOKUP(B36,Tableau3[#All],6,FALSE),VLOOKUP(B36,Tableau3[#All],8,FALSE)),"Matricule!")</f>
        <v>0</v>
      </c>
      <c r="R36" s="62">
        <f>IFERROR(VLOOKUP(B36,Tableau3[#All],7,FALSE),"Matricule!")</f>
        <v>0</v>
      </c>
      <c r="S36" s="62">
        <f>IFERROR(Tableau242[[#This Row],[Prod. days WK]]-Tableau242[[#This Row],[Prod PXX]],"Matricule")</f>
        <v>0</v>
      </c>
      <c r="T36" s="62">
        <f>IFERROR(Tableau242[[#This Row],[Non prod. days WK]]-Tableau242[[#This Row],[Improd PXX]],"Matricule")</f>
        <v>0</v>
      </c>
      <c r="U36" s="62">
        <f>IFERROR(Tableau242[[#This Row],[Paid leave days WK]]-Tableau242[[#This Row],[Congé PXX]],"Matricule")</f>
        <v>0</v>
      </c>
      <c r="V36" s="63">
        <f>IFERROR(VLOOKUP($B36,#REF!,4,FALSE),0)</f>
        <v>0</v>
      </c>
      <c r="W3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6" s="63">
        <f>IF(AND(Tableau242[[#This Row],[Paid leave days]]&gt;0,Tableau242[[#This Row],[Prod. days]]&lt;0),MIN(Tableau242[[#This Row],[Paid leave days]],-Tableau242[[#This Row],[Prod. days]]),0)</f>
        <v>0</v>
      </c>
      <c r="Z36" s="63">
        <f>IFERROR(_xlfn.XLOOKUP(Tableau242[[#This Row],[Consultant]],Tableau2[Collaborateur/Nom affiché],Tableau2[Montant imputé],0),0)</f>
        <v>0</v>
      </c>
      <c r="AA36" s="64">
        <f t="shared" si="1"/>
        <v>0</v>
      </c>
      <c r="AB36" s="65"/>
      <c r="AC36" s="66"/>
      <c r="AD36" s="66"/>
      <c r="AE36" s="66"/>
      <c r="AF36" s="90"/>
    </row>
    <row r="37" spans="1:32">
      <c r="A37" s="15">
        <f>Tableau242[[#This Row],[Company number]]+0</f>
        <v>17847</v>
      </c>
      <c r="B37" s="60" t="s">
        <v>203</v>
      </c>
      <c r="C37" s="61" t="s">
        <v>204</v>
      </c>
      <c r="D37" s="61" t="s">
        <v>11</v>
      </c>
      <c r="E37" s="62" t="str">
        <f>IFERROR(VLOOKUP(Tableau242[[#This Row],[Manager ou CDM concerné]],Parametres!B:C,2,FALSE),"")</f>
        <v>Squad A</v>
      </c>
      <c r="F37" s="62" t="str">
        <f>IF(Tableau242[[#This Row],[Consultant]]=Tableau242[[#This Row],[Manager ou CDM concerné]],"Non",IF(IFERROR(VLOOKUP(Tableau242[[#This Row],[Consultant]],Parametres!B:C,2,FALSE),0)=0,"Non","Oui"))</f>
        <v>Non</v>
      </c>
      <c r="G37" s="62">
        <f>IFERROR(VLOOKUP(B37,Tableau5[#All],4,FALSE),"Matricule!")</f>
        <v>0</v>
      </c>
      <c r="H37" s="62" t="str">
        <f>IFERROR(VLOOKUP(Tableau242[[#This Row],[Company number]],#REF!,6,FALSE),"")</f>
        <v/>
      </c>
      <c r="I37" s="62">
        <f>IFERROR(VLOOKUP(B37,Tableau5[#All],5,FALSE),"Matricule!")</f>
        <v>18</v>
      </c>
      <c r="J37" s="62">
        <f>IFERROR(VLOOKUP(B37,Tableau5[#All],6,FALSE),"Matricule!")</f>
        <v>2</v>
      </c>
      <c r="K37" s="62">
        <f>IFERROR(VLOOKUP(B37,Tableau5[#All],7,FALSE),"Matricule!")</f>
        <v>0</v>
      </c>
      <c r="L37" s="62" t="e">
        <f>VLOOKUP(Tableau242[[#This Row],[Company number]],#REF!,25,FALSE)</f>
        <v>#REF!</v>
      </c>
      <c r="M37" s="62" t="str">
        <f>IFERROR(VLOOKUP(Tableau242[[#This Row],[Company number]],#REF!,30,FALSE),"")</f>
        <v/>
      </c>
      <c r="N37" s="62" t="str">
        <f>IFERROR(VLOOKUP(Tableau242[[#This Row],[Company number]],#REF!,31,FALSE),"")</f>
        <v/>
      </c>
      <c r="O37" s="62" t="str">
        <f>IFERROR(VLOOKUP(Tableau242[[#This Row],[Company number]],#REF!,32,FALSE),"")</f>
        <v/>
      </c>
      <c r="P37" s="68">
        <f>IFERROR(VLOOKUP(B37,Tableau3[#All],5,FALSE),"Matricule!")</f>
        <v>0</v>
      </c>
      <c r="Q37" s="68">
        <f>IFERROR(SUM(VLOOKUP(B37,Tableau3[#All],6,FALSE),VLOOKUP(B37,Tableau3[#All],8,FALSE)),"Matricule!")</f>
        <v>18</v>
      </c>
      <c r="R37" s="68">
        <f>IFERROR(VLOOKUP(B37,Tableau3[#All],7,FALSE),"Matricule!")</f>
        <v>2</v>
      </c>
      <c r="S37" s="62">
        <f>IFERROR(Tableau242[[#This Row],[Prod. days WK]]-Tableau242[[#This Row],[Prod PXX]],"Matricule")</f>
        <v>0</v>
      </c>
      <c r="T37" s="62">
        <f>IFERROR(Tableau242[[#This Row],[Non prod. days WK]]-Tableau242[[#This Row],[Improd PXX]],"Matricule")</f>
        <v>0</v>
      </c>
      <c r="U37" s="62">
        <f>IFERROR(Tableau242[[#This Row],[Paid leave days WK]]-Tableau242[[#This Row],[Congé PXX]],"Matricule")</f>
        <v>0</v>
      </c>
      <c r="V37" s="63">
        <f>IFERROR(VLOOKUP($B37,#REF!,4,FALSE),0)</f>
        <v>0</v>
      </c>
      <c r="W3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7" s="63">
        <f>IF(AND(Tableau242[[#This Row],[Paid leave days]]&gt;0,Tableau242[[#This Row],[Prod. days]]&lt;0),MIN(Tableau242[[#This Row],[Paid leave days]],-Tableau242[[#This Row],[Prod. days]]),0)</f>
        <v>0</v>
      </c>
      <c r="Z37" s="63">
        <f>IFERROR(_xlfn.XLOOKUP(Tableau242[[#This Row],[Consultant]],Tableau2[Collaborateur/Nom affiché],Tableau2[Montant imputé],0),0)</f>
        <v>0</v>
      </c>
      <c r="AA37" s="64">
        <f t="shared" si="1"/>
        <v>0</v>
      </c>
      <c r="AB37" s="65"/>
      <c r="AC37" s="66"/>
      <c r="AD37" s="66"/>
      <c r="AE37" s="66"/>
      <c r="AF37" s="90"/>
    </row>
    <row r="38" spans="1:32" ht="18.75" customHeight="1">
      <c r="A38" s="15">
        <f>Tableau242[[#This Row],[Company number]]+0</f>
        <v>21715</v>
      </c>
      <c r="B38" s="60" t="s">
        <v>205</v>
      </c>
      <c r="C38" s="61" t="s">
        <v>206</v>
      </c>
      <c r="D38" s="61" t="s">
        <v>11</v>
      </c>
      <c r="E38" s="62" t="str">
        <f>IFERROR(VLOOKUP(Tableau242[[#This Row],[Manager ou CDM concerné]],Parametres!B:C,2,FALSE),"")</f>
        <v>Squad A</v>
      </c>
      <c r="F38" s="62" t="str">
        <f>IF(Tableau242[[#This Row],[Consultant]]=Tableau242[[#This Row],[Manager ou CDM concerné]],"Non",IF(IFERROR(VLOOKUP(Tableau242[[#This Row],[Consultant]],Parametres!B:C,2,FALSE),0)=0,"Non","Oui"))</f>
        <v>Non</v>
      </c>
      <c r="G38" s="62">
        <f>IFERROR(VLOOKUP(B38,Tableau5[#All],4,FALSE),"Matricule!")</f>
        <v>19</v>
      </c>
      <c r="H38" s="62" t="str">
        <f>IFERROR(VLOOKUP(Tableau242[[#This Row],[Company number]],#REF!,6,FALSE),"")</f>
        <v/>
      </c>
      <c r="I38" s="62">
        <f>IFERROR(VLOOKUP(B38,Tableau5[#All],5,FALSE),"Matricule!")</f>
        <v>0</v>
      </c>
      <c r="J38" s="62">
        <f>IFERROR(VLOOKUP(B38,Tableau5[#All],6,FALSE),"Matricule!")</f>
        <v>1</v>
      </c>
      <c r="K38" s="62">
        <f>IFERROR(VLOOKUP(B38,Tableau5[#All],7,FALSE),"Matricule!")</f>
        <v>0</v>
      </c>
      <c r="L38" s="62" t="e">
        <f>VLOOKUP(Tableau242[[#This Row],[Company number]],#REF!,25,FALSE)</f>
        <v>#REF!</v>
      </c>
      <c r="M38" s="62" t="str">
        <f>IFERROR(VLOOKUP(Tableau242[[#This Row],[Company number]],#REF!,30,FALSE),"")</f>
        <v/>
      </c>
      <c r="N38" s="62" t="str">
        <f>IFERROR(VLOOKUP(Tableau242[[#This Row],[Company number]],#REF!,31,FALSE),"")</f>
        <v/>
      </c>
      <c r="O38" s="62" t="str">
        <f>IFERROR(VLOOKUP(Tableau242[[#This Row],[Company number]],#REF!,32,FALSE),"")</f>
        <v/>
      </c>
      <c r="P38" s="62">
        <f>IFERROR(VLOOKUP(B38,Tableau3[#All],5,FALSE),"Matricule!")</f>
        <v>19</v>
      </c>
      <c r="Q38" s="62">
        <f>IFERROR(SUM(VLOOKUP(B38,Tableau3[#All],6,FALSE),VLOOKUP(B38,Tableau3[#All],8,FALSE)),"Matricule!")</f>
        <v>0</v>
      </c>
      <c r="R38" s="62">
        <f>IFERROR(VLOOKUP(B38,Tableau3[#All],7,FALSE),"Matricule!")</f>
        <v>1</v>
      </c>
      <c r="S38" s="62">
        <f>IFERROR(Tableau242[[#This Row],[Prod. days WK]]-Tableau242[[#This Row],[Prod PXX]],"Matricule")</f>
        <v>0</v>
      </c>
      <c r="T38" s="62">
        <f>IFERROR(Tableau242[[#This Row],[Non prod. days WK]]-Tableau242[[#This Row],[Improd PXX]],"Matricule")</f>
        <v>0</v>
      </c>
      <c r="U38" s="62">
        <f>IFERROR(Tableau242[[#This Row],[Paid leave days WK]]-Tableau242[[#This Row],[Congé PXX]],"Matricule")</f>
        <v>0</v>
      </c>
      <c r="V38" s="63">
        <f>IFERROR(VLOOKUP($B38,#REF!,4,FALSE),0)</f>
        <v>0</v>
      </c>
      <c r="W3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8" s="63">
        <f>IF(AND(Tableau242[[#This Row],[Paid leave days]]&gt;0,Tableau242[[#This Row],[Prod. days]]&lt;0),MIN(Tableau242[[#This Row],[Paid leave days]],-Tableau242[[#This Row],[Prod. days]]),0)</f>
        <v>0</v>
      </c>
      <c r="Z38" s="63">
        <f>IFERROR(_xlfn.XLOOKUP(Tableau242[[#This Row],[Consultant]],Tableau2[Collaborateur/Nom affiché],Tableau2[Montant imputé],0),0)</f>
        <v>0</v>
      </c>
      <c r="AA38" s="64">
        <f t="shared" si="1"/>
        <v>0</v>
      </c>
      <c r="AB38" s="65"/>
      <c r="AC38" s="66"/>
      <c r="AD38" s="66"/>
      <c r="AE38" s="105"/>
      <c r="AF38" s="90"/>
    </row>
    <row r="39" spans="1:32">
      <c r="A39" s="15">
        <f>Tableau242[[#This Row],[Company number]]+0</f>
        <v>17063</v>
      </c>
      <c r="B39" s="60" t="s">
        <v>207</v>
      </c>
      <c r="C39" s="61" t="s">
        <v>208</v>
      </c>
      <c r="D39" s="61" t="s">
        <v>11</v>
      </c>
      <c r="E39" s="62" t="str">
        <f>IFERROR(VLOOKUP(Tableau242[[#This Row],[Manager ou CDM concerné]],Parametres!B:C,2,FALSE),"")</f>
        <v>Squad A</v>
      </c>
      <c r="F39" s="62" t="str">
        <f>IF(Tableau242[[#This Row],[Consultant]]=Tableau242[[#This Row],[Manager ou CDM concerné]],"Non",IF(IFERROR(VLOOKUP(Tableau242[[#This Row],[Consultant]],Parametres!B:C,2,FALSE),0)=0,"Non","Oui"))</f>
        <v>Non</v>
      </c>
      <c r="G39" s="62">
        <f>IFERROR(VLOOKUP(B39,Tableau5[#All],4,FALSE),"Matricule!")</f>
        <v>18</v>
      </c>
      <c r="H39" s="62" t="str">
        <f>IFERROR(VLOOKUP(Tableau242[[#This Row],[Company number]],#REF!,6,FALSE),"")</f>
        <v/>
      </c>
      <c r="I39" s="62">
        <f>IFERROR(VLOOKUP(B39,Tableau5[#All],5,FALSE),"Matricule!")</f>
        <v>0</v>
      </c>
      <c r="J39" s="62">
        <f>IFERROR(VLOOKUP(B39,Tableau5[#All],6,FALSE),"Matricule!")</f>
        <v>2</v>
      </c>
      <c r="K39" s="62">
        <f>IFERROR(VLOOKUP(B39,Tableau5[#All],7,FALSE),"Matricule!")</f>
        <v>0</v>
      </c>
      <c r="L39" s="62" t="e">
        <f>VLOOKUP(Tableau242[[#This Row],[Company number]],#REF!,25,FALSE)</f>
        <v>#REF!</v>
      </c>
      <c r="M39" s="62" t="str">
        <f>IFERROR(VLOOKUP(Tableau242[[#This Row],[Company number]],#REF!,30,FALSE),"")</f>
        <v/>
      </c>
      <c r="N39" s="62" t="str">
        <f>IFERROR(VLOOKUP(Tableau242[[#This Row],[Company number]],#REF!,31,FALSE),"")</f>
        <v/>
      </c>
      <c r="O39" s="62" t="str">
        <f>IFERROR(VLOOKUP(Tableau242[[#This Row],[Company number]],#REF!,32,FALSE),"")</f>
        <v/>
      </c>
      <c r="P39" s="62">
        <f>IFERROR(VLOOKUP(B39,Tableau3[#All],5,FALSE),"Matricule!")</f>
        <v>18</v>
      </c>
      <c r="Q39" s="62">
        <f>IFERROR(SUM(VLOOKUP(B39,Tableau3[#All],6,FALSE),VLOOKUP(B39,Tableau3[#All],8,FALSE)),"Matricule!")</f>
        <v>0</v>
      </c>
      <c r="R39" s="62">
        <f>IFERROR(VLOOKUP(B39,Tableau3[#All],7,FALSE),"Matricule!")</f>
        <v>2</v>
      </c>
      <c r="S39" s="62">
        <f>IFERROR(Tableau242[[#This Row],[Prod. days WK]]-Tableau242[[#This Row],[Prod PXX]],"Matricule")</f>
        <v>0</v>
      </c>
      <c r="T39" s="62">
        <f>IFERROR(Tableau242[[#This Row],[Non prod. days WK]]-Tableau242[[#This Row],[Improd PXX]],"Matricule")</f>
        <v>0</v>
      </c>
      <c r="U39" s="62">
        <f>IFERROR(Tableau242[[#This Row],[Paid leave days WK]]-Tableau242[[#This Row],[Congé PXX]],"Matricule")</f>
        <v>0</v>
      </c>
      <c r="V39" s="63">
        <f>IFERROR(VLOOKUP($B39,#REF!,4,FALSE),0)</f>
        <v>0</v>
      </c>
      <c r="W3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" s="63">
        <f>IF(AND(Tableau242[[#This Row],[Paid leave days]]&gt;0,Tableau242[[#This Row],[Prod. days]]&lt;0),MIN(Tableau242[[#This Row],[Paid leave days]],-Tableau242[[#This Row],[Prod. days]]),0)</f>
        <v>0</v>
      </c>
      <c r="Z39" s="63">
        <f>IFERROR(_xlfn.XLOOKUP(Tableau242[[#This Row],[Consultant]],Tableau2[Collaborateur/Nom affiché],Tableau2[Montant imputé],0),0)</f>
        <v>0</v>
      </c>
      <c r="AA39" s="64">
        <f t="shared" si="1"/>
        <v>0</v>
      </c>
      <c r="AB39" s="65"/>
      <c r="AC39" s="66"/>
      <c r="AD39" s="66"/>
      <c r="AE39" s="66"/>
      <c r="AF39" s="90"/>
    </row>
    <row r="40" spans="1:32">
      <c r="A40" s="15">
        <f>Tableau242[[#This Row],[Company number]]+0</f>
        <v>20675</v>
      </c>
      <c r="B40" s="60" t="s">
        <v>209</v>
      </c>
      <c r="C40" s="61" t="s">
        <v>210</v>
      </c>
      <c r="D40" s="61" t="s">
        <v>11</v>
      </c>
      <c r="E40" s="62" t="str">
        <f>IFERROR(VLOOKUP(Tableau242[[#This Row],[Manager ou CDM concerné]],Parametres!B:C,2,FALSE),"")</f>
        <v>Squad A</v>
      </c>
      <c r="F40" s="62" t="str">
        <f>IF(Tableau242[[#This Row],[Consultant]]=Tableau242[[#This Row],[Manager ou CDM concerné]],"Non",IF(IFERROR(VLOOKUP(Tableau242[[#This Row],[Consultant]],Parametres!B:C,2,FALSE),0)=0,"Non","Oui"))</f>
        <v>Non</v>
      </c>
      <c r="G40" s="62">
        <f>IFERROR(VLOOKUP(B40,Tableau5[#All],4,FALSE),"Matricule!")</f>
        <v>0</v>
      </c>
      <c r="H40" s="62" t="str">
        <f>IFERROR(VLOOKUP(Tableau242[[#This Row],[Company number]],#REF!,6,FALSE),"")</f>
        <v/>
      </c>
      <c r="I40" s="62">
        <f>IFERROR(VLOOKUP(B40,Tableau5[#All],5,FALSE),"Matricule!")</f>
        <v>15</v>
      </c>
      <c r="J40" s="62">
        <f>IFERROR(VLOOKUP(B40,Tableau5[#All],6,FALSE),"Matricule!")</f>
        <v>5</v>
      </c>
      <c r="K40" s="62">
        <f>IFERROR(VLOOKUP(B40,Tableau5[#All],7,FALSE),"Matricule!")</f>
        <v>0</v>
      </c>
      <c r="L40" s="62" t="e">
        <f>VLOOKUP(Tableau242[[#This Row],[Company number]],#REF!,25,FALSE)</f>
        <v>#REF!</v>
      </c>
      <c r="M40" s="62" t="str">
        <f>IFERROR(VLOOKUP(Tableau242[[#This Row],[Company number]],#REF!,30,FALSE),"")</f>
        <v/>
      </c>
      <c r="N40" s="62" t="str">
        <f>IFERROR(VLOOKUP(Tableau242[[#This Row],[Company number]],#REF!,31,FALSE),"")</f>
        <v/>
      </c>
      <c r="O40" s="62" t="str">
        <f>IFERROR(VLOOKUP(Tableau242[[#This Row],[Company number]],#REF!,32,FALSE),"")</f>
        <v/>
      </c>
      <c r="P40" s="62">
        <f>IFERROR(VLOOKUP(B40,Tableau3[#All],5,FALSE),"Matricule!")</f>
        <v>0</v>
      </c>
      <c r="Q40" s="62">
        <f>IFERROR(SUM(VLOOKUP(B40,Tableau3[#All],6,FALSE),VLOOKUP(B40,Tableau3[#All],8,FALSE)),"Matricule!")</f>
        <v>15</v>
      </c>
      <c r="R40" s="62">
        <f>IFERROR(VLOOKUP(B40,Tableau3[#All],7,FALSE),"Matricule!")</f>
        <v>5</v>
      </c>
      <c r="S40" s="62">
        <f>IFERROR(Tableau242[[#This Row],[Prod. days WK]]-Tableau242[[#This Row],[Prod PXX]],"Matricule")</f>
        <v>0</v>
      </c>
      <c r="T40" s="62">
        <f>IFERROR(Tableau242[[#This Row],[Non prod. days WK]]-Tableau242[[#This Row],[Improd PXX]],"Matricule")</f>
        <v>0</v>
      </c>
      <c r="U40" s="62">
        <f>IFERROR(Tableau242[[#This Row],[Paid leave days WK]]-Tableau242[[#This Row],[Congé PXX]],"Matricule")</f>
        <v>0</v>
      </c>
      <c r="V40" s="63">
        <f>IFERROR(VLOOKUP($B40,#REF!,4,FALSE),0)</f>
        <v>0</v>
      </c>
      <c r="W4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0" s="63">
        <f>IF(AND(Tableau242[[#This Row],[Paid leave days]]&gt;0,Tableau242[[#This Row],[Prod. days]]&lt;0),MIN(Tableau242[[#This Row],[Paid leave days]],-Tableau242[[#This Row],[Prod. days]]),0)</f>
        <v>0</v>
      </c>
      <c r="Z40" s="63">
        <f>IFERROR(_xlfn.XLOOKUP(Tableau242[[#This Row],[Consultant]],Tableau2[Collaborateur/Nom affiché],Tableau2[Montant imputé],0),0)</f>
        <v>0</v>
      </c>
      <c r="AA40" s="64">
        <f t="shared" si="1"/>
        <v>0</v>
      </c>
      <c r="AB40" s="65"/>
      <c r="AC40" s="66"/>
      <c r="AD40" s="66"/>
      <c r="AE40" s="66"/>
      <c r="AF40" s="90"/>
    </row>
    <row r="41" spans="1:32">
      <c r="A41" s="15">
        <f>Tableau242[[#This Row],[Company number]]+0</f>
        <v>15543</v>
      </c>
      <c r="B41" s="60" t="s">
        <v>211</v>
      </c>
      <c r="C41" s="61" t="s">
        <v>212</v>
      </c>
      <c r="D41" s="61" t="s">
        <v>11</v>
      </c>
      <c r="E41" s="62" t="str">
        <f>IFERROR(VLOOKUP(Tableau242[[#This Row],[Manager ou CDM concerné]],Parametres!B:C,2,FALSE),"")</f>
        <v>Squad A</v>
      </c>
      <c r="F41" s="62" t="str">
        <f>IF(Tableau242[[#This Row],[Consultant]]=Tableau242[[#This Row],[Manager ou CDM concerné]],"Non",IF(IFERROR(VLOOKUP(Tableau242[[#This Row],[Consultant]],Parametres!B:C,2,FALSE),0)=0,"Non","Oui"))</f>
        <v>Non</v>
      </c>
      <c r="G41" s="62">
        <f>IFERROR(VLOOKUP(B41,Tableau5[#All],4,FALSE),"Matricule!")</f>
        <v>0</v>
      </c>
      <c r="H41" s="62" t="str">
        <f>IFERROR(VLOOKUP(Tableau242[[#This Row],[Company number]],#REF!,6,FALSE),"")</f>
        <v/>
      </c>
      <c r="I41" s="62">
        <f>IFERROR(VLOOKUP(B41,Tableau5[#All],5,FALSE),"Matricule!")</f>
        <v>11</v>
      </c>
      <c r="J41" s="62">
        <f>IFERROR(VLOOKUP(B41,Tableau5[#All],6,FALSE),"Matricule!")</f>
        <v>9</v>
      </c>
      <c r="K41" s="62">
        <f>IFERROR(VLOOKUP(B41,Tableau5[#All],7,FALSE),"Matricule!")</f>
        <v>0</v>
      </c>
      <c r="L41" s="62" t="e">
        <f>VLOOKUP(Tableau242[[#This Row],[Company number]],#REF!,25,FALSE)</f>
        <v>#REF!</v>
      </c>
      <c r="M41" s="62" t="str">
        <f>IFERROR(VLOOKUP(Tableau242[[#This Row],[Company number]],#REF!,30,FALSE),"")</f>
        <v/>
      </c>
      <c r="N41" s="62" t="str">
        <f>IFERROR(VLOOKUP(Tableau242[[#This Row],[Company number]],#REF!,31,FALSE),"")</f>
        <v/>
      </c>
      <c r="O41" s="62" t="str">
        <f>IFERROR(VLOOKUP(Tableau242[[#This Row],[Company number]],#REF!,32,FALSE),"")</f>
        <v/>
      </c>
      <c r="P41" s="62">
        <f>IFERROR(VLOOKUP(B41,Tableau3[#All],5,FALSE),"Matricule!")</f>
        <v>0</v>
      </c>
      <c r="Q41" s="62">
        <f>IFERROR(SUM(VLOOKUP(B41,Tableau3[#All],6,FALSE),VLOOKUP(B41,Tableau3[#All],8,FALSE)),"Matricule!")</f>
        <v>11</v>
      </c>
      <c r="R41" s="62">
        <f>IFERROR(VLOOKUP(B41,Tableau3[#All],7,FALSE),"Matricule!")</f>
        <v>9</v>
      </c>
      <c r="S41" s="62">
        <f>IFERROR(Tableau242[[#This Row],[Prod. days WK]]-Tableau242[[#This Row],[Prod PXX]],"Matricule")</f>
        <v>0</v>
      </c>
      <c r="T41" s="62">
        <f>IFERROR(Tableau242[[#This Row],[Non prod. days WK]]-Tableau242[[#This Row],[Improd PXX]],"Matricule")</f>
        <v>0</v>
      </c>
      <c r="U41" s="62">
        <f>IFERROR(Tableau242[[#This Row],[Paid leave days WK]]-Tableau242[[#This Row],[Congé PXX]],"Matricule")</f>
        <v>0</v>
      </c>
      <c r="V41" s="63">
        <f>IFERROR(VLOOKUP($B41,#REF!,4,FALSE),0)</f>
        <v>0</v>
      </c>
      <c r="W4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1" s="63">
        <f>IF(AND(Tableau242[[#This Row],[Paid leave days]]&gt;0,Tableau242[[#This Row],[Prod. days]]&lt;0),MIN(Tableau242[[#This Row],[Paid leave days]],-Tableau242[[#This Row],[Prod. days]]),0)</f>
        <v>0</v>
      </c>
      <c r="Z41" s="63">
        <f>IFERROR(_xlfn.XLOOKUP(Tableau242[[#This Row],[Consultant]],Tableau2[Collaborateur/Nom affiché],Tableau2[Montant imputé],0),0)</f>
        <v>0</v>
      </c>
      <c r="AA41" s="64">
        <f t="shared" si="1"/>
        <v>0</v>
      </c>
      <c r="AB41" s="70"/>
      <c r="AC41" s="67"/>
      <c r="AD41" s="66"/>
      <c r="AE41" s="66"/>
      <c r="AF41" s="93"/>
    </row>
    <row r="42" spans="1:32">
      <c r="A42" s="15">
        <f>Tableau242[[#This Row],[Company number]]+0</f>
        <v>20792</v>
      </c>
      <c r="B42" s="60" t="s">
        <v>213</v>
      </c>
      <c r="C42" s="61" t="s">
        <v>214</v>
      </c>
      <c r="D42" s="61" t="s">
        <v>11</v>
      </c>
      <c r="E42" s="62" t="str">
        <f>IFERROR(VLOOKUP(Tableau242[[#This Row],[Manager ou CDM concerné]],Parametres!B:C,2,FALSE),"")</f>
        <v>Squad A</v>
      </c>
      <c r="F42" s="62" t="str">
        <f>IF(Tableau242[[#This Row],[Consultant]]=Tableau242[[#This Row],[Manager ou CDM concerné]],"Non",IF(IFERROR(VLOOKUP(Tableau242[[#This Row],[Consultant]],Parametres!B:C,2,FALSE),0)=0,"Non","Oui"))</f>
        <v>Non</v>
      </c>
      <c r="G42" s="62">
        <f>IFERROR(VLOOKUP(B42,Tableau5[#All],4,FALSE),"Matricule!")</f>
        <v>18</v>
      </c>
      <c r="H42" s="62" t="str">
        <f>IFERROR(VLOOKUP(Tableau242[[#This Row],[Company number]],#REF!,6,FALSE),"")</f>
        <v/>
      </c>
      <c r="I42" s="62">
        <f>IFERROR(VLOOKUP(B42,Tableau5[#All],5,FALSE),"Matricule!")</f>
        <v>0</v>
      </c>
      <c r="J42" s="62">
        <f>IFERROR(VLOOKUP(B42,Tableau5[#All],6,FALSE),"Matricule!")</f>
        <v>2</v>
      </c>
      <c r="K42" s="62">
        <f>IFERROR(VLOOKUP(B42,Tableau5[#All],7,FALSE),"Matricule!")</f>
        <v>0</v>
      </c>
      <c r="L42" s="62" t="e">
        <f>VLOOKUP(Tableau242[[#This Row],[Company number]],#REF!,25,FALSE)</f>
        <v>#REF!</v>
      </c>
      <c r="M42" s="62" t="str">
        <f>IFERROR(VLOOKUP(Tableau242[[#This Row],[Company number]],#REF!,30,FALSE),"")</f>
        <v/>
      </c>
      <c r="N42" s="62" t="str">
        <f>IFERROR(VLOOKUP(Tableau242[[#This Row],[Company number]],#REF!,31,FALSE),"")</f>
        <v/>
      </c>
      <c r="O42" s="62" t="str">
        <f>IFERROR(VLOOKUP(Tableau242[[#This Row],[Company number]],#REF!,32,FALSE),"")</f>
        <v/>
      </c>
      <c r="P42" s="62">
        <f>IFERROR(VLOOKUP(B42,Tableau3[#All],5,FALSE),"Matricule!")</f>
        <v>18</v>
      </c>
      <c r="Q42" s="62">
        <f>IFERROR(SUM(VLOOKUP(B42,Tableau3[#All],6,FALSE),VLOOKUP(B42,Tableau3[#All],8,FALSE)),"Matricule!")</f>
        <v>0</v>
      </c>
      <c r="R42" s="62">
        <f>IFERROR(VLOOKUP(B42,Tableau3[#All],7,FALSE),"Matricule!")</f>
        <v>2</v>
      </c>
      <c r="S42" s="62">
        <f>IFERROR(Tableau242[[#This Row],[Prod. days WK]]-Tableau242[[#This Row],[Prod PXX]],"Matricule")</f>
        <v>0</v>
      </c>
      <c r="T42" s="62">
        <f>IFERROR(Tableau242[[#This Row],[Non prod. days WK]]-Tableau242[[#This Row],[Improd PXX]],"Matricule")</f>
        <v>0</v>
      </c>
      <c r="U42" s="62">
        <f>IFERROR(Tableau242[[#This Row],[Paid leave days WK]]-Tableau242[[#This Row],[Congé PXX]],"Matricule")</f>
        <v>0</v>
      </c>
      <c r="V42" s="63">
        <f>IFERROR(VLOOKUP($B42,#REF!,4,FALSE),0)</f>
        <v>0</v>
      </c>
      <c r="W4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2" s="63">
        <f>IF(AND(Tableau242[[#This Row],[Paid leave days]]&gt;0,Tableau242[[#This Row],[Prod. days]]&lt;0),MIN(Tableau242[[#This Row],[Paid leave days]],-Tableau242[[#This Row],[Prod. days]]),0)</f>
        <v>0</v>
      </c>
      <c r="Z42" s="63">
        <f>IFERROR(_xlfn.XLOOKUP(Tableau242[[#This Row],[Consultant]],Tableau2[Collaborateur/Nom affiché],Tableau2[Montant imputé],0),0)</f>
        <v>0</v>
      </c>
      <c r="AA42" s="64">
        <f t="shared" si="1"/>
        <v>0</v>
      </c>
      <c r="AB42" s="65"/>
      <c r="AC42" s="67"/>
      <c r="AD42" s="67"/>
      <c r="AE42" s="67"/>
      <c r="AF42" s="92"/>
    </row>
    <row r="43" spans="1:32" ht="14.45" customHeight="1">
      <c r="A43" s="15">
        <f>Tableau242[[#This Row],[Company number]]+0</f>
        <v>21193</v>
      </c>
      <c r="B43" s="60" t="s">
        <v>215</v>
      </c>
      <c r="C43" s="61" t="s">
        <v>216</v>
      </c>
      <c r="D43" s="61" t="s">
        <v>52</v>
      </c>
      <c r="E43" s="62" t="str">
        <f>IFERROR(VLOOKUP(Tableau242[[#This Row],[Manager ou CDM concerné]],Parametres!B:C,2,FALSE),"")</f>
        <v>Squad E</v>
      </c>
      <c r="F43" s="62" t="str">
        <f>IF(Tableau242[[#This Row],[Consultant]]=Tableau242[[#This Row],[Manager ou CDM concerné]],"Non",IF(IFERROR(VLOOKUP(Tableau242[[#This Row],[Consultant]],Parametres!B:C,2,FALSE),0)=0,"Non","Oui"))</f>
        <v>Non</v>
      </c>
      <c r="G43" s="62">
        <f>IFERROR(VLOOKUP(B43,Tableau5[#All],4,FALSE),"Matricule!")</f>
        <v>16</v>
      </c>
      <c r="H43" s="62" t="str">
        <f>IFERROR(VLOOKUP(Tableau242[[#This Row],[Company number]],#REF!,6,FALSE),"")</f>
        <v/>
      </c>
      <c r="I43" s="62">
        <f>IFERROR(VLOOKUP(B43,Tableau5[#All],5,FALSE),"Matricule!")</f>
        <v>0</v>
      </c>
      <c r="J43" s="62">
        <f>IFERROR(VLOOKUP(B43,Tableau5[#All],6,FALSE),"Matricule!")</f>
        <v>4</v>
      </c>
      <c r="K43" s="62">
        <f>IFERROR(VLOOKUP(B43,Tableau5[#All],7,FALSE),"Matricule!")</f>
        <v>0</v>
      </c>
      <c r="L43" s="62" t="e">
        <f>VLOOKUP(Tableau242[[#This Row],[Company number]],#REF!,25,FALSE)</f>
        <v>#REF!</v>
      </c>
      <c r="M43" s="62" t="str">
        <f>IFERROR(VLOOKUP(Tableau242[[#This Row],[Company number]],#REF!,30,FALSE),"")</f>
        <v/>
      </c>
      <c r="N43" s="62" t="str">
        <f>IFERROR(VLOOKUP(Tableau242[[#This Row],[Company number]],#REF!,31,FALSE),"")</f>
        <v/>
      </c>
      <c r="O43" s="62" t="str">
        <f>IFERROR(VLOOKUP(Tableau242[[#This Row],[Company number]],#REF!,32,FALSE),"")</f>
        <v/>
      </c>
      <c r="P43" s="62">
        <f>IFERROR(VLOOKUP(B43,Tableau3[#All],5,FALSE),"Matricule!")</f>
        <v>20</v>
      </c>
      <c r="Q43" s="62">
        <f>IFERROR(SUM(VLOOKUP(B43,Tableau3[#All],6,FALSE),VLOOKUP(B43,Tableau3[#All],8,FALSE)),"Matricule!")</f>
        <v>0</v>
      </c>
      <c r="R43" s="62">
        <f>IFERROR(VLOOKUP(B43,Tableau3[#All],7,FALSE),"Matricule!")</f>
        <v>0</v>
      </c>
      <c r="S43" s="62">
        <f>IFERROR(Tableau242[[#This Row],[Prod. days WK]]-Tableau242[[#This Row],[Prod PXX]],"Matricule")</f>
        <v>-4</v>
      </c>
      <c r="T43" s="62">
        <f>IFERROR(Tableau242[[#This Row],[Non prod. days WK]]-Tableau242[[#This Row],[Improd PXX]],"Matricule")</f>
        <v>0</v>
      </c>
      <c r="U43" s="62">
        <f>IFERROR(Tableau242[[#This Row],[Paid leave days WK]]-Tableau242[[#This Row],[Congé PXX]],"Matricule")</f>
        <v>4</v>
      </c>
      <c r="V43" s="63">
        <f>IFERROR(VLOOKUP($B43,#REF!,4,FALSE),0)</f>
        <v>0</v>
      </c>
      <c r="W4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3" s="63">
        <f>IF(AND(Tableau242[[#This Row],[Paid leave days]]&gt;0,Tableau242[[#This Row],[Prod. days]]&lt;0),MIN(Tableau242[[#This Row],[Paid leave days]],-Tableau242[[#This Row],[Prod. days]]),0)</f>
        <v>4</v>
      </c>
      <c r="Z43" s="63">
        <f>IFERROR(_xlfn.XLOOKUP(Tableau242[[#This Row],[Consultant]],Tableau2[Collaborateur/Nom affiché],Tableau2[Montant imputé],0),0)</f>
        <v>0</v>
      </c>
      <c r="AA43" s="64">
        <f t="shared" si="1"/>
        <v>-4</v>
      </c>
      <c r="AB43" s="65" t="s">
        <v>154</v>
      </c>
      <c r="AC43" s="66"/>
      <c r="AD43" s="66"/>
      <c r="AE43" s="66"/>
      <c r="AF43" s="92"/>
    </row>
    <row r="44" spans="1:32">
      <c r="A44" s="15">
        <f>Tableau242[[#This Row],[Company number]]+0</f>
        <v>21526</v>
      </c>
      <c r="B44" s="60" t="s">
        <v>217</v>
      </c>
      <c r="C44" s="61" t="s">
        <v>218</v>
      </c>
      <c r="D44" s="61" t="s">
        <v>52</v>
      </c>
      <c r="E44" s="62" t="str">
        <f>IFERROR(VLOOKUP(Tableau242[[#This Row],[Manager ou CDM concerné]],Parametres!B:C,2,FALSE),"")</f>
        <v>Squad E</v>
      </c>
      <c r="F44" s="62" t="str">
        <f>IF(Tableau242[[#This Row],[Consultant]]=Tableau242[[#This Row],[Manager ou CDM concerné]],"Non",IF(IFERROR(VLOOKUP(Tableau242[[#This Row],[Consultant]],Parametres!B:C,2,FALSE),0)=0,"Non","Oui"))</f>
        <v>Non</v>
      </c>
      <c r="G44" s="62">
        <f>IFERROR(VLOOKUP(B44,Tableau5[#All],4,FALSE),"Matricule!")</f>
        <v>0</v>
      </c>
      <c r="H44" s="62" t="str">
        <f>IFERROR(VLOOKUP(Tableau242[[#This Row],[Company number]],#REF!,6,FALSE),"")</f>
        <v/>
      </c>
      <c r="I44" s="62">
        <f>IFERROR(VLOOKUP(B44,Tableau5[#All],5,FALSE),"Matricule!")</f>
        <v>20</v>
      </c>
      <c r="J44" s="62">
        <f>IFERROR(VLOOKUP(B44,Tableau5[#All],6,FALSE),"Matricule!")</f>
        <v>0</v>
      </c>
      <c r="K44" s="62">
        <f>IFERROR(VLOOKUP(B44,Tableau5[#All],7,FALSE),"Matricule!")</f>
        <v>0</v>
      </c>
      <c r="L44" s="62" t="e">
        <f>VLOOKUP(Tableau242[[#This Row],[Company number]],#REF!,25,FALSE)</f>
        <v>#REF!</v>
      </c>
      <c r="M44" s="62" t="str">
        <f>IFERROR(VLOOKUP(Tableau242[[#This Row],[Company number]],#REF!,30,FALSE),"")</f>
        <v/>
      </c>
      <c r="N44" s="62" t="str">
        <f>IFERROR(VLOOKUP(Tableau242[[#This Row],[Company number]],#REF!,31,FALSE),"")</f>
        <v/>
      </c>
      <c r="O44" s="62" t="str">
        <f>IFERROR(VLOOKUP(Tableau242[[#This Row],[Company number]],#REF!,32,FALSE),"")</f>
        <v/>
      </c>
      <c r="P44" s="62">
        <f>IFERROR(VLOOKUP(B44,Tableau3[#All],5,FALSE),"Matricule!")</f>
        <v>0</v>
      </c>
      <c r="Q44" s="62">
        <f>IFERROR(SUM(VLOOKUP(B44,Tableau3[#All],6,FALSE),VLOOKUP(B44,Tableau3[#All],8,FALSE)),"Matricule!")</f>
        <v>20</v>
      </c>
      <c r="R44" s="62">
        <f>IFERROR(VLOOKUP(B44,Tableau3[#All],7,FALSE),"Matricule!")</f>
        <v>0</v>
      </c>
      <c r="S44" s="62">
        <f>IFERROR(Tableau242[[#This Row],[Prod. days WK]]-Tableau242[[#This Row],[Prod PXX]],"Matricule")</f>
        <v>0</v>
      </c>
      <c r="T44" s="62">
        <f>IFERROR(Tableau242[[#This Row],[Non prod. days WK]]-Tableau242[[#This Row],[Improd PXX]],"Matricule")</f>
        <v>0</v>
      </c>
      <c r="U44" s="62">
        <f>IFERROR(Tableau242[[#This Row],[Paid leave days WK]]-Tableau242[[#This Row],[Congé PXX]],"Matricule")</f>
        <v>0</v>
      </c>
      <c r="V44" s="63">
        <f>IFERROR(VLOOKUP($B44,#REF!,4,FALSE),0)</f>
        <v>0</v>
      </c>
      <c r="W4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4" s="63">
        <f>IF(AND(Tableau242[[#This Row],[Paid leave days]]&gt;0,Tableau242[[#This Row],[Prod. days]]&lt;0),MIN(Tableau242[[#This Row],[Paid leave days]],-Tableau242[[#This Row],[Prod. days]]),0)</f>
        <v>0</v>
      </c>
      <c r="Z44" s="63">
        <f>IFERROR(_xlfn.XLOOKUP(Tableau242[[#This Row],[Consultant]],Tableau2[Collaborateur/Nom affiché],Tableau2[Montant imputé],0),0)</f>
        <v>0</v>
      </c>
      <c r="AA44" s="64">
        <f t="shared" si="1"/>
        <v>0</v>
      </c>
      <c r="AB44" s="87"/>
      <c r="AC44" s="66"/>
      <c r="AD44" s="66"/>
      <c r="AE44" s="39"/>
      <c r="AF44" s="90"/>
    </row>
    <row r="45" spans="1:32">
      <c r="A45" s="15">
        <f>Tableau242[[#This Row],[Company number]]+0</f>
        <v>17666</v>
      </c>
      <c r="B45" s="60" t="s">
        <v>219</v>
      </c>
      <c r="C45" s="61" t="s">
        <v>220</v>
      </c>
      <c r="D45" s="61" t="s">
        <v>52</v>
      </c>
      <c r="E45" s="62" t="str">
        <f>IFERROR(VLOOKUP(Tableau242[[#This Row],[Manager ou CDM concerné]],Parametres!B:C,2,FALSE),"")</f>
        <v>Squad E</v>
      </c>
      <c r="F45" s="62" t="str">
        <f>IF(Tableau242[[#This Row],[Consultant]]=Tableau242[[#This Row],[Manager ou CDM concerné]],"Non",IF(IFERROR(VLOOKUP(Tableau242[[#This Row],[Consultant]],Parametres!B:C,2,FALSE),0)=0,"Non","Oui"))</f>
        <v>Non</v>
      </c>
      <c r="G45" s="62">
        <f>IFERROR(VLOOKUP(B45,Tableau5[#All],4,FALSE),"Matricule!")</f>
        <v>20</v>
      </c>
      <c r="H45" s="62" t="str">
        <f>IFERROR(VLOOKUP(Tableau242[[#This Row],[Company number]],#REF!,6,FALSE),"")</f>
        <v/>
      </c>
      <c r="I45" s="62">
        <f>IFERROR(VLOOKUP(B45,Tableau5[#All],5,FALSE),"Matricule!")</f>
        <v>0</v>
      </c>
      <c r="J45" s="62">
        <f>IFERROR(VLOOKUP(B45,Tableau5[#All],6,FALSE),"Matricule!")</f>
        <v>0</v>
      </c>
      <c r="K45" s="62">
        <f>IFERROR(VLOOKUP(B45,Tableau5[#All],7,FALSE),"Matricule!")</f>
        <v>0</v>
      </c>
      <c r="L45" s="62" t="e">
        <f>VLOOKUP(Tableau242[[#This Row],[Company number]],#REF!,25,FALSE)</f>
        <v>#REF!</v>
      </c>
      <c r="M45" s="62" t="str">
        <f>IFERROR(VLOOKUP(Tableau242[[#This Row],[Company number]],#REF!,30,FALSE),"")</f>
        <v/>
      </c>
      <c r="N45" s="62" t="str">
        <f>IFERROR(VLOOKUP(Tableau242[[#This Row],[Company number]],#REF!,31,FALSE),"")</f>
        <v/>
      </c>
      <c r="O45" s="62" t="str">
        <f>IFERROR(VLOOKUP(Tableau242[[#This Row],[Company number]],#REF!,32,FALSE),"")</f>
        <v/>
      </c>
      <c r="P45" s="62">
        <f>IFERROR(VLOOKUP(B45,Tableau3[#All],5,FALSE),"Matricule!")</f>
        <v>20</v>
      </c>
      <c r="Q45" s="62">
        <f>IFERROR(SUM(VLOOKUP(B45,Tableau3[#All],6,FALSE),VLOOKUP(B45,Tableau3[#All],8,FALSE)),"Matricule!")</f>
        <v>0</v>
      </c>
      <c r="R45" s="62">
        <f>IFERROR(VLOOKUP(B45,Tableau3[#All],7,FALSE),"Matricule!")</f>
        <v>0</v>
      </c>
      <c r="S45" s="62">
        <f>IFERROR(Tableau242[[#This Row],[Prod. days WK]]-Tableau242[[#This Row],[Prod PXX]],"Matricule")</f>
        <v>0</v>
      </c>
      <c r="T45" s="62">
        <f>IFERROR(Tableau242[[#This Row],[Non prod. days WK]]-Tableau242[[#This Row],[Improd PXX]],"Matricule")</f>
        <v>0</v>
      </c>
      <c r="U45" s="62">
        <f>IFERROR(Tableau242[[#This Row],[Paid leave days WK]]-Tableau242[[#This Row],[Congé PXX]],"Matricule")</f>
        <v>0</v>
      </c>
      <c r="V45" s="63">
        <f>IFERROR(VLOOKUP($B45,#REF!,4,FALSE),0)</f>
        <v>0</v>
      </c>
      <c r="W4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5" s="63">
        <f>IF(AND(Tableau242[[#This Row],[Paid leave days]]&gt;0,Tableau242[[#This Row],[Prod. days]]&lt;0),MIN(Tableau242[[#This Row],[Paid leave days]],-Tableau242[[#This Row],[Prod. days]]),0)</f>
        <v>0</v>
      </c>
      <c r="Z45" s="63">
        <f>IFERROR(_xlfn.XLOOKUP(Tableau242[[#This Row],[Consultant]],Tableau2[Collaborateur/Nom affiché],Tableau2[Montant imputé],0),0)</f>
        <v>0</v>
      </c>
      <c r="AA45" s="64">
        <f t="shared" si="1"/>
        <v>0</v>
      </c>
      <c r="AB45" s="65"/>
      <c r="AC45" s="66"/>
      <c r="AD45" s="66"/>
      <c r="AE45" s="39"/>
      <c r="AF45" s="90"/>
    </row>
    <row r="46" spans="1:32">
      <c r="A46" s="15">
        <f>Tableau242[[#This Row],[Company number]]+0</f>
        <v>18171</v>
      </c>
      <c r="B46" s="60" t="s">
        <v>221</v>
      </c>
      <c r="C46" s="61" t="s">
        <v>222</v>
      </c>
      <c r="D46" s="61" t="s">
        <v>52</v>
      </c>
      <c r="E46" s="62" t="str">
        <f>IFERROR(VLOOKUP(Tableau242[[#This Row],[Manager ou CDM concerné]],Parametres!B:C,2,FALSE),"")</f>
        <v>Squad E</v>
      </c>
      <c r="F46" s="62" t="str">
        <f>IF(Tableau242[[#This Row],[Consultant]]=Tableau242[[#This Row],[Manager ou CDM concerné]],"Non",IF(IFERROR(VLOOKUP(Tableau242[[#This Row],[Consultant]],Parametres!B:C,2,FALSE),0)=0,"Non","Oui"))</f>
        <v>Non</v>
      </c>
      <c r="G46" s="62">
        <f>IFERROR(VLOOKUP(B46,Tableau5[#All],4,FALSE),"Matricule!")</f>
        <v>0</v>
      </c>
      <c r="H46" s="62" t="str">
        <f>IFERROR(VLOOKUP(Tableau242[[#This Row],[Company number]],#REF!,6,FALSE),"")</f>
        <v/>
      </c>
      <c r="I46" s="62">
        <f>IFERROR(VLOOKUP(B46,Tableau5[#All],5,FALSE),"Matricule!")</f>
        <v>20</v>
      </c>
      <c r="J46" s="62">
        <f>IFERROR(VLOOKUP(B46,Tableau5[#All],6,FALSE),"Matricule!")</f>
        <v>0</v>
      </c>
      <c r="K46" s="62">
        <f>IFERROR(VLOOKUP(B46,Tableau5[#All],7,FALSE),"Matricule!")</f>
        <v>0</v>
      </c>
      <c r="L46" s="62" t="e">
        <f>VLOOKUP(Tableau242[[#This Row],[Company number]],#REF!,25,FALSE)</f>
        <v>#REF!</v>
      </c>
      <c r="M46" s="62" t="str">
        <f>IFERROR(VLOOKUP(Tableau242[[#This Row],[Company number]],#REF!,30,FALSE),"")</f>
        <v/>
      </c>
      <c r="N46" s="62" t="str">
        <f>IFERROR(VLOOKUP(Tableau242[[#This Row],[Company number]],#REF!,31,FALSE),"")</f>
        <v/>
      </c>
      <c r="O46" s="62" t="str">
        <f>IFERROR(VLOOKUP(Tableau242[[#This Row],[Company number]],#REF!,32,FALSE),"")</f>
        <v/>
      </c>
      <c r="P46" s="62">
        <f>IFERROR(VLOOKUP(B46,Tableau3[#All],5,FALSE),"Matricule!")</f>
        <v>0</v>
      </c>
      <c r="Q46" s="62">
        <f>IFERROR(SUM(VLOOKUP(B46,Tableau3[#All],6,FALSE),VLOOKUP(B46,Tableau3[#All],8,FALSE)),"Matricule!")</f>
        <v>20</v>
      </c>
      <c r="R46" s="62">
        <f>IFERROR(VLOOKUP(B46,Tableau3[#All],7,FALSE),"Matricule!")</f>
        <v>0</v>
      </c>
      <c r="S46" s="62">
        <f>IFERROR(Tableau242[[#This Row],[Prod. days WK]]-Tableau242[[#This Row],[Prod PXX]],"Matricule")</f>
        <v>0</v>
      </c>
      <c r="T46" s="62">
        <f>IFERROR(Tableau242[[#This Row],[Non prod. days WK]]-Tableau242[[#This Row],[Improd PXX]],"Matricule")</f>
        <v>0</v>
      </c>
      <c r="U46" s="62">
        <f>IFERROR(Tableau242[[#This Row],[Paid leave days WK]]-Tableau242[[#This Row],[Congé PXX]],"Matricule")</f>
        <v>0</v>
      </c>
      <c r="V46" s="63">
        <f>IFERROR(VLOOKUP($B46,#REF!,4,FALSE),0)</f>
        <v>0</v>
      </c>
      <c r="W4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6" s="63">
        <f>IF(AND(Tableau242[[#This Row],[Paid leave days]]&gt;0,Tableau242[[#This Row],[Prod. days]]&lt;0),MIN(Tableau242[[#This Row],[Paid leave days]],-Tableau242[[#This Row],[Prod. days]]),0)</f>
        <v>0</v>
      </c>
      <c r="Z46" s="63">
        <f>IFERROR(_xlfn.XLOOKUP(Tableau242[[#This Row],[Consultant]],Tableau2[Collaborateur/Nom affiché],Tableau2[Montant imputé],0),0)</f>
        <v>0</v>
      </c>
      <c r="AA46" s="64">
        <f t="shared" si="1"/>
        <v>0</v>
      </c>
      <c r="AB46" s="65"/>
      <c r="AC46" s="71"/>
      <c r="AD46" s="66"/>
      <c r="AE46" s="105"/>
      <c r="AF46" s="90"/>
    </row>
    <row r="47" spans="1:32">
      <c r="A47" s="15">
        <f>Tableau242[[#This Row],[Company number]]+0</f>
        <v>21687</v>
      </c>
      <c r="B47" s="60" t="s">
        <v>223</v>
      </c>
      <c r="C47" s="61" t="s">
        <v>224</v>
      </c>
      <c r="D47" s="61" t="s">
        <v>52</v>
      </c>
      <c r="E47" s="62" t="str">
        <f>IFERROR(VLOOKUP(Tableau242[[#This Row],[Manager ou CDM concerné]],Parametres!B:C,2,FALSE),"")</f>
        <v>Squad E</v>
      </c>
      <c r="F47" s="62" t="str">
        <f>IF(Tableau242[[#This Row],[Consultant]]=Tableau242[[#This Row],[Manager ou CDM concerné]],"Non",IF(IFERROR(VLOOKUP(Tableau242[[#This Row],[Consultant]],Parametres!B:C,2,FALSE),0)=0,"Non","Oui"))</f>
        <v>Non</v>
      </c>
      <c r="G47" s="62">
        <f>IFERROR(VLOOKUP(B47,Tableau5[#All],4,FALSE),"Matricule!")</f>
        <v>0</v>
      </c>
      <c r="H47" s="62" t="str">
        <f>IFERROR(VLOOKUP(Tableau242[[#This Row],[Company number]],#REF!,6,FALSE),"")</f>
        <v/>
      </c>
      <c r="I47" s="62">
        <f>IFERROR(VLOOKUP(B47,Tableau5[#All],5,FALSE),"Matricule!")</f>
        <v>20</v>
      </c>
      <c r="J47" s="62">
        <f>IFERROR(VLOOKUP(B47,Tableau5[#All],6,FALSE),"Matricule!")</f>
        <v>0</v>
      </c>
      <c r="K47" s="62">
        <f>IFERROR(VLOOKUP(B47,Tableau5[#All],7,FALSE),"Matricule!")</f>
        <v>0</v>
      </c>
      <c r="L47" s="62" t="e">
        <f>VLOOKUP(Tableau242[[#This Row],[Company number]],#REF!,25,FALSE)</f>
        <v>#REF!</v>
      </c>
      <c r="M47" s="62" t="str">
        <f>IFERROR(VLOOKUP(Tableau242[[#This Row],[Company number]],#REF!,30,FALSE),"")</f>
        <v/>
      </c>
      <c r="N47" s="62" t="str">
        <f>IFERROR(VLOOKUP(Tableau242[[#This Row],[Company number]],#REF!,31,FALSE),"")</f>
        <v/>
      </c>
      <c r="O47" s="62" t="str">
        <f>IFERROR(VLOOKUP(Tableau242[[#This Row],[Company number]],#REF!,32,FALSE),"")</f>
        <v/>
      </c>
      <c r="P47" s="62">
        <f>IFERROR(VLOOKUP(B47,Tableau3[#All],5,FALSE),"Matricule!")</f>
        <v>0</v>
      </c>
      <c r="Q47" s="62">
        <f>IFERROR(SUM(VLOOKUP(B47,Tableau3[#All],6,FALSE),VLOOKUP(B47,Tableau3[#All],8,FALSE)),"Matricule!")</f>
        <v>20</v>
      </c>
      <c r="R47" s="62">
        <f>IFERROR(VLOOKUP(B47,Tableau3[#All],7,FALSE),"Matricule!")</f>
        <v>0</v>
      </c>
      <c r="S47" s="62">
        <f>IFERROR(Tableau242[[#This Row],[Prod. days WK]]-Tableau242[[#This Row],[Prod PXX]],"Matricule")</f>
        <v>0</v>
      </c>
      <c r="T47" s="62">
        <f>IFERROR(Tableau242[[#This Row],[Non prod. days WK]]-Tableau242[[#This Row],[Improd PXX]],"Matricule")</f>
        <v>0</v>
      </c>
      <c r="U47" s="62">
        <f>IFERROR(Tableau242[[#This Row],[Paid leave days WK]]-Tableau242[[#This Row],[Congé PXX]],"Matricule")</f>
        <v>0</v>
      </c>
      <c r="V47" s="63">
        <f>IFERROR(VLOOKUP($B47,#REF!,4,FALSE),0)</f>
        <v>0</v>
      </c>
      <c r="W4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7" s="63">
        <f>IF(AND(Tableau242[[#This Row],[Paid leave days]]&gt;0,Tableau242[[#This Row],[Prod. days]]&lt;0),MIN(Tableau242[[#This Row],[Paid leave days]],-Tableau242[[#This Row],[Prod. days]]),0)</f>
        <v>0</v>
      </c>
      <c r="Z47" s="63">
        <f>IFERROR(_xlfn.XLOOKUP(Tableau242[[#This Row],[Consultant]],Tableau2[Collaborateur/Nom affiché],Tableau2[Montant imputé],0),0)</f>
        <v>0</v>
      </c>
      <c r="AA47" s="64">
        <f t="shared" si="1"/>
        <v>0</v>
      </c>
      <c r="AB47" s="65"/>
      <c r="AC47" s="66"/>
      <c r="AD47" s="66"/>
      <c r="AE47" s="66"/>
      <c r="AF47" s="90"/>
    </row>
    <row r="48" spans="1:32">
      <c r="A48" s="15">
        <f>Tableau242[[#This Row],[Company number]]+0</f>
        <v>5735</v>
      </c>
      <c r="B48" s="60" t="s">
        <v>225</v>
      </c>
      <c r="C48" s="61" t="s">
        <v>39</v>
      </c>
      <c r="D48" s="61" t="s">
        <v>54</v>
      </c>
      <c r="E48" s="62" t="str">
        <f>IFERROR(VLOOKUP(Tableau242[[#This Row],[Manager ou CDM concerné]],Parametres!B:C,2,FALSE),"")</f>
        <v>Squad F</v>
      </c>
      <c r="F48" s="62" t="str">
        <f>IF(Tableau242[[#This Row],[Consultant]]=Tableau242[[#This Row],[Manager ou CDM concerné]],"Non",IF(IFERROR(VLOOKUP(Tableau242[[#This Row],[Consultant]],Parametres!B:C,2,FALSE),0)=0,"Non","Oui"))</f>
        <v>Oui</v>
      </c>
      <c r="G48" s="62">
        <f>IFERROR(VLOOKUP(B48,Tableau5[#All],4,FALSE),"Matricule!")</f>
        <v>0</v>
      </c>
      <c r="H48" s="62" t="str">
        <f>IFERROR(VLOOKUP(Tableau242[[#This Row],[Company number]],#REF!,6,FALSE),"")</f>
        <v/>
      </c>
      <c r="I48" s="62">
        <f>IFERROR(VLOOKUP(B48,Tableau5[#All],5,FALSE),"Matricule!")</f>
        <v>19</v>
      </c>
      <c r="J48" s="62">
        <f>IFERROR(VLOOKUP(B48,Tableau5[#All],6,FALSE),"Matricule!")</f>
        <v>1</v>
      </c>
      <c r="K48" s="62">
        <f>IFERROR(VLOOKUP(B48,Tableau5[#All],7,FALSE),"Matricule!")</f>
        <v>0</v>
      </c>
      <c r="L48" s="62" t="e">
        <f>VLOOKUP(Tableau242[[#This Row],[Company number]],#REF!,25,FALSE)</f>
        <v>#REF!</v>
      </c>
      <c r="M48" s="62" t="str">
        <f>IFERROR(VLOOKUP(Tableau242[[#This Row],[Company number]],#REF!,30,FALSE),"")</f>
        <v/>
      </c>
      <c r="N48" s="62" t="str">
        <f>IFERROR(VLOOKUP(Tableau242[[#This Row],[Company number]],#REF!,31,FALSE),"")</f>
        <v/>
      </c>
      <c r="O48" s="62" t="str">
        <f>IFERROR(VLOOKUP(Tableau242[[#This Row],[Company number]],#REF!,32,FALSE),"")</f>
        <v/>
      </c>
      <c r="P48" s="68">
        <f>IFERROR(VLOOKUP(B48,Tableau3[#All],5,FALSE),"Matricule!")</f>
        <v>9</v>
      </c>
      <c r="Q48" s="68">
        <f>IFERROR(SUM(VLOOKUP(B48,Tableau3[#All],6,FALSE),VLOOKUP(B48,Tableau3[#All],8,FALSE)),"Matricule!")</f>
        <v>10</v>
      </c>
      <c r="R48" s="68">
        <f>IFERROR(VLOOKUP(B48,Tableau3[#All],7,FALSE),"Matricule!")</f>
        <v>1</v>
      </c>
      <c r="S48" s="62">
        <f>IFERROR(Tableau242[[#This Row],[Prod. days WK]]-Tableau242[[#This Row],[Prod PXX]],"Matricule")</f>
        <v>-9</v>
      </c>
      <c r="T48" s="62">
        <f>IFERROR(Tableau242[[#This Row],[Non prod. days WK]]-Tableau242[[#This Row],[Improd PXX]],"Matricule")</f>
        <v>9</v>
      </c>
      <c r="U48" s="62">
        <f>IFERROR(Tableau242[[#This Row],[Paid leave days WK]]-Tableau242[[#This Row],[Congé PXX]],"Matricule")</f>
        <v>0</v>
      </c>
      <c r="V48" s="63">
        <f>IFERROR(VLOOKUP($B48,#REF!,4,FALSE),0)</f>
        <v>0</v>
      </c>
      <c r="W4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8" s="63">
        <f>IF(AND(Tableau242[[#This Row],[Paid leave days]]&gt;0,Tableau242[[#This Row],[Prod. days]]&lt;0),MIN(Tableau242[[#This Row],[Paid leave days]],-Tableau242[[#This Row],[Prod. days]]),0)</f>
        <v>0</v>
      </c>
      <c r="Z48" s="63">
        <f>IFERROR(_xlfn.XLOOKUP(Tableau242[[#This Row],[Consultant]],Tableau2[Collaborateur/Nom affiché],Tableau2[Montant imputé],0),0)</f>
        <v>0</v>
      </c>
      <c r="AA48" s="64">
        <f t="shared" si="1"/>
        <v>-9</v>
      </c>
      <c r="AB48" s="65" t="s">
        <v>165</v>
      </c>
      <c r="AC48" s="66">
        <v>9</v>
      </c>
      <c r="AD48" s="66">
        <v>9</v>
      </c>
      <c r="AE48" s="66"/>
      <c r="AF48" s="90" t="s">
        <v>226</v>
      </c>
    </row>
    <row r="49" spans="1:32">
      <c r="A49" s="15">
        <f>Tableau242[[#This Row],[Company number]]+0</f>
        <v>20512</v>
      </c>
      <c r="B49" s="60" t="s">
        <v>227</v>
      </c>
      <c r="C49" s="61" t="s">
        <v>228</v>
      </c>
      <c r="D49" s="61" t="s">
        <v>52</v>
      </c>
      <c r="E49" s="62" t="str">
        <f>IFERROR(VLOOKUP(Tableau242[[#This Row],[Manager ou CDM concerné]],Parametres!B:C,2,FALSE),"")</f>
        <v>Squad E</v>
      </c>
      <c r="F49" s="62" t="str">
        <f>IF(Tableau242[[#This Row],[Consultant]]=Tableau242[[#This Row],[Manager ou CDM concerné]],"Non",IF(IFERROR(VLOOKUP(Tableau242[[#This Row],[Consultant]],Parametres!B:C,2,FALSE),0)=0,"Non","Oui"))</f>
        <v>Non</v>
      </c>
      <c r="G49" s="62">
        <f>IFERROR(VLOOKUP(B49,Tableau5[#All],4,FALSE),"Matricule!")</f>
        <v>20</v>
      </c>
      <c r="H49" s="62" t="str">
        <f>IFERROR(VLOOKUP(Tableau242[[#This Row],[Company number]],#REF!,6,FALSE),"")</f>
        <v/>
      </c>
      <c r="I49" s="62">
        <f>IFERROR(VLOOKUP(B49,Tableau5[#All],5,FALSE),"Matricule!")</f>
        <v>0</v>
      </c>
      <c r="J49" s="62">
        <f>IFERROR(VLOOKUP(B49,Tableau5[#All],6,FALSE),"Matricule!")</f>
        <v>0</v>
      </c>
      <c r="K49" s="62">
        <f>IFERROR(VLOOKUP(B49,Tableau5[#All],7,FALSE),"Matricule!")</f>
        <v>0</v>
      </c>
      <c r="L49" s="62" t="e">
        <f>VLOOKUP(Tableau242[[#This Row],[Company number]],#REF!,25,FALSE)</f>
        <v>#REF!</v>
      </c>
      <c r="M49" s="62" t="str">
        <f>IFERROR(VLOOKUP(Tableau242[[#This Row],[Company number]],#REF!,30,FALSE),"")</f>
        <v/>
      </c>
      <c r="N49" s="62" t="str">
        <f>IFERROR(VLOOKUP(Tableau242[[#This Row],[Company number]],#REF!,31,FALSE),"")</f>
        <v/>
      </c>
      <c r="O49" s="62" t="str">
        <f>IFERROR(VLOOKUP(Tableau242[[#This Row],[Company number]],#REF!,32,FALSE),"")</f>
        <v/>
      </c>
      <c r="P49" s="68">
        <f>IFERROR(VLOOKUP(B49,Tableau3[#All],5,FALSE),"Matricule!")</f>
        <v>20</v>
      </c>
      <c r="Q49" s="68">
        <f>IFERROR(SUM(VLOOKUP(B49,Tableau3[#All],6,FALSE),VLOOKUP(B49,Tableau3[#All],8,FALSE)),"Matricule!")</f>
        <v>0</v>
      </c>
      <c r="R49" s="68">
        <f>IFERROR(VLOOKUP(B49,Tableau3[#All],7,FALSE),"Matricule!")</f>
        <v>0</v>
      </c>
      <c r="S49" s="62">
        <f>IFERROR(Tableau242[[#This Row],[Prod. days WK]]-Tableau242[[#This Row],[Prod PXX]],"Matricule")</f>
        <v>0</v>
      </c>
      <c r="T49" s="62">
        <f>IFERROR(Tableau242[[#This Row],[Non prod. days WK]]-Tableau242[[#This Row],[Improd PXX]],"Matricule")</f>
        <v>0</v>
      </c>
      <c r="U49" s="62">
        <f>IFERROR(Tableau242[[#This Row],[Paid leave days WK]]-Tableau242[[#This Row],[Congé PXX]],"Matricule")</f>
        <v>0</v>
      </c>
      <c r="V49" s="63">
        <f>IFERROR(VLOOKUP($B49,#REF!,4,FALSE),0)</f>
        <v>0</v>
      </c>
      <c r="W4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9" s="63">
        <f>IF(AND(Tableau242[[#This Row],[Paid leave days]]&gt;0,Tableau242[[#This Row],[Prod. days]]&lt;0),MIN(Tableau242[[#This Row],[Paid leave days]],-Tableau242[[#This Row],[Prod. days]]),0)</f>
        <v>0</v>
      </c>
      <c r="Z49" s="63">
        <f>IFERROR(_xlfn.XLOOKUP(Tableau242[[#This Row],[Consultant]],Tableau2[Collaborateur/Nom affiché],Tableau2[Montant imputé],0),0)</f>
        <v>0</v>
      </c>
      <c r="AA49" s="64">
        <f t="shared" si="1"/>
        <v>0</v>
      </c>
      <c r="AB49" s="65"/>
      <c r="AC49" s="66"/>
      <c r="AD49" s="66"/>
      <c r="AE49" s="115"/>
      <c r="AF49" s="90"/>
    </row>
    <row r="50" spans="1:32">
      <c r="A50" s="15">
        <f>Tableau242[[#This Row],[Company number]]+0</f>
        <v>18132</v>
      </c>
      <c r="B50" s="60" t="s">
        <v>229</v>
      </c>
      <c r="C50" s="61" t="s">
        <v>230</v>
      </c>
      <c r="D50" s="61" t="s">
        <v>52</v>
      </c>
      <c r="E50" s="62" t="str">
        <f>IFERROR(VLOOKUP(Tableau242[[#This Row],[Manager ou CDM concerné]],Parametres!B:C,2,FALSE),"")</f>
        <v>Squad E</v>
      </c>
      <c r="F50" s="62" t="str">
        <f>IF(Tableau242[[#This Row],[Consultant]]=Tableau242[[#This Row],[Manager ou CDM concerné]],"Non",IF(IFERROR(VLOOKUP(Tableau242[[#This Row],[Consultant]],Parametres!B:C,2,FALSE),0)=0,"Non","Oui"))</f>
        <v>Non</v>
      </c>
      <c r="G50" s="62">
        <f>IFERROR(VLOOKUP(B50,Tableau5[#All],4,FALSE),"Matricule!")</f>
        <v>0</v>
      </c>
      <c r="H50" s="62" t="str">
        <f>IFERROR(VLOOKUP(Tableau242[[#This Row],[Company number]],#REF!,6,FALSE),"")</f>
        <v/>
      </c>
      <c r="I50" s="62">
        <f>IFERROR(VLOOKUP(B50,Tableau5[#All],5,FALSE),"Matricule!")</f>
        <v>20</v>
      </c>
      <c r="J50" s="62">
        <f>IFERROR(VLOOKUP(B50,Tableau5[#All],6,FALSE),"Matricule!")</f>
        <v>0</v>
      </c>
      <c r="K50" s="62">
        <f>IFERROR(VLOOKUP(B50,Tableau5[#All],7,FALSE),"Matricule!")</f>
        <v>0</v>
      </c>
      <c r="L50" s="62" t="e">
        <f>VLOOKUP(Tableau242[[#This Row],[Company number]],#REF!,25,FALSE)</f>
        <v>#REF!</v>
      </c>
      <c r="M50" s="62" t="str">
        <f>IFERROR(VLOOKUP(Tableau242[[#This Row],[Company number]],#REF!,30,FALSE),"")</f>
        <v/>
      </c>
      <c r="N50" s="62" t="str">
        <f>IFERROR(VLOOKUP(Tableau242[[#This Row],[Company number]],#REF!,31,FALSE),"")</f>
        <v/>
      </c>
      <c r="O50" s="62" t="str">
        <f>IFERROR(VLOOKUP(Tableau242[[#This Row],[Company number]],#REF!,32,FALSE),"")</f>
        <v/>
      </c>
      <c r="P50" s="62">
        <f>IFERROR(VLOOKUP(B50,Tableau3[#All],5,FALSE),"Matricule!")</f>
        <v>0</v>
      </c>
      <c r="Q50" s="62">
        <f>IFERROR(SUM(VLOOKUP(B50,Tableau3[#All],6,FALSE),VLOOKUP(B50,Tableau3[#All],8,FALSE)),"Matricule!")</f>
        <v>20</v>
      </c>
      <c r="R50" s="62">
        <f>IFERROR(VLOOKUP(B50,Tableau3[#All],7,FALSE),"Matricule!")</f>
        <v>0</v>
      </c>
      <c r="S50" s="62">
        <f>IFERROR(Tableau242[[#This Row],[Prod. days WK]]-Tableau242[[#This Row],[Prod PXX]],"Matricule")</f>
        <v>0</v>
      </c>
      <c r="T50" s="62">
        <f>IFERROR(Tableau242[[#This Row],[Non prod. days WK]]-Tableau242[[#This Row],[Improd PXX]],"Matricule")</f>
        <v>0</v>
      </c>
      <c r="U50" s="62">
        <f>IFERROR(Tableau242[[#This Row],[Paid leave days WK]]-Tableau242[[#This Row],[Congé PXX]],"Matricule")</f>
        <v>0</v>
      </c>
      <c r="V50" s="63">
        <f>IFERROR(VLOOKUP($B50,#REF!,4,FALSE),0)</f>
        <v>0</v>
      </c>
      <c r="W5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0" s="63">
        <f>IF(AND(Tableau242[[#This Row],[Paid leave days]]&gt;0,Tableau242[[#This Row],[Prod. days]]&lt;0),MIN(Tableau242[[#This Row],[Paid leave days]],-Tableau242[[#This Row],[Prod. days]]),0)</f>
        <v>0</v>
      </c>
      <c r="Z50" s="63">
        <f>IFERROR(_xlfn.XLOOKUP(Tableau242[[#This Row],[Consultant]],Tableau2[Collaborateur/Nom affiché],Tableau2[Montant imputé],0),0)</f>
        <v>0</v>
      </c>
      <c r="AA50" s="64">
        <f t="shared" si="1"/>
        <v>0</v>
      </c>
      <c r="AB50" s="65"/>
      <c r="AC50" s="66"/>
      <c r="AD50" s="66"/>
      <c r="AE50" s="115"/>
      <c r="AF50" s="90"/>
    </row>
    <row r="51" spans="1:32">
      <c r="A51" s="15">
        <f>Tableau242[[#This Row],[Company number]]+0</f>
        <v>13954</v>
      </c>
      <c r="B51" s="60" t="s">
        <v>231</v>
      </c>
      <c r="C51" s="61" t="s">
        <v>232</v>
      </c>
      <c r="D51" s="61" t="s">
        <v>52</v>
      </c>
      <c r="E51" s="62" t="str">
        <f>IFERROR(VLOOKUP(Tableau242[[#This Row],[Manager ou CDM concerné]],Parametres!B:C,2,FALSE),"")</f>
        <v>Squad E</v>
      </c>
      <c r="F51" s="62" t="str">
        <f>IF(Tableau242[[#This Row],[Consultant]]=Tableau242[[#This Row],[Manager ou CDM concerné]],"Non",IF(IFERROR(VLOOKUP(Tableau242[[#This Row],[Consultant]],Parametres!B:C,2,FALSE),0)=0,"Non","Oui"))</f>
        <v>Non</v>
      </c>
      <c r="G51" s="62">
        <f>IFERROR(VLOOKUP(B51,Tableau5[#All],4,FALSE),"Matricule!")</f>
        <v>17</v>
      </c>
      <c r="H51" s="62" t="str">
        <f>IFERROR(VLOOKUP(Tableau242[[#This Row],[Company number]],#REF!,6,FALSE),"")</f>
        <v/>
      </c>
      <c r="I51" s="62">
        <f>IFERROR(VLOOKUP(B51,Tableau5[#All],5,FALSE),"Matricule!")</f>
        <v>0</v>
      </c>
      <c r="J51" s="62">
        <f>IFERROR(VLOOKUP(B51,Tableau5[#All],6,FALSE),"Matricule!")</f>
        <v>3</v>
      </c>
      <c r="K51" s="62">
        <f>IFERROR(VLOOKUP(B51,Tableau5[#All],7,FALSE),"Matricule!")</f>
        <v>0</v>
      </c>
      <c r="L51" s="62" t="e">
        <f>VLOOKUP(Tableau242[[#This Row],[Company number]],#REF!,25,FALSE)</f>
        <v>#REF!</v>
      </c>
      <c r="M51" s="62" t="str">
        <f>IFERROR(VLOOKUP(Tableau242[[#This Row],[Company number]],#REF!,30,FALSE),"")</f>
        <v/>
      </c>
      <c r="N51" s="62" t="str">
        <f>IFERROR(VLOOKUP(Tableau242[[#This Row],[Company number]],#REF!,31,FALSE),"")</f>
        <v/>
      </c>
      <c r="O51" s="62" t="str">
        <f>IFERROR(VLOOKUP(Tableau242[[#This Row],[Company number]],#REF!,32,FALSE),"")</f>
        <v/>
      </c>
      <c r="P51" s="62">
        <f>IFERROR(VLOOKUP(B51,Tableau3[#All],5,FALSE),"Matricule!")</f>
        <v>18</v>
      </c>
      <c r="Q51" s="62">
        <f>IFERROR(SUM(VLOOKUP(B51,Tableau3[#All],6,FALSE),VLOOKUP(B51,Tableau3[#All],8,FALSE)),"Matricule!")</f>
        <v>0</v>
      </c>
      <c r="R51" s="62">
        <f>IFERROR(VLOOKUP(B51,Tableau3[#All],7,FALSE),"Matricule!")</f>
        <v>2</v>
      </c>
      <c r="S51" s="62">
        <f>IFERROR(Tableau242[[#This Row],[Prod. days WK]]-Tableau242[[#This Row],[Prod PXX]],"Matricule")</f>
        <v>-1</v>
      </c>
      <c r="T51" s="62">
        <f>IFERROR(Tableau242[[#This Row],[Non prod. days WK]]-Tableau242[[#This Row],[Improd PXX]],"Matricule")</f>
        <v>0</v>
      </c>
      <c r="U51" s="62">
        <f>IFERROR(Tableau242[[#This Row],[Paid leave days WK]]-Tableau242[[#This Row],[Congé PXX]],"Matricule")</f>
        <v>1</v>
      </c>
      <c r="V51" s="63">
        <f>IFERROR(VLOOKUP($B51,#REF!,4,FALSE),0)</f>
        <v>0</v>
      </c>
      <c r="W5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1" s="63">
        <f>IF(AND(Tableau242[[#This Row],[Paid leave days]]&gt;0,Tableau242[[#This Row],[Prod. days]]&lt;0),MIN(Tableau242[[#This Row],[Paid leave days]],-Tableau242[[#This Row],[Prod. days]]),0)</f>
        <v>1</v>
      </c>
      <c r="Z51" s="63">
        <f>IFERROR(_xlfn.XLOOKUP(Tableau242[[#This Row],[Consultant]],Tableau2[Collaborateur/Nom affiché],Tableau2[Montant imputé],0),0)</f>
        <v>0</v>
      </c>
      <c r="AA51" s="64">
        <f t="shared" si="1"/>
        <v>-1</v>
      </c>
      <c r="AB51" s="65"/>
      <c r="AC51" s="66"/>
      <c r="AD51" s="66"/>
      <c r="AE51" s="66"/>
      <c r="AF51" s="90"/>
    </row>
    <row r="52" spans="1:32">
      <c r="A52" s="15">
        <f>Tableau242[[#This Row],[Company number]]+0</f>
        <v>14758</v>
      </c>
      <c r="B52" s="60" t="s">
        <v>233</v>
      </c>
      <c r="C52" s="61" t="s">
        <v>234</v>
      </c>
      <c r="D52" s="61" t="s">
        <v>52</v>
      </c>
      <c r="E52" s="62" t="str">
        <f>IFERROR(VLOOKUP(Tableau242[[#This Row],[Manager ou CDM concerné]],Parametres!B:C,2,FALSE),"")</f>
        <v>Squad E</v>
      </c>
      <c r="F52" s="62" t="str">
        <f>IF(Tableau242[[#This Row],[Consultant]]=Tableau242[[#This Row],[Manager ou CDM concerné]],"Non",IF(IFERROR(VLOOKUP(Tableau242[[#This Row],[Consultant]],Parametres!B:C,2,FALSE),0)=0,"Non","Oui"))</f>
        <v>Non</v>
      </c>
      <c r="G52" s="62">
        <f>IFERROR(VLOOKUP(B52,Tableau5[#All],4,FALSE),"Matricule!")</f>
        <v>5.5</v>
      </c>
      <c r="H52" s="62" t="str">
        <f>IFERROR(VLOOKUP(Tableau242[[#This Row],[Company number]],#REF!,6,FALSE),"")</f>
        <v/>
      </c>
      <c r="I52" s="62">
        <f>IFERROR(VLOOKUP(B52,Tableau5[#All],5,FALSE),"Matricule!")</f>
        <v>14</v>
      </c>
      <c r="J52" s="62">
        <f>IFERROR(VLOOKUP(B52,Tableau5[#All],6,FALSE),"Matricule!")</f>
        <v>0.5</v>
      </c>
      <c r="K52" s="62">
        <f>IFERROR(VLOOKUP(B52,Tableau5[#All],7,FALSE),"Matricule!")</f>
        <v>0</v>
      </c>
      <c r="L52" s="62" t="e">
        <f>VLOOKUP(Tableau242[[#This Row],[Company number]],#REF!,25,FALSE)</f>
        <v>#REF!</v>
      </c>
      <c r="M52" s="62" t="str">
        <f>IFERROR(VLOOKUP(Tableau242[[#This Row],[Company number]],#REF!,30,FALSE),"")</f>
        <v/>
      </c>
      <c r="N52" s="62" t="str">
        <f>IFERROR(VLOOKUP(Tableau242[[#This Row],[Company number]],#REF!,31,FALSE),"")</f>
        <v/>
      </c>
      <c r="O52" s="62" t="str">
        <f>IFERROR(VLOOKUP(Tableau242[[#This Row],[Company number]],#REF!,32,FALSE),"")</f>
        <v/>
      </c>
      <c r="P52" s="62">
        <f>IFERROR(VLOOKUP(B52,Tableau3[#All],5,FALSE),"Matricule!")</f>
        <v>6</v>
      </c>
      <c r="Q52" s="62">
        <f>IFERROR(SUM(VLOOKUP(B52,Tableau3[#All],6,FALSE),VLOOKUP(B52,Tableau3[#All],8,FALSE)),"Matricule!")</f>
        <v>14</v>
      </c>
      <c r="R52" s="62">
        <f>IFERROR(VLOOKUP(B52,Tableau3[#All],7,FALSE),"Matricule!")</f>
        <v>0</v>
      </c>
      <c r="S52" s="62">
        <f>IFERROR(Tableau242[[#This Row],[Prod. days WK]]-Tableau242[[#This Row],[Prod PXX]],"Matricule")</f>
        <v>-0.5</v>
      </c>
      <c r="T52" s="62">
        <f>IFERROR(Tableau242[[#This Row],[Non prod. days WK]]-Tableau242[[#This Row],[Improd PXX]],"Matricule")</f>
        <v>0</v>
      </c>
      <c r="U52" s="62">
        <f>IFERROR(Tableau242[[#This Row],[Paid leave days WK]]-Tableau242[[#This Row],[Congé PXX]],"Matricule")</f>
        <v>0.5</v>
      </c>
      <c r="V52" s="63">
        <f>IFERROR(VLOOKUP($B52,#REF!,4,FALSE),0)</f>
        <v>0</v>
      </c>
      <c r="W5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" s="63" t="s">
        <v>235</v>
      </c>
      <c r="Y52" s="63">
        <f>IF(AND(Tableau242[[#This Row],[Paid leave days]]&gt;0,Tableau242[[#This Row],[Prod. days]]&lt;0),MIN(Tableau242[[#This Row],[Paid leave days]],-Tableau242[[#This Row],[Prod. days]]),0)</f>
        <v>0.5</v>
      </c>
      <c r="Z52" s="63">
        <f>IFERROR(_xlfn.XLOOKUP(Tableau242[[#This Row],[Consultant]],Tableau2[Collaborateur/Nom affiché],Tableau2[Montant imputé],0),0)</f>
        <v>0</v>
      </c>
      <c r="AA52" s="64">
        <f t="shared" si="1"/>
        <v>-0.5</v>
      </c>
      <c r="AB52" s="65"/>
      <c r="AC52" s="66"/>
      <c r="AD52" s="66"/>
      <c r="AE52" s="66"/>
      <c r="AF52" s="90"/>
    </row>
    <row r="53" spans="1:32">
      <c r="A53" s="15">
        <f>Tableau242[[#This Row],[Company number]]+0</f>
        <v>21561</v>
      </c>
      <c r="B53" s="60" t="s">
        <v>236</v>
      </c>
      <c r="C53" s="61" t="s">
        <v>237</v>
      </c>
      <c r="D53" s="61" t="s">
        <v>62</v>
      </c>
      <c r="E53" s="62" t="str">
        <f>IFERROR(VLOOKUP(Tableau242[[#This Row],[Manager ou CDM concerné]],Parametres!B:C,2,FALSE),"")</f>
        <v>Squad E</v>
      </c>
      <c r="F53" s="62" t="str">
        <f>IF(Tableau242[[#This Row],[Consultant]]=Tableau242[[#This Row],[Manager ou CDM concerné]],"Non",IF(IFERROR(VLOOKUP(Tableau242[[#This Row],[Consultant]],Parametres!B:C,2,FALSE),0)=0,"Non","Oui"))</f>
        <v>Non</v>
      </c>
      <c r="G53" s="62">
        <f>IFERROR(VLOOKUP(B53,Tableau5[#All],4,FALSE),"Matricule!")</f>
        <v>20</v>
      </c>
      <c r="H53" s="62" t="str">
        <f>IFERROR(VLOOKUP(Tableau242[[#This Row],[Company number]],#REF!,6,FALSE),"")</f>
        <v/>
      </c>
      <c r="I53" s="62">
        <f>IFERROR(VLOOKUP(B53,Tableau5[#All],5,FALSE),"Matricule!")</f>
        <v>0</v>
      </c>
      <c r="J53" s="62">
        <f>IFERROR(VLOOKUP(B53,Tableau5[#All],6,FALSE),"Matricule!")</f>
        <v>0</v>
      </c>
      <c r="K53" s="62">
        <f>IFERROR(VLOOKUP(B53,Tableau5[#All],7,FALSE),"Matricule!")</f>
        <v>0</v>
      </c>
      <c r="L53" s="62" t="e">
        <f>VLOOKUP(Tableau242[[#This Row],[Company number]],#REF!,25,FALSE)</f>
        <v>#REF!</v>
      </c>
      <c r="M53" s="62" t="str">
        <f>IFERROR(VLOOKUP(Tableau242[[#This Row],[Company number]],#REF!,30,FALSE),"")</f>
        <v/>
      </c>
      <c r="N53" s="62" t="str">
        <f>IFERROR(VLOOKUP(Tableau242[[#This Row],[Company number]],#REF!,31,FALSE),"")</f>
        <v/>
      </c>
      <c r="O53" s="62" t="str">
        <f>IFERROR(VLOOKUP(Tableau242[[#This Row],[Company number]],#REF!,32,FALSE),"")</f>
        <v/>
      </c>
      <c r="P53" s="62">
        <f>IFERROR(VLOOKUP(B53,Tableau3[#All],5,FALSE),"Matricule!")</f>
        <v>20</v>
      </c>
      <c r="Q53" s="62">
        <f>IFERROR(SUM(VLOOKUP(B53,Tableau3[#All],6,FALSE),VLOOKUP(B53,Tableau3[#All],8,FALSE)),"Matricule!")</f>
        <v>0</v>
      </c>
      <c r="R53" s="62">
        <f>IFERROR(VLOOKUP(B53,Tableau3[#All],7,FALSE),"Matricule!")</f>
        <v>0</v>
      </c>
      <c r="S53" s="62">
        <f>IFERROR(Tableau242[[#This Row],[Prod. days WK]]-Tableau242[[#This Row],[Prod PXX]],"Matricule")</f>
        <v>0</v>
      </c>
      <c r="T53" s="62">
        <f>IFERROR(Tableau242[[#This Row],[Non prod. days WK]]-Tableau242[[#This Row],[Improd PXX]],"Matricule")</f>
        <v>0</v>
      </c>
      <c r="U53" s="62">
        <f>IFERROR(Tableau242[[#This Row],[Paid leave days WK]]-Tableau242[[#This Row],[Congé PXX]],"Matricule")</f>
        <v>0</v>
      </c>
      <c r="V53" s="63">
        <f>IFERROR(VLOOKUP($B53,#REF!,4,FALSE),0)</f>
        <v>0</v>
      </c>
      <c r="W5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3" s="63">
        <f>IF(AND(Tableau242[[#This Row],[Paid leave days]]&gt;0,Tableau242[[#This Row],[Prod. days]]&lt;0),MIN(Tableau242[[#This Row],[Paid leave days]],-Tableau242[[#This Row],[Prod. days]]),0)</f>
        <v>0</v>
      </c>
      <c r="Z53" s="63">
        <f>IFERROR(_xlfn.XLOOKUP(Tableau242[[#This Row],[Consultant]],Tableau2[Collaborateur/Nom affiché],Tableau2[Montant imputé],0),0)</f>
        <v>0</v>
      </c>
      <c r="AA53" s="64">
        <f t="shared" si="1"/>
        <v>0</v>
      </c>
      <c r="AB53" s="65"/>
      <c r="AC53" s="66"/>
      <c r="AD53" s="66"/>
      <c r="AE53" s="38"/>
      <c r="AF53" s="90"/>
    </row>
    <row r="54" spans="1:32">
      <c r="A54" s="15">
        <f>Tableau242[[#This Row],[Company number]]+0</f>
        <v>16337</v>
      </c>
      <c r="B54" s="60" t="s">
        <v>238</v>
      </c>
      <c r="C54" s="61" t="s">
        <v>239</v>
      </c>
      <c r="D54" s="61" t="s">
        <v>62</v>
      </c>
      <c r="E54" s="62" t="str">
        <f>IFERROR(VLOOKUP(Tableau242[[#This Row],[Manager ou CDM concerné]],Parametres!B:C,2,FALSE),"")</f>
        <v>Squad E</v>
      </c>
      <c r="F54" s="62" t="str">
        <f>IF(Tableau242[[#This Row],[Consultant]]=Tableau242[[#This Row],[Manager ou CDM concerné]],"Non",IF(IFERROR(VLOOKUP(Tableau242[[#This Row],[Consultant]],Parametres!B:C,2,FALSE),0)=0,"Non","Oui"))</f>
        <v>Non</v>
      </c>
      <c r="G54" s="62">
        <f>IFERROR(VLOOKUP(B54,Tableau5[#All],4,FALSE),"Matricule!")</f>
        <v>9</v>
      </c>
      <c r="H54" s="62" t="str">
        <f>IFERROR(VLOOKUP(Tableau242[[#This Row],[Company number]],#REF!,6,FALSE),"")</f>
        <v/>
      </c>
      <c r="I54" s="62">
        <f>IFERROR(VLOOKUP(B54,Tableau5[#All],5,FALSE),"Matricule!")</f>
        <v>0</v>
      </c>
      <c r="J54" s="62">
        <f>IFERROR(VLOOKUP(B54,Tableau5[#All],6,FALSE),"Matricule!")</f>
        <v>11</v>
      </c>
      <c r="K54" s="62">
        <f>IFERROR(VLOOKUP(B54,Tableau5[#All],7,FALSE),"Matricule!")</f>
        <v>0</v>
      </c>
      <c r="L54" s="62" t="e">
        <f>VLOOKUP(Tableau242[[#This Row],[Company number]],#REF!,25,FALSE)</f>
        <v>#REF!</v>
      </c>
      <c r="M54" s="62" t="str">
        <f>IFERROR(VLOOKUP(Tableau242[[#This Row],[Company number]],#REF!,30,FALSE),"")</f>
        <v/>
      </c>
      <c r="N54" s="62" t="str">
        <f>IFERROR(VLOOKUP(Tableau242[[#This Row],[Company number]],#REF!,31,FALSE),"")</f>
        <v/>
      </c>
      <c r="O54" s="62" t="str">
        <f>IFERROR(VLOOKUP(Tableau242[[#This Row],[Company number]],#REF!,32,FALSE),"")</f>
        <v/>
      </c>
      <c r="P54" s="62">
        <f>IFERROR(VLOOKUP(B54,Tableau3[#All],5,FALSE),"Matricule!")</f>
        <v>7</v>
      </c>
      <c r="Q54" s="62">
        <f>IFERROR(SUM(VLOOKUP(B54,Tableau3[#All],6,FALSE),VLOOKUP(B54,Tableau3[#All],8,FALSE)),"Matricule!")</f>
        <v>2</v>
      </c>
      <c r="R54" s="62">
        <f>IFERROR(VLOOKUP(B54,Tableau3[#All],7,FALSE),"Matricule!")</f>
        <v>11</v>
      </c>
      <c r="S54" s="62">
        <f>IFERROR(Tableau242[[#This Row],[Prod. days WK]]-Tableau242[[#This Row],[Prod PXX]],"Matricule")</f>
        <v>2</v>
      </c>
      <c r="T54" s="62">
        <f>IFERROR(Tableau242[[#This Row],[Non prod. days WK]]-Tableau242[[#This Row],[Improd PXX]],"Matricule")</f>
        <v>-2</v>
      </c>
      <c r="U54" s="62">
        <f>IFERROR(Tableau242[[#This Row],[Paid leave days WK]]-Tableau242[[#This Row],[Congé PXX]],"Matricule")</f>
        <v>0</v>
      </c>
      <c r="V54" s="63">
        <f>IFERROR(VLOOKUP($B54,#REF!,4,FALSE),0)</f>
        <v>0</v>
      </c>
      <c r="W5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4" s="63">
        <f>IF(AND(Tableau242[[#This Row],[Paid leave days]]&gt;0,Tableau242[[#This Row],[Prod. days]]&lt;0),MIN(Tableau242[[#This Row],[Paid leave days]],-Tableau242[[#This Row],[Prod. days]]),0)</f>
        <v>0</v>
      </c>
      <c r="Z54" s="63">
        <f>IFERROR(_xlfn.XLOOKUP(Tableau242[[#This Row],[Consultant]],Tableau2[Collaborateur/Nom affiché],Tableau2[Montant imputé],0),0)</f>
        <v>0</v>
      </c>
      <c r="AA54" s="64">
        <f t="shared" si="1"/>
        <v>2</v>
      </c>
      <c r="AB54" s="65"/>
      <c r="AC54" s="66"/>
      <c r="AD54" s="66"/>
      <c r="AE54" s="38"/>
      <c r="AF54" s="90"/>
    </row>
    <row r="55" spans="1:32">
      <c r="A55" s="15">
        <f>Tableau242[[#This Row],[Company number]]+0</f>
        <v>20393</v>
      </c>
      <c r="B55" s="60" t="s">
        <v>240</v>
      </c>
      <c r="C55" s="61" t="s">
        <v>241</v>
      </c>
      <c r="D55" s="61" t="s">
        <v>62</v>
      </c>
      <c r="E55" s="62" t="str">
        <f>IFERROR(VLOOKUP(Tableau242[[#This Row],[Manager ou CDM concerné]],Parametres!B:C,2,FALSE),"")</f>
        <v>Squad E</v>
      </c>
      <c r="F55" s="62" t="str">
        <f>IF(Tableau242[[#This Row],[Consultant]]=Tableau242[[#This Row],[Manager ou CDM concerné]],"Non",IF(IFERROR(VLOOKUP(Tableau242[[#This Row],[Consultant]],Parametres!B:C,2,FALSE),0)=0,"Non","Oui"))</f>
        <v>Non</v>
      </c>
      <c r="G55" s="62">
        <f>IFERROR(VLOOKUP(B55,Tableau5[#All],4,FALSE),"Matricule!")</f>
        <v>20</v>
      </c>
      <c r="H55" s="62" t="str">
        <f>IFERROR(VLOOKUP(Tableau242[[#This Row],[Company number]],#REF!,6,FALSE),"")</f>
        <v/>
      </c>
      <c r="I55" s="62">
        <f>IFERROR(VLOOKUP(B55,Tableau5[#All],5,FALSE),"Matricule!")</f>
        <v>0</v>
      </c>
      <c r="J55" s="62">
        <f>IFERROR(VLOOKUP(B55,Tableau5[#All],6,FALSE),"Matricule!")</f>
        <v>0</v>
      </c>
      <c r="K55" s="62">
        <f>IFERROR(VLOOKUP(B55,Tableau5[#All],7,FALSE),"Matricule!")</f>
        <v>0</v>
      </c>
      <c r="L55" s="62" t="e">
        <f>VLOOKUP(Tableau242[[#This Row],[Company number]],#REF!,25,FALSE)</f>
        <v>#REF!</v>
      </c>
      <c r="M55" s="62" t="str">
        <f>IFERROR(VLOOKUP(Tableau242[[#This Row],[Company number]],#REF!,30,FALSE),"")</f>
        <v/>
      </c>
      <c r="N55" s="62" t="str">
        <f>IFERROR(VLOOKUP(Tableau242[[#This Row],[Company number]],#REF!,31,FALSE),"")</f>
        <v/>
      </c>
      <c r="O55" s="62" t="str">
        <f>IFERROR(VLOOKUP(Tableau242[[#This Row],[Company number]],#REF!,32,FALSE),"")</f>
        <v/>
      </c>
      <c r="P55" s="62">
        <f>IFERROR(VLOOKUP(B55,Tableau3[#All],5,FALSE),"Matricule!")</f>
        <v>20</v>
      </c>
      <c r="Q55" s="62">
        <f>IFERROR(SUM(VLOOKUP(B55,Tableau3[#All],6,FALSE),VLOOKUP(B55,Tableau3[#All],8,FALSE)),"Matricule!")</f>
        <v>0</v>
      </c>
      <c r="R55" s="62">
        <f>IFERROR(VLOOKUP(B55,Tableau3[#All],7,FALSE),"Matricule!")</f>
        <v>0</v>
      </c>
      <c r="S55" s="62">
        <f>IFERROR(Tableau242[[#This Row],[Prod. days WK]]-Tableau242[[#This Row],[Prod PXX]],"Matricule")</f>
        <v>0</v>
      </c>
      <c r="T55" s="62">
        <f>IFERROR(Tableau242[[#This Row],[Non prod. days WK]]-Tableau242[[#This Row],[Improd PXX]],"Matricule")</f>
        <v>0</v>
      </c>
      <c r="U55" s="62">
        <f>IFERROR(Tableau242[[#This Row],[Paid leave days WK]]-Tableau242[[#This Row],[Congé PXX]],"Matricule")</f>
        <v>0</v>
      </c>
      <c r="V55" s="63">
        <f>IFERROR(VLOOKUP($B55,#REF!,4,FALSE),0)</f>
        <v>0</v>
      </c>
      <c r="W5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5" s="63">
        <f>IF(AND(Tableau242[[#This Row],[Paid leave days]]&gt;0,Tableau242[[#This Row],[Prod. days]]&lt;0),MIN(Tableau242[[#This Row],[Paid leave days]],-Tableau242[[#This Row],[Prod. days]]),0)</f>
        <v>0</v>
      </c>
      <c r="Z55" s="63">
        <f>IFERROR(_xlfn.XLOOKUP(Tableau242[[#This Row],[Consultant]],Tableau2[Collaborateur/Nom affiché],Tableau2[Montant imputé],0),0)</f>
        <v>0</v>
      </c>
      <c r="AA55" s="64">
        <f t="shared" si="1"/>
        <v>0</v>
      </c>
      <c r="AB55" s="65"/>
      <c r="AC55" s="66"/>
      <c r="AD55" s="66"/>
      <c r="AE55" s="66"/>
      <c r="AF55" s="90"/>
    </row>
    <row r="56" spans="1:32">
      <c r="A56" s="15">
        <f>Tableau242[[#This Row],[Company number]]+0</f>
        <v>17649</v>
      </c>
      <c r="B56" s="60" t="s">
        <v>242</v>
      </c>
      <c r="C56" s="61" t="s">
        <v>243</v>
      </c>
      <c r="D56" s="61" t="s">
        <v>62</v>
      </c>
      <c r="E56" s="62" t="str">
        <f>IFERROR(VLOOKUP(Tableau242[[#This Row],[Manager ou CDM concerné]],Parametres!B:C,2,FALSE),"")</f>
        <v>Squad E</v>
      </c>
      <c r="F56" s="62" t="str">
        <f>IF(Tableau242[[#This Row],[Consultant]]=Tableau242[[#This Row],[Manager ou CDM concerné]],"Non",IF(IFERROR(VLOOKUP(Tableau242[[#This Row],[Consultant]],Parametres!B:C,2,FALSE),0)=0,"Non","Oui"))</f>
        <v>Non</v>
      </c>
      <c r="G56" s="62">
        <f>IFERROR(VLOOKUP(B56,Tableau5[#All],4,FALSE),"Matricule!")</f>
        <v>20</v>
      </c>
      <c r="H56" s="62" t="str">
        <f>IFERROR(VLOOKUP(Tableau242[[#This Row],[Company number]],#REF!,6,FALSE),"")</f>
        <v/>
      </c>
      <c r="I56" s="62">
        <f>IFERROR(VLOOKUP(B56,Tableau5[#All],5,FALSE),"Matricule!")</f>
        <v>0</v>
      </c>
      <c r="J56" s="62">
        <f>IFERROR(VLOOKUP(B56,Tableau5[#All],6,FALSE),"Matricule!")</f>
        <v>0</v>
      </c>
      <c r="K56" s="62">
        <f>IFERROR(VLOOKUP(B56,Tableau5[#All],7,FALSE),"Matricule!")</f>
        <v>0</v>
      </c>
      <c r="L56" s="62" t="e">
        <f>VLOOKUP(Tableau242[[#This Row],[Company number]],#REF!,25,FALSE)</f>
        <v>#REF!</v>
      </c>
      <c r="M56" s="62" t="str">
        <f>IFERROR(VLOOKUP(Tableau242[[#This Row],[Company number]],#REF!,30,FALSE),"")</f>
        <v/>
      </c>
      <c r="N56" s="62" t="str">
        <f>IFERROR(VLOOKUP(Tableau242[[#This Row],[Company number]],#REF!,31,FALSE),"")</f>
        <v/>
      </c>
      <c r="O56" s="62" t="str">
        <f>IFERROR(VLOOKUP(Tableau242[[#This Row],[Company number]],#REF!,32,FALSE),"")</f>
        <v/>
      </c>
      <c r="P56" s="62">
        <f>IFERROR(VLOOKUP(B56,Tableau3[#All],5,FALSE),"Matricule!")</f>
        <v>20</v>
      </c>
      <c r="Q56" s="62">
        <f>IFERROR(SUM(VLOOKUP(B56,Tableau3[#All],6,FALSE),VLOOKUP(B56,Tableau3[#All],8,FALSE)),"Matricule!")</f>
        <v>0</v>
      </c>
      <c r="R56" s="62">
        <f>IFERROR(VLOOKUP(B56,Tableau3[#All],7,FALSE),"Matricule!")</f>
        <v>0</v>
      </c>
      <c r="S56" s="62">
        <f>IFERROR(Tableau242[[#This Row],[Prod. days WK]]-Tableau242[[#This Row],[Prod PXX]],"Matricule")</f>
        <v>0</v>
      </c>
      <c r="T56" s="62">
        <f>IFERROR(Tableau242[[#This Row],[Non prod. days WK]]-Tableau242[[#This Row],[Improd PXX]],"Matricule")</f>
        <v>0</v>
      </c>
      <c r="U56" s="62">
        <f>IFERROR(Tableau242[[#This Row],[Paid leave days WK]]-Tableau242[[#This Row],[Congé PXX]],"Matricule")</f>
        <v>0</v>
      </c>
      <c r="V56" s="63">
        <f>IFERROR(VLOOKUP($B56,#REF!,4,FALSE),0)</f>
        <v>0</v>
      </c>
      <c r="W5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6" s="63">
        <f>IF(AND(Tableau242[[#This Row],[Paid leave days]]&gt;0,Tableau242[[#This Row],[Prod. days]]&lt;0),MIN(Tableau242[[#This Row],[Paid leave days]],-Tableau242[[#This Row],[Prod. days]]),0)</f>
        <v>0</v>
      </c>
      <c r="Z56" s="63">
        <f>IFERROR(_xlfn.XLOOKUP(Tableau242[[#This Row],[Consultant]],Tableau2[Collaborateur/Nom affiché],Tableau2[Montant imputé],0),0)</f>
        <v>0</v>
      </c>
      <c r="AA56" s="64">
        <f t="shared" si="1"/>
        <v>0</v>
      </c>
      <c r="AB56" s="65"/>
      <c r="AC56" s="66"/>
      <c r="AD56" s="66"/>
      <c r="AE56" s="66"/>
      <c r="AF56" s="90"/>
    </row>
    <row r="57" spans="1:32">
      <c r="A57" s="15">
        <f>Tableau242[[#This Row],[Company number]]+0</f>
        <v>17226</v>
      </c>
      <c r="B57" s="60" t="s">
        <v>244</v>
      </c>
      <c r="C57" s="61" t="s">
        <v>245</v>
      </c>
      <c r="D57" s="61" t="s">
        <v>62</v>
      </c>
      <c r="E57" s="62" t="str">
        <f>IFERROR(VLOOKUP(Tableau242[[#This Row],[Manager ou CDM concerné]],Parametres!B:C,2,FALSE),"")</f>
        <v>Squad E</v>
      </c>
      <c r="F57" s="62" t="str">
        <f>IF(Tableau242[[#This Row],[Consultant]]=Tableau242[[#This Row],[Manager ou CDM concerné]],"Non",IF(IFERROR(VLOOKUP(Tableau242[[#This Row],[Consultant]],Parametres!B:C,2,FALSE),0)=0,"Non","Oui"))</f>
        <v>Non</v>
      </c>
      <c r="G57" s="62">
        <f>IFERROR(VLOOKUP(B57,Tableau5[#All],4,FALSE),"Matricule!")</f>
        <v>20</v>
      </c>
      <c r="H57" s="62" t="str">
        <f>IFERROR(VLOOKUP(Tableau242[[#This Row],[Company number]],#REF!,6,FALSE),"")</f>
        <v/>
      </c>
      <c r="I57" s="62">
        <f>IFERROR(VLOOKUP(B57,Tableau5[#All],5,FALSE),"Matricule!")</f>
        <v>0</v>
      </c>
      <c r="J57" s="62">
        <f>IFERROR(VLOOKUP(B57,Tableau5[#All],6,FALSE),"Matricule!")</f>
        <v>0</v>
      </c>
      <c r="K57" s="62">
        <f>IFERROR(VLOOKUP(B57,Tableau5[#All],7,FALSE),"Matricule!")</f>
        <v>0</v>
      </c>
      <c r="L57" s="62" t="e">
        <f>VLOOKUP(Tableau242[[#This Row],[Company number]],#REF!,25,FALSE)</f>
        <v>#REF!</v>
      </c>
      <c r="M57" s="62" t="str">
        <f>IFERROR(VLOOKUP(Tableau242[[#This Row],[Company number]],#REF!,30,FALSE),"")</f>
        <v/>
      </c>
      <c r="N57" s="62" t="str">
        <f>IFERROR(VLOOKUP(Tableau242[[#This Row],[Company number]],#REF!,31,FALSE),"")</f>
        <v/>
      </c>
      <c r="O57" s="62" t="str">
        <f>IFERROR(VLOOKUP(Tableau242[[#This Row],[Company number]],#REF!,32,FALSE),"")</f>
        <v/>
      </c>
      <c r="P57" s="62">
        <f>IFERROR(VLOOKUP(B57,Tableau3[#All],5,FALSE),"Matricule!")</f>
        <v>20</v>
      </c>
      <c r="Q57" s="62">
        <f>IFERROR(SUM(VLOOKUP(B57,Tableau3[#All],6,FALSE),VLOOKUP(B57,Tableau3[#All],8,FALSE)),"Matricule!")</f>
        <v>0</v>
      </c>
      <c r="R57" s="62">
        <f>IFERROR(VLOOKUP(B57,Tableau3[#All],7,FALSE),"Matricule!")</f>
        <v>0</v>
      </c>
      <c r="S57" s="62">
        <f>IFERROR(Tableau242[[#This Row],[Prod. days WK]]-Tableau242[[#This Row],[Prod PXX]],"Matricule")</f>
        <v>0</v>
      </c>
      <c r="T57" s="62">
        <f>IFERROR(Tableau242[[#This Row],[Non prod. days WK]]-Tableau242[[#This Row],[Improd PXX]],"Matricule")</f>
        <v>0</v>
      </c>
      <c r="U57" s="62">
        <f>IFERROR(Tableau242[[#This Row],[Paid leave days WK]]-Tableau242[[#This Row],[Congé PXX]],"Matricule")</f>
        <v>0</v>
      </c>
      <c r="V57" s="63">
        <f>IFERROR(VLOOKUP($B57,#REF!,4,FALSE),0)</f>
        <v>0</v>
      </c>
      <c r="W5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7" s="63">
        <f>IF(AND(Tableau242[[#This Row],[Paid leave days]]&gt;0,Tableau242[[#This Row],[Prod. days]]&lt;0),MIN(Tableau242[[#This Row],[Paid leave days]],-Tableau242[[#This Row],[Prod. days]]),0)</f>
        <v>0</v>
      </c>
      <c r="Z57" s="63">
        <f>IFERROR(_xlfn.XLOOKUP(Tableau242[[#This Row],[Consultant]],Tableau2[Collaborateur/Nom affiché],Tableau2[Montant imputé],0),0)</f>
        <v>0</v>
      </c>
      <c r="AA57" s="64">
        <f t="shared" si="1"/>
        <v>0</v>
      </c>
      <c r="AB57" s="65"/>
      <c r="AC57" s="66"/>
      <c r="AD57" s="66"/>
      <c r="AE57" s="66"/>
      <c r="AF57" s="92"/>
    </row>
    <row r="58" spans="1:32">
      <c r="A58" s="15">
        <f>Tableau242[[#This Row],[Company number]]+0</f>
        <v>21634</v>
      </c>
      <c r="B58" s="60" t="s">
        <v>246</v>
      </c>
      <c r="C58" s="61" t="s">
        <v>247</v>
      </c>
      <c r="D58" s="61" t="s">
        <v>62</v>
      </c>
      <c r="E58" s="62" t="str">
        <f>IFERROR(VLOOKUP(Tableau242[[#This Row],[Manager ou CDM concerné]],Parametres!B:C,2,FALSE),"")</f>
        <v>Squad E</v>
      </c>
      <c r="F58" s="62" t="str">
        <f>IF(Tableau242[[#This Row],[Consultant]]=Tableau242[[#This Row],[Manager ou CDM concerné]],"Non",IF(IFERROR(VLOOKUP(Tableau242[[#This Row],[Consultant]],Parametres!B:C,2,FALSE),0)=0,"Non","Oui"))</f>
        <v>Non</v>
      </c>
      <c r="G58" s="62">
        <f>IFERROR(VLOOKUP(B58,Tableau5[#All],4,FALSE),"Matricule!")</f>
        <v>0</v>
      </c>
      <c r="H58" s="62" t="str">
        <f>IFERROR(VLOOKUP(Tableau242[[#This Row],[Company number]],#REF!,6,FALSE),"")</f>
        <v/>
      </c>
      <c r="I58" s="62">
        <f>IFERROR(VLOOKUP(B58,Tableau5[#All],5,FALSE),"Matricule!")</f>
        <v>11</v>
      </c>
      <c r="J58" s="62">
        <f>IFERROR(VLOOKUP(B58,Tableau5[#All],6,FALSE),"Matricule!")</f>
        <v>0</v>
      </c>
      <c r="K58" s="62">
        <f>IFERROR(VLOOKUP(B58,Tableau5[#All],7,FALSE),"Matricule!")</f>
        <v>9</v>
      </c>
      <c r="L58" s="62" t="e">
        <f>VLOOKUP(Tableau242[[#This Row],[Company number]],#REF!,25,FALSE)</f>
        <v>#REF!</v>
      </c>
      <c r="M58" s="62" t="str">
        <f>IFERROR(VLOOKUP(Tableau242[[#This Row],[Company number]],#REF!,30,FALSE),"")</f>
        <v/>
      </c>
      <c r="N58" s="62" t="str">
        <f>IFERROR(VLOOKUP(Tableau242[[#This Row],[Company number]],#REF!,31,FALSE),"")</f>
        <v/>
      </c>
      <c r="O58" s="62" t="str">
        <f>IFERROR(VLOOKUP(Tableau242[[#This Row],[Company number]],#REF!,32,FALSE),"")</f>
        <v/>
      </c>
      <c r="P58" s="62">
        <f>IFERROR(VLOOKUP(B58,Tableau3[#All],5,FALSE),"Matricule!")</f>
        <v>0</v>
      </c>
      <c r="Q58" s="62">
        <f>IFERROR(SUM(VLOOKUP(B58,Tableau3[#All],6,FALSE),VLOOKUP(B58,Tableau3[#All],8,FALSE)),"Matricule!")</f>
        <v>11</v>
      </c>
      <c r="R58" s="62">
        <f>IFERROR(VLOOKUP(B58,Tableau3[#All],7,FALSE),"Matricule!")</f>
        <v>0</v>
      </c>
      <c r="S58" s="62">
        <f>IFERROR(Tableau242[[#This Row],[Prod. days WK]]-Tableau242[[#This Row],[Prod PXX]],"Matricule")</f>
        <v>0</v>
      </c>
      <c r="T58" s="62">
        <f>IFERROR(Tableau242[[#This Row],[Non prod. days WK]]-Tableau242[[#This Row],[Improd PXX]],"Matricule")</f>
        <v>0</v>
      </c>
      <c r="U58" s="62">
        <f>IFERROR(Tableau242[[#This Row],[Paid leave days WK]]-Tableau242[[#This Row],[Congé PXX]],"Matricule")</f>
        <v>0</v>
      </c>
      <c r="V58" s="63">
        <f>IFERROR(VLOOKUP($B58,#REF!,4,FALSE),0)</f>
        <v>0</v>
      </c>
      <c r="W5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8" s="63">
        <f>IF(AND(Tableau242[[#This Row],[Paid leave days]]&gt;0,Tableau242[[#This Row],[Prod. days]]&lt;0),MIN(Tableau242[[#This Row],[Paid leave days]],-Tableau242[[#This Row],[Prod. days]]),0)</f>
        <v>0</v>
      </c>
      <c r="Z58" s="63">
        <f>IFERROR(_xlfn.XLOOKUP(Tableau242[[#This Row],[Consultant]],Tableau2[Collaborateur/Nom affiché],Tableau2[Montant imputé],0),0)</f>
        <v>0</v>
      </c>
      <c r="AA58" s="64">
        <f t="shared" si="1"/>
        <v>0</v>
      </c>
      <c r="AB58" s="65"/>
      <c r="AC58" s="66"/>
      <c r="AD58" s="66"/>
      <c r="AE58" s="66"/>
      <c r="AF58" s="90"/>
    </row>
    <row r="59" spans="1:32">
      <c r="A59" s="15">
        <f>Tableau242[[#This Row],[Company number]]+0</f>
        <v>21231</v>
      </c>
      <c r="B59" s="60" t="s">
        <v>248</v>
      </c>
      <c r="C59" s="61" t="s">
        <v>249</v>
      </c>
      <c r="D59" s="61" t="s">
        <v>84</v>
      </c>
      <c r="E59" s="62" t="str">
        <f>IFERROR(VLOOKUP(Tableau242[[#This Row],[Manager ou CDM concerné]],Parametres!B:C,2,FALSE),"")</f>
        <v>Squad C</v>
      </c>
      <c r="F59" s="62" t="str">
        <f>IF(Tableau242[[#This Row],[Consultant]]=Tableau242[[#This Row],[Manager ou CDM concerné]],"Non",IF(IFERROR(VLOOKUP(Tableau242[[#This Row],[Consultant]],Parametres!B:C,2,FALSE),0)=0,"Non","Oui"))</f>
        <v>Non</v>
      </c>
      <c r="G59" s="62">
        <f>IFERROR(VLOOKUP(B59,Tableau5[#All],4,FALSE),"Matricule!")</f>
        <v>11</v>
      </c>
      <c r="H59" s="62" t="str">
        <f>IFERROR(VLOOKUP(Tableau242[[#This Row],[Company number]],#REF!,6,FALSE),"")</f>
        <v/>
      </c>
      <c r="I59" s="62">
        <f>IFERROR(VLOOKUP(B59,Tableau5[#All],5,FALSE),"Matricule!")</f>
        <v>9</v>
      </c>
      <c r="J59" s="62">
        <f>IFERROR(VLOOKUP(B59,Tableau5[#All],6,FALSE),"Matricule!")</f>
        <v>0</v>
      </c>
      <c r="K59" s="62">
        <f>IFERROR(VLOOKUP(B59,Tableau5[#All],7,FALSE),"Matricule!")</f>
        <v>0</v>
      </c>
      <c r="L59" s="62" t="e">
        <f>VLOOKUP(Tableau242[[#This Row],[Company number]],#REF!,25,FALSE)</f>
        <v>#REF!</v>
      </c>
      <c r="M59" s="62" t="str">
        <f>IFERROR(VLOOKUP(Tableau242[[#This Row],[Company number]],#REF!,30,FALSE),"")</f>
        <v/>
      </c>
      <c r="N59" s="62" t="str">
        <f>IFERROR(VLOOKUP(Tableau242[[#This Row],[Company number]],#REF!,31,FALSE),"")</f>
        <v/>
      </c>
      <c r="O59" s="62" t="str">
        <f>IFERROR(VLOOKUP(Tableau242[[#This Row],[Company number]],#REF!,32,FALSE),"")</f>
        <v/>
      </c>
      <c r="P59" s="62">
        <f>IFERROR(VLOOKUP(B59,Tableau3[#All],5,FALSE),"Matricule!")</f>
        <v>20</v>
      </c>
      <c r="Q59" s="62">
        <f>IFERROR(SUM(VLOOKUP(B59,Tableau3[#All],6,FALSE),VLOOKUP(B59,Tableau3[#All],8,FALSE)),"Matricule!")</f>
        <v>0</v>
      </c>
      <c r="R59" s="62">
        <f>IFERROR(VLOOKUP(B59,Tableau3[#All],7,FALSE),"Matricule!")</f>
        <v>0</v>
      </c>
      <c r="S59" s="62">
        <f>IFERROR(Tableau242[[#This Row],[Prod. days WK]]-Tableau242[[#This Row],[Prod PXX]],"Matricule")</f>
        <v>-9</v>
      </c>
      <c r="T59" s="62">
        <f>IFERROR(Tableau242[[#This Row],[Non prod. days WK]]-Tableau242[[#This Row],[Improd PXX]],"Matricule")</f>
        <v>9</v>
      </c>
      <c r="U59" s="62">
        <f>IFERROR(Tableau242[[#This Row],[Paid leave days WK]]-Tableau242[[#This Row],[Congé PXX]],"Matricule")</f>
        <v>0</v>
      </c>
      <c r="V59" s="63">
        <f>IFERROR(VLOOKUP($B59,#REF!,4,FALSE),0)</f>
        <v>0</v>
      </c>
      <c r="W5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9" s="63">
        <f>IF(AND(Tableau242[[#This Row],[Paid leave days]]&gt;0,Tableau242[[#This Row],[Prod. days]]&lt;0),MIN(Tableau242[[#This Row],[Paid leave days]],-Tableau242[[#This Row],[Prod. days]]),0)</f>
        <v>0</v>
      </c>
      <c r="Z59" s="63">
        <f>IFERROR(_xlfn.XLOOKUP(Tableau242[[#This Row],[Consultant]],Tableau2[Collaborateur/Nom affiché],Tableau2[Montant imputé],0),0)</f>
        <v>0</v>
      </c>
      <c r="AA59" s="64">
        <f t="shared" si="1"/>
        <v>-9</v>
      </c>
      <c r="AB59" s="65" t="s">
        <v>147</v>
      </c>
      <c r="AC59" s="67"/>
      <c r="AD59" s="66"/>
      <c r="AE59" s="66"/>
      <c r="AF59" s="92"/>
    </row>
    <row r="60" spans="1:32" ht="42.95">
      <c r="A60" s="15">
        <f>Tableau242[[#This Row],[Company number]]+0</f>
        <v>16077</v>
      </c>
      <c r="B60" s="60" t="s">
        <v>250</v>
      </c>
      <c r="C60" s="61" t="s">
        <v>251</v>
      </c>
      <c r="D60" s="61" t="s">
        <v>19</v>
      </c>
      <c r="E60" s="62" t="str">
        <f>IFERROR(VLOOKUP(Tableau242[[#This Row],[Manager ou CDM concerné]],Parametres!B:C,2,FALSE),"")</f>
        <v>Squad D</v>
      </c>
      <c r="F60" s="62" t="str">
        <f>IF(Tableau242[[#This Row],[Consultant]]=Tableau242[[#This Row],[Manager ou CDM concerné]],"Non",IF(IFERROR(VLOOKUP(Tableau242[[#This Row],[Consultant]],Parametres!B:C,2,FALSE),0)=0,"Non","Oui"))</f>
        <v>Non</v>
      </c>
      <c r="G60" s="62">
        <f>IFERROR(VLOOKUP(B60,Tableau5[#All],4,FALSE),"Matricule!")</f>
        <v>6</v>
      </c>
      <c r="H60" s="62" t="str">
        <f>IFERROR(VLOOKUP(Tableau242[[#This Row],[Company number]],#REF!,6,FALSE),"")</f>
        <v/>
      </c>
      <c r="I60" s="62">
        <f>IFERROR(VLOOKUP(B60,Tableau5[#All],5,FALSE),"Matricule!")</f>
        <v>9</v>
      </c>
      <c r="J60" s="62">
        <f>IFERROR(VLOOKUP(B60,Tableau5[#All],6,FALSE),"Matricule!")</f>
        <v>5</v>
      </c>
      <c r="K60" s="62">
        <f>IFERROR(VLOOKUP(B60,Tableau5[#All],7,FALSE),"Matricule!")</f>
        <v>0</v>
      </c>
      <c r="L60" s="62" t="e">
        <f>VLOOKUP(Tableau242[[#This Row],[Company number]],#REF!,25,FALSE)</f>
        <v>#REF!</v>
      </c>
      <c r="M60" s="62" t="str">
        <f>IFERROR(VLOOKUP(Tableau242[[#This Row],[Company number]],#REF!,30,FALSE),"")</f>
        <v/>
      </c>
      <c r="N60" s="62" t="str">
        <f>IFERROR(VLOOKUP(Tableau242[[#This Row],[Company number]],#REF!,31,FALSE),"")</f>
        <v/>
      </c>
      <c r="O60" s="62" t="str">
        <f>IFERROR(VLOOKUP(Tableau242[[#This Row],[Company number]],#REF!,32,FALSE),"")</f>
        <v/>
      </c>
      <c r="P60" s="62">
        <f>IFERROR(VLOOKUP(B60,Tableau3[#All],5,FALSE),"Matricule!")</f>
        <v>15</v>
      </c>
      <c r="Q60" s="62">
        <f>IFERROR(SUM(VLOOKUP(B60,Tableau3[#All],6,FALSE),VLOOKUP(B60,Tableau3[#All],8,FALSE)),"Matricule!")</f>
        <v>0</v>
      </c>
      <c r="R60" s="62">
        <f>IFERROR(VLOOKUP(B60,Tableau3[#All],7,FALSE),"Matricule!")</f>
        <v>5</v>
      </c>
      <c r="S60" s="62">
        <f>IFERROR(Tableau242[[#This Row],[Prod. days WK]]-Tableau242[[#This Row],[Prod PXX]],"Matricule")</f>
        <v>-9</v>
      </c>
      <c r="T60" s="62">
        <f>IFERROR(Tableau242[[#This Row],[Non prod. days WK]]-Tableau242[[#This Row],[Improd PXX]],"Matricule")</f>
        <v>9</v>
      </c>
      <c r="U60" s="62">
        <f>IFERROR(Tableau242[[#This Row],[Paid leave days WK]]-Tableau242[[#This Row],[Congé PXX]],"Matricule")</f>
        <v>0</v>
      </c>
      <c r="V60" s="63">
        <f>IFERROR(VLOOKUP($B60,#REF!,4,FALSE),0)</f>
        <v>0</v>
      </c>
      <c r="W6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0" s="63">
        <f>IF(AND(Tableau242[[#This Row],[Paid leave days]]&gt;0,Tableau242[[#This Row],[Prod. days]]&lt;0),MIN(Tableau242[[#This Row],[Paid leave days]],-Tableau242[[#This Row],[Prod. days]]),0)</f>
        <v>0</v>
      </c>
      <c r="Z60" s="63">
        <f>IFERROR(_xlfn.XLOOKUP(Tableau242[[#This Row],[Consultant]],Tableau2[Collaborateur/Nom affiché],Tableau2[Montant imputé],0),0)</f>
        <v>0</v>
      </c>
      <c r="AA60" s="64">
        <f t="shared" si="1"/>
        <v>-9</v>
      </c>
      <c r="AB60" s="65" t="s">
        <v>154</v>
      </c>
      <c r="AC60" s="66"/>
      <c r="AD60" s="66"/>
      <c r="AE60" s="66"/>
      <c r="AF60" s="90" t="s">
        <v>252</v>
      </c>
    </row>
    <row r="61" spans="1:32">
      <c r="A61" s="15">
        <f>Tableau242[[#This Row],[Company number]]+0</f>
        <v>21677</v>
      </c>
      <c r="B61" s="60" t="s">
        <v>253</v>
      </c>
      <c r="C61" s="61" t="s">
        <v>254</v>
      </c>
      <c r="D61" s="61" t="s">
        <v>62</v>
      </c>
      <c r="E61" s="62" t="str">
        <f>IFERROR(VLOOKUP(Tableau242[[#This Row],[Manager ou CDM concerné]],Parametres!B:C,2,FALSE),"")</f>
        <v>Squad E</v>
      </c>
      <c r="F61" s="62" t="str">
        <f>IF(Tableau242[[#This Row],[Consultant]]=Tableau242[[#This Row],[Manager ou CDM concerné]],"Non",IF(IFERROR(VLOOKUP(Tableau242[[#This Row],[Consultant]],Parametres!B:C,2,FALSE),0)=0,"Non","Oui"))</f>
        <v>Non</v>
      </c>
      <c r="G61" s="62">
        <f>IFERROR(VLOOKUP(B61,Tableau5[#All],4,FALSE),"Matricule!")</f>
        <v>14</v>
      </c>
      <c r="H61" s="62" t="str">
        <f>IFERROR(VLOOKUP(Tableau242[[#This Row],[Company number]],#REF!,6,FALSE),"")</f>
        <v/>
      </c>
      <c r="I61" s="62">
        <f>IFERROR(VLOOKUP(B61,Tableau5[#All],5,FALSE),"Matricule!")</f>
        <v>1</v>
      </c>
      <c r="J61" s="62">
        <f>IFERROR(VLOOKUP(B61,Tableau5[#All],6,FALSE),"Matricule!")</f>
        <v>5</v>
      </c>
      <c r="K61" s="62">
        <f>IFERROR(VLOOKUP(B61,Tableau5[#All],7,FALSE),"Matricule!")</f>
        <v>0</v>
      </c>
      <c r="L61" s="62" t="e">
        <f>VLOOKUP(Tableau242[[#This Row],[Company number]],#REF!,25,FALSE)</f>
        <v>#REF!</v>
      </c>
      <c r="M61" s="62" t="str">
        <f>IFERROR(VLOOKUP(Tableau242[[#This Row],[Company number]],#REF!,30,FALSE),"")</f>
        <v/>
      </c>
      <c r="N61" s="62" t="str">
        <f>IFERROR(VLOOKUP(Tableau242[[#This Row],[Company number]],#REF!,31,FALSE),"")</f>
        <v/>
      </c>
      <c r="O61" s="62" t="str">
        <f>IFERROR(VLOOKUP(Tableau242[[#This Row],[Company number]],#REF!,32,FALSE),"")</f>
        <v/>
      </c>
      <c r="P61" s="62">
        <f>IFERROR(VLOOKUP(B61,Tableau3[#All],5,FALSE),"Matricule!")</f>
        <v>14</v>
      </c>
      <c r="Q61" s="62">
        <f>IFERROR(SUM(VLOOKUP(B61,Tableau3[#All],6,FALSE),VLOOKUP(B61,Tableau3[#All],8,FALSE)),"Matricule!")</f>
        <v>1</v>
      </c>
      <c r="R61" s="62">
        <f>IFERROR(VLOOKUP(B61,Tableau3[#All],7,FALSE),"Matricule!")</f>
        <v>5</v>
      </c>
      <c r="S61" s="62">
        <f>IFERROR(Tableau242[[#This Row],[Prod. days WK]]-Tableau242[[#This Row],[Prod PXX]],"Matricule")</f>
        <v>0</v>
      </c>
      <c r="T61" s="62">
        <f>IFERROR(Tableau242[[#This Row],[Non prod. days WK]]-Tableau242[[#This Row],[Improd PXX]],"Matricule")</f>
        <v>0</v>
      </c>
      <c r="U61" s="62">
        <f>IFERROR(Tableau242[[#This Row],[Paid leave days WK]]-Tableau242[[#This Row],[Congé PXX]],"Matricule")</f>
        <v>0</v>
      </c>
      <c r="V61" s="63">
        <f>IFERROR(VLOOKUP($B61,#REF!,4,FALSE),0)</f>
        <v>0</v>
      </c>
      <c r="W6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1" s="63">
        <f>IF(AND(Tableau242[[#This Row],[Paid leave days]]&gt;0,Tableau242[[#This Row],[Prod. days]]&lt;0),MIN(Tableau242[[#This Row],[Paid leave days]],-Tableau242[[#This Row],[Prod. days]]),0)</f>
        <v>0</v>
      </c>
      <c r="Z61" s="63">
        <f>IFERROR(_xlfn.XLOOKUP(Tableau242[[#This Row],[Consultant]],Tableau2[Collaborateur/Nom affiché],Tableau2[Montant imputé],0),0)</f>
        <v>0</v>
      </c>
      <c r="AA61" s="64">
        <f t="shared" si="1"/>
        <v>0</v>
      </c>
      <c r="AB61" s="65"/>
      <c r="AC61" s="66"/>
      <c r="AD61" s="66"/>
      <c r="AE61" s="66"/>
      <c r="AF61" s="90"/>
    </row>
    <row r="62" spans="1:32">
      <c r="A62" s="15">
        <f>Tableau242[[#This Row],[Company number]]+0</f>
        <v>20640</v>
      </c>
      <c r="B62" s="60" t="s">
        <v>255</v>
      </c>
      <c r="C62" s="61" t="s">
        <v>256</v>
      </c>
      <c r="D62" s="61" t="s">
        <v>62</v>
      </c>
      <c r="E62" s="62" t="str">
        <f>IFERROR(VLOOKUP(Tableau242[[#This Row],[Manager ou CDM concerné]],Parametres!B:C,2,FALSE),"")</f>
        <v>Squad E</v>
      </c>
      <c r="F62" s="62" t="str">
        <f>IF(Tableau242[[#This Row],[Consultant]]=Tableau242[[#This Row],[Manager ou CDM concerné]],"Non",IF(IFERROR(VLOOKUP(Tableau242[[#This Row],[Consultant]],Parametres!B:C,2,FALSE),0)=0,"Non","Oui"))</f>
        <v>Non</v>
      </c>
      <c r="G62" s="62">
        <f>IFERROR(VLOOKUP(B62,Tableau5[#All],4,FALSE),"Matricule!")</f>
        <v>0</v>
      </c>
      <c r="H62" s="62" t="str">
        <f>IFERROR(VLOOKUP(Tableau242[[#This Row],[Company number]],#REF!,6,FALSE),"")</f>
        <v/>
      </c>
      <c r="I62" s="62">
        <f>IFERROR(VLOOKUP(B62,Tableau5[#All],5,FALSE),"Matricule!")</f>
        <v>20</v>
      </c>
      <c r="J62" s="62">
        <f>IFERROR(VLOOKUP(B62,Tableau5[#All],6,FALSE),"Matricule!")</f>
        <v>0</v>
      </c>
      <c r="K62" s="62">
        <f>IFERROR(VLOOKUP(B62,Tableau5[#All],7,FALSE),"Matricule!")</f>
        <v>0</v>
      </c>
      <c r="L62" s="62" t="e">
        <f>VLOOKUP(Tableau242[[#This Row],[Company number]],#REF!,25,FALSE)</f>
        <v>#REF!</v>
      </c>
      <c r="M62" s="62" t="str">
        <f>IFERROR(VLOOKUP(Tableau242[[#This Row],[Company number]],#REF!,30,FALSE),"")</f>
        <v/>
      </c>
      <c r="N62" s="62" t="str">
        <f>IFERROR(VLOOKUP(Tableau242[[#This Row],[Company number]],#REF!,31,FALSE),"")</f>
        <v/>
      </c>
      <c r="O62" s="62" t="str">
        <f>IFERROR(VLOOKUP(Tableau242[[#This Row],[Company number]],#REF!,32,FALSE),"")</f>
        <v/>
      </c>
      <c r="P62" s="62">
        <f>IFERROR(VLOOKUP(B62,Tableau3[#All],5,FALSE),"Matricule!")</f>
        <v>0</v>
      </c>
      <c r="Q62" s="62">
        <f>IFERROR(SUM(VLOOKUP(B62,Tableau3[#All],6,FALSE),VLOOKUP(B62,Tableau3[#All],8,FALSE)),"Matricule!")</f>
        <v>20</v>
      </c>
      <c r="R62" s="62">
        <f>IFERROR(VLOOKUP(B62,Tableau3[#All],7,FALSE),"Matricule!")</f>
        <v>0</v>
      </c>
      <c r="S62" s="62">
        <f>IFERROR(Tableau242[[#This Row],[Prod. days WK]]-Tableau242[[#This Row],[Prod PXX]],"Matricule")</f>
        <v>0</v>
      </c>
      <c r="T62" s="62">
        <f>IFERROR(Tableau242[[#This Row],[Non prod. days WK]]-Tableau242[[#This Row],[Improd PXX]],"Matricule")</f>
        <v>0</v>
      </c>
      <c r="U62" s="62">
        <f>IFERROR(Tableau242[[#This Row],[Paid leave days WK]]-Tableau242[[#This Row],[Congé PXX]],"Matricule")</f>
        <v>0</v>
      </c>
      <c r="V62" s="63">
        <f>IFERROR(VLOOKUP($B62,#REF!,4,FALSE),0)</f>
        <v>0</v>
      </c>
      <c r="W6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2" s="63">
        <f>IF(AND(Tableau242[[#This Row],[Paid leave days]]&gt;0,Tableau242[[#This Row],[Prod. days]]&lt;0),MIN(Tableau242[[#This Row],[Paid leave days]],-Tableau242[[#This Row],[Prod. days]]),0)</f>
        <v>0</v>
      </c>
      <c r="Z62" s="63">
        <f>IFERROR(_xlfn.XLOOKUP(Tableau242[[#This Row],[Consultant]],Tableau2[Collaborateur/Nom affiché],Tableau2[Montant imputé],0),0)</f>
        <v>0</v>
      </c>
      <c r="AA62" s="64">
        <f t="shared" si="1"/>
        <v>0</v>
      </c>
      <c r="AB62" s="65"/>
      <c r="AC62" s="66"/>
      <c r="AD62" s="66"/>
      <c r="AE62" s="66"/>
      <c r="AF62" s="90"/>
    </row>
    <row r="63" spans="1:32" ht="14.45" customHeight="1">
      <c r="A63" s="15">
        <f>Tableau242[[#This Row],[Company number]]+0</f>
        <v>22138</v>
      </c>
      <c r="B63" s="60" t="s">
        <v>257</v>
      </c>
      <c r="C63" s="61" t="s">
        <v>258</v>
      </c>
      <c r="D63" s="61" t="s">
        <v>84</v>
      </c>
      <c r="E63" s="62" t="str">
        <f>IFERROR(VLOOKUP(Tableau242[[#This Row],[Manager ou CDM concerné]],Parametres!B:C,2,FALSE),"")</f>
        <v>Squad C</v>
      </c>
      <c r="F63" s="62" t="str">
        <f>IF(Tableau242[[#This Row],[Consultant]]=Tableau242[[#This Row],[Manager ou CDM concerné]],"Non",IF(IFERROR(VLOOKUP(Tableau242[[#This Row],[Consultant]],Parametres!B:C,2,FALSE),0)=0,"Non","Oui"))</f>
        <v>Non</v>
      </c>
      <c r="G63" s="62">
        <f>IFERROR(VLOOKUP(B63,Tableau5[#All],4,FALSE),"Matricule!")</f>
        <v>0</v>
      </c>
      <c r="H63" s="62" t="str">
        <f>IFERROR(VLOOKUP(Tableau242[[#This Row],[Company number]],#REF!,6,FALSE),"")</f>
        <v/>
      </c>
      <c r="I63" s="62">
        <f>IFERROR(VLOOKUP(B63,Tableau5[#All],5,FALSE),"Matricule!")</f>
        <v>18</v>
      </c>
      <c r="J63" s="62">
        <f>IFERROR(VLOOKUP(B63,Tableau5[#All],6,FALSE),"Matricule!")</f>
        <v>2</v>
      </c>
      <c r="K63" s="62">
        <f>IFERROR(VLOOKUP(B63,Tableau5[#All],7,FALSE),"Matricule!")</f>
        <v>0</v>
      </c>
      <c r="L63" s="62" t="e">
        <f>VLOOKUP(Tableau242[[#This Row],[Company number]],#REF!,25,FALSE)</f>
        <v>#REF!</v>
      </c>
      <c r="M63" s="62" t="str">
        <f>IFERROR(VLOOKUP(Tableau242[[#This Row],[Company number]],#REF!,30,FALSE),"")</f>
        <v/>
      </c>
      <c r="N63" s="62" t="str">
        <f>IFERROR(VLOOKUP(Tableau242[[#This Row],[Company number]],#REF!,31,FALSE),"")</f>
        <v/>
      </c>
      <c r="O63" s="62" t="str">
        <f>IFERROR(VLOOKUP(Tableau242[[#This Row],[Company number]],#REF!,32,FALSE),"")</f>
        <v/>
      </c>
      <c r="P63" s="62">
        <f>IFERROR(VLOOKUP(B63,Tableau3[#All],5,FALSE),"Matricule!")</f>
        <v>0</v>
      </c>
      <c r="Q63" s="62">
        <f>IFERROR(SUM(VLOOKUP(B63,Tableau3[#All],6,FALSE),VLOOKUP(B63,Tableau3[#All],8,FALSE)),"Matricule!")</f>
        <v>18</v>
      </c>
      <c r="R63" s="62">
        <f>IFERROR(VLOOKUP(B63,Tableau3[#All],7,FALSE),"Matricule!")</f>
        <v>2</v>
      </c>
      <c r="S63" s="62">
        <f>IFERROR(Tableau242[[#This Row],[Prod. days WK]]-Tableau242[[#This Row],[Prod PXX]],"Matricule")</f>
        <v>0</v>
      </c>
      <c r="T63" s="62">
        <f>IFERROR(Tableau242[[#This Row],[Non prod. days WK]]-Tableau242[[#This Row],[Improd PXX]],"Matricule")</f>
        <v>0</v>
      </c>
      <c r="U63" s="62">
        <f>IFERROR(Tableau242[[#This Row],[Paid leave days WK]]-Tableau242[[#This Row],[Congé PXX]],"Matricule")</f>
        <v>0</v>
      </c>
      <c r="V63" s="63">
        <f>IFERROR(VLOOKUP($B63,#REF!,4,FALSE),0)</f>
        <v>0</v>
      </c>
      <c r="W6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3" s="63">
        <f>IF(AND(Tableau242[[#This Row],[Paid leave days]]&gt;0,Tableau242[[#This Row],[Prod. days]]&lt;0),MIN(Tableau242[[#This Row],[Paid leave days]],-Tableau242[[#This Row],[Prod. days]]),0)</f>
        <v>0</v>
      </c>
      <c r="Z63" s="63">
        <f>IFERROR(_xlfn.XLOOKUP(Tableau242[[#This Row],[Consultant]],Tableau2[Collaborateur/Nom affiché],Tableau2[Montant imputé],0),0)</f>
        <v>0</v>
      </c>
      <c r="AA63" s="64">
        <f t="shared" si="1"/>
        <v>0</v>
      </c>
      <c r="AB63" s="65"/>
      <c r="AC63" s="67"/>
      <c r="AD63" s="66"/>
      <c r="AE63" s="66"/>
      <c r="AF63" s="93"/>
    </row>
    <row r="64" spans="1:32">
      <c r="A64" s="15">
        <f>Tableau242[[#This Row],[Company number]]+0</f>
        <v>20523</v>
      </c>
      <c r="B64" s="60" t="s">
        <v>259</v>
      </c>
      <c r="C64" s="61" t="s">
        <v>260</v>
      </c>
      <c r="D64" s="61" t="s">
        <v>84</v>
      </c>
      <c r="E64" s="62" t="str">
        <f>IFERROR(VLOOKUP(Tableau242[[#This Row],[Manager ou CDM concerné]],Parametres!B:C,2,FALSE),"")</f>
        <v>Squad C</v>
      </c>
      <c r="F64" s="62" t="str">
        <f>IF(Tableau242[[#This Row],[Consultant]]=Tableau242[[#This Row],[Manager ou CDM concerné]],"Non",IF(IFERROR(VLOOKUP(Tableau242[[#This Row],[Consultant]],Parametres!B:C,2,FALSE),0)=0,"Non","Oui"))</f>
        <v>Non</v>
      </c>
      <c r="G64" s="62">
        <f>IFERROR(VLOOKUP(B64,Tableau5[#All],4,FALSE),"Matricule!")</f>
        <v>4</v>
      </c>
      <c r="H64" s="62" t="str">
        <f>IFERROR(VLOOKUP(Tableau242[[#This Row],[Company number]],#REF!,6,FALSE),"")</f>
        <v/>
      </c>
      <c r="I64" s="62">
        <f>IFERROR(VLOOKUP(B64,Tableau5[#All],5,FALSE),"Matricule!")</f>
        <v>16</v>
      </c>
      <c r="J64" s="62">
        <f>IFERROR(VLOOKUP(B64,Tableau5[#All],6,FALSE),"Matricule!")</f>
        <v>0</v>
      </c>
      <c r="K64" s="62">
        <f>IFERROR(VLOOKUP(B64,Tableau5[#All],7,FALSE),"Matricule!")</f>
        <v>0</v>
      </c>
      <c r="L64" s="62" t="e">
        <f>VLOOKUP(Tableau242[[#This Row],[Company number]],#REF!,25,FALSE)</f>
        <v>#REF!</v>
      </c>
      <c r="M64" s="62" t="str">
        <f>IFERROR(VLOOKUP(Tableau242[[#This Row],[Company number]],#REF!,30,FALSE),"")</f>
        <v/>
      </c>
      <c r="N64" s="62" t="str">
        <f>IFERROR(VLOOKUP(Tableau242[[#This Row],[Company number]],#REF!,31,FALSE),"")</f>
        <v/>
      </c>
      <c r="O64" s="62" t="str">
        <f>IFERROR(VLOOKUP(Tableau242[[#This Row],[Company number]],#REF!,32,FALSE),"")</f>
        <v/>
      </c>
      <c r="P64" s="62">
        <f>IFERROR(VLOOKUP(B64,Tableau3[#All],5,FALSE),"Matricule!")</f>
        <v>0</v>
      </c>
      <c r="Q64" s="62">
        <f>IFERROR(SUM(VLOOKUP(B64,Tableau3[#All],6,FALSE),VLOOKUP(B64,Tableau3[#All],8,FALSE)),"Matricule!")</f>
        <v>20</v>
      </c>
      <c r="R64" s="62">
        <f>IFERROR(VLOOKUP(B64,Tableau3[#All],7,FALSE),"Matricule!")</f>
        <v>0</v>
      </c>
      <c r="S64" s="62">
        <f>IFERROR(Tableau242[[#This Row],[Prod. days WK]]-Tableau242[[#This Row],[Prod PXX]],"Matricule")</f>
        <v>4</v>
      </c>
      <c r="T64" s="62">
        <f>IFERROR(Tableau242[[#This Row],[Non prod. days WK]]-Tableau242[[#This Row],[Improd PXX]],"Matricule")</f>
        <v>-4</v>
      </c>
      <c r="U64" s="62">
        <f>IFERROR(Tableau242[[#This Row],[Paid leave days WK]]-Tableau242[[#This Row],[Congé PXX]],"Matricule")</f>
        <v>0</v>
      </c>
      <c r="V64" s="63">
        <f>IFERROR(VLOOKUP($B64,#REF!,4,FALSE),0)</f>
        <v>0</v>
      </c>
      <c r="W6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4" s="63">
        <f>IF(AND(Tableau242[[#This Row],[Paid leave days]]&gt;0,Tableau242[[#This Row],[Prod. days]]&lt;0),MIN(Tableau242[[#This Row],[Paid leave days]],-Tableau242[[#This Row],[Prod. days]]),0)</f>
        <v>0</v>
      </c>
      <c r="Z64" s="63">
        <f>IFERROR(_xlfn.XLOOKUP(Tableau242[[#This Row],[Consultant]],Tableau2[Collaborateur/Nom affiché],Tableau2[Montant imputé],0),0)</f>
        <v>0</v>
      </c>
      <c r="AA64" s="64">
        <f t="shared" si="1"/>
        <v>4</v>
      </c>
      <c r="AB64" s="65"/>
      <c r="AC64" s="66"/>
      <c r="AD64" s="66"/>
      <c r="AE64" s="66"/>
      <c r="AF64" s="90"/>
    </row>
    <row r="65" spans="1:32">
      <c r="A65" s="15">
        <f>Tableau242[[#This Row],[Company number]]+0</f>
        <v>17420</v>
      </c>
      <c r="B65" s="60" t="s">
        <v>261</v>
      </c>
      <c r="C65" s="61" t="s">
        <v>262</v>
      </c>
      <c r="D65" s="61" t="s">
        <v>14</v>
      </c>
      <c r="E65" s="62" t="str">
        <f>IFERROR(VLOOKUP(Tableau242[[#This Row],[Manager ou CDM concerné]],Parametres!B:C,2,FALSE),"")</f>
        <v>Squad D</v>
      </c>
      <c r="F65" s="62" t="str">
        <f>IF(Tableau242[[#This Row],[Consultant]]=Tableau242[[#This Row],[Manager ou CDM concerné]],"Non",IF(IFERROR(VLOOKUP(Tableau242[[#This Row],[Consultant]],Parametres!B:C,2,FALSE),0)=0,"Non","Oui"))</f>
        <v>Non</v>
      </c>
      <c r="G65" s="62">
        <f>IFERROR(VLOOKUP(B65,Tableau5[#All],4,FALSE),"Matricule!")</f>
        <v>2.5</v>
      </c>
      <c r="H65" s="62" t="str">
        <f>IFERROR(VLOOKUP(Tableau242[[#This Row],[Company number]],#REF!,6,FALSE),"")</f>
        <v/>
      </c>
      <c r="I65" s="62">
        <f>IFERROR(VLOOKUP(B65,Tableau5[#All],5,FALSE),"Matricule!")</f>
        <v>16.5</v>
      </c>
      <c r="J65" s="62">
        <f>IFERROR(VLOOKUP(B65,Tableau5[#All],6,FALSE),"Matricule!")</f>
        <v>1</v>
      </c>
      <c r="K65" s="62">
        <f>IFERROR(VLOOKUP(B65,Tableau5[#All],7,FALSE),"Matricule!")</f>
        <v>0</v>
      </c>
      <c r="L65" s="62" t="e">
        <f>VLOOKUP(Tableau242[[#This Row],[Company number]],#REF!,25,FALSE)</f>
        <v>#REF!</v>
      </c>
      <c r="M65" s="62" t="str">
        <f>IFERROR(VLOOKUP(Tableau242[[#This Row],[Company number]],#REF!,30,FALSE),"")</f>
        <v/>
      </c>
      <c r="N65" s="62" t="str">
        <f>IFERROR(VLOOKUP(Tableau242[[#This Row],[Company number]],#REF!,31,FALSE),"")</f>
        <v/>
      </c>
      <c r="O65" s="62" t="str">
        <f>IFERROR(VLOOKUP(Tableau242[[#This Row],[Company number]],#REF!,32,FALSE),"")</f>
        <v/>
      </c>
      <c r="P65" s="68">
        <f>IFERROR(VLOOKUP(B65,Tableau3[#All],5,FALSE),"Matricule!")</f>
        <v>11.5</v>
      </c>
      <c r="Q65" s="62">
        <f>IFERROR(SUM(VLOOKUP(B65,Tableau3[#All],6,FALSE),VLOOKUP(B65,Tableau3[#All],8,FALSE)),"Matricule!")</f>
        <v>7.5</v>
      </c>
      <c r="R65" s="62">
        <f>IFERROR(VLOOKUP(B65,Tableau3[#All],7,FALSE),"Matricule!")</f>
        <v>1</v>
      </c>
      <c r="S65" s="62">
        <f>IFERROR(Tableau242[[#This Row],[Prod. days WK]]-Tableau242[[#This Row],[Prod PXX]],"Matricule")</f>
        <v>-9</v>
      </c>
      <c r="T65" s="62">
        <f>IFERROR(Tableau242[[#This Row],[Non prod. days WK]]-Tableau242[[#This Row],[Improd PXX]],"Matricule")</f>
        <v>9</v>
      </c>
      <c r="U65" s="62">
        <f>IFERROR(Tableau242[[#This Row],[Paid leave days WK]]-Tableau242[[#This Row],[Congé PXX]],"Matricule")</f>
        <v>0</v>
      </c>
      <c r="V65" s="63">
        <f>IFERROR(VLOOKUP($B65,#REF!,4,FALSE),0)</f>
        <v>0</v>
      </c>
      <c r="W6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5" s="63">
        <f>IF(AND(Tableau242[[#This Row],[Paid leave days]]&gt;0,Tableau242[[#This Row],[Prod. days]]&lt;0),MIN(Tableau242[[#This Row],[Paid leave days]],-Tableau242[[#This Row],[Prod. days]]),0)</f>
        <v>0</v>
      </c>
      <c r="Z65" s="63">
        <f>IFERROR(_xlfn.XLOOKUP(Tableau242[[#This Row],[Consultant]],Tableau2[Collaborateur/Nom affiché],Tableau2[Montant imputé],0),0)</f>
        <v>0</v>
      </c>
      <c r="AA65" s="64">
        <f t="shared" si="1"/>
        <v>-9</v>
      </c>
      <c r="AB65" s="65" t="s">
        <v>154</v>
      </c>
      <c r="AC65" s="67"/>
      <c r="AD65" s="66"/>
      <c r="AE65" s="66"/>
      <c r="AF65" s="93"/>
    </row>
    <row r="66" spans="1:32">
      <c r="A66" s="15">
        <f>Tableau242[[#This Row],[Company number]]+0</f>
        <v>20608</v>
      </c>
      <c r="B66" s="60" t="s">
        <v>263</v>
      </c>
      <c r="C66" s="61" t="s">
        <v>264</v>
      </c>
      <c r="D66" s="61" t="s">
        <v>84</v>
      </c>
      <c r="E66" s="62" t="str">
        <f>IFERROR(VLOOKUP(Tableau242[[#This Row],[Manager ou CDM concerné]],Parametres!B:C,2,FALSE),"")</f>
        <v>Squad C</v>
      </c>
      <c r="F66" s="62" t="str">
        <f>IF(Tableau242[[#This Row],[Consultant]]=Tableau242[[#This Row],[Manager ou CDM concerné]],"Non",IF(IFERROR(VLOOKUP(Tableau242[[#This Row],[Consultant]],Parametres!B:C,2,FALSE),0)=0,"Non","Oui"))</f>
        <v>Non</v>
      </c>
      <c r="G66" s="62">
        <f>IFERROR(VLOOKUP(B66,Tableau5[#All],4,FALSE),"Matricule!")</f>
        <v>20</v>
      </c>
      <c r="H66" s="62" t="str">
        <f>IFERROR(VLOOKUP(Tableau242[[#This Row],[Company number]],#REF!,6,FALSE),"")</f>
        <v/>
      </c>
      <c r="I66" s="62">
        <f>IFERROR(VLOOKUP(B66,Tableau5[#All],5,FALSE),"Matricule!")</f>
        <v>0</v>
      </c>
      <c r="J66" s="62">
        <f>IFERROR(VLOOKUP(B66,Tableau5[#All],6,FALSE),"Matricule!")</f>
        <v>0</v>
      </c>
      <c r="K66" s="62">
        <f>IFERROR(VLOOKUP(B66,Tableau5[#All],7,FALSE),"Matricule!")</f>
        <v>0</v>
      </c>
      <c r="L66" s="62" t="e">
        <f>VLOOKUP(Tableau242[[#This Row],[Company number]],#REF!,25,FALSE)</f>
        <v>#REF!</v>
      </c>
      <c r="M66" s="62" t="str">
        <f>IFERROR(VLOOKUP(Tableau242[[#This Row],[Company number]],#REF!,30,FALSE),"")</f>
        <v/>
      </c>
      <c r="N66" s="62" t="str">
        <f>IFERROR(VLOOKUP(Tableau242[[#This Row],[Company number]],#REF!,31,FALSE),"")</f>
        <v/>
      </c>
      <c r="O66" s="62" t="str">
        <f>IFERROR(VLOOKUP(Tableau242[[#This Row],[Company number]],#REF!,32,FALSE),"")</f>
        <v/>
      </c>
      <c r="P66" s="62">
        <f>IFERROR(VLOOKUP(B66,Tableau3[#All],5,FALSE),"Matricule!")</f>
        <v>20</v>
      </c>
      <c r="Q66" s="62">
        <f>IFERROR(SUM(VLOOKUP(B66,Tableau3[#All],6,FALSE),VLOOKUP(B66,Tableau3[#All],8,FALSE)),"Matricule!")</f>
        <v>0</v>
      </c>
      <c r="R66" s="62">
        <f>IFERROR(VLOOKUP(B66,Tableau3[#All],7,FALSE),"Matricule!")</f>
        <v>0</v>
      </c>
      <c r="S66" s="62">
        <f>IFERROR(Tableau242[[#This Row],[Prod. days WK]]-Tableau242[[#This Row],[Prod PXX]],"Matricule")</f>
        <v>0</v>
      </c>
      <c r="T66" s="62">
        <f>IFERROR(Tableau242[[#This Row],[Non prod. days WK]]-Tableau242[[#This Row],[Improd PXX]],"Matricule")</f>
        <v>0</v>
      </c>
      <c r="U66" s="62">
        <f>IFERROR(Tableau242[[#This Row],[Paid leave days WK]]-Tableau242[[#This Row],[Congé PXX]],"Matricule")</f>
        <v>0</v>
      </c>
      <c r="V66" s="63">
        <f>IFERROR(VLOOKUP($B66,#REF!,4,FALSE),0)</f>
        <v>0</v>
      </c>
      <c r="W6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6" s="63">
        <f>IF(AND(Tableau242[[#This Row],[Paid leave days]]&gt;0,Tableau242[[#This Row],[Prod. days]]&lt;0),MIN(Tableau242[[#This Row],[Paid leave days]],-Tableau242[[#This Row],[Prod. days]]),0)</f>
        <v>0</v>
      </c>
      <c r="Z66" s="63">
        <f>IFERROR(_xlfn.XLOOKUP(Tableau242[[#This Row],[Consultant]],Tableau2[Collaborateur/Nom affiché],Tableau2[Montant imputé],0),0)</f>
        <v>0</v>
      </c>
      <c r="AA66" s="64">
        <f t="shared" si="1"/>
        <v>0</v>
      </c>
      <c r="AB66" s="65"/>
      <c r="AC66" s="66"/>
      <c r="AD66" s="66"/>
      <c r="AE66" s="66"/>
      <c r="AF66" s="90"/>
    </row>
    <row r="67" spans="1:32">
      <c r="A67" s="15">
        <f>Tableau242[[#This Row],[Company number]]+0</f>
        <v>21554</v>
      </c>
      <c r="B67" s="60" t="s">
        <v>265</v>
      </c>
      <c r="C67" s="61" t="s">
        <v>266</v>
      </c>
      <c r="D67" s="61" t="s">
        <v>84</v>
      </c>
      <c r="E67" s="62" t="str">
        <f>IFERROR(VLOOKUP(Tableau242[[#This Row],[Manager ou CDM concerné]],Parametres!B:C,2,FALSE),"")</f>
        <v>Squad C</v>
      </c>
      <c r="F67" s="62" t="str">
        <f>IF(Tableau242[[#This Row],[Consultant]]=Tableau242[[#This Row],[Manager ou CDM concerné]],"Non",IF(IFERROR(VLOOKUP(Tableau242[[#This Row],[Consultant]],Parametres!B:C,2,FALSE),0)=0,"Non","Oui"))</f>
        <v>Non</v>
      </c>
      <c r="G67" s="62">
        <f>IFERROR(VLOOKUP(B67,Tableau5[#All],4,FALSE),"Matricule!")</f>
        <v>19.5</v>
      </c>
      <c r="H67" s="62" t="str">
        <f>IFERROR(VLOOKUP(Tableau242[[#This Row],[Company number]],#REF!,6,FALSE),"")</f>
        <v/>
      </c>
      <c r="I67" s="62">
        <f>IFERROR(VLOOKUP(B67,Tableau5[#All],5,FALSE),"Matricule!")</f>
        <v>0.5</v>
      </c>
      <c r="J67" s="62">
        <f>IFERROR(VLOOKUP(B67,Tableau5[#All],6,FALSE),"Matricule!")</f>
        <v>0</v>
      </c>
      <c r="K67" s="62">
        <f>IFERROR(VLOOKUP(B67,Tableau5[#All],7,FALSE),"Matricule!")</f>
        <v>0</v>
      </c>
      <c r="L67" s="62" t="e">
        <f>VLOOKUP(Tableau242[[#This Row],[Company number]],#REF!,25,FALSE)</f>
        <v>#REF!</v>
      </c>
      <c r="M67" s="62" t="str">
        <f>IFERROR(VLOOKUP(Tableau242[[#This Row],[Company number]],#REF!,30,FALSE),"")</f>
        <v/>
      </c>
      <c r="N67" s="62" t="str">
        <f>IFERROR(VLOOKUP(Tableau242[[#This Row],[Company number]],#REF!,31,FALSE),"")</f>
        <v/>
      </c>
      <c r="O67" s="62" t="str">
        <f>IFERROR(VLOOKUP(Tableau242[[#This Row],[Company number]],#REF!,32,FALSE),"")</f>
        <v/>
      </c>
      <c r="P67" s="62">
        <f>IFERROR(VLOOKUP(B67,Tableau3[#All],5,FALSE),"Matricule!")</f>
        <v>19.5</v>
      </c>
      <c r="Q67" s="62">
        <f>IFERROR(SUM(VLOOKUP(B67,Tableau3[#All],6,FALSE),VLOOKUP(B67,Tableau3[#All],8,FALSE)),"Matricule!")</f>
        <v>0.5</v>
      </c>
      <c r="R67" s="62">
        <f>IFERROR(VLOOKUP(B67,Tableau3[#All],7,FALSE),"Matricule!")</f>
        <v>0</v>
      </c>
      <c r="S67" s="62">
        <f>IFERROR(Tableau242[[#This Row],[Prod. days WK]]-Tableau242[[#This Row],[Prod PXX]],"Matricule")</f>
        <v>0</v>
      </c>
      <c r="T67" s="62">
        <f>IFERROR(Tableau242[[#This Row],[Non prod. days WK]]-Tableau242[[#This Row],[Improd PXX]],"Matricule")</f>
        <v>0</v>
      </c>
      <c r="U67" s="62">
        <f>IFERROR(Tableau242[[#This Row],[Paid leave days WK]]-Tableau242[[#This Row],[Congé PXX]],"Matricule")</f>
        <v>0</v>
      </c>
      <c r="V67" s="63">
        <f>IFERROR(VLOOKUP($B67,#REF!,4,FALSE),0)</f>
        <v>0</v>
      </c>
      <c r="W6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7" s="63">
        <f>IF(AND(Tableau242[[#This Row],[Paid leave days]]&gt;0,Tableau242[[#This Row],[Prod. days]]&lt;0),MIN(Tableau242[[#This Row],[Paid leave days]],-Tableau242[[#This Row],[Prod. days]]),0)</f>
        <v>0</v>
      </c>
      <c r="Z67" s="63">
        <f>IFERROR(_xlfn.XLOOKUP(Tableau242[[#This Row],[Consultant]],Tableau2[Collaborateur/Nom affiché],Tableau2[Montant imputé],0),0)</f>
        <v>0</v>
      </c>
      <c r="AA67" s="64">
        <f t="shared" si="1"/>
        <v>0</v>
      </c>
      <c r="AB67" s="88"/>
      <c r="AC67" s="67"/>
      <c r="AD67" s="66"/>
      <c r="AE67" s="115"/>
      <c r="AF67" s="90"/>
    </row>
    <row r="68" spans="1:32" ht="29.1">
      <c r="A68" s="15">
        <f>Tableau242[[#This Row],[Company number]]+0</f>
        <v>21481</v>
      </c>
      <c r="B68" s="60" t="s">
        <v>267</v>
      </c>
      <c r="C68" s="61" t="s">
        <v>268</v>
      </c>
      <c r="D68" s="61" t="s">
        <v>84</v>
      </c>
      <c r="E68" s="62" t="str">
        <f>IFERROR(VLOOKUP(Tableau242[[#This Row],[Manager ou CDM concerné]],Parametres!B:C,2,FALSE),"")</f>
        <v>Squad C</v>
      </c>
      <c r="F68" s="62" t="str">
        <f>IF(Tableau242[[#This Row],[Consultant]]=Tableau242[[#This Row],[Manager ou CDM concerné]],"Non",IF(IFERROR(VLOOKUP(Tableau242[[#This Row],[Consultant]],Parametres!B:C,2,FALSE),0)=0,"Non","Oui"))</f>
        <v>Non</v>
      </c>
      <c r="G68" s="62">
        <f>IFERROR(VLOOKUP(B68,Tableau5[#All],4,FALSE),"Matricule!")</f>
        <v>14</v>
      </c>
      <c r="H68" s="62" t="str">
        <f>IFERROR(VLOOKUP(Tableau242[[#This Row],[Company number]],#REF!,6,FALSE),"")</f>
        <v/>
      </c>
      <c r="I68" s="62">
        <f>IFERROR(VLOOKUP(B68,Tableau5[#All],5,FALSE),"Matricule!")</f>
        <v>4</v>
      </c>
      <c r="J68" s="62">
        <f>IFERROR(VLOOKUP(B68,Tableau5[#All],6,FALSE),"Matricule!")</f>
        <v>2</v>
      </c>
      <c r="K68" s="62">
        <f>IFERROR(VLOOKUP(B68,Tableau5[#All],7,FALSE),"Matricule!")</f>
        <v>0</v>
      </c>
      <c r="L68" s="62" t="e">
        <f>VLOOKUP(Tableau242[[#This Row],[Company number]],#REF!,25,FALSE)</f>
        <v>#REF!</v>
      </c>
      <c r="M68" s="62" t="str">
        <f>IFERROR(VLOOKUP(Tableau242[[#This Row],[Company number]],#REF!,30,FALSE),"")</f>
        <v/>
      </c>
      <c r="N68" s="62" t="str">
        <f>IFERROR(VLOOKUP(Tableau242[[#This Row],[Company number]],#REF!,31,FALSE),"")</f>
        <v/>
      </c>
      <c r="O68" s="62" t="str">
        <f>IFERROR(VLOOKUP(Tableau242[[#This Row],[Company number]],#REF!,32,FALSE),"")</f>
        <v/>
      </c>
      <c r="P68" s="62">
        <f>IFERROR(VLOOKUP(B68,Tableau3[#All],5,FALSE),"Matricule!")</f>
        <v>12</v>
      </c>
      <c r="Q68" s="62">
        <f>IFERROR(SUM(VLOOKUP(B68,Tableau3[#All],6,FALSE),VLOOKUP(B68,Tableau3[#All],8,FALSE)),"Matricule!")</f>
        <v>6</v>
      </c>
      <c r="R68" s="62">
        <f>IFERROR(VLOOKUP(B68,Tableau3[#All],7,FALSE),"Matricule!")</f>
        <v>2</v>
      </c>
      <c r="S68" s="62">
        <f>IFERROR(Tableau242[[#This Row],[Prod. days WK]]-Tableau242[[#This Row],[Prod PXX]],"Matricule")</f>
        <v>2</v>
      </c>
      <c r="T68" s="62">
        <f>IFERROR(Tableau242[[#This Row],[Non prod. days WK]]-Tableau242[[#This Row],[Improd PXX]],"Matricule")</f>
        <v>-2</v>
      </c>
      <c r="U68" s="62">
        <f>IFERROR(Tableau242[[#This Row],[Paid leave days WK]]-Tableau242[[#This Row],[Congé PXX]],"Matricule")</f>
        <v>0</v>
      </c>
      <c r="V68" s="63">
        <f>IFERROR(VLOOKUP($B68,#REF!,4,FALSE),0)</f>
        <v>0</v>
      </c>
      <c r="W6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8" s="63">
        <f>IF(AND(Tableau242[[#This Row],[Paid leave days]]&gt;0,Tableau242[[#This Row],[Prod. days]]&lt;0),MIN(Tableau242[[#This Row],[Paid leave days]],-Tableau242[[#This Row],[Prod. days]]),0)</f>
        <v>0</v>
      </c>
      <c r="Z68" s="63">
        <f>IFERROR(_xlfn.XLOOKUP(Tableau242[[#This Row],[Consultant]],Tableau2[Collaborateur/Nom affiché],Tableau2[Montant imputé],0),0)</f>
        <v>0</v>
      </c>
      <c r="AA68" s="64">
        <f t="shared" si="1"/>
        <v>2</v>
      </c>
      <c r="AB68" s="65"/>
      <c r="AC68" s="66"/>
      <c r="AD68" s="66"/>
      <c r="AE68" s="66"/>
      <c r="AF68" s="90"/>
    </row>
    <row r="69" spans="1:32">
      <c r="A69" s="15">
        <f>Tableau242[[#This Row],[Company number]]+0</f>
        <v>20791</v>
      </c>
      <c r="B69" s="60" t="s">
        <v>269</v>
      </c>
      <c r="C69" s="61" t="s">
        <v>270</v>
      </c>
      <c r="D69" s="61" t="s">
        <v>84</v>
      </c>
      <c r="E69" s="62" t="str">
        <f>IFERROR(VLOOKUP(Tableau242[[#This Row],[Manager ou CDM concerné]],Parametres!B:C,2,FALSE),"")</f>
        <v>Squad C</v>
      </c>
      <c r="F69" s="62" t="str">
        <f>IF(Tableau242[[#This Row],[Consultant]]=Tableau242[[#This Row],[Manager ou CDM concerné]],"Non",IF(IFERROR(VLOOKUP(Tableau242[[#This Row],[Consultant]],Parametres!B:C,2,FALSE),0)=0,"Non","Oui"))</f>
        <v>Non</v>
      </c>
      <c r="G69" s="62">
        <f>IFERROR(VLOOKUP(B69,Tableau5[#All],4,FALSE),"Matricule!")</f>
        <v>14</v>
      </c>
      <c r="H69" s="62" t="str">
        <f>IFERROR(VLOOKUP(Tableau242[[#This Row],[Company number]],#REF!,6,FALSE),"")</f>
        <v/>
      </c>
      <c r="I69" s="62">
        <f>IFERROR(VLOOKUP(B69,Tableau5[#All],5,FALSE),"Matricule!")</f>
        <v>0</v>
      </c>
      <c r="J69" s="62">
        <f>IFERROR(VLOOKUP(B69,Tableau5[#All],6,FALSE),"Matricule!")</f>
        <v>6</v>
      </c>
      <c r="K69" s="62">
        <f>IFERROR(VLOOKUP(B69,Tableau5[#All],7,FALSE),"Matricule!")</f>
        <v>0</v>
      </c>
      <c r="L69" s="62" t="e">
        <f>VLOOKUP(Tableau242[[#This Row],[Company number]],#REF!,25,FALSE)</f>
        <v>#REF!</v>
      </c>
      <c r="M69" s="62" t="str">
        <f>IFERROR(VLOOKUP(Tableau242[[#This Row],[Company number]],#REF!,30,FALSE),"")</f>
        <v/>
      </c>
      <c r="N69" s="62" t="str">
        <f>IFERROR(VLOOKUP(Tableau242[[#This Row],[Company number]],#REF!,31,FALSE),"")</f>
        <v/>
      </c>
      <c r="O69" s="62" t="str">
        <f>IFERROR(VLOOKUP(Tableau242[[#This Row],[Company number]],#REF!,32,FALSE),"")</f>
        <v/>
      </c>
      <c r="P69" s="68">
        <f>IFERROR(VLOOKUP(B69,Tableau3[#All],5,FALSE),"Matricule!")</f>
        <v>14</v>
      </c>
      <c r="Q69" s="68">
        <f>IFERROR(SUM(VLOOKUP(B69,Tableau3[#All],6,FALSE),VLOOKUP(B69,Tableau3[#All],8,FALSE)),"Matricule!")</f>
        <v>0</v>
      </c>
      <c r="R69" s="68">
        <f>IFERROR(VLOOKUP(B69,Tableau3[#All],7,FALSE),"Matricule!")</f>
        <v>6</v>
      </c>
      <c r="S69" s="62">
        <f>IFERROR(Tableau242[[#This Row],[Prod. days WK]]-Tableau242[[#This Row],[Prod PXX]],"Matricule")</f>
        <v>0</v>
      </c>
      <c r="T69" s="62">
        <f>IFERROR(Tableau242[[#This Row],[Non prod. days WK]]-Tableau242[[#This Row],[Improd PXX]],"Matricule")</f>
        <v>0</v>
      </c>
      <c r="U69" s="62">
        <f>IFERROR(Tableau242[[#This Row],[Paid leave days WK]]-Tableau242[[#This Row],[Congé PXX]],"Matricule")</f>
        <v>0</v>
      </c>
      <c r="V69" s="63">
        <f>IFERROR(VLOOKUP($B69,#REF!,4,FALSE),0)</f>
        <v>0</v>
      </c>
      <c r="W6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9" s="63">
        <f>IF(AND(Tableau242[[#This Row],[Paid leave days]]&gt;0,Tableau242[[#This Row],[Prod. days]]&lt;0),MIN(Tableau242[[#This Row],[Paid leave days]],-Tableau242[[#This Row],[Prod. days]]),0)</f>
        <v>0</v>
      </c>
      <c r="Z69" s="63">
        <f>IFERROR(_xlfn.XLOOKUP(Tableau242[[#This Row],[Consultant]],Tableau2[Collaborateur/Nom affiché],Tableau2[Montant imputé],0),0)</f>
        <v>0</v>
      </c>
      <c r="AA69" s="64">
        <f t="shared" si="1"/>
        <v>0</v>
      </c>
      <c r="AB69" s="65"/>
      <c r="AC69" s="66"/>
      <c r="AD69" s="66"/>
      <c r="AE69" s="66"/>
      <c r="AF69" s="90"/>
    </row>
    <row r="70" spans="1:32">
      <c r="A70" s="15">
        <f>Tableau242[[#This Row],[Company number]]+0</f>
        <v>20775</v>
      </c>
      <c r="B70" s="60" t="s">
        <v>271</v>
      </c>
      <c r="C70" s="61" t="s">
        <v>272</v>
      </c>
      <c r="D70" s="61" t="s">
        <v>84</v>
      </c>
      <c r="E70" s="62" t="str">
        <f>IFERROR(VLOOKUP(Tableau242[[#This Row],[Manager ou CDM concerné]],Parametres!B:C,2,FALSE),"")</f>
        <v>Squad C</v>
      </c>
      <c r="F70" s="62" t="str">
        <f>IF(Tableau242[[#This Row],[Consultant]]=Tableau242[[#This Row],[Manager ou CDM concerné]],"Non",IF(IFERROR(VLOOKUP(Tableau242[[#This Row],[Consultant]],Parametres!B:C,2,FALSE),0)=0,"Non","Oui"))</f>
        <v>Non</v>
      </c>
      <c r="G70" s="62">
        <f>IFERROR(VLOOKUP(B70,Tableau5[#All],4,FALSE),"Matricule!")</f>
        <v>0</v>
      </c>
      <c r="H70" s="62" t="str">
        <f>IFERROR(VLOOKUP(Tableau242[[#This Row],[Company number]],#REF!,6,FALSE),"")</f>
        <v/>
      </c>
      <c r="I70" s="62">
        <f>IFERROR(VLOOKUP(B70,Tableau5[#All],5,FALSE),"Matricule!")</f>
        <v>19</v>
      </c>
      <c r="J70" s="62">
        <f>IFERROR(VLOOKUP(B70,Tableau5[#All],6,FALSE),"Matricule!")</f>
        <v>1</v>
      </c>
      <c r="K70" s="62">
        <f>IFERROR(VLOOKUP(B70,Tableau5[#All],7,FALSE),"Matricule!")</f>
        <v>0</v>
      </c>
      <c r="L70" s="62" t="e">
        <f>VLOOKUP(Tableau242[[#This Row],[Company number]],#REF!,25,FALSE)</f>
        <v>#REF!</v>
      </c>
      <c r="M70" s="62" t="str">
        <f>IFERROR(VLOOKUP(Tableau242[[#This Row],[Company number]],#REF!,30,FALSE),"")</f>
        <v/>
      </c>
      <c r="N70" s="62" t="str">
        <f>IFERROR(VLOOKUP(Tableau242[[#This Row],[Company number]],#REF!,31,FALSE),"")</f>
        <v/>
      </c>
      <c r="O70" s="62" t="str">
        <f>IFERROR(VLOOKUP(Tableau242[[#This Row],[Company number]],#REF!,32,FALSE),"")</f>
        <v/>
      </c>
      <c r="P70" s="62">
        <f>IFERROR(VLOOKUP(B70,Tableau3[#All],5,FALSE),"Matricule!")</f>
        <v>12</v>
      </c>
      <c r="Q70" s="62">
        <f>IFERROR(SUM(VLOOKUP(B70,Tableau3[#All],6,FALSE),VLOOKUP(B70,Tableau3[#All],8,FALSE)),"Matricule!")</f>
        <v>6</v>
      </c>
      <c r="R70" s="62">
        <f>IFERROR(VLOOKUP(B70,Tableau3[#All],7,FALSE),"Matricule!")</f>
        <v>2</v>
      </c>
      <c r="S70" s="62">
        <f>IFERROR(Tableau242[[#This Row],[Prod. days WK]]-Tableau242[[#This Row],[Prod PXX]],"Matricule")</f>
        <v>-12</v>
      </c>
      <c r="T70" s="62">
        <f>IFERROR(Tableau242[[#This Row],[Non prod. days WK]]-Tableau242[[#This Row],[Improd PXX]],"Matricule")</f>
        <v>13</v>
      </c>
      <c r="U70" s="62">
        <f>IFERROR(Tableau242[[#This Row],[Paid leave days WK]]-Tableau242[[#This Row],[Congé PXX]],"Matricule")</f>
        <v>-1</v>
      </c>
      <c r="V70" s="63">
        <f>IFERROR(VLOOKUP($B70,#REF!,4,FALSE),0)</f>
        <v>0</v>
      </c>
      <c r="W7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70" s="63">
        <f>IF(AND(Tableau242[[#This Row],[Paid leave days]]&gt;0,Tableau242[[#This Row],[Prod. days]]&lt;0),MIN(Tableau242[[#This Row],[Paid leave days]],-Tableau242[[#This Row],[Prod. days]]),0)</f>
        <v>0</v>
      </c>
      <c r="Z70" s="63">
        <f>IFERROR(_xlfn.XLOOKUP(Tableau242[[#This Row],[Consultant]],Tableau2[Collaborateur/Nom affiché],Tableau2[Montant imputé],0),0)</f>
        <v>11</v>
      </c>
      <c r="AA70" s="64">
        <f t="shared" si="1"/>
        <v>-1</v>
      </c>
      <c r="AB70" s="65"/>
      <c r="AC70" s="67"/>
      <c r="AD70" s="67"/>
      <c r="AE70" s="67"/>
      <c r="AF70" s="92"/>
    </row>
    <row r="71" spans="1:32">
      <c r="A71" s="15">
        <f>Tableau242[[#This Row],[Company number]]+0</f>
        <v>20967</v>
      </c>
      <c r="B71" s="60" t="s">
        <v>273</v>
      </c>
      <c r="C71" s="61" t="s">
        <v>274</v>
      </c>
      <c r="D71" s="61" t="s">
        <v>3</v>
      </c>
      <c r="E71" s="62" t="str">
        <f>IFERROR(VLOOKUP(Tableau242[[#This Row],[Manager ou CDM concerné]],Parametres!B:C,2,FALSE),"")</f>
        <v>Squad B</v>
      </c>
      <c r="F71" s="62" t="str">
        <f>IF(Tableau242[[#This Row],[Consultant]]=Tableau242[[#This Row],[Manager ou CDM concerné]],"Non",IF(IFERROR(VLOOKUP(Tableau242[[#This Row],[Consultant]],Parametres!B:C,2,FALSE),0)=0,"Non","Oui"))</f>
        <v>Non</v>
      </c>
      <c r="G71" s="62">
        <f>IFERROR(VLOOKUP(B71,Tableau5[#All],4,FALSE),"Matricule!")</f>
        <v>0</v>
      </c>
      <c r="H71" s="62" t="str">
        <f>IFERROR(VLOOKUP(Tableau242[[#This Row],[Company number]],#REF!,6,FALSE),"")</f>
        <v/>
      </c>
      <c r="I71" s="62">
        <f>IFERROR(VLOOKUP(B71,Tableau5[#All],5,FALSE),"Matricule!")</f>
        <v>18</v>
      </c>
      <c r="J71" s="62">
        <f>IFERROR(VLOOKUP(B71,Tableau5[#All],6,FALSE),"Matricule!")</f>
        <v>0</v>
      </c>
      <c r="K71" s="62">
        <f>IFERROR(VLOOKUP(B71,Tableau5[#All],7,FALSE),"Matricule!")</f>
        <v>2</v>
      </c>
      <c r="L71" s="62" t="e">
        <f>VLOOKUP(Tableau242[[#This Row],[Company number]],#REF!,25,FALSE)</f>
        <v>#REF!</v>
      </c>
      <c r="M71" s="62" t="str">
        <f>IFERROR(VLOOKUP(Tableau242[[#This Row],[Company number]],#REF!,30,FALSE),"")</f>
        <v/>
      </c>
      <c r="N71" s="62" t="str">
        <f>IFERROR(VLOOKUP(Tableau242[[#This Row],[Company number]],#REF!,31,FALSE),"")</f>
        <v/>
      </c>
      <c r="O71" s="62" t="str">
        <f>IFERROR(VLOOKUP(Tableau242[[#This Row],[Company number]],#REF!,32,FALSE),"")</f>
        <v/>
      </c>
      <c r="P71" s="62">
        <f>IFERROR(VLOOKUP(B71,Tableau3[#All],5,FALSE),"Matricule!")</f>
        <v>0</v>
      </c>
      <c r="Q71" s="62">
        <f>IFERROR(SUM(VLOOKUP(B71,Tableau3[#All],6,FALSE),VLOOKUP(B71,Tableau3[#All],8,FALSE)),"Matricule!")</f>
        <v>16</v>
      </c>
      <c r="R71" s="62">
        <f>IFERROR(VLOOKUP(B71,Tableau3[#All],7,FALSE),"Matricule!")</f>
        <v>0</v>
      </c>
      <c r="S71" s="62">
        <f>IFERROR(Tableau242[[#This Row],[Prod. days WK]]-Tableau242[[#This Row],[Prod PXX]],"Matricule")</f>
        <v>0</v>
      </c>
      <c r="T71" s="62">
        <f>IFERROR(Tableau242[[#This Row],[Non prod. days WK]]-Tableau242[[#This Row],[Improd PXX]],"Matricule")</f>
        <v>2</v>
      </c>
      <c r="U71" s="62">
        <f>IFERROR(Tableau242[[#This Row],[Paid leave days WK]]-Tableau242[[#This Row],[Congé PXX]],"Matricule")</f>
        <v>0</v>
      </c>
      <c r="V71" s="63">
        <f>IFERROR(VLOOKUP($B71,#REF!,4,FALSE),0)</f>
        <v>0</v>
      </c>
      <c r="W7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1" s="63">
        <f>IF(AND(Tableau242[[#This Row],[Paid leave days]]&gt;0,Tableau242[[#This Row],[Prod. days]]&lt;0),MIN(Tableau242[[#This Row],[Paid leave days]],-Tableau242[[#This Row],[Prod. days]]),0)</f>
        <v>0</v>
      </c>
      <c r="Z71" s="63">
        <f>IFERROR(_xlfn.XLOOKUP(Tableau242[[#This Row],[Consultant]],Tableau2[Collaborateur/Nom affiché],Tableau2[Montant imputé],0),0)</f>
        <v>0</v>
      </c>
      <c r="AA71" s="64">
        <f t="shared" si="1"/>
        <v>0</v>
      </c>
      <c r="AB71" s="78"/>
      <c r="AC71" s="67"/>
      <c r="AD71" s="67"/>
      <c r="AE71" s="67"/>
      <c r="AF71" s="92"/>
    </row>
    <row r="72" spans="1:32">
      <c r="A72" s="15">
        <f>Tableau242[[#This Row],[Company number]]+0</f>
        <v>21710</v>
      </c>
      <c r="B72" s="60" t="s">
        <v>275</v>
      </c>
      <c r="C72" s="61" t="s">
        <v>276</v>
      </c>
      <c r="D72" s="61" t="s">
        <v>49</v>
      </c>
      <c r="E72" s="62" t="str">
        <f>IFERROR(VLOOKUP(Tableau242[[#This Row],[Manager ou CDM concerné]],Parametres!B:C,2,FALSE),"")</f>
        <v>Squad F</v>
      </c>
      <c r="F72" s="62" t="str">
        <f>IF(Tableau242[[#This Row],[Consultant]]=Tableau242[[#This Row],[Manager ou CDM concerné]],"Non",IF(IFERROR(VLOOKUP(Tableau242[[#This Row],[Consultant]],Parametres!B:C,2,FALSE),0)=0,"Non","Oui"))</f>
        <v>Non</v>
      </c>
      <c r="G72" s="62">
        <f>IFERROR(VLOOKUP(B72,Tableau5[#All],4,FALSE),"Matricule!")</f>
        <v>9</v>
      </c>
      <c r="H72" s="62" t="str">
        <f>IFERROR(VLOOKUP(Tableau242[[#This Row],[Company number]],#REF!,6,FALSE),"")</f>
        <v/>
      </c>
      <c r="I72" s="62">
        <f>IFERROR(VLOOKUP(B72,Tableau5[#All],5,FALSE),"Matricule!")</f>
        <v>8</v>
      </c>
      <c r="J72" s="62">
        <f>IFERROR(VLOOKUP(B72,Tableau5[#All],6,FALSE),"Matricule!")</f>
        <v>3</v>
      </c>
      <c r="K72" s="62">
        <f>IFERROR(VLOOKUP(B72,Tableau5[#All],7,FALSE),"Matricule!")</f>
        <v>0</v>
      </c>
      <c r="L72" s="62" t="e">
        <f>VLOOKUP(Tableau242[[#This Row],[Company number]],#REF!,25,FALSE)</f>
        <v>#REF!</v>
      </c>
      <c r="M72" s="62" t="str">
        <f>IFERROR(VLOOKUP(Tableau242[[#This Row],[Company number]],#REF!,30,FALSE),"")</f>
        <v/>
      </c>
      <c r="N72" s="62" t="str">
        <f>IFERROR(VLOOKUP(Tableau242[[#This Row],[Company number]],#REF!,31,FALSE),"")</f>
        <v/>
      </c>
      <c r="O72" s="62" t="str">
        <f>IFERROR(VLOOKUP(Tableau242[[#This Row],[Company number]],#REF!,32,FALSE),"")</f>
        <v/>
      </c>
      <c r="P72" s="62">
        <f>IFERROR(VLOOKUP(B72,Tableau3[#All],5,FALSE),"Matricule!")</f>
        <v>17</v>
      </c>
      <c r="Q72" s="62">
        <f>IFERROR(SUM(VLOOKUP(B72,Tableau3[#All],6,FALSE),VLOOKUP(B72,Tableau3[#All],8,FALSE)),"Matricule!")</f>
        <v>0</v>
      </c>
      <c r="R72" s="62">
        <f>IFERROR(VLOOKUP(B72,Tableau3[#All],7,FALSE),"Matricule!")</f>
        <v>3</v>
      </c>
      <c r="S72" s="62">
        <f>IFERROR(Tableau242[[#This Row],[Prod. days WK]]-Tableau242[[#This Row],[Prod PXX]],"Matricule")</f>
        <v>-8</v>
      </c>
      <c r="T72" s="62">
        <f>IFERROR(Tableau242[[#This Row],[Non prod. days WK]]-Tableau242[[#This Row],[Improd PXX]],"Matricule")</f>
        <v>8</v>
      </c>
      <c r="U72" s="62">
        <f>IFERROR(Tableau242[[#This Row],[Paid leave days WK]]-Tableau242[[#This Row],[Congé PXX]],"Matricule")</f>
        <v>0</v>
      </c>
      <c r="V72" s="63">
        <f>IFERROR(VLOOKUP($B72,#REF!,4,FALSE),0)</f>
        <v>0</v>
      </c>
      <c r="W7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72" s="63">
        <f>IF(AND(Tableau242[[#This Row],[Paid leave days]]&gt;0,Tableau242[[#This Row],[Prod. days]]&lt;0),MIN(Tableau242[[#This Row],[Paid leave days]],-Tableau242[[#This Row],[Prod. days]]),0)</f>
        <v>0</v>
      </c>
      <c r="Z72" s="63">
        <f>IFERROR(_xlfn.XLOOKUP(Tableau242[[#This Row],[Consultant]],Tableau2[Collaborateur/Nom affiché],Tableau2[Montant imputé],0),0)</f>
        <v>0</v>
      </c>
      <c r="AA72" s="64">
        <f t="shared" si="1"/>
        <v>-8</v>
      </c>
      <c r="AB72" s="65" t="s">
        <v>154</v>
      </c>
      <c r="AC72" s="66"/>
      <c r="AD72" s="66"/>
      <c r="AE72" s="66"/>
      <c r="AF72" s="90"/>
    </row>
    <row r="73" spans="1:32">
      <c r="A73" s="15">
        <f>Tableau242[[#This Row],[Company number]]+0</f>
        <v>16801</v>
      </c>
      <c r="B73" s="60" t="s">
        <v>277</v>
      </c>
      <c r="C73" s="61" t="s">
        <v>278</v>
      </c>
      <c r="D73" s="61" t="s">
        <v>59</v>
      </c>
      <c r="E73" s="62" t="str">
        <f>IFERROR(VLOOKUP(Tableau242[[#This Row],[Manager ou CDM concerné]],Parametres!B:C,2,FALSE),"")</f>
        <v>Squad A</v>
      </c>
      <c r="F73" s="62" t="str">
        <f>IF(Tableau242[[#This Row],[Consultant]]=Tableau242[[#This Row],[Manager ou CDM concerné]],"Non",IF(IFERROR(VLOOKUP(Tableau242[[#This Row],[Consultant]],Parametres!B:C,2,FALSE),0)=0,"Non","Oui"))</f>
        <v>Non</v>
      </c>
      <c r="G73" s="62">
        <f>IFERROR(VLOOKUP(B73,Tableau5[#All],4,FALSE),"Matricule!")</f>
        <v>8</v>
      </c>
      <c r="H73" s="62" t="str">
        <f>IFERROR(VLOOKUP(Tableau242[[#This Row],[Company number]],#REF!,6,FALSE),"")</f>
        <v/>
      </c>
      <c r="I73" s="62">
        <f>IFERROR(VLOOKUP(B73,Tableau5[#All],5,FALSE),"Matricule!")</f>
        <v>8</v>
      </c>
      <c r="J73" s="62">
        <f>IFERROR(VLOOKUP(B73,Tableau5[#All],6,FALSE),"Matricule!")</f>
        <v>4</v>
      </c>
      <c r="K73" s="62">
        <f>IFERROR(VLOOKUP(B73,Tableau5[#All],7,FALSE),"Matricule!")</f>
        <v>0</v>
      </c>
      <c r="L73" s="62" t="e">
        <f>VLOOKUP(Tableau242[[#This Row],[Company number]],#REF!,25,FALSE)</f>
        <v>#REF!</v>
      </c>
      <c r="M73" s="62" t="str">
        <f>IFERROR(VLOOKUP(Tableau242[[#This Row],[Company number]],#REF!,30,FALSE),"")</f>
        <v/>
      </c>
      <c r="N73" s="62" t="str">
        <f>IFERROR(VLOOKUP(Tableau242[[#This Row],[Company number]],#REF!,31,FALSE),"")</f>
        <v/>
      </c>
      <c r="O73" s="62" t="str">
        <f>IFERROR(VLOOKUP(Tableau242[[#This Row],[Company number]],#REF!,32,FALSE),"")</f>
        <v/>
      </c>
      <c r="P73" s="62">
        <f>IFERROR(VLOOKUP(B73,Tableau3[#All],5,FALSE),"Matricule!")</f>
        <v>16</v>
      </c>
      <c r="Q73" s="62">
        <f>IFERROR(SUM(VLOOKUP(B73,Tableau3[#All],6,FALSE),VLOOKUP(B73,Tableau3[#All],8,FALSE)),"Matricule!")</f>
        <v>0</v>
      </c>
      <c r="R73" s="62">
        <f>IFERROR(VLOOKUP(B73,Tableau3[#All],7,FALSE),"Matricule!")</f>
        <v>4</v>
      </c>
      <c r="S73" s="62">
        <f>IFERROR(Tableau242[[#This Row],[Prod. days WK]]-Tableau242[[#This Row],[Prod PXX]],"Matricule")</f>
        <v>-8</v>
      </c>
      <c r="T73" s="62">
        <f>IFERROR(Tableau242[[#This Row],[Non prod. days WK]]-Tableau242[[#This Row],[Improd PXX]],"Matricule")</f>
        <v>8</v>
      </c>
      <c r="U73" s="62">
        <f>IFERROR(Tableau242[[#This Row],[Paid leave days WK]]-Tableau242[[#This Row],[Congé PXX]],"Matricule")</f>
        <v>0</v>
      </c>
      <c r="V73" s="63">
        <f>IFERROR(VLOOKUP($B73,#REF!,4,FALSE),0)</f>
        <v>0</v>
      </c>
      <c r="W7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73" s="63">
        <f>IF(AND(Tableau242[[#This Row],[Paid leave days]]&gt;0,Tableau242[[#This Row],[Prod. days]]&lt;0),MIN(Tableau242[[#This Row],[Paid leave days]],-Tableau242[[#This Row],[Prod. days]]),0)</f>
        <v>0</v>
      </c>
      <c r="Z73" s="63">
        <f>IFERROR(_xlfn.XLOOKUP(Tableau242[[#This Row],[Consultant]],Tableau2[Collaborateur/Nom affiché],Tableau2[Montant imputé],0),0)</f>
        <v>0</v>
      </c>
      <c r="AA73" s="64">
        <f t="shared" si="1"/>
        <v>-8</v>
      </c>
      <c r="AB73" s="65" t="s">
        <v>154</v>
      </c>
      <c r="AC73" s="66"/>
      <c r="AD73" s="66"/>
      <c r="AE73" s="66"/>
      <c r="AF73" s="90" t="s">
        <v>279</v>
      </c>
    </row>
    <row r="74" spans="1:32">
      <c r="A74" s="15">
        <f>Tableau242[[#This Row],[Company number]]+0</f>
        <v>16253</v>
      </c>
      <c r="B74" s="60" t="s">
        <v>280</v>
      </c>
      <c r="C74" s="61" t="s">
        <v>281</v>
      </c>
      <c r="D74" s="61" t="s">
        <v>3</v>
      </c>
      <c r="E74" s="62" t="str">
        <f>IFERROR(VLOOKUP(Tableau242[[#This Row],[Manager ou CDM concerné]],Parametres!B:C,2,FALSE),"")</f>
        <v>Squad B</v>
      </c>
      <c r="F74" s="62" t="str">
        <f>IF(Tableau242[[#This Row],[Consultant]]=Tableau242[[#This Row],[Manager ou CDM concerné]],"Non",IF(IFERROR(VLOOKUP(Tableau242[[#This Row],[Consultant]],Parametres!B:C,2,FALSE),0)=0,"Non","Oui"))</f>
        <v>Non</v>
      </c>
      <c r="G74" s="62">
        <f>IFERROR(VLOOKUP(B74,Tableau5[#All],4,FALSE),"Matricule!")</f>
        <v>20</v>
      </c>
      <c r="H74" s="62" t="str">
        <f>IFERROR(VLOOKUP(Tableau242[[#This Row],[Company number]],#REF!,6,FALSE),"")</f>
        <v/>
      </c>
      <c r="I74" s="62">
        <f>IFERROR(VLOOKUP(B74,Tableau5[#All],5,FALSE),"Matricule!")</f>
        <v>0</v>
      </c>
      <c r="J74" s="62">
        <f>IFERROR(VLOOKUP(B74,Tableau5[#All],6,FALSE),"Matricule!")</f>
        <v>0</v>
      </c>
      <c r="K74" s="62">
        <f>IFERROR(VLOOKUP(B74,Tableau5[#All],7,FALSE),"Matricule!")</f>
        <v>0</v>
      </c>
      <c r="L74" s="62" t="e">
        <f>VLOOKUP(Tableau242[[#This Row],[Company number]],#REF!,25,FALSE)</f>
        <v>#REF!</v>
      </c>
      <c r="M74" s="62" t="str">
        <f>IFERROR(VLOOKUP(Tableau242[[#This Row],[Company number]],#REF!,30,FALSE),"")</f>
        <v/>
      </c>
      <c r="N74" s="62" t="str">
        <f>IFERROR(VLOOKUP(Tableau242[[#This Row],[Company number]],#REF!,31,FALSE),"")</f>
        <v/>
      </c>
      <c r="O74" s="62" t="str">
        <f>IFERROR(VLOOKUP(Tableau242[[#This Row],[Company number]],#REF!,32,FALSE),"")</f>
        <v/>
      </c>
      <c r="P74" s="62">
        <f>IFERROR(VLOOKUP(B74,Tableau3[#All],5,FALSE),"Matricule!")</f>
        <v>20</v>
      </c>
      <c r="Q74" s="62">
        <f>IFERROR(SUM(VLOOKUP(B74,Tableau3[#All],6,FALSE),VLOOKUP(B74,Tableau3[#All],8,FALSE)),"Matricule!")</f>
        <v>0</v>
      </c>
      <c r="R74" s="62">
        <f>IFERROR(VLOOKUP(B74,Tableau3[#All],7,FALSE),"Matricule!")</f>
        <v>0</v>
      </c>
      <c r="S74" s="62">
        <f>IFERROR(Tableau242[[#This Row],[Prod. days WK]]-Tableau242[[#This Row],[Prod PXX]],"Matricule")</f>
        <v>0</v>
      </c>
      <c r="T74" s="62">
        <f>IFERROR(Tableau242[[#This Row],[Non prod. days WK]]-Tableau242[[#This Row],[Improd PXX]],"Matricule")</f>
        <v>0</v>
      </c>
      <c r="U74" s="62">
        <f>IFERROR(Tableau242[[#This Row],[Paid leave days WK]]-Tableau242[[#This Row],[Congé PXX]],"Matricule")</f>
        <v>0</v>
      </c>
      <c r="V74" s="63">
        <f>IFERROR(VLOOKUP($B74,#REF!,4,FALSE),0)</f>
        <v>0</v>
      </c>
      <c r="W7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4" s="63">
        <f>IF(AND(Tableau242[[#This Row],[Paid leave days]]&gt;0,Tableau242[[#This Row],[Prod. days]]&lt;0),MIN(Tableau242[[#This Row],[Paid leave days]],-Tableau242[[#This Row],[Prod. days]]),0)</f>
        <v>0</v>
      </c>
      <c r="Z74" s="63">
        <f>IFERROR(_xlfn.XLOOKUP(Tableau242[[#This Row],[Consultant]],Tableau2[Collaborateur/Nom affiché],Tableau2[Montant imputé],0),0)</f>
        <v>0</v>
      </c>
      <c r="AA74" s="64">
        <f t="shared" si="1"/>
        <v>0</v>
      </c>
      <c r="AB74" s="65"/>
      <c r="AC74" s="66"/>
      <c r="AD74" s="66"/>
      <c r="AE74" s="66"/>
      <c r="AF74" s="90"/>
    </row>
    <row r="75" spans="1:32">
      <c r="A75" s="15">
        <f>Tableau242[[#This Row],[Company number]]+0</f>
        <v>14291</v>
      </c>
      <c r="B75" s="60" t="s">
        <v>282</v>
      </c>
      <c r="C75" s="61" t="s">
        <v>283</v>
      </c>
      <c r="D75" s="61" t="s">
        <v>3</v>
      </c>
      <c r="E75" s="62" t="str">
        <f>IFERROR(VLOOKUP(Tableau242[[#This Row],[Manager ou CDM concerné]],Parametres!B:C,2,FALSE),"")</f>
        <v>Squad B</v>
      </c>
      <c r="F75" s="62" t="str">
        <f>IF(Tableau242[[#This Row],[Consultant]]=Tableau242[[#This Row],[Manager ou CDM concerné]],"Non",IF(IFERROR(VLOOKUP(Tableau242[[#This Row],[Consultant]],Parametres!B:C,2,FALSE),0)=0,"Non","Oui"))</f>
        <v>Non</v>
      </c>
      <c r="G75" s="62">
        <f>IFERROR(VLOOKUP(B75,Tableau5[#All],4,FALSE),"Matricule!")</f>
        <v>16</v>
      </c>
      <c r="H75" s="62" t="str">
        <f>IFERROR(VLOOKUP(Tableau242[[#This Row],[Company number]],#REF!,6,FALSE),"")</f>
        <v/>
      </c>
      <c r="I75" s="62">
        <f>IFERROR(VLOOKUP(B75,Tableau5[#All],5,FALSE),"Matricule!")</f>
        <v>4</v>
      </c>
      <c r="J75" s="62">
        <f>IFERROR(VLOOKUP(B75,Tableau5[#All],6,FALSE),"Matricule!")</f>
        <v>0</v>
      </c>
      <c r="K75" s="62">
        <f>IFERROR(VLOOKUP(B75,Tableau5[#All],7,FALSE),"Matricule!")</f>
        <v>0</v>
      </c>
      <c r="L75" s="62" t="e">
        <f>VLOOKUP(Tableau242[[#This Row],[Company number]],#REF!,25,FALSE)</f>
        <v>#REF!</v>
      </c>
      <c r="M75" s="62" t="str">
        <f>IFERROR(VLOOKUP(Tableau242[[#This Row],[Company number]],#REF!,30,FALSE),"")</f>
        <v/>
      </c>
      <c r="N75" s="62" t="str">
        <f>IFERROR(VLOOKUP(Tableau242[[#This Row],[Company number]],#REF!,31,FALSE),"")</f>
        <v/>
      </c>
      <c r="O75" s="62" t="str">
        <f>IFERROR(VLOOKUP(Tableau242[[#This Row],[Company number]],#REF!,32,FALSE),"")</f>
        <v/>
      </c>
      <c r="P75" s="68">
        <f>IFERROR(VLOOKUP(B75,Tableau3[#All],5,FALSE),"Matricule!")</f>
        <v>15</v>
      </c>
      <c r="Q75" s="68">
        <f>IFERROR(SUM(VLOOKUP(B75,Tableau3[#All],6,FALSE),VLOOKUP(B75,Tableau3[#All],8,FALSE)),"Matricule!")</f>
        <v>5</v>
      </c>
      <c r="R75" s="68">
        <f>IFERROR(VLOOKUP(B75,Tableau3[#All],7,FALSE),"Matricule!")</f>
        <v>0</v>
      </c>
      <c r="S75" s="62">
        <f>IFERROR(Tableau242[[#This Row],[Prod. days WK]]-Tableau242[[#This Row],[Prod PXX]],"Matricule")</f>
        <v>1</v>
      </c>
      <c r="T75" s="62">
        <f>IFERROR(Tableau242[[#This Row],[Non prod. days WK]]-Tableau242[[#This Row],[Improd PXX]],"Matricule")</f>
        <v>-1</v>
      </c>
      <c r="U75" s="62">
        <f>IFERROR(Tableau242[[#This Row],[Paid leave days WK]]-Tableau242[[#This Row],[Congé PXX]],"Matricule")</f>
        <v>0</v>
      </c>
      <c r="V75" s="63">
        <f>IFERROR(VLOOKUP($B75,#REF!,4,FALSE),0)</f>
        <v>0</v>
      </c>
      <c r="W7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5" s="63">
        <f>IF(AND(Tableau242[[#This Row],[Paid leave days]]&gt;0,Tableau242[[#This Row],[Prod. days]]&lt;0),MIN(Tableau242[[#This Row],[Paid leave days]],-Tableau242[[#This Row],[Prod. days]]),0)</f>
        <v>0</v>
      </c>
      <c r="Z75" s="63">
        <f>IFERROR(_xlfn.XLOOKUP(Tableau242[[#This Row],[Consultant]],Tableau2[Collaborateur/Nom affiché],Tableau2[Montant imputé],0),0)</f>
        <v>0</v>
      </c>
      <c r="AA75" s="64">
        <f t="shared" ref="AA75:AA138" si="2">IFERROR(S75+Z75,S75)</f>
        <v>1</v>
      </c>
      <c r="AB75" s="65"/>
      <c r="AC75" s="66"/>
      <c r="AD75" s="66"/>
      <c r="AE75" s="66"/>
      <c r="AF75" s="90"/>
    </row>
    <row r="76" spans="1:32">
      <c r="A76" s="15">
        <f>Tableau242[[#This Row],[Company number]]+0</f>
        <v>314</v>
      </c>
      <c r="B76" s="60" t="s">
        <v>284</v>
      </c>
      <c r="C76" s="61" t="s">
        <v>43</v>
      </c>
      <c r="D76" s="61" t="s">
        <v>63</v>
      </c>
      <c r="E76" s="62" t="str">
        <f>IFERROR(VLOOKUP(Tableau242[[#This Row],[Manager ou CDM concerné]],Parametres!B:C,2,FALSE),"")</f>
        <v>Squad B</v>
      </c>
      <c r="F76" s="62" t="str">
        <f>IF(Tableau242[[#This Row],[Consultant]]=Tableau242[[#This Row],[Manager ou CDM concerné]],"Non",IF(IFERROR(VLOOKUP(Tableau242[[#This Row],[Consultant]],Parametres!B:C,2,FALSE),0)=0,"Non","Oui"))</f>
        <v>Oui</v>
      </c>
      <c r="G76" s="62">
        <f>IFERROR(VLOOKUP(B76,Tableau5[#All],4,FALSE),"Matricule!")</f>
        <v>0</v>
      </c>
      <c r="H76" s="62" t="str">
        <f>IFERROR(VLOOKUP(Tableau242[[#This Row],[Company number]],#REF!,6,FALSE),"")</f>
        <v/>
      </c>
      <c r="I76" s="62">
        <f>IFERROR(VLOOKUP(B76,Tableau5[#All],5,FALSE),"Matricule!")</f>
        <v>20</v>
      </c>
      <c r="J76" s="62">
        <f>IFERROR(VLOOKUP(B76,Tableau5[#All],6,FALSE),"Matricule!")</f>
        <v>0</v>
      </c>
      <c r="K76" s="62">
        <f>IFERROR(VLOOKUP(B76,Tableau5[#All],7,FALSE),"Matricule!")</f>
        <v>0</v>
      </c>
      <c r="L76" s="62" t="e">
        <f>VLOOKUP(Tableau242[[#This Row],[Company number]],#REF!,25,FALSE)</f>
        <v>#REF!</v>
      </c>
      <c r="M76" s="62" t="str">
        <f>IFERROR(VLOOKUP(Tableau242[[#This Row],[Company number]],#REF!,30,FALSE),"")</f>
        <v/>
      </c>
      <c r="N76" s="62" t="str">
        <f>IFERROR(VLOOKUP(Tableau242[[#This Row],[Company number]],#REF!,31,FALSE),"")</f>
        <v/>
      </c>
      <c r="O76" s="62" t="str">
        <f>IFERROR(VLOOKUP(Tableau242[[#This Row],[Company number]],#REF!,32,FALSE),"")</f>
        <v/>
      </c>
      <c r="P76" s="62">
        <f>IFERROR(VLOOKUP(B76,Tableau3[#All],5,FALSE),"Matricule!")</f>
        <v>8</v>
      </c>
      <c r="Q76" s="62">
        <f>IFERROR(SUM(VLOOKUP(B76,Tableau3[#All],6,FALSE),VLOOKUP(B76,Tableau3[#All],8,FALSE)),"Matricule!")</f>
        <v>8</v>
      </c>
      <c r="R76" s="62">
        <f>IFERROR(VLOOKUP(B76,Tableau3[#All],7,FALSE),"Matricule!")</f>
        <v>0</v>
      </c>
      <c r="S76" s="62">
        <f>IFERROR(Tableau242[[#This Row],[Prod. days WK]]-Tableau242[[#This Row],[Prod PXX]],"Matricule")</f>
        <v>-8</v>
      </c>
      <c r="T76" s="62">
        <f>IFERROR(Tableau242[[#This Row],[Non prod. days WK]]-Tableau242[[#This Row],[Improd PXX]],"Matricule")</f>
        <v>12</v>
      </c>
      <c r="U76" s="62">
        <f>IFERROR(Tableau242[[#This Row],[Paid leave days WK]]-Tableau242[[#This Row],[Congé PXX]],"Matricule")</f>
        <v>0</v>
      </c>
      <c r="V76" s="63">
        <f>IFERROR(VLOOKUP($B76,#REF!,4,FALSE),0)</f>
        <v>0</v>
      </c>
      <c r="W7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76" s="63">
        <f>IF(AND(Tableau242[[#This Row],[Paid leave days]]&gt;0,Tableau242[[#This Row],[Prod. days]]&lt;0),MIN(Tableau242[[#This Row],[Paid leave days]],-Tableau242[[#This Row],[Prod. days]]),0)</f>
        <v>0</v>
      </c>
      <c r="Z76" s="63">
        <f>IFERROR(_xlfn.XLOOKUP(Tableau242[[#This Row],[Consultant]],Tableau2[Collaborateur/Nom affiché],Tableau2[Montant imputé],0),0)</f>
        <v>0</v>
      </c>
      <c r="AA76" s="64">
        <f t="shared" si="2"/>
        <v>-8</v>
      </c>
      <c r="AB76" s="65" t="s">
        <v>165</v>
      </c>
      <c r="AC76" s="66"/>
      <c r="AD76" s="66"/>
      <c r="AE76" s="66"/>
      <c r="AF76" s="90"/>
    </row>
    <row r="77" spans="1:32" ht="14.45" customHeight="1">
      <c r="A77" s="15">
        <f>Tableau242[[#This Row],[Company number]]+0</f>
        <v>13752</v>
      </c>
      <c r="B77" s="60" t="s">
        <v>285</v>
      </c>
      <c r="C77" s="61" t="s">
        <v>286</v>
      </c>
      <c r="D77" s="61" t="s">
        <v>3</v>
      </c>
      <c r="E77" s="62" t="str">
        <f>IFERROR(VLOOKUP(Tableau242[[#This Row],[Manager ou CDM concerné]],Parametres!B:C,2,FALSE),"")</f>
        <v>Squad B</v>
      </c>
      <c r="F77" s="62" t="str">
        <f>IF(Tableau242[[#This Row],[Consultant]]=Tableau242[[#This Row],[Manager ou CDM concerné]],"Non",IF(IFERROR(VLOOKUP(Tableau242[[#This Row],[Consultant]],Parametres!B:C,2,FALSE),0)=0,"Non","Oui"))</f>
        <v>Non</v>
      </c>
      <c r="G77" s="62">
        <f>IFERROR(VLOOKUP(B77,Tableau5[#All],4,FALSE),"Matricule!")</f>
        <v>0</v>
      </c>
      <c r="H77" s="62" t="str">
        <f>IFERROR(VLOOKUP(Tableau242[[#This Row],[Company number]],#REF!,6,FALSE),"")</f>
        <v/>
      </c>
      <c r="I77" s="62">
        <f>IFERROR(VLOOKUP(B77,Tableau5[#All],5,FALSE),"Matricule!")</f>
        <v>12</v>
      </c>
      <c r="J77" s="62">
        <f>IFERROR(VLOOKUP(B77,Tableau5[#All],6,FALSE),"Matricule!")</f>
        <v>0</v>
      </c>
      <c r="K77" s="62">
        <f>IFERROR(VLOOKUP(B77,Tableau5[#All],7,FALSE),"Matricule!")</f>
        <v>8</v>
      </c>
      <c r="L77" s="62" t="e">
        <f>VLOOKUP(Tableau242[[#This Row],[Company number]],#REF!,25,FALSE)</f>
        <v>#REF!</v>
      </c>
      <c r="M77" s="62" t="str">
        <f>IFERROR(VLOOKUP(Tableau242[[#This Row],[Company number]],#REF!,30,FALSE),"")</f>
        <v/>
      </c>
      <c r="N77" s="62" t="str">
        <f>IFERROR(VLOOKUP(Tableau242[[#This Row],[Company number]],#REF!,31,FALSE),"")</f>
        <v/>
      </c>
      <c r="O77" s="62" t="str">
        <f>IFERROR(VLOOKUP(Tableau242[[#This Row],[Company number]],#REF!,32,FALSE),"")</f>
        <v/>
      </c>
      <c r="P77" s="62">
        <f>IFERROR(VLOOKUP(B77,Tableau3[#All],5,FALSE),"Matricule!")</f>
        <v>12</v>
      </c>
      <c r="Q77" s="62">
        <f>IFERROR(SUM(VLOOKUP(B77,Tableau3[#All],6,FALSE),VLOOKUP(B77,Tableau3[#All],8,FALSE)),"Matricule!")</f>
        <v>8</v>
      </c>
      <c r="R77" s="62">
        <f>IFERROR(VLOOKUP(B77,Tableau3[#All],7,FALSE),"Matricule!")</f>
        <v>0</v>
      </c>
      <c r="S77" s="62">
        <f>IFERROR(Tableau242[[#This Row],[Prod. days WK]]-Tableau242[[#This Row],[Prod PXX]],"Matricule")</f>
        <v>-12</v>
      </c>
      <c r="T77" s="62">
        <f>IFERROR(Tableau242[[#This Row],[Non prod. days WK]]-Tableau242[[#This Row],[Improd PXX]],"Matricule")</f>
        <v>4</v>
      </c>
      <c r="U77" s="62">
        <f>IFERROR(Tableau242[[#This Row],[Paid leave days WK]]-Tableau242[[#This Row],[Congé PXX]],"Matricule")</f>
        <v>0</v>
      </c>
      <c r="V77" s="63">
        <f>IFERROR(VLOOKUP($B77,#REF!,4,FALSE),0)</f>
        <v>0</v>
      </c>
      <c r="W7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77" s="63">
        <f>IF(AND(Tableau242[[#This Row],[Paid leave days]]&gt;0,Tableau242[[#This Row],[Prod. days]]&lt;0),MIN(Tableau242[[#This Row],[Paid leave days]],-Tableau242[[#This Row],[Prod. days]]),0)</f>
        <v>0</v>
      </c>
      <c r="Z77" s="63">
        <f>IFERROR(_xlfn.XLOOKUP(Tableau242[[#This Row],[Consultant]],Tableau2[Collaborateur/Nom affiché],Tableau2[Montant imputé],0),0)</f>
        <v>12</v>
      </c>
      <c r="AA77" s="64">
        <f t="shared" si="2"/>
        <v>0</v>
      </c>
      <c r="AB77" s="65"/>
      <c r="AC77" s="66"/>
      <c r="AD77" s="66"/>
      <c r="AE77" s="66"/>
      <c r="AF77" s="90"/>
    </row>
    <row r="78" spans="1:32">
      <c r="A78" s="15">
        <f>Tableau242[[#This Row],[Company number]]+0</f>
        <v>14637</v>
      </c>
      <c r="B78" s="60" t="s">
        <v>287</v>
      </c>
      <c r="C78" s="61" t="s">
        <v>288</v>
      </c>
      <c r="D78" s="61" t="s">
        <v>3</v>
      </c>
      <c r="E78" s="62" t="str">
        <f>IFERROR(VLOOKUP(Tableau242[[#This Row],[Manager ou CDM concerné]],Parametres!B:C,2,FALSE),"")</f>
        <v>Squad B</v>
      </c>
      <c r="F78" s="62" t="str">
        <f>IF(Tableau242[[#This Row],[Consultant]]=Tableau242[[#This Row],[Manager ou CDM concerné]],"Non",IF(IFERROR(VLOOKUP(Tableau242[[#This Row],[Consultant]],Parametres!B:C,2,FALSE),0)=0,"Non","Oui"))</f>
        <v>Non</v>
      </c>
      <c r="G78" s="62">
        <f>IFERROR(VLOOKUP(B78,Tableau5[#All],4,FALSE),"Matricule!")</f>
        <v>9</v>
      </c>
      <c r="H78" s="62" t="str">
        <f>IFERROR(VLOOKUP(Tableau242[[#This Row],[Company number]],#REF!,6,FALSE),"")</f>
        <v/>
      </c>
      <c r="I78" s="62">
        <f>IFERROR(VLOOKUP(B78,Tableau5[#All],5,FALSE),"Matricule!")</f>
        <v>0</v>
      </c>
      <c r="J78" s="62">
        <f>IFERROR(VLOOKUP(B78,Tableau5[#All],6,FALSE),"Matricule!")</f>
        <v>11</v>
      </c>
      <c r="K78" s="62">
        <f>IFERROR(VLOOKUP(B78,Tableau5[#All],7,FALSE),"Matricule!")</f>
        <v>0</v>
      </c>
      <c r="L78" s="62" t="e">
        <f>VLOOKUP(Tableau242[[#This Row],[Company number]],#REF!,25,FALSE)</f>
        <v>#REF!</v>
      </c>
      <c r="M78" s="62" t="str">
        <f>IFERROR(VLOOKUP(Tableau242[[#This Row],[Company number]],#REF!,30,FALSE),"")</f>
        <v/>
      </c>
      <c r="N78" s="62" t="str">
        <f>IFERROR(VLOOKUP(Tableau242[[#This Row],[Company number]],#REF!,31,FALSE),"")</f>
        <v/>
      </c>
      <c r="O78" s="62" t="str">
        <f>IFERROR(VLOOKUP(Tableau242[[#This Row],[Company number]],#REF!,32,FALSE),"")</f>
        <v/>
      </c>
      <c r="P78" s="62">
        <f>IFERROR(VLOOKUP(B78,Tableau3[#All],5,FALSE),"Matricule!")</f>
        <v>9</v>
      </c>
      <c r="Q78" s="62">
        <f>IFERROR(SUM(VLOOKUP(B78,Tableau3[#All],6,FALSE),VLOOKUP(B78,Tableau3[#All],8,FALSE)),"Matricule!")</f>
        <v>0</v>
      </c>
      <c r="R78" s="62">
        <f>IFERROR(VLOOKUP(B78,Tableau3[#All],7,FALSE),"Matricule!")</f>
        <v>11</v>
      </c>
      <c r="S78" s="62">
        <f>IFERROR(Tableau242[[#This Row],[Prod. days WK]]-Tableau242[[#This Row],[Prod PXX]],"Matricule")</f>
        <v>0</v>
      </c>
      <c r="T78" s="62">
        <f>IFERROR(Tableau242[[#This Row],[Non prod. days WK]]-Tableau242[[#This Row],[Improd PXX]],"Matricule")</f>
        <v>0</v>
      </c>
      <c r="U78" s="62">
        <f>IFERROR(Tableau242[[#This Row],[Paid leave days WK]]-Tableau242[[#This Row],[Congé PXX]],"Matricule")</f>
        <v>0</v>
      </c>
      <c r="V78" s="63">
        <f>IFERROR(VLOOKUP($B78,#REF!,4,FALSE),0)</f>
        <v>0</v>
      </c>
      <c r="W7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8" s="63">
        <f>IF(AND(Tableau242[[#This Row],[Paid leave days]]&gt;0,Tableau242[[#This Row],[Prod. days]]&lt;0),MIN(Tableau242[[#This Row],[Paid leave days]],-Tableau242[[#This Row],[Prod. days]]),0)</f>
        <v>0</v>
      </c>
      <c r="Z78" s="63">
        <f>IFERROR(_xlfn.XLOOKUP(Tableau242[[#This Row],[Consultant]],Tableau2[Collaborateur/Nom affiché],Tableau2[Montant imputé],0),0)</f>
        <v>0</v>
      </c>
      <c r="AA78" s="64">
        <f t="shared" si="2"/>
        <v>0</v>
      </c>
      <c r="AB78" s="65"/>
      <c r="AC78" s="66"/>
      <c r="AD78" s="66"/>
      <c r="AE78" s="66"/>
      <c r="AF78" s="90"/>
    </row>
    <row r="79" spans="1:32">
      <c r="A79" s="15">
        <f>Tableau242[[#This Row],[Company number]]+0</f>
        <v>11704</v>
      </c>
      <c r="B79" s="60" t="s">
        <v>289</v>
      </c>
      <c r="C79" s="61" t="s">
        <v>44</v>
      </c>
      <c r="D79" s="61" t="s">
        <v>60</v>
      </c>
      <c r="E79" s="62" t="str">
        <f>IFERROR(VLOOKUP(Tableau242[[#This Row],[Manager ou CDM concerné]],Parametres!B:C,2,FALSE),"")</f>
        <v>Squad A</v>
      </c>
      <c r="F79" s="62" t="str">
        <f>IF(Tableau242[[#This Row],[Consultant]]=Tableau242[[#This Row],[Manager ou CDM concerné]],"Non",IF(IFERROR(VLOOKUP(Tableau242[[#This Row],[Consultant]],Parametres!B:C,2,FALSE),0)=0,"Non","Oui"))</f>
        <v>Oui</v>
      </c>
      <c r="G79" s="62">
        <f>IFERROR(VLOOKUP(B79,Tableau5[#All],4,FALSE),"Matricule!")</f>
        <v>11</v>
      </c>
      <c r="H79" s="62" t="str">
        <f>IFERROR(VLOOKUP(Tableau242[[#This Row],[Company number]],#REF!,6,FALSE),"")</f>
        <v/>
      </c>
      <c r="I79" s="62">
        <f>IFERROR(VLOOKUP(B79,Tableau5[#All],5,FALSE),"Matricule!")</f>
        <v>7</v>
      </c>
      <c r="J79" s="62">
        <f>IFERROR(VLOOKUP(B79,Tableau5[#All],6,FALSE),"Matricule!")</f>
        <v>2</v>
      </c>
      <c r="K79" s="62">
        <f>IFERROR(VLOOKUP(B79,Tableau5[#All],7,FALSE),"Matricule!")</f>
        <v>0</v>
      </c>
      <c r="L79" s="62" t="e">
        <f>VLOOKUP(Tableau242[[#This Row],[Company number]],#REF!,25,FALSE)</f>
        <v>#REF!</v>
      </c>
      <c r="M79" s="62" t="str">
        <f>IFERROR(VLOOKUP(Tableau242[[#This Row],[Company number]],#REF!,30,FALSE),"")</f>
        <v/>
      </c>
      <c r="N79" s="62" t="str">
        <f>IFERROR(VLOOKUP(Tableau242[[#This Row],[Company number]],#REF!,31,FALSE),"")</f>
        <v/>
      </c>
      <c r="O79" s="62" t="str">
        <f>IFERROR(VLOOKUP(Tableau242[[#This Row],[Company number]],#REF!,32,FALSE),"")</f>
        <v/>
      </c>
      <c r="P79" s="62">
        <f>IFERROR(VLOOKUP(B79,Tableau3[#All],5,FALSE),"Matricule!")</f>
        <v>18</v>
      </c>
      <c r="Q79" s="62">
        <f>IFERROR(SUM(VLOOKUP(B79,Tableau3[#All],6,FALSE),VLOOKUP(B79,Tableau3[#All],8,FALSE)),"Matricule!")</f>
        <v>0</v>
      </c>
      <c r="R79" s="62">
        <f>IFERROR(VLOOKUP(B79,Tableau3[#All],7,FALSE),"Matricule!")</f>
        <v>2</v>
      </c>
      <c r="S79" s="62">
        <f>IFERROR(Tableau242[[#This Row],[Prod. days WK]]-Tableau242[[#This Row],[Prod PXX]],"Matricule")</f>
        <v>-7</v>
      </c>
      <c r="T79" s="62">
        <f>IFERROR(Tableau242[[#This Row],[Non prod. days WK]]-Tableau242[[#This Row],[Improd PXX]],"Matricule")</f>
        <v>7</v>
      </c>
      <c r="U79" s="62">
        <f>IFERROR(Tableau242[[#This Row],[Paid leave days WK]]-Tableau242[[#This Row],[Congé PXX]],"Matricule")</f>
        <v>0</v>
      </c>
      <c r="V79" s="63">
        <f>IFERROR(VLOOKUP($B79,#REF!,4,FALSE),0)</f>
        <v>0</v>
      </c>
      <c r="W7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79" s="63">
        <f>IF(AND(Tableau242[[#This Row],[Paid leave days]]&gt;0,Tableau242[[#This Row],[Prod. days]]&lt;0),MIN(Tableau242[[#This Row],[Paid leave days]],-Tableau242[[#This Row],[Prod. days]]),0)</f>
        <v>0</v>
      </c>
      <c r="Z79" s="63">
        <f>IFERROR(_xlfn.XLOOKUP(Tableau242[[#This Row],[Consultant]],Tableau2[Collaborateur/Nom affiché],Tableau2[Montant imputé],0),0)</f>
        <v>0</v>
      </c>
      <c r="AA79" s="64">
        <f t="shared" si="2"/>
        <v>-7</v>
      </c>
      <c r="AB79" s="65" t="s">
        <v>154</v>
      </c>
      <c r="AC79" s="66"/>
      <c r="AD79" s="66"/>
      <c r="AE79" s="66"/>
      <c r="AF79" s="90" t="s">
        <v>290</v>
      </c>
    </row>
    <row r="80" spans="1:32">
      <c r="A80" s="15">
        <f>Tableau242[[#This Row],[Company number]]+0</f>
        <v>15545</v>
      </c>
      <c r="B80" s="60" t="s">
        <v>291</v>
      </c>
      <c r="C80" s="61" t="s">
        <v>292</v>
      </c>
      <c r="D80" s="61" t="s">
        <v>3</v>
      </c>
      <c r="E80" s="62" t="str">
        <f>IFERROR(VLOOKUP(Tableau242[[#This Row],[Manager ou CDM concerné]],Parametres!B:C,2,FALSE),"")</f>
        <v>Squad B</v>
      </c>
      <c r="F80" s="62" t="str">
        <f>IF(Tableau242[[#This Row],[Consultant]]=Tableau242[[#This Row],[Manager ou CDM concerné]],"Non",IF(IFERROR(VLOOKUP(Tableau242[[#This Row],[Consultant]],Parametres!B:C,2,FALSE),0)=0,"Non","Oui"))</f>
        <v>Non</v>
      </c>
      <c r="G80" s="62">
        <f>IFERROR(VLOOKUP(B80,Tableau5[#All],4,FALSE),"Matricule!")</f>
        <v>20</v>
      </c>
      <c r="H80" s="62" t="str">
        <f>IFERROR(VLOOKUP(Tableau242[[#This Row],[Company number]],#REF!,6,FALSE),"")</f>
        <v/>
      </c>
      <c r="I80" s="62">
        <f>IFERROR(VLOOKUP(B80,Tableau5[#All],5,FALSE),"Matricule!")</f>
        <v>0</v>
      </c>
      <c r="J80" s="62">
        <f>IFERROR(VLOOKUP(B80,Tableau5[#All],6,FALSE),"Matricule!")</f>
        <v>0</v>
      </c>
      <c r="K80" s="62">
        <f>IFERROR(VLOOKUP(B80,Tableau5[#All],7,FALSE),"Matricule!")</f>
        <v>0</v>
      </c>
      <c r="L80" s="62" t="e">
        <f>VLOOKUP(Tableau242[[#This Row],[Company number]],#REF!,25,FALSE)</f>
        <v>#REF!</v>
      </c>
      <c r="M80" s="62" t="str">
        <f>IFERROR(VLOOKUP(Tableau242[[#This Row],[Company number]],#REF!,30,FALSE),"")</f>
        <v/>
      </c>
      <c r="N80" s="62" t="str">
        <f>IFERROR(VLOOKUP(Tableau242[[#This Row],[Company number]],#REF!,31,FALSE),"")</f>
        <v/>
      </c>
      <c r="O80" s="62" t="str">
        <f>IFERROR(VLOOKUP(Tableau242[[#This Row],[Company number]],#REF!,32,FALSE),"")</f>
        <v/>
      </c>
      <c r="P80" s="62">
        <f>IFERROR(VLOOKUP(B80,Tableau3[#All],5,FALSE),"Matricule!")</f>
        <v>20</v>
      </c>
      <c r="Q80" s="62">
        <f>IFERROR(SUM(VLOOKUP(B80,Tableau3[#All],6,FALSE),VLOOKUP(B80,Tableau3[#All],8,FALSE)),"Matricule!")</f>
        <v>0</v>
      </c>
      <c r="R80" s="62">
        <f>IFERROR(VLOOKUP(B80,Tableau3[#All],7,FALSE),"Matricule!")</f>
        <v>0</v>
      </c>
      <c r="S80" s="62">
        <f>IFERROR(Tableau242[[#This Row],[Prod. days WK]]-Tableau242[[#This Row],[Prod PXX]],"Matricule")</f>
        <v>0</v>
      </c>
      <c r="T80" s="62">
        <f>IFERROR(Tableau242[[#This Row],[Non prod. days WK]]-Tableau242[[#This Row],[Improd PXX]],"Matricule")</f>
        <v>0</v>
      </c>
      <c r="U80" s="62">
        <f>IFERROR(Tableau242[[#This Row],[Paid leave days WK]]-Tableau242[[#This Row],[Congé PXX]],"Matricule")</f>
        <v>0</v>
      </c>
      <c r="V80" s="63">
        <f>IFERROR(VLOOKUP($B80,#REF!,4,FALSE),0)</f>
        <v>0</v>
      </c>
      <c r="W8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80" s="63">
        <f>IF(AND(Tableau242[[#This Row],[Paid leave days]]&gt;0,Tableau242[[#This Row],[Prod. days]]&lt;0),MIN(Tableau242[[#This Row],[Paid leave days]],-Tableau242[[#This Row],[Prod. days]]),0)</f>
        <v>0</v>
      </c>
      <c r="Z80" s="63">
        <f>IFERROR(_xlfn.XLOOKUP(Tableau242[[#This Row],[Consultant]],Tableau2[Collaborateur/Nom affiché],Tableau2[Montant imputé],0),0)</f>
        <v>0</v>
      </c>
      <c r="AA80" s="64">
        <f t="shared" si="2"/>
        <v>0</v>
      </c>
      <c r="AB80" s="65"/>
      <c r="AC80" s="66"/>
      <c r="AD80" s="66"/>
      <c r="AE80" s="66"/>
      <c r="AF80" s="90"/>
    </row>
    <row r="81" spans="1:32">
      <c r="A81" s="15">
        <f>Tableau242[[#This Row],[Company number]]+0</f>
        <v>16104</v>
      </c>
      <c r="B81" s="60" t="s">
        <v>293</v>
      </c>
      <c r="C81" s="61" t="s">
        <v>294</v>
      </c>
      <c r="D81" s="61" t="s">
        <v>3</v>
      </c>
      <c r="E81" s="62" t="str">
        <f>IFERROR(VLOOKUP(Tableau242[[#This Row],[Manager ou CDM concerné]],Parametres!B:C,2,FALSE),"")</f>
        <v>Squad B</v>
      </c>
      <c r="F81" s="62" t="str">
        <f>IF(Tableau242[[#This Row],[Consultant]]=Tableau242[[#This Row],[Manager ou CDM concerné]],"Non",IF(IFERROR(VLOOKUP(Tableau242[[#This Row],[Consultant]],Parametres!B:C,2,FALSE),0)=0,"Non","Oui"))</f>
        <v>Non</v>
      </c>
      <c r="G81" s="62">
        <f>IFERROR(VLOOKUP(B81,Tableau5[#All],4,FALSE),"Matricule!")</f>
        <v>18</v>
      </c>
      <c r="H81" s="62" t="str">
        <f>IFERROR(VLOOKUP(Tableau242[[#This Row],[Company number]],#REF!,6,FALSE),"")</f>
        <v/>
      </c>
      <c r="I81" s="62">
        <f>IFERROR(VLOOKUP(B81,Tableau5[#All],5,FALSE),"Matricule!")</f>
        <v>0</v>
      </c>
      <c r="J81" s="62">
        <f>IFERROR(VLOOKUP(B81,Tableau5[#All],6,FALSE),"Matricule!")</f>
        <v>2</v>
      </c>
      <c r="K81" s="62">
        <f>IFERROR(VLOOKUP(B81,Tableau5[#All],7,FALSE),"Matricule!")</f>
        <v>0</v>
      </c>
      <c r="L81" s="62" t="e">
        <f>VLOOKUP(Tableau242[[#This Row],[Company number]],#REF!,25,FALSE)</f>
        <v>#REF!</v>
      </c>
      <c r="M81" s="62" t="str">
        <f>IFERROR(VLOOKUP(Tableau242[[#This Row],[Company number]],#REF!,30,FALSE),"")</f>
        <v/>
      </c>
      <c r="N81" s="62" t="str">
        <f>IFERROR(VLOOKUP(Tableau242[[#This Row],[Company number]],#REF!,31,FALSE),"")</f>
        <v/>
      </c>
      <c r="O81" s="62" t="str">
        <f>IFERROR(VLOOKUP(Tableau242[[#This Row],[Company number]],#REF!,32,FALSE),"")</f>
        <v/>
      </c>
      <c r="P81" s="62">
        <f>IFERROR(VLOOKUP(B81,Tableau3[#All],5,FALSE),"Matricule!")</f>
        <v>19</v>
      </c>
      <c r="Q81" s="62">
        <f>IFERROR(SUM(VLOOKUP(B81,Tableau3[#All],6,FALSE),VLOOKUP(B81,Tableau3[#All],8,FALSE)),"Matricule!")</f>
        <v>0</v>
      </c>
      <c r="R81" s="62">
        <f>IFERROR(VLOOKUP(B81,Tableau3[#All],7,FALSE),"Matricule!")</f>
        <v>1</v>
      </c>
      <c r="S81" s="62">
        <f>IFERROR(Tableau242[[#This Row],[Prod. days WK]]-Tableau242[[#This Row],[Prod PXX]],"Matricule")</f>
        <v>-1</v>
      </c>
      <c r="T81" s="62">
        <f>IFERROR(Tableau242[[#This Row],[Non prod. days WK]]-Tableau242[[#This Row],[Improd PXX]],"Matricule")</f>
        <v>0</v>
      </c>
      <c r="U81" s="62">
        <f>IFERROR(Tableau242[[#This Row],[Paid leave days WK]]-Tableau242[[#This Row],[Congé PXX]],"Matricule")</f>
        <v>1</v>
      </c>
      <c r="V81" s="63">
        <f>IFERROR(VLOOKUP($B81,#REF!,4,FALSE),0)</f>
        <v>0</v>
      </c>
      <c r="W8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81" s="63">
        <f>IF(AND(Tableau242[[#This Row],[Paid leave days]]&gt;0,Tableau242[[#This Row],[Prod. days]]&lt;0),MIN(Tableau242[[#This Row],[Paid leave days]],-Tableau242[[#This Row],[Prod. days]]),0)</f>
        <v>1</v>
      </c>
      <c r="Z81" s="63">
        <f>IFERROR(_xlfn.XLOOKUP(Tableau242[[#This Row],[Consultant]],Tableau2[Collaborateur/Nom affiché],Tableau2[Montant imputé],0),0)</f>
        <v>0</v>
      </c>
      <c r="AA81" s="64">
        <f t="shared" si="2"/>
        <v>-1</v>
      </c>
      <c r="AB81" s="65"/>
      <c r="AC81" s="66"/>
      <c r="AD81" s="66"/>
      <c r="AE81" s="66"/>
      <c r="AF81" s="90"/>
    </row>
    <row r="82" spans="1:32">
      <c r="A82" s="15">
        <f>Tableau242[[#This Row],[Company number]]+0</f>
        <v>14890</v>
      </c>
      <c r="B82" s="60" t="s">
        <v>295</v>
      </c>
      <c r="C82" s="61" t="s">
        <v>296</v>
      </c>
      <c r="D82" s="61" t="s">
        <v>3</v>
      </c>
      <c r="E82" s="62" t="str">
        <f>IFERROR(VLOOKUP(Tableau242[[#This Row],[Manager ou CDM concerné]],Parametres!B:C,2,FALSE),"")</f>
        <v>Squad B</v>
      </c>
      <c r="F82" s="62" t="str">
        <f>IF(Tableau242[[#This Row],[Consultant]]=Tableau242[[#This Row],[Manager ou CDM concerné]],"Non",IF(IFERROR(VLOOKUP(Tableau242[[#This Row],[Consultant]],Parametres!B:C,2,FALSE),0)=0,"Non","Oui"))</f>
        <v>Non</v>
      </c>
      <c r="G82" s="62">
        <f>IFERROR(VLOOKUP(B82,Tableau5[#All],4,FALSE),"Matricule!")</f>
        <v>18</v>
      </c>
      <c r="H82" s="62" t="str">
        <f>IFERROR(VLOOKUP(Tableau242[[#This Row],[Company number]],#REF!,6,FALSE),"")</f>
        <v/>
      </c>
      <c r="I82" s="62">
        <f>IFERROR(VLOOKUP(B82,Tableau5[#All],5,FALSE),"Matricule!")</f>
        <v>0</v>
      </c>
      <c r="J82" s="62">
        <f>IFERROR(VLOOKUP(B82,Tableau5[#All],6,FALSE),"Matricule!")</f>
        <v>2</v>
      </c>
      <c r="K82" s="62">
        <f>IFERROR(VLOOKUP(B82,Tableau5[#All],7,FALSE),"Matricule!")</f>
        <v>0</v>
      </c>
      <c r="L82" s="62" t="e">
        <f>VLOOKUP(Tableau242[[#This Row],[Company number]],#REF!,25,FALSE)</f>
        <v>#REF!</v>
      </c>
      <c r="M82" s="62" t="str">
        <f>IFERROR(VLOOKUP(Tableau242[[#This Row],[Company number]],#REF!,30,FALSE),"")</f>
        <v/>
      </c>
      <c r="N82" s="62" t="str">
        <f>IFERROR(VLOOKUP(Tableau242[[#This Row],[Company number]],#REF!,31,FALSE),"")</f>
        <v/>
      </c>
      <c r="O82" s="62" t="str">
        <f>IFERROR(VLOOKUP(Tableau242[[#This Row],[Company number]],#REF!,32,FALSE),"")</f>
        <v/>
      </c>
      <c r="P82" s="62">
        <f>IFERROR(VLOOKUP(B82,Tableau3[#All],5,FALSE),"Matricule!")</f>
        <v>18</v>
      </c>
      <c r="Q82" s="62">
        <f>IFERROR(SUM(VLOOKUP(B82,Tableau3[#All],6,FALSE),VLOOKUP(B82,Tableau3[#All],8,FALSE)),"Matricule!")</f>
        <v>0</v>
      </c>
      <c r="R82" s="62">
        <f>IFERROR(VLOOKUP(B82,Tableau3[#All],7,FALSE),"Matricule!")</f>
        <v>2</v>
      </c>
      <c r="S82" s="62">
        <f>IFERROR(Tableau242[[#This Row],[Prod. days WK]]-Tableau242[[#This Row],[Prod PXX]],"Matricule")</f>
        <v>0</v>
      </c>
      <c r="T82" s="62">
        <f>IFERROR(Tableau242[[#This Row],[Non prod. days WK]]-Tableau242[[#This Row],[Improd PXX]],"Matricule")</f>
        <v>0</v>
      </c>
      <c r="U82" s="62">
        <f>IFERROR(Tableau242[[#This Row],[Paid leave days WK]]-Tableau242[[#This Row],[Congé PXX]],"Matricule")</f>
        <v>0</v>
      </c>
      <c r="V82" s="63">
        <f>IFERROR(VLOOKUP($B82,#REF!,4,FALSE),0)</f>
        <v>0</v>
      </c>
      <c r="W8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82" s="63">
        <f>IF(AND(Tableau242[[#This Row],[Paid leave days]]&gt;0,Tableau242[[#This Row],[Prod. days]]&lt;0),MIN(Tableau242[[#This Row],[Paid leave days]],-Tableau242[[#This Row],[Prod. days]]),0)</f>
        <v>0</v>
      </c>
      <c r="Z82" s="63">
        <f>IFERROR(_xlfn.XLOOKUP(Tableau242[[#This Row],[Consultant]],Tableau2[Collaborateur/Nom affiché],Tableau2[Montant imputé],0),0)</f>
        <v>0</v>
      </c>
      <c r="AA82" s="64">
        <f t="shared" si="2"/>
        <v>0</v>
      </c>
      <c r="AB82" s="65"/>
      <c r="AC82" s="66"/>
      <c r="AD82" s="66"/>
      <c r="AE82" s="66"/>
      <c r="AF82" s="90"/>
    </row>
    <row r="83" spans="1:32">
      <c r="A83" s="15">
        <f>Tableau242[[#This Row],[Company number]]+0</f>
        <v>16422</v>
      </c>
      <c r="B83" s="60" t="s">
        <v>297</v>
      </c>
      <c r="C83" s="61" t="s">
        <v>298</v>
      </c>
      <c r="D83" s="61" t="s">
        <v>17</v>
      </c>
      <c r="E83" s="62" t="str">
        <f>IFERROR(VLOOKUP(Tableau242[[#This Row],[Manager ou CDM concerné]],Parametres!B:C,2,FALSE),"")</f>
        <v>Squad G</v>
      </c>
      <c r="F83" s="62" t="str">
        <f>IF(Tableau242[[#This Row],[Consultant]]=Tableau242[[#This Row],[Manager ou CDM concerné]],"Non",IF(IFERROR(VLOOKUP(Tableau242[[#This Row],[Consultant]],Parametres!B:C,2,FALSE),0)=0,"Non","Oui"))</f>
        <v>Non</v>
      </c>
      <c r="G83" s="62">
        <f>IFERROR(VLOOKUP(B83,Tableau5[#All],4,FALSE),"Matricule!")</f>
        <v>17</v>
      </c>
      <c r="H83" s="62" t="str">
        <f>IFERROR(VLOOKUP(Tableau242[[#This Row],[Company number]],#REF!,6,FALSE),"")</f>
        <v/>
      </c>
      <c r="I83" s="62">
        <f>IFERROR(VLOOKUP(B83,Tableau5[#All],5,FALSE),"Matricule!")</f>
        <v>0</v>
      </c>
      <c r="J83" s="62">
        <f>IFERROR(VLOOKUP(B83,Tableau5[#All],6,FALSE),"Matricule!")</f>
        <v>3</v>
      </c>
      <c r="K83" s="62">
        <f>IFERROR(VLOOKUP(B83,Tableau5[#All],7,FALSE),"Matricule!")</f>
        <v>0</v>
      </c>
      <c r="L83" s="62" t="e">
        <f>VLOOKUP(Tableau242[[#This Row],[Company number]],#REF!,25,FALSE)</f>
        <v>#REF!</v>
      </c>
      <c r="M83" s="62" t="str">
        <f>IFERROR(VLOOKUP(Tableau242[[#This Row],[Company number]],#REF!,30,FALSE),"")</f>
        <v/>
      </c>
      <c r="N83" s="62" t="str">
        <f>IFERROR(VLOOKUP(Tableau242[[#This Row],[Company number]],#REF!,31,FALSE),"")</f>
        <v/>
      </c>
      <c r="O83" s="62" t="str">
        <f>IFERROR(VLOOKUP(Tableau242[[#This Row],[Company number]],#REF!,32,FALSE),"")</f>
        <v/>
      </c>
      <c r="P83" s="62">
        <f>IFERROR(VLOOKUP(B83,Tableau3[#All],5,FALSE),"Matricule!")</f>
        <v>18</v>
      </c>
      <c r="Q83" s="62">
        <f>IFERROR(SUM(VLOOKUP(B83,Tableau3[#All],6,FALSE),VLOOKUP(B83,Tableau3[#All],8,FALSE)),"Matricule!")</f>
        <v>0</v>
      </c>
      <c r="R83" s="62">
        <f>IFERROR(VLOOKUP(B83,Tableau3[#All],7,FALSE),"Matricule!")</f>
        <v>2</v>
      </c>
      <c r="S83" s="62">
        <f>IFERROR(Tableau242[[#This Row],[Prod. days WK]]-Tableau242[[#This Row],[Prod PXX]],"Matricule")</f>
        <v>-1</v>
      </c>
      <c r="T83" s="62">
        <f>IFERROR(Tableau242[[#This Row],[Non prod. days WK]]-Tableau242[[#This Row],[Improd PXX]],"Matricule")</f>
        <v>0</v>
      </c>
      <c r="U83" s="62">
        <f>IFERROR(Tableau242[[#This Row],[Paid leave days WK]]-Tableau242[[#This Row],[Congé PXX]],"Matricule")</f>
        <v>1</v>
      </c>
      <c r="V83" s="63">
        <f>IFERROR(VLOOKUP($B83,#REF!,4,FALSE),0)</f>
        <v>0</v>
      </c>
      <c r="W8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83" s="63">
        <f>IF(AND(Tableau242[[#This Row],[Paid leave days]]&gt;0,Tableau242[[#This Row],[Prod. days]]&lt;0),MIN(Tableau242[[#This Row],[Paid leave days]],-Tableau242[[#This Row],[Prod. days]]),0)</f>
        <v>1</v>
      </c>
      <c r="Z83" s="63">
        <f>IFERROR(_xlfn.XLOOKUP(Tableau242[[#This Row],[Consultant]],Tableau2[Collaborateur/Nom affiché],Tableau2[Montant imputé],0),0)</f>
        <v>0</v>
      </c>
      <c r="AA83" s="64">
        <f t="shared" si="2"/>
        <v>-1</v>
      </c>
      <c r="AB83" s="65" t="s">
        <v>299</v>
      </c>
      <c r="AC83" s="66"/>
      <c r="AD83" s="66"/>
      <c r="AE83" s="66"/>
      <c r="AF83" s="90"/>
    </row>
    <row r="84" spans="1:32">
      <c r="A84" s="15">
        <f>Tableau242[[#This Row],[Company number]]+0</f>
        <v>12663</v>
      </c>
      <c r="B84" s="60" t="s">
        <v>300</v>
      </c>
      <c r="C84" s="61" t="s">
        <v>301</v>
      </c>
      <c r="D84" s="61" t="s">
        <v>17</v>
      </c>
      <c r="E84" s="62" t="str">
        <f>IFERROR(VLOOKUP(Tableau242[[#This Row],[Manager ou CDM concerné]],Parametres!B:C,2,FALSE),"")</f>
        <v>Squad G</v>
      </c>
      <c r="F84" s="62" t="str">
        <f>IF(Tableau242[[#This Row],[Consultant]]=Tableau242[[#This Row],[Manager ou CDM concerné]],"Non",IF(IFERROR(VLOOKUP(Tableau242[[#This Row],[Consultant]],Parametres!B:C,2,FALSE),0)=0,"Non","Oui"))</f>
        <v>Non</v>
      </c>
      <c r="G84" s="62">
        <f>IFERROR(VLOOKUP(B84,Tableau5[#All],4,FALSE),"Matricule!")</f>
        <v>13</v>
      </c>
      <c r="H84" s="62" t="str">
        <f>IFERROR(VLOOKUP(Tableau242[[#This Row],[Company number]],#REF!,6,FALSE),"")</f>
        <v/>
      </c>
      <c r="I84" s="62">
        <f>IFERROR(VLOOKUP(B84,Tableau5[#All],5,FALSE),"Matricule!")</f>
        <v>0</v>
      </c>
      <c r="J84" s="62">
        <f>IFERROR(VLOOKUP(B84,Tableau5[#All],6,FALSE),"Matricule!")</f>
        <v>7</v>
      </c>
      <c r="K84" s="62">
        <f>IFERROR(VLOOKUP(B84,Tableau5[#All],7,FALSE),"Matricule!")</f>
        <v>0</v>
      </c>
      <c r="L84" s="62" t="e">
        <f>VLOOKUP(Tableau242[[#This Row],[Company number]],#REF!,25,FALSE)</f>
        <v>#REF!</v>
      </c>
      <c r="M84" s="62" t="str">
        <f>IFERROR(VLOOKUP(Tableau242[[#This Row],[Company number]],#REF!,30,FALSE),"")</f>
        <v/>
      </c>
      <c r="N84" s="62" t="str">
        <f>IFERROR(VLOOKUP(Tableau242[[#This Row],[Company number]],#REF!,31,FALSE),"")</f>
        <v/>
      </c>
      <c r="O84" s="62" t="str">
        <f>IFERROR(VLOOKUP(Tableau242[[#This Row],[Company number]],#REF!,32,FALSE),"")</f>
        <v/>
      </c>
      <c r="P84" s="62">
        <f>IFERROR(VLOOKUP(B84,Tableau3[#All],5,FALSE),"Matricule!")</f>
        <v>6</v>
      </c>
      <c r="Q84" s="62">
        <f>IFERROR(SUM(VLOOKUP(B84,Tableau3[#All],6,FALSE),VLOOKUP(B84,Tableau3[#All],8,FALSE)),"Matricule!")</f>
        <v>7</v>
      </c>
      <c r="R84" s="62">
        <f>IFERROR(VLOOKUP(B84,Tableau3[#All],7,FALSE),"Matricule!")</f>
        <v>7</v>
      </c>
      <c r="S84" s="62">
        <f>IFERROR(Tableau242[[#This Row],[Prod. days WK]]-Tableau242[[#This Row],[Prod PXX]],"Matricule")</f>
        <v>7</v>
      </c>
      <c r="T84" s="62">
        <f>IFERROR(Tableau242[[#This Row],[Non prod. days WK]]-Tableau242[[#This Row],[Improd PXX]],"Matricule")</f>
        <v>-7</v>
      </c>
      <c r="U84" s="62">
        <f>IFERROR(Tableau242[[#This Row],[Paid leave days WK]]-Tableau242[[#This Row],[Congé PXX]],"Matricule")</f>
        <v>0</v>
      </c>
      <c r="V84" s="63">
        <f>IFERROR(VLOOKUP($B84,#REF!,4,FALSE),0)</f>
        <v>0</v>
      </c>
      <c r="W8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84" s="63">
        <f>IF(AND(Tableau242[[#This Row],[Paid leave days]]&gt;0,Tableau242[[#This Row],[Prod. days]]&lt;0),MIN(Tableau242[[#This Row],[Paid leave days]],-Tableau242[[#This Row],[Prod. days]]),0)</f>
        <v>0</v>
      </c>
      <c r="Z84" s="63">
        <f>IFERROR(_xlfn.XLOOKUP(Tableau242[[#This Row],[Consultant]],Tableau2[Collaborateur/Nom affiché],Tableau2[Montant imputé],0),0)</f>
        <v>0</v>
      </c>
      <c r="AA84" s="64">
        <f t="shared" si="2"/>
        <v>7</v>
      </c>
      <c r="AB84" s="65"/>
      <c r="AC84" s="66"/>
      <c r="AD84" s="66"/>
      <c r="AE84" s="66"/>
      <c r="AF84" s="90"/>
    </row>
    <row r="85" spans="1:32">
      <c r="A85" s="15">
        <f>Tableau242[[#This Row],[Company number]]+0</f>
        <v>12547</v>
      </c>
      <c r="B85" s="60" t="s">
        <v>302</v>
      </c>
      <c r="C85" s="61" t="s">
        <v>303</v>
      </c>
      <c r="D85" s="61" t="s">
        <v>17</v>
      </c>
      <c r="E85" s="62" t="str">
        <f>IFERROR(VLOOKUP(Tableau242[[#This Row],[Manager ou CDM concerné]],Parametres!B:C,2,FALSE),"")</f>
        <v>Squad G</v>
      </c>
      <c r="F85" s="62" t="str">
        <f>IF(Tableau242[[#This Row],[Consultant]]=Tableau242[[#This Row],[Manager ou CDM concerné]],"Non",IF(IFERROR(VLOOKUP(Tableau242[[#This Row],[Consultant]],Parametres!B:C,2,FALSE),0)=0,"Non","Oui"))</f>
        <v>Non</v>
      </c>
      <c r="G85" s="62">
        <f>IFERROR(VLOOKUP(B85,Tableau5[#All],4,FALSE),"Matricule!")</f>
        <v>20</v>
      </c>
      <c r="H85" s="62" t="str">
        <f>IFERROR(VLOOKUP(Tableau242[[#This Row],[Company number]],#REF!,6,FALSE),"")</f>
        <v/>
      </c>
      <c r="I85" s="62">
        <f>IFERROR(VLOOKUP(B85,Tableau5[#All],5,FALSE),"Matricule!")</f>
        <v>0</v>
      </c>
      <c r="J85" s="62">
        <f>IFERROR(VLOOKUP(B85,Tableau5[#All],6,FALSE),"Matricule!")</f>
        <v>0</v>
      </c>
      <c r="K85" s="62">
        <f>IFERROR(VLOOKUP(B85,Tableau5[#All],7,FALSE),"Matricule!")</f>
        <v>0</v>
      </c>
      <c r="L85" s="62" t="e">
        <f>VLOOKUP(Tableau242[[#This Row],[Company number]],#REF!,25,FALSE)</f>
        <v>#REF!</v>
      </c>
      <c r="M85" s="62" t="str">
        <f>IFERROR(VLOOKUP(Tableau242[[#This Row],[Company number]],#REF!,30,FALSE),"")</f>
        <v/>
      </c>
      <c r="N85" s="62" t="str">
        <f>IFERROR(VLOOKUP(Tableau242[[#This Row],[Company number]],#REF!,31,FALSE),"")</f>
        <v/>
      </c>
      <c r="O85" s="62" t="str">
        <f>IFERROR(VLOOKUP(Tableau242[[#This Row],[Company number]],#REF!,32,FALSE),"")</f>
        <v/>
      </c>
      <c r="P85" s="62">
        <f>IFERROR(VLOOKUP(B85,Tableau3[#All],5,FALSE),"Matricule!")</f>
        <v>20</v>
      </c>
      <c r="Q85" s="62">
        <f>IFERROR(SUM(VLOOKUP(B85,Tableau3[#All],6,FALSE),VLOOKUP(B85,Tableau3[#All],8,FALSE)),"Matricule!")</f>
        <v>0</v>
      </c>
      <c r="R85" s="62">
        <f>IFERROR(VLOOKUP(B85,Tableau3[#All],7,FALSE),"Matricule!")</f>
        <v>0</v>
      </c>
      <c r="S85" s="62">
        <f>IFERROR(Tableau242[[#This Row],[Prod. days WK]]-Tableau242[[#This Row],[Prod PXX]],"Matricule")</f>
        <v>0</v>
      </c>
      <c r="T85" s="62">
        <f>IFERROR(Tableau242[[#This Row],[Non prod. days WK]]-Tableau242[[#This Row],[Improd PXX]],"Matricule")</f>
        <v>0</v>
      </c>
      <c r="U85" s="62">
        <f>IFERROR(Tableau242[[#This Row],[Paid leave days WK]]-Tableau242[[#This Row],[Congé PXX]],"Matricule")</f>
        <v>0</v>
      </c>
      <c r="V85" s="63">
        <f>IFERROR(VLOOKUP($B85,#REF!,4,FALSE),0)</f>
        <v>0</v>
      </c>
      <c r="W8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85" s="63">
        <f>IF(AND(Tableau242[[#This Row],[Paid leave days]]&gt;0,Tableau242[[#This Row],[Prod. days]]&lt;0),MIN(Tableau242[[#This Row],[Paid leave days]],-Tableau242[[#This Row],[Prod. days]]),0)</f>
        <v>0</v>
      </c>
      <c r="Z85" s="63">
        <f>IFERROR(_xlfn.XLOOKUP(Tableau242[[#This Row],[Consultant]],Tableau2[Collaborateur/Nom affiché],Tableau2[Montant imputé],0),0)</f>
        <v>0</v>
      </c>
      <c r="AA85" s="64">
        <f t="shared" si="2"/>
        <v>0</v>
      </c>
      <c r="AB85" s="65"/>
      <c r="AC85" s="66"/>
      <c r="AD85" s="66"/>
      <c r="AE85" s="66"/>
      <c r="AF85" s="90"/>
    </row>
    <row r="86" spans="1:32">
      <c r="A86" s="15">
        <f>Tableau242[[#This Row],[Company number]]+0</f>
        <v>12645</v>
      </c>
      <c r="B86" s="60" t="s">
        <v>304</v>
      </c>
      <c r="C86" s="61" t="s">
        <v>305</v>
      </c>
      <c r="D86" s="61" t="s">
        <v>17</v>
      </c>
      <c r="E86" s="62" t="str">
        <f>IFERROR(VLOOKUP(Tableau242[[#This Row],[Manager ou CDM concerné]],Parametres!B:C,2,FALSE),"")</f>
        <v>Squad G</v>
      </c>
      <c r="F86" s="62" t="str">
        <f>IF(Tableau242[[#This Row],[Consultant]]=Tableau242[[#This Row],[Manager ou CDM concerné]],"Non",IF(IFERROR(VLOOKUP(Tableau242[[#This Row],[Consultant]],Parametres!B:C,2,FALSE),0)=0,"Non","Oui"))</f>
        <v>Non</v>
      </c>
      <c r="G86" s="62">
        <f>IFERROR(VLOOKUP(B86,Tableau5[#All],4,FALSE),"Matricule!")</f>
        <v>0</v>
      </c>
      <c r="H86" s="62" t="str">
        <f>IFERROR(VLOOKUP(Tableau242[[#This Row],[Company number]],#REF!,6,FALSE),"")</f>
        <v/>
      </c>
      <c r="I86" s="62">
        <f>IFERROR(VLOOKUP(B86,Tableau5[#All],5,FALSE),"Matricule!")</f>
        <v>20</v>
      </c>
      <c r="J86" s="62">
        <f>IFERROR(VLOOKUP(B86,Tableau5[#All],6,FALSE),"Matricule!")</f>
        <v>0</v>
      </c>
      <c r="K86" s="62">
        <f>IFERROR(VLOOKUP(B86,Tableau5[#All],7,FALSE),"Matricule!")</f>
        <v>0</v>
      </c>
      <c r="L86" s="62" t="e">
        <f>VLOOKUP(Tableau242[[#This Row],[Company number]],#REF!,25,FALSE)</f>
        <v>#REF!</v>
      </c>
      <c r="M86" s="62" t="str">
        <f>IFERROR(VLOOKUP(Tableau242[[#This Row],[Company number]],#REF!,30,FALSE),"")</f>
        <v/>
      </c>
      <c r="N86" s="62" t="str">
        <f>IFERROR(VLOOKUP(Tableau242[[#This Row],[Company number]],#REF!,31,FALSE),"")</f>
        <v/>
      </c>
      <c r="O86" s="62" t="str">
        <f>IFERROR(VLOOKUP(Tableau242[[#This Row],[Company number]],#REF!,32,FALSE),"")</f>
        <v/>
      </c>
      <c r="P86" s="62">
        <f>IFERROR(VLOOKUP(B86,Tableau3[#All],5,FALSE),"Matricule!")</f>
        <v>0</v>
      </c>
      <c r="Q86" s="62">
        <f>IFERROR(SUM(VLOOKUP(B86,Tableau3[#All],6,FALSE),VLOOKUP(B86,Tableau3[#All],8,FALSE)),"Matricule!")</f>
        <v>20</v>
      </c>
      <c r="R86" s="62">
        <f>IFERROR(VLOOKUP(B86,Tableau3[#All],7,FALSE),"Matricule!")</f>
        <v>0</v>
      </c>
      <c r="S86" s="62">
        <f>IFERROR(Tableau242[[#This Row],[Prod. days WK]]-Tableau242[[#This Row],[Prod PXX]],"Matricule")</f>
        <v>0</v>
      </c>
      <c r="T86" s="62">
        <f>IFERROR(Tableau242[[#This Row],[Non prod. days WK]]-Tableau242[[#This Row],[Improd PXX]],"Matricule")</f>
        <v>0</v>
      </c>
      <c r="U86" s="62">
        <f>IFERROR(Tableau242[[#This Row],[Paid leave days WK]]-Tableau242[[#This Row],[Congé PXX]],"Matricule")</f>
        <v>0</v>
      </c>
      <c r="V86" s="63">
        <f>IFERROR(VLOOKUP($B86,#REF!,4,FALSE),0)</f>
        <v>0</v>
      </c>
      <c r="W8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86" s="63">
        <f>IF(AND(Tableau242[[#This Row],[Paid leave days]]&gt;0,Tableau242[[#This Row],[Prod. days]]&lt;0),MIN(Tableau242[[#This Row],[Paid leave days]],-Tableau242[[#This Row],[Prod. days]]),0)</f>
        <v>0</v>
      </c>
      <c r="Z86" s="63">
        <f>IFERROR(_xlfn.XLOOKUP(Tableau242[[#This Row],[Consultant]],Tableau2[Collaborateur/Nom affiché],Tableau2[Montant imputé],0),0)</f>
        <v>0</v>
      </c>
      <c r="AA86" s="64">
        <f t="shared" si="2"/>
        <v>0</v>
      </c>
      <c r="AB86" s="86"/>
      <c r="AC86" s="67"/>
      <c r="AD86" s="67"/>
      <c r="AE86" s="119"/>
      <c r="AF86" s="92"/>
    </row>
    <row r="87" spans="1:32">
      <c r="A87" s="15">
        <f>Tableau242[[#This Row],[Company number]]+0</f>
        <v>14401</v>
      </c>
      <c r="B87" s="60" t="s">
        <v>306</v>
      </c>
      <c r="C87" s="61" t="s">
        <v>307</v>
      </c>
      <c r="D87" s="61" t="s">
        <v>17</v>
      </c>
      <c r="E87" s="62" t="str">
        <f>IFERROR(VLOOKUP(Tableau242[[#This Row],[Manager ou CDM concerné]],Parametres!B:C,2,FALSE),"")</f>
        <v>Squad G</v>
      </c>
      <c r="F87" s="62" t="str">
        <f>IF(Tableau242[[#This Row],[Consultant]]=Tableau242[[#This Row],[Manager ou CDM concerné]],"Non",IF(IFERROR(VLOOKUP(Tableau242[[#This Row],[Consultant]],Parametres!B:C,2,FALSE),0)=0,"Non","Oui"))</f>
        <v>Non</v>
      </c>
      <c r="G87" s="62">
        <f>IFERROR(VLOOKUP(B87,Tableau5[#All],4,FALSE),"Matricule!")</f>
        <v>19</v>
      </c>
      <c r="H87" s="62" t="str">
        <f>IFERROR(VLOOKUP(Tableau242[[#This Row],[Company number]],#REF!,6,FALSE),"")</f>
        <v/>
      </c>
      <c r="I87" s="62">
        <f>IFERROR(VLOOKUP(B87,Tableau5[#All],5,FALSE),"Matricule!")</f>
        <v>0</v>
      </c>
      <c r="J87" s="62">
        <f>IFERROR(VLOOKUP(B87,Tableau5[#All],6,FALSE),"Matricule!")</f>
        <v>1</v>
      </c>
      <c r="K87" s="62">
        <f>IFERROR(VLOOKUP(B87,Tableau5[#All],7,FALSE),"Matricule!")</f>
        <v>0</v>
      </c>
      <c r="L87" s="62" t="e">
        <f>VLOOKUP(Tableau242[[#This Row],[Company number]],#REF!,25,FALSE)</f>
        <v>#REF!</v>
      </c>
      <c r="M87" s="62" t="str">
        <f>IFERROR(VLOOKUP(Tableau242[[#This Row],[Company number]],#REF!,30,FALSE),"")</f>
        <v/>
      </c>
      <c r="N87" s="62" t="str">
        <f>IFERROR(VLOOKUP(Tableau242[[#This Row],[Company number]],#REF!,31,FALSE),"")</f>
        <v/>
      </c>
      <c r="O87" s="62" t="str">
        <f>IFERROR(VLOOKUP(Tableau242[[#This Row],[Company number]],#REF!,32,FALSE),"")</f>
        <v/>
      </c>
      <c r="P87" s="62">
        <f>IFERROR(VLOOKUP(B87,Tableau3[#All],5,FALSE),"Matricule!")</f>
        <v>19</v>
      </c>
      <c r="Q87" s="62">
        <f>IFERROR(SUM(VLOOKUP(B87,Tableau3[#All],6,FALSE),VLOOKUP(B87,Tableau3[#All],8,FALSE)),"Matricule!")</f>
        <v>0</v>
      </c>
      <c r="R87" s="62">
        <f>IFERROR(VLOOKUP(B87,Tableau3[#All],7,FALSE),"Matricule!")</f>
        <v>1</v>
      </c>
      <c r="S87" s="62">
        <f>IFERROR(Tableau242[[#This Row],[Prod. days WK]]-Tableau242[[#This Row],[Prod PXX]],"Matricule")</f>
        <v>0</v>
      </c>
      <c r="T87" s="62">
        <f>IFERROR(Tableau242[[#This Row],[Non prod. days WK]]-Tableau242[[#This Row],[Improd PXX]],"Matricule")</f>
        <v>0</v>
      </c>
      <c r="U87" s="62">
        <f>IFERROR(Tableau242[[#This Row],[Paid leave days WK]]-Tableau242[[#This Row],[Congé PXX]],"Matricule")</f>
        <v>0</v>
      </c>
      <c r="V87" s="63">
        <f>IFERROR(VLOOKUP($B87,#REF!,4,FALSE),0)</f>
        <v>0</v>
      </c>
      <c r="W8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87" s="63">
        <f>IF(AND(Tableau242[[#This Row],[Paid leave days]]&gt;0,Tableau242[[#This Row],[Prod. days]]&lt;0),MIN(Tableau242[[#This Row],[Paid leave days]],-Tableau242[[#This Row],[Prod. days]]),0)</f>
        <v>0</v>
      </c>
      <c r="Z87" s="63">
        <f>IFERROR(_xlfn.XLOOKUP(Tableau242[[#This Row],[Consultant]],Tableau2[Collaborateur/Nom affiché],Tableau2[Montant imputé],0),0)</f>
        <v>0</v>
      </c>
      <c r="AA87" s="64">
        <f t="shared" si="2"/>
        <v>0</v>
      </c>
      <c r="AB87" s="65"/>
      <c r="AC87" s="66"/>
      <c r="AD87" s="66"/>
      <c r="AE87" s="66"/>
      <c r="AF87" s="90"/>
    </row>
    <row r="88" spans="1:32">
      <c r="A88" s="15">
        <f>Tableau242[[#This Row],[Company number]]+0</f>
        <v>16539</v>
      </c>
      <c r="B88" s="60" t="s">
        <v>308</v>
      </c>
      <c r="C88" s="61" t="s">
        <v>309</v>
      </c>
      <c r="D88" s="61" t="s">
        <v>17</v>
      </c>
      <c r="E88" s="62" t="str">
        <f>IFERROR(VLOOKUP(Tableau242[[#This Row],[Manager ou CDM concerné]],Parametres!B:C,2,FALSE),"")</f>
        <v>Squad G</v>
      </c>
      <c r="F88" s="62" t="str">
        <f>IF(Tableau242[[#This Row],[Consultant]]=Tableau242[[#This Row],[Manager ou CDM concerné]],"Non",IF(IFERROR(VLOOKUP(Tableau242[[#This Row],[Consultant]],Parametres!B:C,2,FALSE),0)=0,"Non","Oui"))</f>
        <v>Non</v>
      </c>
      <c r="G88" s="62">
        <f>IFERROR(VLOOKUP(B88,Tableau5[#All],4,FALSE),"Matricule!")</f>
        <v>19</v>
      </c>
      <c r="H88" s="62" t="str">
        <f>IFERROR(VLOOKUP(Tableau242[[#This Row],[Company number]],#REF!,6,FALSE),"")</f>
        <v/>
      </c>
      <c r="I88" s="62">
        <f>IFERROR(VLOOKUP(B88,Tableau5[#All],5,FALSE),"Matricule!")</f>
        <v>0</v>
      </c>
      <c r="J88" s="62">
        <f>IFERROR(VLOOKUP(B88,Tableau5[#All],6,FALSE),"Matricule!")</f>
        <v>1</v>
      </c>
      <c r="K88" s="62">
        <f>IFERROR(VLOOKUP(B88,Tableau5[#All],7,FALSE),"Matricule!")</f>
        <v>0</v>
      </c>
      <c r="L88" s="62" t="e">
        <f>VLOOKUP(Tableau242[[#This Row],[Company number]],#REF!,25,FALSE)</f>
        <v>#REF!</v>
      </c>
      <c r="M88" s="62" t="str">
        <f>IFERROR(VLOOKUP(Tableau242[[#This Row],[Company number]],#REF!,30,FALSE),"")</f>
        <v/>
      </c>
      <c r="N88" s="62" t="str">
        <f>IFERROR(VLOOKUP(Tableau242[[#This Row],[Company number]],#REF!,31,FALSE),"")</f>
        <v/>
      </c>
      <c r="O88" s="62" t="str">
        <f>IFERROR(VLOOKUP(Tableau242[[#This Row],[Company number]],#REF!,32,FALSE),"")</f>
        <v/>
      </c>
      <c r="P88" s="62">
        <f>IFERROR(VLOOKUP(B88,Tableau3[#All],5,FALSE),"Matricule!")</f>
        <v>19</v>
      </c>
      <c r="Q88" s="62">
        <f>IFERROR(SUM(VLOOKUP(B88,Tableau3[#All],6,FALSE),VLOOKUP(B88,Tableau3[#All],8,FALSE)),"Matricule!")</f>
        <v>0</v>
      </c>
      <c r="R88" s="62">
        <f>IFERROR(VLOOKUP(B88,Tableau3[#All],7,FALSE),"Matricule!")</f>
        <v>1</v>
      </c>
      <c r="S88" s="62">
        <f>IFERROR(Tableau242[[#This Row],[Prod. days WK]]-Tableau242[[#This Row],[Prod PXX]],"Matricule")</f>
        <v>0</v>
      </c>
      <c r="T88" s="62">
        <f>IFERROR(Tableau242[[#This Row],[Non prod. days WK]]-Tableau242[[#This Row],[Improd PXX]],"Matricule")</f>
        <v>0</v>
      </c>
      <c r="U88" s="62">
        <f>IFERROR(Tableau242[[#This Row],[Paid leave days WK]]-Tableau242[[#This Row],[Congé PXX]],"Matricule")</f>
        <v>0</v>
      </c>
      <c r="V88" s="63">
        <f>IFERROR(VLOOKUP($B88,#REF!,4,FALSE),0)</f>
        <v>0</v>
      </c>
      <c r="W8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88" s="63">
        <f>IF(AND(Tableau242[[#This Row],[Paid leave days]]&gt;0,Tableau242[[#This Row],[Prod. days]]&lt;0),MIN(Tableau242[[#This Row],[Paid leave days]],-Tableau242[[#This Row],[Prod. days]]),0)</f>
        <v>0</v>
      </c>
      <c r="Z88" s="63">
        <f>IFERROR(_xlfn.XLOOKUP(Tableau242[[#This Row],[Consultant]],Tableau2[Collaborateur/Nom affiché],Tableau2[Montant imputé],0),0)</f>
        <v>0</v>
      </c>
      <c r="AA88" s="64">
        <f t="shared" si="2"/>
        <v>0</v>
      </c>
      <c r="AB88" s="65"/>
      <c r="AC88" s="66"/>
      <c r="AD88" s="66"/>
      <c r="AE88" s="66"/>
      <c r="AF88" s="90"/>
    </row>
    <row r="89" spans="1:32">
      <c r="A89" s="15">
        <f>Tableau242[[#This Row],[Company number]]+0</f>
        <v>15551</v>
      </c>
      <c r="B89" s="60" t="s">
        <v>310</v>
      </c>
      <c r="C89" s="61" t="s">
        <v>311</v>
      </c>
      <c r="D89" s="61" t="s">
        <v>17</v>
      </c>
      <c r="E89" s="62" t="str">
        <f>IFERROR(VLOOKUP(Tableau242[[#This Row],[Manager ou CDM concerné]],Parametres!B:C,2,FALSE),"")</f>
        <v>Squad G</v>
      </c>
      <c r="F89" s="62" t="str">
        <f>IF(Tableau242[[#This Row],[Consultant]]=Tableau242[[#This Row],[Manager ou CDM concerné]],"Non",IF(IFERROR(VLOOKUP(Tableau242[[#This Row],[Consultant]],Parametres!B:C,2,FALSE),0)=0,"Non","Oui"))</f>
        <v>Non</v>
      </c>
      <c r="G89" s="62">
        <f>IFERROR(VLOOKUP(B89,Tableau5[#All],4,FALSE),"Matricule!")</f>
        <v>20</v>
      </c>
      <c r="H89" s="62" t="str">
        <f>IFERROR(VLOOKUP(Tableau242[[#This Row],[Company number]],#REF!,6,FALSE),"")</f>
        <v/>
      </c>
      <c r="I89" s="62">
        <f>IFERROR(VLOOKUP(B89,Tableau5[#All],5,FALSE),"Matricule!")</f>
        <v>0</v>
      </c>
      <c r="J89" s="62">
        <f>IFERROR(VLOOKUP(B89,Tableau5[#All],6,FALSE),"Matricule!")</f>
        <v>0</v>
      </c>
      <c r="K89" s="62">
        <f>IFERROR(VLOOKUP(B89,Tableau5[#All],7,FALSE),"Matricule!")</f>
        <v>0</v>
      </c>
      <c r="L89" s="62" t="e">
        <f>VLOOKUP(Tableau242[[#This Row],[Company number]],#REF!,25,FALSE)</f>
        <v>#REF!</v>
      </c>
      <c r="M89" s="62" t="str">
        <f>IFERROR(VLOOKUP(Tableau242[[#This Row],[Company number]],#REF!,30,FALSE),"")</f>
        <v/>
      </c>
      <c r="N89" s="62" t="str">
        <f>IFERROR(VLOOKUP(Tableau242[[#This Row],[Company number]],#REF!,31,FALSE),"")</f>
        <v/>
      </c>
      <c r="O89" s="62" t="str">
        <f>IFERROR(VLOOKUP(Tableau242[[#This Row],[Company number]],#REF!,32,FALSE),"")</f>
        <v/>
      </c>
      <c r="P89" s="62">
        <f>IFERROR(VLOOKUP(B89,Tableau3[#All],5,FALSE),"Matricule!")</f>
        <v>20</v>
      </c>
      <c r="Q89" s="62">
        <f>IFERROR(SUM(VLOOKUP(B89,Tableau3[#All],6,FALSE),VLOOKUP(B89,Tableau3[#All],8,FALSE)),"Matricule!")</f>
        <v>0</v>
      </c>
      <c r="R89" s="62">
        <f>IFERROR(VLOOKUP(B89,Tableau3[#All],7,FALSE),"Matricule!")</f>
        <v>0</v>
      </c>
      <c r="S89" s="62">
        <f>IFERROR(Tableau242[[#This Row],[Prod. days WK]]-Tableau242[[#This Row],[Prod PXX]],"Matricule")</f>
        <v>0</v>
      </c>
      <c r="T89" s="62">
        <f>IFERROR(Tableau242[[#This Row],[Non prod. days WK]]-Tableau242[[#This Row],[Improd PXX]],"Matricule")</f>
        <v>0</v>
      </c>
      <c r="U89" s="62">
        <f>IFERROR(Tableau242[[#This Row],[Paid leave days WK]]-Tableau242[[#This Row],[Congé PXX]],"Matricule")</f>
        <v>0</v>
      </c>
      <c r="V89" s="63">
        <f>IFERROR(VLOOKUP($B89,#REF!,4,FALSE),0)</f>
        <v>0</v>
      </c>
      <c r="W8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8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89" s="63">
        <f>IF(AND(Tableau242[[#This Row],[Paid leave days]]&gt;0,Tableau242[[#This Row],[Prod. days]]&lt;0),MIN(Tableau242[[#This Row],[Paid leave days]],-Tableau242[[#This Row],[Prod. days]]),0)</f>
        <v>0</v>
      </c>
      <c r="Z89" s="63">
        <f>IFERROR(_xlfn.XLOOKUP(Tableau242[[#This Row],[Consultant]],Tableau2[Collaborateur/Nom affiché],Tableau2[Montant imputé],0),0)</f>
        <v>0</v>
      </c>
      <c r="AA89" s="64">
        <f t="shared" si="2"/>
        <v>0</v>
      </c>
      <c r="AB89" s="65"/>
      <c r="AC89" s="67"/>
      <c r="AD89" s="67"/>
      <c r="AE89" s="67"/>
      <c r="AF89" s="92"/>
    </row>
    <row r="90" spans="1:32">
      <c r="A90" s="15">
        <f>Tableau242[[#This Row],[Company number]]+0</f>
        <v>16450</v>
      </c>
      <c r="B90" s="60" t="s">
        <v>312</v>
      </c>
      <c r="C90" s="61" t="s">
        <v>313</v>
      </c>
      <c r="D90" s="61" t="s">
        <v>17</v>
      </c>
      <c r="E90" s="62" t="str">
        <f>IFERROR(VLOOKUP(Tableau242[[#This Row],[Manager ou CDM concerné]],Parametres!B:C,2,FALSE),"")</f>
        <v>Squad G</v>
      </c>
      <c r="F90" s="62" t="str">
        <f>IF(Tableau242[[#This Row],[Consultant]]=Tableau242[[#This Row],[Manager ou CDM concerné]],"Non",IF(IFERROR(VLOOKUP(Tableau242[[#This Row],[Consultant]],Parametres!B:C,2,FALSE),0)=0,"Non","Oui"))</f>
        <v>Non</v>
      </c>
      <c r="G90" s="62">
        <f>IFERROR(VLOOKUP(B90,Tableau5[#All],4,FALSE),"Matricule!")</f>
        <v>0</v>
      </c>
      <c r="H90" s="62" t="str">
        <f>IFERROR(VLOOKUP(Tableau242[[#This Row],[Company number]],#REF!,6,FALSE),"")</f>
        <v/>
      </c>
      <c r="I90" s="62">
        <f>IFERROR(VLOOKUP(B90,Tableau5[#All],5,FALSE),"Matricule!")</f>
        <v>17</v>
      </c>
      <c r="J90" s="62">
        <f>IFERROR(VLOOKUP(B90,Tableau5[#All],6,FALSE),"Matricule!")</f>
        <v>3</v>
      </c>
      <c r="K90" s="62">
        <f>IFERROR(VLOOKUP(B90,Tableau5[#All],7,FALSE),"Matricule!")</f>
        <v>0</v>
      </c>
      <c r="L90" s="62" t="e">
        <f>VLOOKUP(Tableau242[[#This Row],[Company number]],#REF!,25,FALSE)</f>
        <v>#REF!</v>
      </c>
      <c r="M90" s="62" t="str">
        <f>IFERROR(VLOOKUP(Tableau242[[#This Row],[Company number]],#REF!,30,FALSE),"")</f>
        <v/>
      </c>
      <c r="N90" s="62" t="str">
        <f>IFERROR(VLOOKUP(Tableau242[[#This Row],[Company number]],#REF!,31,FALSE),"")</f>
        <v/>
      </c>
      <c r="O90" s="62" t="str">
        <f>IFERROR(VLOOKUP(Tableau242[[#This Row],[Company number]],#REF!,32,FALSE),"")</f>
        <v/>
      </c>
      <c r="P90" s="62">
        <f>IFERROR(VLOOKUP(B90,Tableau3[#All],5,FALSE),"Matricule!")</f>
        <v>0</v>
      </c>
      <c r="Q90" s="62">
        <f>IFERROR(SUM(VLOOKUP(B90,Tableau3[#All],6,FALSE),VLOOKUP(B90,Tableau3[#All],8,FALSE)),"Matricule!")</f>
        <v>17</v>
      </c>
      <c r="R90" s="62">
        <f>IFERROR(VLOOKUP(B90,Tableau3[#All],7,FALSE),"Matricule!")</f>
        <v>3</v>
      </c>
      <c r="S90" s="62">
        <f>IFERROR(Tableau242[[#This Row],[Prod. days WK]]-Tableau242[[#This Row],[Prod PXX]],"Matricule")</f>
        <v>0</v>
      </c>
      <c r="T90" s="62">
        <f>IFERROR(Tableau242[[#This Row],[Non prod. days WK]]-Tableau242[[#This Row],[Improd PXX]],"Matricule")</f>
        <v>0</v>
      </c>
      <c r="U90" s="62">
        <f>IFERROR(Tableau242[[#This Row],[Paid leave days WK]]-Tableau242[[#This Row],[Congé PXX]],"Matricule")</f>
        <v>0</v>
      </c>
      <c r="V90" s="63">
        <f>IFERROR(VLOOKUP($B90,#REF!,4,FALSE),0)</f>
        <v>0</v>
      </c>
      <c r="W9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90" s="63">
        <f>IF(AND(Tableau242[[#This Row],[Paid leave days]]&gt;0,Tableau242[[#This Row],[Prod. days]]&lt;0),MIN(Tableau242[[#This Row],[Paid leave days]],-Tableau242[[#This Row],[Prod. days]]),0)</f>
        <v>0</v>
      </c>
      <c r="Z90" s="63">
        <f>IFERROR(_xlfn.XLOOKUP(Tableau242[[#This Row],[Consultant]],Tableau2[Collaborateur/Nom affiché],Tableau2[Montant imputé],0),0)</f>
        <v>0</v>
      </c>
      <c r="AA90" s="64">
        <f t="shared" si="2"/>
        <v>0</v>
      </c>
      <c r="AB90" s="65"/>
      <c r="AC90" s="67"/>
      <c r="AD90" s="67"/>
      <c r="AE90" s="67"/>
      <c r="AF90" s="92"/>
    </row>
    <row r="91" spans="1:32">
      <c r="A91" s="15">
        <f>Tableau242[[#This Row],[Company number]]+0</f>
        <v>12118</v>
      </c>
      <c r="B91" s="60" t="s">
        <v>314</v>
      </c>
      <c r="C91" s="61" t="s">
        <v>315</v>
      </c>
      <c r="D91" s="61" t="s">
        <v>17</v>
      </c>
      <c r="E91" s="62" t="str">
        <f>IFERROR(VLOOKUP(Tableau242[[#This Row],[Manager ou CDM concerné]],Parametres!B:C,2,FALSE),"")</f>
        <v>Squad G</v>
      </c>
      <c r="F91" s="62" t="str">
        <f>IF(Tableau242[[#This Row],[Consultant]]=Tableau242[[#This Row],[Manager ou CDM concerné]],"Non",IF(IFERROR(VLOOKUP(Tableau242[[#This Row],[Consultant]],Parametres!B:C,2,FALSE),0)=0,"Non","Oui"))</f>
        <v>Non</v>
      </c>
      <c r="G91" s="62">
        <f>IFERROR(VLOOKUP(B91,Tableau5[#All],4,FALSE),"Matricule!")</f>
        <v>18</v>
      </c>
      <c r="H91" s="62" t="str">
        <f>IFERROR(VLOOKUP(Tableau242[[#This Row],[Company number]],#REF!,6,FALSE),"")</f>
        <v/>
      </c>
      <c r="I91" s="62">
        <f>IFERROR(VLOOKUP(B91,Tableau5[#All],5,FALSE),"Matricule!")</f>
        <v>0</v>
      </c>
      <c r="J91" s="62">
        <f>IFERROR(VLOOKUP(B91,Tableau5[#All],6,FALSE),"Matricule!")</f>
        <v>2</v>
      </c>
      <c r="K91" s="62">
        <f>IFERROR(VLOOKUP(B91,Tableau5[#All],7,FALSE),"Matricule!")</f>
        <v>0</v>
      </c>
      <c r="L91" s="62" t="e">
        <f>VLOOKUP(Tableau242[[#This Row],[Company number]],#REF!,25,FALSE)</f>
        <v>#REF!</v>
      </c>
      <c r="M91" s="62" t="str">
        <f>IFERROR(VLOOKUP(Tableau242[[#This Row],[Company number]],#REF!,30,FALSE),"")</f>
        <v/>
      </c>
      <c r="N91" s="62" t="str">
        <f>IFERROR(VLOOKUP(Tableau242[[#This Row],[Company number]],#REF!,31,FALSE),"")</f>
        <v/>
      </c>
      <c r="O91" s="62" t="str">
        <f>IFERROR(VLOOKUP(Tableau242[[#This Row],[Company number]],#REF!,32,FALSE),"")</f>
        <v/>
      </c>
      <c r="P91" s="62">
        <f>IFERROR(VLOOKUP(B91,Tableau3[#All],5,FALSE),"Matricule!")</f>
        <v>18</v>
      </c>
      <c r="Q91" s="62">
        <f>IFERROR(SUM(VLOOKUP(B91,Tableau3[#All],6,FALSE),VLOOKUP(B91,Tableau3[#All],8,FALSE)),"Matricule!")</f>
        <v>0</v>
      </c>
      <c r="R91" s="62">
        <f>IFERROR(VLOOKUP(B91,Tableau3[#All],7,FALSE),"Matricule!")</f>
        <v>2</v>
      </c>
      <c r="S91" s="62">
        <f>IFERROR(Tableau242[[#This Row],[Prod. days WK]]-Tableau242[[#This Row],[Prod PXX]],"Matricule")</f>
        <v>0</v>
      </c>
      <c r="T91" s="62">
        <f>IFERROR(Tableau242[[#This Row],[Non prod. days WK]]-Tableau242[[#This Row],[Improd PXX]],"Matricule")</f>
        <v>0</v>
      </c>
      <c r="U91" s="62">
        <f>IFERROR(Tableau242[[#This Row],[Paid leave days WK]]-Tableau242[[#This Row],[Congé PXX]],"Matricule")</f>
        <v>0</v>
      </c>
      <c r="V91" s="63">
        <f>IFERROR(VLOOKUP($B91,#REF!,4,FALSE),0)</f>
        <v>0</v>
      </c>
      <c r="W9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91" s="63">
        <f>IF(AND(Tableau242[[#This Row],[Paid leave days]]&gt;0,Tableau242[[#This Row],[Prod. days]]&lt;0),MIN(Tableau242[[#This Row],[Paid leave days]],-Tableau242[[#This Row],[Prod. days]]),0)</f>
        <v>0</v>
      </c>
      <c r="Z91" s="63">
        <f>IFERROR(_xlfn.XLOOKUP(Tableau242[[#This Row],[Consultant]],Tableau2[Collaborateur/Nom affiché],Tableau2[Montant imputé],0),0)</f>
        <v>0</v>
      </c>
      <c r="AA91" s="64">
        <f t="shared" si="2"/>
        <v>0</v>
      </c>
      <c r="AB91" s="65"/>
      <c r="AC91" s="66"/>
      <c r="AD91" s="66"/>
      <c r="AE91" s="66"/>
      <c r="AF91" s="90"/>
    </row>
    <row r="92" spans="1:32">
      <c r="A92" s="15">
        <f>Tableau242[[#This Row],[Company number]]+0</f>
        <v>14959</v>
      </c>
      <c r="B92" s="60" t="s">
        <v>316</v>
      </c>
      <c r="C92" s="61" t="s">
        <v>317</v>
      </c>
      <c r="D92" s="61" t="s">
        <v>17</v>
      </c>
      <c r="E92" s="62" t="str">
        <f>IFERROR(VLOOKUP(Tableau242[[#This Row],[Manager ou CDM concerné]],Parametres!B:C,2,FALSE),"")</f>
        <v>Squad G</v>
      </c>
      <c r="F92" s="62" t="str">
        <f>IF(Tableau242[[#This Row],[Consultant]]=Tableau242[[#This Row],[Manager ou CDM concerné]],"Non",IF(IFERROR(VLOOKUP(Tableau242[[#This Row],[Consultant]],Parametres!B:C,2,FALSE),0)=0,"Non","Oui"))</f>
        <v>Non</v>
      </c>
      <c r="G92" s="62">
        <f>IFERROR(VLOOKUP(B92,Tableau5[#All],4,FALSE),"Matricule!")</f>
        <v>20</v>
      </c>
      <c r="H92" s="62" t="str">
        <f>IFERROR(VLOOKUP(Tableau242[[#This Row],[Company number]],#REF!,6,FALSE),"")</f>
        <v/>
      </c>
      <c r="I92" s="62">
        <f>IFERROR(VLOOKUP(B92,Tableau5[#All],5,FALSE),"Matricule!")</f>
        <v>0</v>
      </c>
      <c r="J92" s="62">
        <f>IFERROR(VLOOKUP(B92,Tableau5[#All],6,FALSE),"Matricule!")</f>
        <v>0</v>
      </c>
      <c r="K92" s="62">
        <f>IFERROR(VLOOKUP(B92,Tableau5[#All],7,FALSE),"Matricule!")</f>
        <v>0</v>
      </c>
      <c r="L92" s="62" t="e">
        <f>VLOOKUP(Tableau242[[#This Row],[Company number]],#REF!,25,FALSE)</f>
        <v>#REF!</v>
      </c>
      <c r="M92" s="62" t="str">
        <f>IFERROR(VLOOKUP(Tableau242[[#This Row],[Company number]],#REF!,30,FALSE),"")</f>
        <v/>
      </c>
      <c r="N92" s="62" t="str">
        <f>IFERROR(VLOOKUP(Tableau242[[#This Row],[Company number]],#REF!,31,FALSE),"")</f>
        <v/>
      </c>
      <c r="O92" s="62" t="str">
        <f>IFERROR(VLOOKUP(Tableau242[[#This Row],[Company number]],#REF!,32,FALSE),"")</f>
        <v/>
      </c>
      <c r="P92" s="62">
        <f>IFERROR(VLOOKUP(B92,Tableau3[#All],5,FALSE),"Matricule!")</f>
        <v>20</v>
      </c>
      <c r="Q92" s="62">
        <f>IFERROR(SUM(VLOOKUP(B92,Tableau3[#All],6,FALSE),VLOOKUP(B92,Tableau3[#All],8,FALSE)),"Matricule!")</f>
        <v>0</v>
      </c>
      <c r="R92" s="62">
        <f>IFERROR(VLOOKUP(B92,Tableau3[#All],7,FALSE),"Matricule!")</f>
        <v>0</v>
      </c>
      <c r="S92" s="62">
        <f>IFERROR(Tableau242[[#This Row],[Prod. days WK]]-Tableau242[[#This Row],[Prod PXX]],"Matricule")</f>
        <v>0</v>
      </c>
      <c r="T92" s="62">
        <f>IFERROR(Tableau242[[#This Row],[Non prod. days WK]]-Tableau242[[#This Row],[Improd PXX]],"Matricule")</f>
        <v>0</v>
      </c>
      <c r="U92" s="62">
        <f>IFERROR(Tableau242[[#This Row],[Paid leave days WK]]-Tableau242[[#This Row],[Congé PXX]],"Matricule")</f>
        <v>0</v>
      </c>
      <c r="V92" s="63">
        <f>IFERROR(VLOOKUP($B92,#REF!,4,FALSE),0)</f>
        <v>0</v>
      </c>
      <c r="W9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92" s="63">
        <f>IF(AND(Tableau242[[#This Row],[Paid leave days]]&gt;0,Tableau242[[#This Row],[Prod. days]]&lt;0),MIN(Tableau242[[#This Row],[Paid leave days]],-Tableau242[[#This Row],[Prod. days]]),0)</f>
        <v>0</v>
      </c>
      <c r="Z92" s="63">
        <f>IFERROR(_xlfn.XLOOKUP(Tableau242[[#This Row],[Consultant]],Tableau2[Collaborateur/Nom affiché],Tableau2[Montant imputé],0),0)</f>
        <v>0</v>
      </c>
      <c r="AA92" s="64">
        <f t="shared" si="2"/>
        <v>0</v>
      </c>
      <c r="AB92" s="65"/>
      <c r="AC92" s="66"/>
      <c r="AD92" s="66"/>
      <c r="AE92" s="66"/>
      <c r="AF92" s="90"/>
    </row>
    <row r="93" spans="1:32">
      <c r="A93" s="15">
        <f>Tableau242[[#This Row],[Company number]]+0</f>
        <v>20423</v>
      </c>
      <c r="B93" s="60" t="s">
        <v>318</v>
      </c>
      <c r="C93" s="61" t="s">
        <v>319</v>
      </c>
      <c r="D93" s="61" t="s">
        <v>17</v>
      </c>
      <c r="E93" s="62" t="str">
        <f>IFERROR(VLOOKUP(Tableau242[[#This Row],[Manager ou CDM concerné]],Parametres!B:C,2,FALSE),"")</f>
        <v>Squad G</v>
      </c>
      <c r="F93" s="62" t="str">
        <f>IF(Tableau242[[#This Row],[Consultant]]=Tableau242[[#This Row],[Manager ou CDM concerné]],"Non",IF(IFERROR(VLOOKUP(Tableau242[[#This Row],[Consultant]],Parametres!B:C,2,FALSE),0)=0,"Non","Oui"))</f>
        <v>Non</v>
      </c>
      <c r="G93" s="62">
        <f>IFERROR(VLOOKUP(B93,Tableau5[#All],4,FALSE),"Matricule!")</f>
        <v>0</v>
      </c>
      <c r="H93" s="62" t="str">
        <f>IFERROR(VLOOKUP(Tableau242[[#This Row],[Company number]],#REF!,6,FALSE),"")</f>
        <v/>
      </c>
      <c r="I93" s="62">
        <f>IFERROR(VLOOKUP(B93,Tableau5[#All],5,FALSE),"Matricule!")</f>
        <v>19</v>
      </c>
      <c r="J93" s="62">
        <f>IFERROR(VLOOKUP(B93,Tableau5[#All],6,FALSE),"Matricule!")</f>
        <v>1</v>
      </c>
      <c r="K93" s="62">
        <f>IFERROR(VLOOKUP(B93,Tableau5[#All],7,FALSE),"Matricule!")</f>
        <v>0</v>
      </c>
      <c r="L93" s="62" t="e">
        <f>VLOOKUP(Tableau242[[#This Row],[Company number]],#REF!,25,FALSE)</f>
        <v>#REF!</v>
      </c>
      <c r="M93" s="62" t="str">
        <f>IFERROR(VLOOKUP(Tableau242[[#This Row],[Company number]],#REF!,30,FALSE),"")</f>
        <v/>
      </c>
      <c r="N93" s="62" t="str">
        <f>IFERROR(VLOOKUP(Tableau242[[#This Row],[Company number]],#REF!,31,FALSE),"")</f>
        <v/>
      </c>
      <c r="O93" s="62" t="str">
        <f>IFERROR(VLOOKUP(Tableau242[[#This Row],[Company number]],#REF!,32,FALSE),"")</f>
        <v/>
      </c>
      <c r="P93" s="62">
        <f>IFERROR(VLOOKUP(B93,Tableau3[#All],5,FALSE),"Matricule!")</f>
        <v>0</v>
      </c>
      <c r="Q93" s="62">
        <f>IFERROR(SUM(VLOOKUP(B93,Tableau3[#All],6,FALSE),VLOOKUP(B93,Tableau3[#All],8,FALSE)),"Matricule!")</f>
        <v>19</v>
      </c>
      <c r="R93" s="62">
        <f>IFERROR(VLOOKUP(B93,Tableau3[#All],7,FALSE),"Matricule!")</f>
        <v>1</v>
      </c>
      <c r="S93" s="62">
        <f>IFERROR(Tableau242[[#This Row],[Prod. days WK]]-Tableau242[[#This Row],[Prod PXX]],"Matricule")</f>
        <v>0</v>
      </c>
      <c r="T93" s="62">
        <f>IFERROR(Tableau242[[#This Row],[Non prod. days WK]]-Tableau242[[#This Row],[Improd PXX]],"Matricule")</f>
        <v>0</v>
      </c>
      <c r="U93" s="62">
        <f>IFERROR(Tableau242[[#This Row],[Paid leave days WK]]-Tableau242[[#This Row],[Congé PXX]],"Matricule")</f>
        <v>0</v>
      </c>
      <c r="V93" s="63">
        <f>IFERROR(VLOOKUP($B93,#REF!,4,FALSE),0)</f>
        <v>0</v>
      </c>
      <c r="W9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93" s="63">
        <f>IF(AND(Tableau242[[#This Row],[Paid leave days]]&gt;0,Tableau242[[#This Row],[Prod. days]]&lt;0),MIN(Tableau242[[#This Row],[Paid leave days]],-Tableau242[[#This Row],[Prod. days]]),0)</f>
        <v>0</v>
      </c>
      <c r="Z93" s="63">
        <f>IFERROR(_xlfn.XLOOKUP(Tableau242[[#This Row],[Consultant]],Tableau2[Collaborateur/Nom affiché],Tableau2[Montant imputé],0),0)</f>
        <v>0</v>
      </c>
      <c r="AA93" s="64">
        <f t="shared" si="2"/>
        <v>0</v>
      </c>
      <c r="AB93" s="65"/>
      <c r="AC93" s="66"/>
      <c r="AD93" s="66"/>
      <c r="AE93" s="66"/>
      <c r="AF93" s="92"/>
    </row>
    <row r="94" spans="1:32">
      <c r="A94" s="15">
        <f>Tableau242[[#This Row],[Company number]]+0</f>
        <v>21287</v>
      </c>
      <c r="B94" s="60" t="s">
        <v>320</v>
      </c>
      <c r="C94" s="61" t="s">
        <v>321</v>
      </c>
      <c r="D94" s="61" t="s">
        <v>64</v>
      </c>
      <c r="E94" s="62" t="str">
        <f>IFERROR(VLOOKUP(Tableau242[[#This Row],[Manager ou CDM concerné]],Parametres!B:C,2,FALSE),"")</f>
        <v>Squad C</v>
      </c>
      <c r="F94" s="62" t="str">
        <f>IF(Tableau242[[#This Row],[Consultant]]=Tableau242[[#This Row],[Manager ou CDM concerné]],"Non",IF(IFERROR(VLOOKUP(Tableau242[[#This Row],[Consultant]],Parametres!B:C,2,FALSE),0)=0,"Non","Oui"))</f>
        <v>Non</v>
      </c>
      <c r="G94" s="62">
        <f>IFERROR(VLOOKUP(B94,Tableau5[#All],4,FALSE),"Matricule!")</f>
        <v>0</v>
      </c>
      <c r="H94" s="62" t="str">
        <f>IFERROR(VLOOKUP(Tableau242[[#This Row],[Company number]],#REF!,6,FALSE),"")</f>
        <v/>
      </c>
      <c r="I94" s="62">
        <f>IFERROR(VLOOKUP(B94,Tableau5[#All],5,FALSE),"Matricule!")</f>
        <v>20</v>
      </c>
      <c r="J94" s="62">
        <f>IFERROR(VLOOKUP(B94,Tableau5[#All],6,FALSE),"Matricule!")</f>
        <v>0</v>
      </c>
      <c r="K94" s="62">
        <f>IFERROR(VLOOKUP(B94,Tableau5[#All],7,FALSE),"Matricule!")</f>
        <v>0</v>
      </c>
      <c r="L94" s="62" t="e">
        <f>VLOOKUP(Tableau242[[#This Row],[Company number]],#REF!,25,FALSE)</f>
        <v>#REF!</v>
      </c>
      <c r="M94" s="62" t="str">
        <f>IFERROR(VLOOKUP(Tableau242[[#This Row],[Company number]],#REF!,30,FALSE),"")</f>
        <v/>
      </c>
      <c r="N94" s="62" t="str">
        <f>IFERROR(VLOOKUP(Tableau242[[#This Row],[Company number]],#REF!,31,FALSE),"")</f>
        <v/>
      </c>
      <c r="O94" s="62" t="str">
        <f>IFERROR(VLOOKUP(Tableau242[[#This Row],[Company number]],#REF!,32,FALSE),"")</f>
        <v/>
      </c>
      <c r="P94" s="62">
        <f>IFERROR(VLOOKUP(B94,Tableau3[#All],5,FALSE),"Matricule!")</f>
        <v>0</v>
      </c>
      <c r="Q94" s="62">
        <f>IFERROR(SUM(VLOOKUP(B94,Tableau3[#All],6,FALSE),VLOOKUP(B94,Tableau3[#All],8,FALSE)),"Matricule!")</f>
        <v>20</v>
      </c>
      <c r="R94" s="62">
        <f>IFERROR(VLOOKUP(B94,Tableau3[#All],7,FALSE),"Matricule!")</f>
        <v>0</v>
      </c>
      <c r="S94" s="62">
        <f>IFERROR(Tableau242[[#This Row],[Prod. days WK]]-Tableau242[[#This Row],[Prod PXX]],"Matricule")</f>
        <v>0</v>
      </c>
      <c r="T94" s="62">
        <f>IFERROR(Tableau242[[#This Row],[Non prod. days WK]]-Tableau242[[#This Row],[Improd PXX]],"Matricule")</f>
        <v>0</v>
      </c>
      <c r="U94" s="62">
        <f>IFERROR(Tableau242[[#This Row],[Paid leave days WK]]-Tableau242[[#This Row],[Congé PXX]],"Matricule")</f>
        <v>0</v>
      </c>
      <c r="V94" s="63">
        <f>IFERROR(VLOOKUP($B94,#REF!,4,FALSE),0)</f>
        <v>0</v>
      </c>
      <c r="W9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94" s="63">
        <f>IF(AND(Tableau242[[#This Row],[Paid leave days]]&gt;0,Tableau242[[#This Row],[Prod. days]]&lt;0),MIN(Tableau242[[#This Row],[Paid leave days]],-Tableau242[[#This Row],[Prod. days]]),0)</f>
        <v>0</v>
      </c>
      <c r="Z94" s="63">
        <f>IFERROR(_xlfn.XLOOKUP(Tableau242[[#This Row],[Consultant]],Tableau2[Collaborateur/Nom affiché],Tableau2[Montant imputé],0),0)</f>
        <v>0</v>
      </c>
      <c r="AA94" s="64">
        <f t="shared" si="2"/>
        <v>0</v>
      </c>
      <c r="AB94" s="65"/>
      <c r="AC94" s="66"/>
      <c r="AD94" s="66"/>
      <c r="AE94" s="66"/>
      <c r="AF94" s="90"/>
    </row>
    <row r="95" spans="1:32">
      <c r="A95" s="15">
        <f>Tableau242[[#This Row],[Company number]]+0</f>
        <v>20417</v>
      </c>
      <c r="B95" s="60" t="s">
        <v>322</v>
      </c>
      <c r="C95" s="61" t="s">
        <v>323</v>
      </c>
      <c r="D95" s="61" t="s">
        <v>64</v>
      </c>
      <c r="E95" s="62" t="str">
        <f>IFERROR(VLOOKUP(Tableau242[[#This Row],[Manager ou CDM concerné]],Parametres!B:C,2,FALSE),"")</f>
        <v>Squad C</v>
      </c>
      <c r="F95" s="62" t="str">
        <f>IF(Tableau242[[#This Row],[Consultant]]=Tableau242[[#This Row],[Manager ou CDM concerné]],"Non",IF(IFERROR(VLOOKUP(Tableau242[[#This Row],[Consultant]],Parametres!B:C,2,FALSE),0)=0,"Non","Oui"))</f>
        <v>Non</v>
      </c>
      <c r="G95" s="62">
        <f>IFERROR(VLOOKUP(B95,Tableau5[#All],4,FALSE),"Matricule!")</f>
        <v>20</v>
      </c>
      <c r="H95" s="62" t="str">
        <f>IFERROR(VLOOKUP(Tableau242[[#This Row],[Company number]],#REF!,6,FALSE),"")</f>
        <v/>
      </c>
      <c r="I95" s="62">
        <f>IFERROR(VLOOKUP(B95,Tableau5[#All],5,FALSE),"Matricule!")</f>
        <v>0</v>
      </c>
      <c r="J95" s="62">
        <f>IFERROR(VLOOKUP(B95,Tableau5[#All],6,FALSE),"Matricule!")</f>
        <v>0</v>
      </c>
      <c r="K95" s="62">
        <f>IFERROR(VLOOKUP(B95,Tableau5[#All],7,FALSE),"Matricule!")</f>
        <v>0</v>
      </c>
      <c r="L95" s="62" t="e">
        <f>VLOOKUP(Tableau242[[#This Row],[Company number]],#REF!,25,FALSE)</f>
        <v>#REF!</v>
      </c>
      <c r="M95" s="62" t="str">
        <f>IFERROR(VLOOKUP(Tableau242[[#This Row],[Company number]],#REF!,30,FALSE),"")</f>
        <v/>
      </c>
      <c r="N95" s="62" t="str">
        <f>IFERROR(VLOOKUP(Tableau242[[#This Row],[Company number]],#REF!,31,FALSE),"")</f>
        <v/>
      </c>
      <c r="O95" s="62" t="str">
        <f>IFERROR(VLOOKUP(Tableau242[[#This Row],[Company number]],#REF!,32,FALSE),"")</f>
        <v/>
      </c>
      <c r="P95" s="62">
        <f>IFERROR(VLOOKUP(B95,Tableau3[#All],5,FALSE),"Matricule!")</f>
        <v>20</v>
      </c>
      <c r="Q95" s="62">
        <f>IFERROR(SUM(VLOOKUP(B95,Tableau3[#All],6,FALSE),VLOOKUP(B95,Tableau3[#All],8,FALSE)),"Matricule!")</f>
        <v>0</v>
      </c>
      <c r="R95" s="62">
        <f>IFERROR(VLOOKUP(B95,Tableau3[#All],7,FALSE),"Matricule!")</f>
        <v>0</v>
      </c>
      <c r="S95" s="62">
        <f>IFERROR(Tableau242[[#This Row],[Prod. days WK]]-Tableau242[[#This Row],[Prod PXX]],"Matricule")</f>
        <v>0</v>
      </c>
      <c r="T95" s="62">
        <f>IFERROR(Tableau242[[#This Row],[Non prod. days WK]]-Tableau242[[#This Row],[Improd PXX]],"Matricule")</f>
        <v>0</v>
      </c>
      <c r="U95" s="62">
        <f>IFERROR(Tableau242[[#This Row],[Paid leave days WK]]-Tableau242[[#This Row],[Congé PXX]],"Matricule")</f>
        <v>0</v>
      </c>
      <c r="V95" s="63">
        <f>IFERROR(VLOOKUP($B95,#REF!,4,FALSE),0)</f>
        <v>0</v>
      </c>
      <c r="W9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95" s="63">
        <f>IF(AND(Tableau242[[#This Row],[Paid leave days]]&gt;0,Tableau242[[#This Row],[Prod. days]]&lt;0),MIN(Tableau242[[#This Row],[Paid leave days]],-Tableau242[[#This Row],[Prod. days]]),0)</f>
        <v>0</v>
      </c>
      <c r="Z95" s="63">
        <f>IFERROR(_xlfn.XLOOKUP(Tableau242[[#This Row],[Consultant]],Tableau2[Collaborateur/Nom affiché],Tableau2[Montant imputé],0),0)</f>
        <v>0</v>
      </c>
      <c r="AA95" s="64">
        <f t="shared" si="2"/>
        <v>0</v>
      </c>
      <c r="AB95" s="65"/>
      <c r="AC95" s="66"/>
      <c r="AD95" s="66"/>
      <c r="AE95" s="66"/>
      <c r="AF95" s="90"/>
    </row>
    <row r="96" spans="1:32">
      <c r="A96" s="15">
        <f>Tableau242[[#This Row],[Company number]]+0</f>
        <v>20776</v>
      </c>
      <c r="B96" s="60" t="s">
        <v>324</v>
      </c>
      <c r="C96" s="61" t="s">
        <v>325</v>
      </c>
      <c r="D96" s="61" t="s">
        <v>64</v>
      </c>
      <c r="E96" s="62" t="str">
        <f>IFERROR(VLOOKUP(Tableau242[[#This Row],[Manager ou CDM concerné]],Parametres!B:C,2,FALSE),"")</f>
        <v>Squad C</v>
      </c>
      <c r="F96" s="62" t="str">
        <f>IF(Tableau242[[#This Row],[Consultant]]=Tableau242[[#This Row],[Manager ou CDM concerné]],"Non",IF(IFERROR(VLOOKUP(Tableau242[[#This Row],[Consultant]],Parametres!B:C,2,FALSE),0)=0,"Non","Oui"))</f>
        <v>Non</v>
      </c>
      <c r="G96" s="62">
        <f>IFERROR(VLOOKUP(B96,Tableau5[#All],4,FALSE),"Matricule!")</f>
        <v>0</v>
      </c>
      <c r="H96" s="62" t="str">
        <f>IFERROR(VLOOKUP(Tableau242[[#This Row],[Company number]],#REF!,6,FALSE),"")</f>
        <v/>
      </c>
      <c r="I96" s="62">
        <f>IFERROR(VLOOKUP(B96,Tableau5[#All],5,FALSE),"Matricule!")</f>
        <v>20</v>
      </c>
      <c r="J96" s="62">
        <f>IFERROR(VLOOKUP(B96,Tableau5[#All],6,FALSE),"Matricule!")</f>
        <v>0</v>
      </c>
      <c r="K96" s="62">
        <f>IFERROR(VLOOKUP(B96,Tableau5[#All],7,FALSE),"Matricule!")</f>
        <v>0</v>
      </c>
      <c r="L96" s="62" t="e">
        <f>VLOOKUP(Tableau242[[#This Row],[Company number]],#REF!,25,FALSE)</f>
        <v>#REF!</v>
      </c>
      <c r="M96" s="62" t="str">
        <f>IFERROR(VLOOKUP(Tableau242[[#This Row],[Company number]],#REF!,30,FALSE),"")</f>
        <v/>
      </c>
      <c r="N96" s="62" t="str">
        <f>IFERROR(VLOOKUP(Tableau242[[#This Row],[Company number]],#REF!,31,FALSE),"")</f>
        <v/>
      </c>
      <c r="O96" s="62" t="str">
        <f>IFERROR(VLOOKUP(Tableau242[[#This Row],[Company number]],#REF!,32,FALSE),"")</f>
        <v/>
      </c>
      <c r="P96" s="62">
        <f>IFERROR(VLOOKUP(B96,Tableau3[#All],5,FALSE),"Matricule!")</f>
        <v>0</v>
      </c>
      <c r="Q96" s="62">
        <f>IFERROR(SUM(VLOOKUP(B96,Tableau3[#All],6,FALSE),VLOOKUP(B96,Tableau3[#All],8,FALSE)),"Matricule!")</f>
        <v>20</v>
      </c>
      <c r="R96" s="62">
        <f>IFERROR(VLOOKUP(B96,Tableau3[#All],7,FALSE),"Matricule!")</f>
        <v>0</v>
      </c>
      <c r="S96" s="62">
        <f>IFERROR(Tableau242[[#This Row],[Prod. days WK]]-Tableau242[[#This Row],[Prod PXX]],"Matricule")</f>
        <v>0</v>
      </c>
      <c r="T96" s="62">
        <f>IFERROR(Tableau242[[#This Row],[Non prod. days WK]]-Tableau242[[#This Row],[Improd PXX]],"Matricule")</f>
        <v>0</v>
      </c>
      <c r="U96" s="62">
        <f>IFERROR(Tableau242[[#This Row],[Paid leave days WK]]-Tableau242[[#This Row],[Congé PXX]],"Matricule")</f>
        <v>0</v>
      </c>
      <c r="V96" s="63">
        <f>IFERROR(VLOOKUP($B96,#REF!,4,FALSE),0)</f>
        <v>0</v>
      </c>
      <c r="W9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96" s="63">
        <f>IF(AND(Tableau242[[#This Row],[Paid leave days]]&gt;0,Tableau242[[#This Row],[Prod. days]]&lt;0),MIN(Tableau242[[#This Row],[Paid leave days]],-Tableau242[[#This Row],[Prod. days]]),0)</f>
        <v>0</v>
      </c>
      <c r="Z96" s="63">
        <f>IFERROR(_xlfn.XLOOKUP(Tableau242[[#This Row],[Consultant]],Tableau2[Collaborateur/Nom affiché],Tableau2[Montant imputé],0),0)</f>
        <v>0</v>
      </c>
      <c r="AA96" s="64">
        <f t="shared" si="2"/>
        <v>0</v>
      </c>
      <c r="AB96" s="65"/>
      <c r="AC96" s="66"/>
      <c r="AD96" s="66"/>
      <c r="AE96" s="66"/>
      <c r="AF96" s="90"/>
    </row>
    <row r="97" spans="1:32">
      <c r="A97" s="15">
        <f>Tableau242[[#This Row],[Company number]]+0</f>
        <v>16032</v>
      </c>
      <c r="B97" s="60" t="s">
        <v>326</v>
      </c>
      <c r="C97" s="61" t="s">
        <v>327</v>
      </c>
      <c r="D97" s="61" t="s">
        <v>14</v>
      </c>
      <c r="E97" s="62" t="str">
        <f>IFERROR(VLOOKUP(Tableau242[[#This Row],[Manager ou CDM concerné]],Parametres!B:C,2,FALSE),"")</f>
        <v>Squad D</v>
      </c>
      <c r="F97" s="62" t="str">
        <f>IF(Tableau242[[#This Row],[Consultant]]=Tableau242[[#This Row],[Manager ou CDM concerné]],"Non",IF(IFERROR(VLOOKUP(Tableau242[[#This Row],[Consultant]],Parametres!B:C,2,FALSE),0)=0,"Non","Oui"))</f>
        <v>Non</v>
      </c>
      <c r="G97" s="62">
        <f>IFERROR(VLOOKUP(B97,Tableau5[#All],4,FALSE),"Matricule!")</f>
        <v>9</v>
      </c>
      <c r="H97" s="62" t="str">
        <f>IFERROR(VLOOKUP(Tableau242[[#This Row],[Company number]],#REF!,6,FALSE),"")</f>
        <v/>
      </c>
      <c r="I97" s="62">
        <f>IFERROR(VLOOKUP(B97,Tableau5[#All],5,FALSE),"Matricule!")</f>
        <v>11</v>
      </c>
      <c r="J97" s="62">
        <f>IFERROR(VLOOKUP(B97,Tableau5[#All],6,FALSE),"Matricule!")</f>
        <v>0</v>
      </c>
      <c r="K97" s="62">
        <f>IFERROR(VLOOKUP(B97,Tableau5[#All],7,FALSE),"Matricule!")</f>
        <v>0</v>
      </c>
      <c r="L97" s="62" t="e">
        <f>VLOOKUP(Tableau242[[#This Row],[Company number]],#REF!,25,FALSE)</f>
        <v>#REF!</v>
      </c>
      <c r="M97" s="62" t="str">
        <f>IFERROR(VLOOKUP(Tableau242[[#This Row],[Company number]],#REF!,30,FALSE),"")</f>
        <v/>
      </c>
      <c r="N97" s="62" t="str">
        <f>IFERROR(VLOOKUP(Tableau242[[#This Row],[Company number]],#REF!,31,FALSE),"")</f>
        <v/>
      </c>
      <c r="O97" s="62" t="str">
        <f>IFERROR(VLOOKUP(Tableau242[[#This Row],[Company number]],#REF!,32,FALSE),"")</f>
        <v/>
      </c>
      <c r="P97" s="62">
        <f>IFERROR(VLOOKUP(B97,Tableau3[#All],5,FALSE),"Matricule!")</f>
        <v>16</v>
      </c>
      <c r="Q97" s="62">
        <f>IFERROR(SUM(VLOOKUP(B97,Tableau3[#All],6,FALSE),VLOOKUP(B97,Tableau3[#All],8,FALSE)),"Matricule!")</f>
        <v>4</v>
      </c>
      <c r="R97" s="62">
        <f>IFERROR(VLOOKUP(B97,Tableau3[#All],7,FALSE),"Matricule!")</f>
        <v>0</v>
      </c>
      <c r="S97" s="62">
        <f>IFERROR(Tableau242[[#This Row],[Prod. days WK]]-Tableau242[[#This Row],[Prod PXX]],"Matricule")</f>
        <v>-7</v>
      </c>
      <c r="T97" s="62">
        <f>IFERROR(Tableau242[[#This Row],[Non prod. days WK]]-Tableau242[[#This Row],[Improd PXX]],"Matricule")</f>
        <v>7</v>
      </c>
      <c r="U97" s="62">
        <f>IFERROR(Tableau242[[#This Row],[Paid leave days WK]]-Tableau242[[#This Row],[Congé PXX]],"Matricule")</f>
        <v>0</v>
      </c>
      <c r="V97" s="63">
        <f>IFERROR(VLOOKUP($B97,#REF!,4,FALSE),0)</f>
        <v>0</v>
      </c>
      <c r="W9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97" s="63">
        <f>IF(AND(Tableau242[[#This Row],[Paid leave days]]&gt;0,Tableau242[[#This Row],[Prod. days]]&lt;0),MIN(Tableau242[[#This Row],[Paid leave days]],-Tableau242[[#This Row],[Prod. days]]),0)</f>
        <v>0</v>
      </c>
      <c r="Z97" s="63">
        <f>IFERROR(_xlfn.XLOOKUP(Tableau242[[#This Row],[Consultant]],Tableau2[Collaborateur/Nom affiché],Tableau2[Montant imputé],0),0)</f>
        <v>0</v>
      </c>
      <c r="AA97" s="64">
        <f t="shared" si="2"/>
        <v>-7</v>
      </c>
      <c r="AB97" s="65" t="s">
        <v>165</v>
      </c>
      <c r="AC97" s="66">
        <v>3</v>
      </c>
      <c r="AD97" s="66">
        <v>3</v>
      </c>
      <c r="AE97" s="66"/>
      <c r="AF97" s="90" t="s">
        <v>328</v>
      </c>
    </row>
    <row r="98" spans="1:32" ht="21.95">
      <c r="A98" s="15">
        <f>Tableau242[[#This Row],[Company number]]+0</f>
        <v>13605</v>
      </c>
      <c r="B98" s="60" t="s">
        <v>329</v>
      </c>
      <c r="C98" s="61" t="s">
        <v>330</v>
      </c>
      <c r="D98" s="61" t="s">
        <v>27</v>
      </c>
      <c r="E98" s="62" t="str">
        <f>IFERROR(VLOOKUP(Tableau242[[#This Row],[Manager ou CDM concerné]],Parametres!B:C,2,FALSE),"")</f>
        <v>Squad B</v>
      </c>
      <c r="F98" s="62" t="str">
        <f>IF(Tableau242[[#This Row],[Consultant]]=Tableau242[[#This Row],[Manager ou CDM concerné]],"Non",IF(IFERROR(VLOOKUP(Tableau242[[#This Row],[Consultant]],Parametres!B:C,2,FALSE),0)=0,"Non","Oui"))</f>
        <v>Non</v>
      </c>
      <c r="G98" s="62">
        <f>IFERROR(VLOOKUP(B98,Tableau5[#All],4,FALSE),"Matricule!")</f>
        <v>11</v>
      </c>
      <c r="H98" s="62" t="str">
        <f>IFERROR(VLOOKUP(Tableau242[[#This Row],[Company number]],#REF!,6,FALSE),"")</f>
        <v/>
      </c>
      <c r="I98" s="62">
        <f>IFERROR(VLOOKUP(B98,Tableau5[#All],5,FALSE),"Matricule!")</f>
        <v>7</v>
      </c>
      <c r="J98" s="62">
        <f>IFERROR(VLOOKUP(B98,Tableau5[#All],6,FALSE),"Matricule!")</f>
        <v>2</v>
      </c>
      <c r="K98" s="62">
        <f>IFERROR(VLOOKUP(B98,Tableau5[#All],7,FALSE),"Matricule!")</f>
        <v>0</v>
      </c>
      <c r="L98" s="62" t="e">
        <f>VLOOKUP(Tableau242[[#This Row],[Company number]],#REF!,25,FALSE)</f>
        <v>#REF!</v>
      </c>
      <c r="M98" s="62" t="str">
        <f>IFERROR(VLOOKUP(Tableau242[[#This Row],[Company number]],#REF!,30,FALSE),"")</f>
        <v/>
      </c>
      <c r="N98" s="62" t="str">
        <f>IFERROR(VLOOKUP(Tableau242[[#This Row],[Company number]],#REF!,31,FALSE),"")</f>
        <v/>
      </c>
      <c r="O98" s="62" t="str">
        <f>IFERROR(VLOOKUP(Tableau242[[#This Row],[Company number]],#REF!,32,FALSE),"")</f>
        <v/>
      </c>
      <c r="P98" s="68">
        <f>IFERROR(VLOOKUP(B98,Tableau3[#All],5,FALSE),"Matricule!")</f>
        <v>18</v>
      </c>
      <c r="Q98" s="68">
        <f>IFERROR(SUM(VLOOKUP(B98,Tableau3[#All],6,FALSE),VLOOKUP(B98,Tableau3[#All],8,FALSE)),"Matricule!")</f>
        <v>0</v>
      </c>
      <c r="R98" s="68">
        <f>IFERROR(VLOOKUP(B98,Tableau3[#All],7,FALSE),"Matricule!")</f>
        <v>2</v>
      </c>
      <c r="S98" s="62">
        <f>IFERROR(Tableau242[[#This Row],[Prod. days WK]]-Tableau242[[#This Row],[Prod PXX]],"Matricule")</f>
        <v>-7</v>
      </c>
      <c r="T98" s="62">
        <f>IFERROR(Tableau242[[#This Row],[Non prod. days WK]]-Tableau242[[#This Row],[Improd PXX]],"Matricule")</f>
        <v>7</v>
      </c>
      <c r="U98" s="62">
        <f>IFERROR(Tableau242[[#This Row],[Paid leave days WK]]-Tableau242[[#This Row],[Congé PXX]],"Matricule")</f>
        <v>0</v>
      </c>
      <c r="V98" s="63">
        <f>IFERROR(VLOOKUP($B98,#REF!,4,FALSE),0)</f>
        <v>0</v>
      </c>
      <c r="W9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98" s="63">
        <f>IF(AND(Tableau242[[#This Row],[Paid leave days]]&gt;0,Tableau242[[#This Row],[Prod. days]]&lt;0),MIN(Tableau242[[#This Row],[Paid leave days]],-Tableau242[[#This Row],[Prod. days]]),0)</f>
        <v>0</v>
      </c>
      <c r="Z98" s="63">
        <f>IFERROR(_xlfn.XLOOKUP(Tableau242[[#This Row],[Consultant]],Tableau2[Collaborateur/Nom affiché],Tableau2[Montant imputé],0),0)</f>
        <v>0</v>
      </c>
      <c r="AA98" s="64">
        <f t="shared" si="2"/>
        <v>-7</v>
      </c>
      <c r="AB98" s="65" t="s">
        <v>154</v>
      </c>
      <c r="AC98" s="66"/>
      <c r="AD98" s="66"/>
      <c r="AE98" s="38"/>
      <c r="AF98" s="90" t="s">
        <v>331</v>
      </c>
    </row>
    <row r="99" spans="1:32">
      <c r="A99" s="15">
        <f>Tableau242[[#This Row],[Company number]]+0</f>
        <v>18106</v>
      </c>
      <c r="B99" s="60" t="s">
        <v>332</v>
      </c>
      <c r="C99" s="61" t="s">
        <v>333</v>
      </c>
      <c r="D99" s="61" t="s">
        <v>64</v>
      </c>
      <c r="E99" s="62" t="str">
        <f>IFERROR(VLOOKUP(Tableau242[[#This Row],[Manager ou CDM concerné]],Parametres!B:C,2,FALSE),"")</f>
        <v>Squad C</v>
      </c>
      <c r="F99" s="62" t="str">
        <f>IF(Tableau242[[#This Row],[Consultant]]=Tableau242[[#This Row],[Manager ou CDM concerné]],"Non",IF(IFERROR(VLOOKUP(Tableau242[[#This Row],[Consultant]],Parametres!B:C,2,FALSE),0)=0,"Non","Oui"))</f>
        <v>Non</v>
      </c>
      <c r="G99" s="62">
        <f>IFERROR(VLOOKUP(B99,Tableau5[#All],4,FALSE),"Matricule!")</f>
        <v>15</v>
      </c>
      <c r="H99" s="62" t="str">
        <f>IFERROR(VLOOKUP(Tableau242[[#This Row],[Company number]],#REF!,6,FALSE),"")</f>
        <v/>
      </c>
      <c r="I99" s="62">
        <f>IFERROR(VLOOKUP(B99,Tableau5[#All],5,FALSE),"Matricule!")</f>
        <v>0</v>
      </c>
      <c r="J99" s="62">
        <f>IFERROR(VLOOKUP(B99,Tableau5[#All],6,FALSE),"Matricule!")</f>
        <v>5</v>
      </c>
      <c r="K99" s="62">
        <f>IFERROR(VLOOKUP(B99,Tableau5[#All],7,FALSE),"Matricule!")</f>
        <v>0</v>
      </c>
      <c r="L99" s="62" t="e">
        <f>VLOOKUP(Tableau242[[#This Row],[Company number]],#REF!,25,FALSE)</f>
        <v>#REF!</v>
      </c>
      <c r="M99" s="62" t="str">
        <f>IFERROR(VLOOKUP(Tableau242[[#This Row],[Company number]],#REF!,30,FALSE),"")</f>
        <v/>
      </c>
      <c r="N99" s="62" t="str">
        <f>IFERROR(VLOOKUP(Tableau242[[#This Row],[Company number]],#REF!,31,FALSE),"")</f>
        <v/>
      </c>
      <c r="O99" s="62" t="str">
        <f>IFERROR(VLOOKUP(Tableau242[[#This Row],[Company number]],#REF!,32,FALSE),"")</f>
        <v/>
      </c>
      <c r="P99" s="62">
        <f>IFERROR(VLOOKUP(B99,Tableau3[#All],5,FALSE),"Matricule!")</f>
        <v>15</v>
      </c>
      <c r="Q99" s="62">
        <f>IFERROR(SUM(VLOOKUP(B99,Tableau3[#All],6,FALSE),VLOOKUP(B99,Tableau3[#All],8,FALSE)),"Matricule!")</f>
        <v>0</v>
      </c>
      <c r="R99" s="62">
        <f>IFERROR(VLOOKUP(B99,Tableau3[#All],7,FALSE),"Matricule!")</f>
        <v>5</v>
      </c>
      <c r="S99" s="62">
        <f>IFERROR(Tableau242[[#This Row],[Prod. days WK]]-Tableau242[[#This Row],[Prod PXX]],"Matricule")</f>
        <v>0</v>
      </c>
      <c r="T99" s="62">
        <f>IFERROR(Tableau242[[#This Row],[Non prod. days WK]]-Tableau242[[#This Row],[Improd PXX]],"Matricule")</f>
        <v>0</v>
      </c>
      <c r="U99" s="62">
        <f>IFERROR(Tableau242[[#This Row],[Paid leave days WK]]-Tableau242[[#This Row],[Congé PXX]],"Matricule")</f>
        <v>0</v>
      </c>
      <c r="V99" s="63">
        <f>IFERROR(VLOOKUP($B99,#REF!,4,FALSE),0)</f>
        <v>0</v>
      </c>
      <c r="W9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9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99" s="63">
        <f>IF(AND(Tableau242[[#This Row],[Paid leave days]]&gt;0,Tableau242[[#This Row],[Prod. days]]&lt;0),MIN(Tableau242[[#This Row],[Paid leave days]],-Tableau242[[#This Row],[Prod. days]]),0)</f>
        <v>0</v>
      </c>
      <c r="Z99" s="63">
        <f>IFERROR(_xlfn.XLOOKUP(Tableau242[[#This Row],[Consultant]],Tableau2[Collaborateur/Nom affiché],Tableau2[Montant imputé],0),0)</f>
        <v>0</v>
      </c>
      <c r="AA99" s="64">
        <f t="shared" si="2"/>
        <v>0</v>
      </c>
      <c r="AB99" s="78"/>
      <c r="AC99" s="67"/>
      <c r="AD99" s="67"/>
      <c r="AE99" s="67"/>
      <c r="AF99" s="90"/>
    </row>
    <row r="100" spans="1:32">
      <c r="A100" s="15">
        <f>Tableau242[[#This Row],[Company number]]+0</f>
        <v>21512</v>
      </c>
      <c r="B100" s="60" t="s">
        <v>334</v>
      </c>
      <c r="C100" s="61" t="s">
        <v>335</v>
      </c>
      <c r="D100" s="61" t="s">
        <v>64</v>
      </c>
      <c r="E100" s="62" t="str">
        <f>IFERROR(VLOOKUP(Tableau242[[#This Row],[Manager ou CDM concerné]],Parametres!B:C,2,FALSE),"")</f>
        <v>Squad C</v>
      </c>
      <c r="F100" s="62" t="str">
        <f>IF(Tableau242[[#This Row],[Consultant]]=Tableau242[[#This Row],[Manager ou CDM concerné]],"Non",IF(IFERROR(VLOOKUP(Tableau242[[#This Row],[Consultant]],Parametres!B:C,2,FALSE),0)=0,"Non","Oui"))</f>
        <v>Non</v>
      </c>
      <c r="G100" s="62">
        <f>IFERROR(VLOOKUP(B100,Tableau5[#All],4,FALSE),"Matricule!")</f>
        <v>18</v>
      </c>
      <c r="H100" s="62" t="str">
        <f>IFERROR(VLOOKUP(Tableau242[[#This Row],[Company number]],#REF!,6,FALSE),"")</f>
        <v/>
      </c>
      <c r="I100" s="62">
        <f>IFERROR(VLOOKUP(B100,Tableau5[#All],5,FALSE),"Matricule!")</f>
        <v>0</v>
      </c>
      <c r="J100" s="62">
        <f>IFERROR(VLOOKUP(B100,Tableau5[#All],6,FALSE),"Matricule!")</f>
        <v>2</v>
      </c>
      <c r="K100" s="62">
        <f>IFERROR(VLOOKUP(B100,Tableau5[#All],7,FALSE),"Matricule!")</f>
        <v>0</v>
      </c>
      <c r="L100" s="62" t="e">
        <f>VLOOKUP(Tableau242[[#This Row],[Company number]],#REF!,25,FALSE)</f>
        <v>#REF!</v>
      </c>
      <c r="M100" s="62" t="str">
        <f>IFERROR(VLOOKUP(Tableau242[[#This Row],[Company number]],#REF!,30,FALSE),"")</f>
        <v/>
      </c>
      <c r="N100" s="62" t="str">
        <f>IFERROR(VLOOKUP(Tableau242[[#This Row],[Company number]],#REF!,31,FALSE),"")</f>
        <v/>
      </c>
      <c r="O100" s="62" t="str">
        <f>IFERROR(VLOOKUP(Tableau242[[#This Row],[Company number]],#REF!,32,FALSE),"")</f>
        <v/>
      </c>
      <c r="P100" s="62">
        <f>IFERROR(VLOOKUP(B100,Tableau3[#All],5,FALSE),"Matricule!")</f>
        <v>20</v>
      </c>
      <c r="Q100" s="62">
        <f>IFERROR(SUM(VLOOKUP(B100,Tableau3[#All],6,FALSE),VLOOKUP(B100,Tableau3[#All],8,FALSE)),"Matricule!")</f>
        <v>0</v>
      </c>
      <c r="R100" s="62">
        <f>IFERROR(VLOOKUP(B100,Tableau3[#All],7,FALSE),"Matricule!")</f>
        <v>0</v>
      </c>
      <c r="S100" s="62">
        <f>IFERROR(Tableau242[[#This Row],[Prod. days WK]]-Tableau242[[#This Row],[Prod PXX]],"Matricule")</f>
        <v>-2</v>
      </c>
      <c r="T100" s="62">
        <f>IFERROR(Tableau242[[#This Row],[Non prod. days WK]]-Tableau242[[#This Row],[Improd PXX]],"Matricule")</f>
        <v>0</v>
      </c>
      <c r="U100" s="62">
        <f>IFERROR(Tableau242[[#This Row],[Paid leave days WK]]-Tableau242[[#This Row],[Congé PXX]],"Matricule")</f>
        <v>2</v>
      </c>
      <c r="V100" s="63">
        <f>IFERROR(VLOOKUP($B100,#REF!,4,FALSE),0)</f>
        <v>0</v>
      </c>
      <c r="W10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00" s="63">
        <f>IF(AND(Tableau242[[#This Row],[Paid leave days]]&gt;0,Tableau242[[#This Row],[Prod. days]]&lt;0),MIN(Tableau242[[#This Row],[Paid leave days]],-Tableau242[[#This Row],[Prod. days]]),0)</f>
        <v>2</v>
      </c>
      <c r="Z100" s="63">
        <f>IFERROR(_xlfn.XLOOKUP(Tableau242[[#This Row],[Consultant]],Tableau2[Collaborateur/Nom affiché],Tableau2[Montant imputé],0),0)</f>
        <v>0</v>
      </c>
      <c r="AA100" s="64">
        <f t="shared" si="2"/>
        <v>-2</v>
      </c>
      <c r="AB100" s="65" t="s">
        <v>299</v>
      </c>
      <c r="AC100" s="67"/>
      <c r="AD100" s="66"/>
      <c r="AE100" s="62"/>
      <c r="AF100" s="93"/>
    </row>
    <row r="101" spans="1:32">
      <c r="A101" s="15">
        <f>Tableau242[[#This Row],[Company number]]+0</f>
        <v>3769</v>
      </c>
      <c r="B101" s="60" t="s">
        <v>336</v>
      </c>
      <c r="C101" s="61" t="s">
        <v>337</v>
      </c>
      <c r="D101" s="61" t="s">
        <v>54</v>
      </c>
      <c r="E101" s="62" t="str">
        <f>IFERROR(VLOOKUP(Tableau242[[#This Row],[Manager ou CDM concerné]],Parametres!B:C,2,FALSE),"")</f>
        <v>Squad F</v>
      </c>
      <c r="F101" s="62" t="str">
        <f>IF(Tableau242[[#This Row],[Consultant]]=Tableau242[[#This Row],[Manager ou CDM concerné]],"Non",IF(IFERROR(VLOOKUP(Tableau242[[#This Row],[Consultant]],Parametres!B:C,2,FALSE),0)=0,"Non","Oui"))</f>
        <v>Non</v>
      </c>
      <c r="G101" s="62">
        <f>IFERROR(VLOOKUP(B101,Tableau5[#All],4,FALSE),"Matricule!")</f>
        <v>15</v>
      </c>
      <c r="H101" s="62" t="str">
        <f>IFERROR(VLOOKUP(Tableau242[[#This Row],[Company number]],#REF!,6,FALSE),"")</f>
        <v/>
      </c>
      <c r="I101" s="62">
        <f>IFERROR(VLOOKUP(B101,Tableau5[#All],5,FALSE),"Matricule!")</f>
        <v>5</v>
      </c>
      <c r="J101" s="62">
        <f>IFERROR(VLOOKUP(B101,Tableau5[#All],6,FALSE),"Matricule!")</f>
        <v>0</v>
      </c>
      <c r="K101" s="62">
        <f>IFERROR(VLOOKUP(B101,Tableau5[#All],7,FALSE),"Matricule!")</f>
        <v>0</v>
      </c>
      <c r="L101" s="62" t="e">
        <f>VLOOKUP(Tableau242[[#This Row],[Company number]],#REF!,25,FALSE)</f>
        <v>#REF!</v>
      </c>
      <c r="M101" s="62" t="str">
        <f>IFERROR(VLOOKUP(Tableau242[[#This Row],[Company number]],#REF!,30,FALSE),"")</f>
        <v/>
      </c>
      <c r="N101" s="62" t="str">
        <f>IFERROR(VLOOKUP(Tableau242[[#This Row],[Company number]],#REF!,31,FALSE),"")</f>
        <v/>
      </c>
      <c r="O101" s="62" t="str">
        <f>IFERROR(VLOOKUP(Tableau242[[#This Row],[Company number]],#REF!,32,FALSE),"")</f>
        <v/>
      </c>
      <c r="P101" s="68">
        <f>IFERROR(VLOOKUP(B101,Tableau3[#All],5,FALSE),"Matricule!")</f>
        <v>20</v>
      </c>
      <c r="Q101" s="68">
        <f>IFERROR(SUM(VLOOKUP(B101,Tableau3[#All],6,FALSE),VLOOKUP(B101,Tableau3[#All],8,FALSE)),"Matricule!")</f>
        <v>0</v>
      </c>
      <c r="R101" s="68">
        <f>IFERROR(VLOOKUP(B101,Tableau3[#All],7,FALSE),"Matricule!")</f>
        <v>0</v>
      </c>
      <c r="S101" s="62">
        <f>IFERROR(Tableau242[[#This Row],[Prod. days WK]]-Tableau242[[#This Row],[Prod PXX]],"Matricule")</f>
        <v>-5</v>
      </c>
      <c r="T101" s="62">
        <f>IFERROR(Tableau242[[#This Row],[Non prod. days WK]]-Tableau242[[#This Row],[Improd PXX]],"Matricule")</f>
        <v>5</v>
      </c>
      <c r="U101" s="62">
        <f>IFERROR(Tableau242[[#This Row],[Paid leave days WK]]-Tableau242[[#This Row],[Congé PXX]],"Matricule")</f>
        <v>0</v>
      </c>
      <c r="V101" s="63">
        <f>IFERROR(VLOOKUP($B101,#REF!,4,FALSE),0)</f>
        <v>0</v>
      </c>
      <c r="W10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01" s="63">
        <f>IF(AND(Tableau242[[#This Row],[Paid leave days]]&gt;0,Tableau242[[#This Row],[Prod. days]]&lt;0),MIN(Tableau242[[#This Row],[Paid leave days]],-Tableau242[[#This Row],[Prod. days]]),0)</f>
        <v>0</v>
      </c>
      <c r="Z101" s="63">
        <f>IFERROR(_xlfn.XLOOKUP(Tableau242[[#This Row],[Consultant]],Tableau2[Collaborateur/Nom affiché],Tableau2[Montant imputé],0),0)</f>
        <v>0</v>
      </c>
      <c r="AA101" s="64">
        <f t="shared" si="2"/>
        <v>-5</v>
      </c>
      <c r="AB101" s="65" t="s">
        <v>147</v>
      </c>
      <c r="AC101" s="66"/>
      <c r="AD101" s="66"/>
      <c r="AE101" s="66"/>
      <c r="AF101" s="90"/>
    </row>
    <row r="102" spans="1:32">
      <c r="A102" s="15">
        <f>Tableau242[[#This Row],[Company number]]+0</f>
        <v>21170</v>
      </c>
      <c r="B102" s="60" t="s">
        <v>338</v>
      </c>
      <c r="C102" s="61" t="s">
        <v>339</v>
      </c>
      <c r="D102" s="61" t="s">
        <v>64</v>
      </c>
      <c r="E102" s="62" t="str">
        <f>IFERROR(VLOOKUP(Tableau242[[#This Row],[Manager ou CDM concerné]],Parametres!B:C,2,FALSE),"")</f>
        <v>Squad C</v>
      </c>
      <c r="F102" s="62" t="str">
        <f>IF(Tableau242[[#This Row],[Consultant]]=Tableau242[[#This Row],[Manager ou CDM concerné]],"Non",IF(IFERROR(VLOOKUP(Tableau242[[#This Row],[Consultant]],Parametres!B:C,2,FALSE),0)=0,"Non","Oui"))</f>
        <v>Non</v>
      </c>
      <c r="G102" s="62">
        <f>IFERROR(VLOOKUP(B102,Tableau5[#All],4,FALSE),"Matricule!")</f>
        <v>11</v>
      </c>
      <c r="H102" s="62" t="str">
        <f>IFERROR(VLOOKUP(Tableau242[[#This Row],[Company number]],#REF!,6,FALSE),"")</f>
        <v/>
      </c>
      <c r="I102" s="62">
        <f>IFERROR(VLOOKUP(B102,Tableau5[#All],5,FALSE),"Matricule!")</f>
        <v>9</v>
      </c>
      <c r="J102" s="62">
        <f>IFERROR(VLOOKUP(B102,Tableau5[#All],6,FALSE),"Matricule!")</f>
        <v>0</v>
      </c>
      <c r="K102" s="62">
        <f>IFERROR(VLOOKUP(B102,Tableau5[#All],7,FALSE),"Matricule!")</f>
        <v>0</v>
      </c>
      <c r="L102" s="62" t="e">
        <f>VLOOKUP(Tableau242[[#This Row],[Company number]],#REF!,25,FALSE)</f>
        <v>#REF!</v>
      </c>
      <c r="M102" s="62" t="str">
        <f>IFERROR(VLOOKUP(Tableau242[[#This Row],[Company number]],#REF!,30,FALSE),"")</f>
        <v/>
      </c>
      <c r="N102" s="62" t="str">
        <f>IFERROR(VLOOKUP(Tableau242[[#This Row],[Company number]],#REF!,31,FALSE),"")</f>
        <v/>
      </c>
      <c r="O102" s="62" t="str">
        <f>IFERROR(VLOOKUP(Tableau242[[#This Row],[Company number]],#REF!,32,FALSE),"")</f>
        <v/>
      </c>
      <c r="P102" s="62">
        <f>IFERROR(VLOOKUP(B102,Tableau3[#All],5,FALSE),"Matricule!")</f>
        <v>10</v>
      </c>
      <c r="Q102" s="62">
        <f>IFERROR(SUM(VLOOKUP(B102,Tableau3[#All],6,FALSE),VLOOKUP(B102,Tableau3[#All],8,FALSE)),"Matricule!")</f>
        <v>10</v>
      </c>
      <c r="R102" s="62">
        <f>IFERROR(VLOOKUP(B102,Tableau3[#All],7,FALSE),"Matricule!")</f>
        <v>0</v>
      </c>
      <c r="S102" s="62">
        <f>IFERROR(Tableau242[[#This Row],[Prod. days WK]]-Tableau242[[#This Row],[Prod PXX]],"Matricule")</f>
        <v>1</v>
      </c>
      <c r="T102" s="62">
        <f>IFERROR(Tableau242[[#This Row],[Non prod. days WK]]-Tableau242[[#This Row],[Improd PXX]],"Matricule")</f>
        <v>-1</v>
      </c>
      <c r="U102" s="62">
        <f>IFERROR(Tableau242[[#This Row],[Paid leave days WK]]-Tableau242[[#This Row],[Congé PXX]],"Matricule")</f>
        <v>0</v>
      </c>
      <c r="V102" s="63">
        <f>IFERROR(VLOOKUP($B102,#REF!,4,FALSE),0)</f>
        <v>0</v>
      </c>
      <c r="W10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02" s="63">
        <f>IF(AND(Tableau242[[#This Row],[Paid leave days]]&gt;0,Tableau242[[#This Row],[Prod. days]]&lt;0),MIN(Tableau242[[#This Row],[Paid leave days]],-Tableau242[[#This Row],[Prod. days]]),0)</f>
        <v>0</v>
      </c>
      <c r="Z102" s="63">
        <f>IFERROR(_xlfn.XLOOKUP(Tableau242[[#This Row],[Consultant]],Tableau2[Collaborateur/Nom affiché],Tableau2[Montant imputé],0),0)</f>
        <v>0</v>
      </c>
      <c r="AA102" s="64">
        <f t="shared" si="2"/>
        <v>1</v>
      </c>
      <c r="AB102" s="65"/>
      <c r="AC102" s="66"/>
      <c r="AD102" s="66"/>
      <c r="AE102"/>
      <c r="AF102" s="90"/>
    </row>
    <row r="103" spans="1:32">
      <c r="A103" s="15">
        <f>Tableau242[[#This Row],[Company number]]+0</f>
        <v>16189</v>
      </c>
      <c r="B103" s="60" t="s">
        <v>340</v>
      </c>
      <c r="C103" s="61" t="s">
        <v>341</v>
      </c>
      <c r="D103" s="61" t="s">
        <v>35</v>
      </c>
      <c r="E103" s="62" t="str">
        <f>IFERROR(VLOOKUP(Tableau242[[#This Row],[Manager ou CDM concerné]],Parametres!B:C,2,FALSE),"")</f>
        <v>Squad B</v>
      </c>
      <c r="F103" s="62" t="str">
        <f>IF(Tableau242[[#This Row],[Consultant]]=Tableau242[[#This Row],[Manager ou CDM concerné]],"Non",IF(IFERROR(VLOOKUP(Tableau242[[#This Row],[Consultant]],Parametres!B:C,2,FALSE),0)=0,"Non","Oui"))</f>
        <v>Non</v>
      </c>
      <c r="G103" s="62">
        <f>IFERROR(VLOOKUP(B103,Tableau5[#All],4,FALSE),"Matricule!")</f>
        <v>0</v>
      </c>
      <c r="H103" s="62" t="str">
        <f>IFERROR(VLOOKUP(Tableau242[[#This Row],[Company number]],#REF!,6,FALSE),"")</f>
        <v/>
      </c>
      <c r="I103" s="62">
        <f>IFERROR(VLOOKUP(B103,Tableau5[#All],5,FALSE),"Matricule!")</f>
        <v>15</v>
      </c>
      <c r="J103" s="62">
        <f>IFERROR(VLOOKUP(B103,Tableau5[#All],6,FALSE),"Matricule!")</f>
        <v>5</v>
      </c>
      <c r="K103" s="62">
        <f>IFERROR(VLOOKUP(B103,Tableau5[#All],7,FALSE),"Matricule!")</f>
        <v>0</v>
      </c>
      <c r="L103" s="62" t="e">
        <f>VLOOKUP(Tableau242[[#This Row],[Company number]],#REF!,25,FALSE)</f>
        <v>#REF!</v>
      </c>
      <c r="M103" s="62" t="str">
        <f>IFERROR(VLOOKUP(Tableau242[[#This Row],[Company number]],#REF!,30,FALSE),"")</f>
        <v/>
      </c>
      <c r="N103" s="62" t="str">
        <f>IFERROR(VLOOKUP(Tableau242[[#This Row],[Company number]],#REF!,31,FALSE),"")</f>
        <v/>
      </c>
      <c r="O103" s="62" t="str">
        <f>IFERROR(VLOOKUP(Tableau242[[#This Row],[Company number]],#REF!,32,FALSE),"")</f>
        <v/>
      </c>
      <c r="P103" s="62">
        <f>IFERROR(VLOOKUP(B103,Tableau3[#All],5,FALSE),"Matricule!")</f>
        <v>5</v>
      </c>
      <c r="Q103" s="62">
        <f>IFERROR(SUM(VLOOKUP(B103,Tableau3[#All],6,FALSE),VLOOKUP(B103,Tableau3[#All],8,FALSE)),"Matricule!")</f>
        <v>10</v>
      </c>
      <c r="R103" s="62">
        <f>IFERROR(VLOOKUP(B103,Tableau3[#All],7,FALSE),"Matricule!")</f>
        <v>5</v>
      </c>
      <c r="S103" s="62">
        <f>IFERROR(Tableau242[[#This Row],[Prod. days WK]]-Tableau242[[#This Row],[Prod PXX]],"Matricule")</f>
        <v>-5</v>
      </c>
      <c r="T103" s="62">
        <f>IFERROR(Tableau242[[#This Row],[Non prod. days WK]]-Tableau242[[#This Row],[Improd PXX]],"Matricule")</f>
        <v>5</v>
      </c>
      <c r="U103" s="62">
        <f>IFERROR(Tableau242[[#This Row],[Paid leave days WK]]-Tableau242[[#This Row],[Congé PXX]],"Matricule")</f>
        <v>0</v>
      </c>
      <c r="V103" s="63">
        <f>IFERROR(VLOOKUP($B103,#REF!,4,FALSE),0)</f>
        <v>0</v>
      </c>
      <c r="W10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03" s="63">
        <f>IF(AND(Tableau242[[#This Row],[Paid leave days]]&gt;0,Tableau242[[#This Row],[Prod. days]]&lt;0),MIN(Tableau242[[#This Row],[Paid leave days]],-Tableau242[[#This Row],[Prod. days]]),0)</f>
        <v>0</v>
      </c>
      <c r="Z103" s="63">
        <f>IFERROR(_xlfn.XLOOKUP(Tableau242[[#This Row],[Consultant]],Tableau2[Collaborateur/Nom affiché],Tableau2[Montant imputé],0),0)</f>
        <v>0</v>
      </c>
      <c r="AA103" s="64">
        <f t="shared" si="2"/>
        <v>-5</v>
      </c>
      <c r="AB103" s="65" t="s">
        <v>147</v>
      </c>
      <c r="AC103" s="66"/>
      <c r="AD103" s="66"/>
      <c r="AE103" s="66"/>
      <c r="AF103" s="90"/>
    </row>
    <row r="104" spans="1:32">
      <c r="A104" s="15">
        <f>Tableau242[[#This Row],[Company number]]+0</f>
        <v>15300</v>
      </c>
      <c r="B104" s="60" t="s">
        <v>342</v>
      </c>
      <c r="C104" s="61" t="s">
        <v>343</v>
      </c>
      <c r="D104" s="61" t="s">
        <v>35</v>
      </c>
      <c r="E104" s="62" t="str">
        <f>IFERROR(VLOOKUP(Tableau242[[#This Row],[Manager ou CDM concerné]],Parametres!B:C,2,FALSE),"")</f>
        <v>Squad B</v>
      </c>
      <c r="F104" s="62" t="str">
        <f>IF(Tableau242[[#This Row],[Consultant]]=Tableau242[[#This Row],[Manager ou CDM concerné]],"Non",IF(IFERROR(VLOOKUP(Tableau242[[#This Row],[Consultant]],Parametres!B:C,2,FALSE),0)=0,"Non","Oui"))</f>
        <v>Non</v>
      </c>
      <c r="G104" s="62">
        <f>IFERROR(VLOOKUP(B104,Tableau5[#All],4,FALSE),"Matricule!")</f>
        <v>15</v>
      </c>
      <c r="H104" s="62" t="str">
        <f>IFERROR(VLOOKUP(Tableau242[[#This Row],[Company number]],#REF!,6,FALSE),"")</f>
        <v/>
      </c>
      <c r="I104" s="62">
        <f>IFERROR(VLOOKUP(B104,Tableau5[#All],5,FALSE),"Matricule!")</f>
        <v>5</v>
      </c>
      <c r="J104" s="62">
        <f>IFERROR(VLOOKUP(B104,Tableau5[#All],6,FALSE),"Matricule!")</f>
        <v>0</v>
      </c>
      <c r="K104" s="62">
        <f>IFERROR(VLOOKUP(B104,Tableau5[#All],7,FALSE),"Matricule!")</f>
        <v>0</v>
      </c>
      <c r="L104" s="62" t="e">
        <f>VLOOKUP(Tableau242[[#This Row],[Company number]],#REF!,25,FALSE)</f>
        <v>#REF!</v>
      </c>
      <c r="M104" s="62" t="str">
        <f>IFERROR(VLOOKUP(Tableau242[[#This Row],[Company number]],#REF!,30,FALSE),"")</f>
        <v/>
      </c>
      <c r="N104" s="62" t="str">
        <f>IFERROR(VLOOKUP(Tableau242[[#This Row],[Company number]],#REF!,31,FALSE),"")</f>
        <v/>
      </c>
      <c r="O104" s="62" t="str">
        <f>IFERROR(VLOOKUP(Tableau242[[#This Row],[Company number]],#REF!,32,FALSE),"")</f>
        <v/>
      </c>
      <c r="P104" s="62">
        <f>IFERROR(VLOOKUP(B104,Tableau3[#All],5,FALSE),"Matricule!")</f>
        <v>20</v>
      </c>
      <c r="Q104" s="62">
        <f>IFERROR(SUM(VLOOKUP(B104,Tableau3[#All],6,FALSE),VLOOKUP(B104,Tableau3[#All],8,FALSE)),"Matricule!")</f>
        <v>0</v>
      </c>
      <c r="R104" s="62">
        <f>IFERROR(VLOOKUP(B104,Tableau3[#All],7,FALSE),"Matricule!")</f>
        <v>0</v>
      </c>
      <c r="S104" s="62">
        <f>IFERROR(Tableau242[[#This Row],[Prod. days WK]]-Tableau242[[#This Row],[Prod PXX]],"Matricule")</f>
        <v>-5</v>
      </c>
      <c r="T104" s="62">
        <f>IFERROR(Tableau242[[#This Row],[Non prod. days WK]]-Tableau242[[#This Row],[Improd PXX]],"Matricule")</f>
        <v>5</v>
      </c>
      <c r="U104" s="62">
        <f>IFERROR(Tableau242[[#This Row],[Paid leave days WK]]-Tableau242[[#This Row],[Congé PXX]],"Matricule")</f>
        <v>0</v>
      </c>
      <c r="V104" s="63">
        <f>IFERROR(VLOOKUP($B104,#REF!,4,FALSE),0)</f>
        <v>0</v>
      </c>
      <c r="W10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04" s="63">
        <f>IF(AND(Tableau242[[#This Row],[Paid leave days]]&gt;0,Tableau242[[#This Row],[Prod. days]]&lt;0),MIN(Tableau242[[#This Row],[Paid leave days]],-Tableau242[[#This Row],[Prod. days]]),0)</f>
        <v>0</v>
      </c>
      <c r="Z104" s="63">
        <f>IFERROR(_xlfn.XLOOKUP(Tableau242[[#This Row],[Consultant]],Tableau2[Collaborateur/Nom affiché],Tableau2[Montant imputé],0),0)</f>
        <v>0</v>
      </c>
      <c r="AA104" s="64">
        <f t="shared" si="2"/>
        <v>-5</v>
      </c>
      <c r="AB104" s="65" t="s">
        <v>147</v>
      </c>
      <c r="AC104" s="66"/>
      <c r="AD104" s="66"/>
      <c r="AE104" s="66"/>
      <c r="AF104" s="90"/>
    </row>
    <row r="105" spans="1:32">
      <c r="A105" s="15">
        <f>Tableau242[[#This Row],[Company number]]+0</f>
        <v>13823</v>
      </c>
      <c r="B105" s="60" t="s">
        <v>344</v>
      </c>
      <c r="C105" s="61" t="s">
        <v>345</v>
      </c>
      <c r="D105" s="61" t="s">
        <v>36</v>
      </c>
      <c r="E105" s="62" t="str">
        <f>IFERROR(VLOOKUP(Tableau242[[#This Row],[Manager ou CDM concerné]],Parametres!B:C,2,FALSE),"")</f>
        <v>Squad H</v>
      </c>
      <c r="F105" s="62" t="str">
        <f>IF(Tableau242[[#This Row],[Consultant]]=Tableau242[[#This Row],[Manager ou CDM concerné]],"Non",IF(IFERROR(VLOOKUP(Tableau242[[#This Row],[Consultant]],Parametres!B:C,2,FALSE),0)=0,"Non","Oui"))</f>
        <v>Non</v>
      </c>
      <c r="G105" s="62">
        <f>IFERROR(VLOOKUP(B105,Tableau5[#All],4,FALSE),"Matricule!")</f>
        <v>15</v>
      </c>
      <c r="H105" s="62" t="str">
        <f>IFERROR(VLOOKUP(Tableau242[[#This Row],[Company number]],#REF!,6,FALSE),"")</f>
        <v/>
      </c>
      <c r="I105" s="62">
        <f>IFERROR(VLOOKUP(B105,Tableau5[#All],5,FALSE),"Matricule!")</f>
        <v>5</v>
      </c>
      <c r="J105" s="62">
        <f>IFERROR(VLOOKUP(B105,Tableau5[#All],6,FALSE),"Matricule!")</f>
        <v>0</v>
      </c>
      <c r="K105" s="62">
        <f>IFERROR(VLOOKUP(B105,Tableau5[#All],7,FALSE),"Matricule!")</f>
        <v>0</v>
      </c>
      <c r="L105" s="62" t="e">
        <f>VLOOKUP(Tableau242[[#This Row],[Company number]],#REF!,25,FALSE)</f>
        <v>#REF!</v>
      </c>
      <c r="M105" s="62" t="str">
        <f>IFERROR(VLOOKUP(Tableau242[[#This Row],[Company number]],#REF!,30,FALSE),"")</f>
        <v/>
      </c>
      <c r="N105" s="62" t="str">
        <f>IFERROR(VLOOKUP(Tableau242[[#This Row],[Company number]],#REF!,31,FALSE),"")</f>
        <v/>
      </c>
      <c r="O105" s="62" t="str">
        <f>IFERROR(VLOOKUP(Tableau242[[#This Row],[Company number]],#REF!,32,FALSE),"")</f>
        <v/>
      </c>
      <c r="P105" s="62">
        <f>IFERROR(VLOOKUP(B105,Tableau3[#All],5,FALSE),"Matricule!")</f>
        <v>20</v>
      </c>
      <c r="Q105" s="62">
        <f>IFERROR(SUM(VLOOKUP(B105,Tableau3[#All],6,FALSE),VLOOKUP(B105,Tableau3[#All],8,FALSE)),"Matricule!")</f>
        <v>0</v>
      </c>
      <c r="R105" s="62">
        <f>IFERROR(VLOOKUP(B105,Tableau3[#All],7,FALSE),"Matricule!")</f>
        <v>0</v>
      </c>
      <c r="S105" s="62">
        <f>IFERROR(Tableau242[[#This Row],[Prod. days WK]]-Tableau242[[#This Row],[Prod PXX]],"Matricule")</f>
        <v>-5</v>
      </c>
      <c r="T105" s="62">
        <f>IFERROR(Tableau242[[#This Row],[Non prod. days WK]]-Tableau242[[#This Row],[Improd PXX]],"Matricule")</f>
        <v>5</v>
      </c>
      <c r="U105" s="62">
        <f>IFERROR(Tableau242[[#This Row],[Paid leave days WK]]-Tableau242[[#This Row],[Congé PXX]],"Matricule")</f>
        <v>0</v>
      </c>
      <c r="V105" s="63">
        <f>IFERROR(VLOOKUP($B105,#REF!,4,FALSE),0)</f>
        <v>0</v>
      </c>
      <c r="W10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05" s="63">
        <f>IF(AND(Tableau242[[#This Row],[Paid leave days]]&gt;0,Tableau242[[#This Row],[Prod. days]]&lt;0),MIN(Tableau242[[#This Row],[Paid leave days]],-Tableau242[[#This Row],[Prod. days]]),0)</f>
        <v>0</v>
      </c>
      <c r="Z105" s="63">
        <f>IFERROR(_xlfn.XLOOKUP(Tableau242[[#This Row],[Consultant]],Tableau2[Collaborateur/Nom affiché],Tableau2[Montant imputé],0),0)</f>
        <v>0</v>
      </c>
      <c r="AA105" s="64">
        <f t="shared" si="2"/>
        <v>-5</v>
      </c>
      <c r="AB105" s="65" t="s">
        <v>154</v>
      </c>
      <c r="AC105" s="66"/>
      <c r="AD105" s="66"/>
      <c r="AE105" s="66"/>
      <c r="AF105" s="90"/>
    </row>
    <row r="106" spans="1:32">
      <c r="A106" s="15">
        <f>Tableau242[[#This Row],[Company number]]+0</f>
        <v>15463</v>
      </c>
      <c r="B106" s="60" t="s">
        <v>346</v>
      </c>
      <c r="C106" s="61" t="s">
        <v>347</v>
      </c>
      <c r="D106" s="61" t="s">
        <v>5</v>
      </c>
      <c r="E106" s="62" t="str">
        <f>IFERROR(VLOOKUP(Tableau242[[#This Row],[Manager ou CDM concerné]],Parametres!B:C,2,FALSE),"")</f>
        <v>Squad C</v>
      </c>
      <c r="F106" s="62" t="str">
        <f>IF(Tableau242[[#This Row],[Consultant]]=Tableau242[[#This Row],[Manager ou CDM concerné]],"Non",IF(IFERROR(VLOOKUP(Tableau242[[#This Row],[Consultant]],Parametres!B:C,2,FALSE),0)=0,"Non","Oui"))</f>
        <v>Non</v>
      </c>
      <c r="G106" s="62">
        <f>IFERROR(VLOOKUP(B106,Tableau5[#All],4,FALSE),"Matricule!")</f>
        <v>0</v>
      </c>
      <c r="H106" s="62" t="str">
        <f>IFERROR(VLOOKUP(Tableau242[[#This Row],[Company number]],#REF!,6,FALSE),"")</f>
        <v/>
      </c>
      <c r="I106" s="62">
        <f>IFERROR(VLOOKUP(B106,Tableau5[#All],5,FALSE),"Matricule!")</f>
        <v>17.5</v>
      </c>
      <c r="J106" s="62">
        <f>IFERROR(VLOOKUP(B106,Tableau5[#All],6,FALSE),"Matricule!")</f>
        <v>2.5</v>
      </c>
      <c r="K106" s="62">
        <f>IFERROR(VLOOKUP(B106,Tableau5[#All],7,FALSE),"Matricule!")</f>
        <v>0</v>
      </c>
      <c r="L106" s="62" t="e">
        <f>VLOOKUP(Tableau242[[#This Row],[Company number]],#REF!,25,FALSE)</f>
        <v>#REF!</v>
      </c>
      <c r="M106" s="62" t="str">
        <f>IFERROR(VLOOKUP(Tableau242[[#This Row],[Company number]],#REF!,30,FALSE),"")</f>
        <v/>
      </c>
      <c r="N106" s="62" t="str">
        <f>IFERROR(VLOOKUP(Tableau242[[#This Row],[Company number]],#REF!,31,FALSE),"")</f>
        <v/>
      </c>
      <c r="O106" s="62" t="str">
        <f>IFERROR(VLOOKUP(Tableau242[[#This Row],[Company number]],#REF!,32,FALSE),"")</f>
        <v/>
      </c>
      <c r="P106" s="62">
        <f>IFERROR(VLOOKUP(B106,Tableau3[#All],5,FALSE),"Matricule!")</f>
        <v>5</v>
      </c>
      <c r="Q106" s="62">
        <f>IFERROR(SUM(VLOOKUP(B106,Tableau3[#All],6,FALSE),VLOOKUP(B106,Tableau3[#All],8,FALSE)),"Matricule!")</f>
        <v>13</v>
      </c>
      <c r="R106" s="62">
        <f>IFERROR(VLOOKUP(B106,Tableau3[#All],7,FALSE),"Matricule!")</f>
        <v>2</v>
      </c>
      <c r="S106" s="62">
        <f>IFERROR(Tableau242[[#This Row],[Prod. days WK]]-Tableau242[[#This Row],[Prod PXX]],"Matricule")</f>
        <v>-5</v>
      </c>
      <c r="T106" s="62">
        <f>IFERROR(Tableau242[[#This Row],[Non prod. days WK]]-Tableau242[[#This Row],[Improd PXX]],"Matricule")</f>
        <v>4.5</v>
      </c>
      <c r="U106" s="62">
        <f>IFERROR(Tableau242[[#This Row],[Paid leave days WK]]-Tableau242[[#This Row],[Congé PXX]],"Matricule")</f>
        <v>0.5</v>
      </c>
      <c r="V106" s="63">
        <f>IFERROR(VLOOKUP($B106,#REF!,4,FALSE),0)</f>
        <v>0</v>
      </c>
      <c r="W10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06" s="63">
        <f>IF(AND(Tableau242[[#This Row],[Paid leave days]]&gt;0,Tableau242[[#This Row],[Prod. days]]&lt;0),MIN(Tableau242[[#This Row],[Paid leave days]],-Tableau242[[#This Row],[Prod. days]]),0)</f>
        <v>0.5</v>
      </c>
      <c r="Z106" s="63">
        <f>IFERROR(_xlfn.XLOOKUP(Tableau242[[#This Row],[Consultant]],Tableau2[Collaborateur/Nom affiché],Tableau2[Montant imputé],0),0)</f>
        <v>0</v>
      </c>
      <c r="AA106" s="64">
        <f t="shared" si="2"/>
        <v>-5</v>
      </c>
      <c r="AB106" s="65" t="s">
        <v>147</v>
      </c>
      <c r="AC106" s="66"/>
      <c r="AD106" s="66"/>
      <c r="AE106" s="66"/>
      <c r="AF106" s="90"/>
    </row>
    <row r="107" spans="1:32">
      <c r="A107" s="15">
        <f>Tableau242[[#This Row],[Company number]]+0</f>
        <v>11978</v>
      </c>
      <c r="B107" s="60" t="s">
        <v>348</v>
      </c>
      <c r="C107" s="61" t="s">
        <v>50</v>
      </c>
      <c r="D107" s="61" t="s">
        <v>61</v>
      </c>
      <c r="E107" s="62" t="str">
        <f>IFERROR(VLOOKUP(Tableau242[[#This Row],[Manager ou CDM concerné]],Parametres!B:C,2,FALSE),"")</f>
        <v>Squad D</v>
      </c>
      <c r="F107" s="62" t="str">
        <f>IF(Tableau242[[#This Row],[Consultant]]=Tableau242[[#This Row],[Manager ou CDM concerné]],"Non",IF(IFERROR(VLOOKUP(Tableau242[[#This Row],[Consultant]],Parametres!B:C,2,FALSE),0)=0,"Non","Oui"))</f>
        <v>Oui</v>
      </c>
      <c r="G107" s="62">
        <f>IFERROR(VLOOKUP(B107,Tableau5[#All],4,FALSE),"Matricule!")</f>
        <v>0</v>
      </c>
      <c r="H107" s="62" t="str">
        <f>IFERROR(VLOOKUP(Tableau242[[#This Row],[Company number]],#REF!,6,FALSE),"")</f>
        <v/>
      </c>
      <c r="I107" s="62">
        <f>IFERROR(VLOOKUP(B107,Tableau5[#All],5,FALSE),"Matricule!")</f>
        <v>2.5</v>
      </c>
      <c r="J107" s="62">
        <f>IFERROR(VLOOKUP(B107,Tableau5[#All],6,FALSE),"Matricule!")</f>
        <v>17.5</v>
      </c>
      <c r="K107" s="62">
        <f>IFERROR(VLOOKUP(B107,Tableau5[#All],7,FALSE),"Matricule!")</f>
        <v>0</v>
      </c>
      <c r="L107" s="62" t="e">
        <f>VLOOKUP(Tableau242[[#This Row],[Company number]],#REF!,25,FALSE)</f>
        <v>#REF!</v>
      </c>
      <c r="M107" s="62" t="str">
        <f>IFERROR(VLOOKUP(Tableau242[[#This Row],[Company number]],#REF!,30,FALSE),"")</f>
        <v/>
      </c>
      <c r="N107" s="62" t="str">
        <f>IFERROR(VLOOKUP(Tableau242[[#This Row],[Company number]],#REF!,31,FALSE),"")</f>
        <v/>
      </c>
      <c r="O107" s="62" t="str">
        <f>IFERROR(VLOOKUP(Tableau242[[#This Row],[Company number]],#REF!,32,FALSE),"")</f>
        <v/>
      </c>
      <c r="P107" s="68">
        <f>IFERROR(VLOOKUP(B107,Tableau3[#All],5,FALSE),"Matricule!")</f>
        <v>0</v>
      </c>
      <c r="Q107" s="68">
        <f>IFERROR(SUM(VLOOKUP(B107,Tableau3[#All],6,FALSE),VLOOKUP(B107,Tableau3[#All],8,FALSE)),"Matricule!")</f>
        <v>2.5</v>
      </c>
      <c r="R107" s="68">
        <f>IFERROR(VLOOKUP(B107,Tableau3[#All],7,FALSE),"Matricule!")</f>
        <v>17.5</v>
      </c>
      <c r="S107" s="62">
        <f>IFERROR(Tableau242[[#This Row],[Prod. days WK]]-Tableau242[[#This Row],[Prod PXX]],"Matricule")</f>
        <v>0</v>
      </c>
      <c r="T107" s="62">
        <f>IFERROR(Tableau242[[#This Row],[Non prod. days WK]]-Tableau242[[#This Row],[Improd PXX]],"Matricule")</f>
        <v>0</v>
      </c>
      <c r="U107" s="62">
        <f>IFERROR(Tableau242[[#This Row],[Paid leave days WK]]-Tableau242[[#This Row],[Congé PXX]],"Matricule")</f>
        <v>0</v>
      </c>
      <c r="V107" s="63">
        <f>IFERROR(VLOOKUP($B107,#REF!,4,FALSE),0)</f>
        <v>0</v>
      </c>
      <c r="W10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07" s="63">
        <f>IF(AND(Tableau242[[#This Row],[Paid leave days]]&gt;0,Tableau242[[#This Row],[Prod. days]]&lt;0),MIN(Tableau242[[#This Row],[Paid leave days]],-Tableau242[[#This Row],[Prod. days]]),0)</f>
        <v>0</v>
      </c>
      <c r="Z107" s="63">
        <f>IFERROR(_xlfn.XLOOKUP(Tableau242[[#This Row],[Consultant]],Tableau2[Collaborateur/Nom affiché],Tableau2[Montant imputé],0),0)</f>
        <v>0</v>
      </c>
      <c r="AA107" s="64">
        <f t="shared" si="2"/>
        <v>0</v>
      </c>
      <c r="AB107" s="78"/>
      <c r="AC107" s="67"/>
      <c r="AD107" s="67"/>
      <c r="AE107" s="67"/>
      <c r="AF107" s="92"/>
    </row>
    <row r="108" spans="1:32">
      <c r="A108" s="15">
        <f>Tableau242[[#This Row],[Company number]]+0</f>
        <v>5719</v>
      </c>
      <c r="B108" s="60" t="s">
        <v>349</v>
      </c>
      <c r="C108" s="61" t="s">
        <v>350</v>
      </c>
      <c r="D108" s="61" t="s">
        <v>61</v>
      </c>
      <c r="E108" s="62" t="str">
        <f>IFERROR(VLOOKUP(Tableau242[[#This Row],[Manager ou CDM concerné]],Parametres!B:C,2,FALSE),"")</f>
        <v>Squad D</v>
      </c>
      <c r="F108" s="62" t="str">
        <f>IF(Tableau242[[#This Row],[Consultant]]=Tableau242[[#This Row],[Manager ou CDM concerné]],"Non",IF(IFERROR(VLOOKUP(Tableau242[[#This Row],[Consultant]],Parametres!B:C,2,FALSE),0)=0,"Non","Oui"))</f>
        <v>Non</v>
      </c>
      <c r="G108" s="62">
        <f>IFERROR(VLOOKUP(B108,Tableau5[#All],4,FALSE),"Matricule!")</f>
        <v>1</v>
      </c>
      <c r="H108" s="62" t="str">
        <f>IFERROR(VLOOKUP(Tableau242[[#This Row],[Company number]],#REF!,6,FALSE),"")</f>
        <v/>
      </c>
      <c r="I108" s="62">
        <f>IFERROR(VLOOKUP(B108,Tableau5[#All],5,FALSE),"Matricule!")</f>
        <v>19</v>
      </c>
      <c r="J108" s="62">
        <f>IFERROR(VLOOKUP(B108,Tableau5[#All],6,FALSE),"Matricule!")</f>
        <v>0</v>
      </c>
      <c r="K108" s="62">
        <f>IFERROR(VLOOKUP(B108,Tableau5[#All],7,FALSE),"Matricule!")</f>
        <v>0</v>
      </c>
      <c r="L108" s="62" t="e">
        <f>VLOOKUP(Tableau242[[#This Row],[Company number]],#REF!,25,FALSE)</f>
        <v>#REF!</v>
      </c>
      <c r="M108" s="62" t="str">
        <f>IFERROR(VLOOKUP(Tableau242[[#This Row],[Company number]],#REF!,30,FALSE),"")</f>
        <v/>
      </c>
      <c r="N108" s="62" t="str">
        <f>IFERROR(VLOOKUP(Tableau242[[#This Row],[Company number]],#REF!,31,FALSE),"")</f>
        <v/>
      </c>
      <c r="O108" s="62" t="str">
        <f>IFERROR(VLOOKUP(Tableau242[[#This Row],[Company number]],#REF!,32,FALSE),"")</f>
        <v/>
      </c>
      <c r="P108" s="62">
        <f>IFERROR(VLOOKUP(B108,Tableau3[#All],5,FALSE),"Matricule!")</f>
        <v>1</v>
      </c>
      <c r="Q108" s="62">
        <f>IFERROR(SUM(VLOOKUP(B108,Tableau3[#All],6,FALSE),VLOOKUP(B108,Tableau3[#All],8,FALSE)),"Matricule!")</f>
        <v>19</v>
      </c>
      <c r="R108" s="62">
        <f>IFERROR(VLOOKUP(B108,Tableau3[#All],7,FALSE),"Matricule!")</f>
        <v>0</v>
      </c>
      <c r="S108" s="62">
        <f>IFERROR(Tableau242[[#This Row],[Prod. days WK]]-Tableau242[[#This Row],[Prod PXX]],"Matricule")</f>
        <v>0</v>
      </c>
      <c r="T108" s="62">
        <f>IFERROR(Tableau242[[#This Row],[Non prod. days WK]]-Tableau242[[#This Row],[Improd PXX]],"Matricule")</f>
        <v>0</v>
      </c>
      <c r="U108" s="62">
        <f>IFERROR(Tableau242[[#This Row],[Paid leave days WK]]-Tableau242[[#This Row],[Congé PXX]],"Matricule")</f>
        <v>0</v>
      </c>
      <c r="V108" s="63">
        <f>IFERROR(VLOOKUP($B108,#REF!,4,FALSE),0)</f>
        <v>0</v>
      </c>
      <c r="W10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08" s="63">
        <f>IF(AND(Tableau242[[#This Row],[Paid leave days]]&gt;0,Tableau242[[#This Row],[Prod. days]]&lt;0),MIN(Tableau242[[#This Row],[Paid leave days]],-Tableau242[[#This Row],[Prod. days]]),0)</f>
        <v>0</v>
      </c>
      <c r="Z108" s="63">
        <f>IFERROR(_xlfn.XLOOKUP(Tableau242[[#This Row],[Consultant]],Tableau2[Collaborateur/Nom affiché],Tableau2[Montant imputé],0),0)</f>
        <v>0</v>
      </c>
      <c r="AA108" s="64">
        <f t="shared" si="2"/>
        <v>0</v>
      </c>
      <c r="AB108" s="65"/>
      <c r="AC108" s="67"/>
      <c r="AD108" s="66"/>
      <c r="AE108" s="66"/>
      <c r="AF108" s="93"/>
    </row>
    <row r="109" spans="1:32">
      <c r="A109" s="15">
        <f>Tableau242[[#This Row],[Company number]]+0</f>
        <v>10091</v>
      </c>
      <c r="B109" s="60" t="s">
        <v>351</v>
      </c>
      <c r="C109" s="61" t="s">
        <v>352</v>
      </c>
      <c r="D109" s="61" t="s">
        <v>61</v>
      </c>
      <c r="E109" s="62" t="str">
        <f>IFERROR(VLOOKUP(Tableau242[[#This Row],[Manager ou CDM concerné]],Parametres!B:C,2,FALSE),"")</f>
        <v>Squad D</v>
      </c>
      <c r="F109" s="62" t="str">
        <f>IF(Tableau242[[#This Row],[Consultant]]=Tableau242[[#This Row],[Manager ou CDM concerné]],"Non",IF(IFERROR(VLOOKUP(Tableau242[[#This Row],[Consultant]],Parametres!B:C,2,FALSE),0)=0,"Non","Oui"))</f>
        <v>Non</v>
      </c>
      <c r="G109" s="62">
        <f>IFERROR(VLOOKUP(B109,Tableau5[#All],4,FALSE),"Matricule!")</f>
        <v>19</v>
      </c>
      <c r="H109" s="62" t="str">
        <f>IFERROR(VLOOKUP(Tableau242[[#This Row],[Company number]],#REF!,6,FALSE),"")</f>
        <v/>
      </c>
      <c r="I109" s="62">
        <f>IFERROR(VLOOKUP(B109,Tableau5[#All],5,FALSE),"Matricule!")</f>
        <v>0</v>
      </c>
      <c r="J109" s="62">
        <f>IFERROR(VLOOKUP(B109,Tableau5[#All],6,FALSE),"Matricule!")</f>
        <v>1</v>
      </c>
      <c r="K109" s="62">
        <f>IFERROR(VLOOKUP(B109,Tableau5[#All],7,FALSE),"Matricule!")</f>
        <v>0</v>
      </c>
      <c r="L109" s="62" t="e">
        <f>VLOOKUP(Tableau242[[#This Row],[Company number]],#REF!,25,FALSE)</f>
        <v>#REF!</v>
      </c>
      <c r="M109" s="62" t="str">
        <f>IFERROR(VLOOKUP(Tableau242[[#This Row],[Company number]],#REF!,30,FALSE),"")</f>
        <v/>
      </c>
      <c r="N109" s="62" t="str">
        <f>IFERROR(VLOOKUP(Tableau242[[#This Row],[Company number]],#REF!,31,FALSE),"")</f>
        <v/>
      </c>
      <c r="O109" s="62" t="str">
        <f>IFERROR(VLOOKUP(Tableau242[[#This Row],[Company number]],#REF!,32,FALSE),"")</f>
        <v/>
      </c>
      <c r="P109" s="62">
        <f>IFERROR(VLOOKUP(B109,Tableau3[#All],5,FALSE),"Matricule!")</f>
        <v>19</v>
      </c>
      <c r="Q109" s="62">
        <f>IFERROR(SUM(VLOOKUP(B109,Tableau3[#All],6,FALSE),VLOOKUP(B109,Tableau3[#All],8,FALSE)),"Matricule!")</f>
        <v>0</v>
      </c>
      <c r="R109" s="62">
        <f>IFERROR(VLOOKUP(B109,Tableau3[#All],7,FALSE),"Matricule!")</f>
        <v>1</v>
      </c>
      <c r="S109" s="62">
        <f>IFERROR(Tableau242[[#This Row],[Prod. days WK]]-Tableau242[[#This Row],[Prod PXX]],"Matricule")</f>
        <v>0</v>
      </c>
      <c r="T109" s="62">
        <f>IFERROR(Tableau242[[#This Row],[Non prod. days WK]]-Tableau242[[#This Row],[Improd PXX]],"Matricule")</f>
        <v>0</v>
      </c>
      <c r="U109" s="62">
        <f>IFERROR(Tableau242[[#This Row],[Paid leave days WK]]-Tableau242[[#This Row],[Congé PXX]],"Matricule")</f>
        <v>0</v>
      </c>
      <c r="V109" s="63">
        <f>IFERROR(VLOOKUP($B109,#REF!,4,FALSE),0)</f>
        <v>0</v>
      </c>
      <c r="W10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0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09" s="63">
        <f>IF(AND(Tableau242[[#This Row],[Paid leave days]]&gt;0,Tableau242[[#This Row],[Prod. days]]&lt;0),MIN(Tableau242[[#This Row],[Paid leave days]],-Tableau242[[#This Row],[Prod. days]]),0)</f>
        <v>0</v>
      </c>
      <c r="Z109" s="63">
        <f>IFERROR(_xlfn.XLOOKUP(Tableau242[[#This Row],[Consultant]],Tableau2[Collaborateur/Nom affiché],Tableau2[Montant imputé],0),0)</f>
        <v>0</v>
      </c>
      <c r="AA109" s="64">
        <f t="shared" si="2"/>
        <v>0</v>
      </c>
      <c r="AB109" s="65"/>
      <c r="AC109" s="66"/>
      <c r="AD109" s="66"/>
      <c r="AE109" s="66"/>
      <c r="AF109" s="90"/>
    </row>
    <row r="110" spans="1:32">
      <c r="A110" s="15">
        <f>Tableau242[[#This Row],[Company number]]+0</f>
        <v>11674</v>
      </c>
      <c r="B110" s="60" t="s">
        <v>353</v>
      </c>
      <c r="C110" s="61" t="s">
        <v>14</v>
      </c>
      <c r="D110" s="61" t="s">
        <v>61</v>
      </c>
      <c r="E110" s="62" t="str">
        <f>IFERROR(VLOOKUP(Tableau242[[#This Row],[Manager ou CDM concerné]],Parametres!B:C,2,FALSE),"")</f>
        <v>Squad D</v>
      </c>
      <c r="F110" s="62" t="str">
        <f>IF(Tableau242[[#This Row],[Consultant]]=Tableau242[[#This Row],[Manager ou CDM concerné]],"Non",IF(IFERROR(VLOOKUP(Tableau242[[#This Row],[Consultant]],Parametres!B:C,2,FALSE),0)=0,"Non","Oui"))</f>
        <v>Oui</v>
      </c>
      <c r="G110" s="62">
        <f>IFERROR(VLOOKUP(B110,Tableau5[#All],4,FALSE),"Matricule!")</f>
        <v>16</v>
      </c>
      <c r="H110" s="62" t="str">
        <f>IFERROR(VLOOKUP(Tableau242[[#This Row],[Company number]],#REF!,6,FALSE),"")</f>
        <v/>
      </c>
      <c r="I110" s="62">
        <f>IFERROR(VLOOKUP(B110,Tableau5[#All],5,FALSE),"Matricule!")</f>
        <v>2</v>
      </c>
      <c r="J110" s="62">
        <f>IFERROR(VLOOKUP(B110,Tableau5[#All],6,FALSE),"Matricule!")</f>
        <v>2</v>
      </c>
      <c r="K110" s="62">
        <f>IFERROR(VLOOKUP(B110,Tableau5[#All],7,FALSE),"Matricule!")</f>
        <v>0</v>
      </c>
      <c r="L110" s="62" t="e">
        <f>VLOOKUP(Tableau242[[#This Row],[Company number]],#REF!,25,FALSE)</f>
        <v>#REF!</v>
      </c>
      <c r="M110" s="62" t="str">
        <f>IFERROR(VLOOKUP(Tableau242[[#This Row],[Company number]],#REF!,30,FALSE),"")</f>
        <v/>
      </c>
      <c r="N110" s="62" t="str">
        <f>IFERROR(VLOOKUP(Tableau242[[#This Row],[Company number]],#REF!,31,FALSE),"")</f>
        <v/>
      </c>
      <c r="O110" s="62" t="str">
        <f>IFERROR(VLOOKUP(Tableau242[[#This Row],[Company number]],#REF!,32,FALSE),"")</f>
        <v/>
      </c>
      <c r="P110" s="62">
        <f>IFERROR(VLOOKUP(B110,Tableau3[#All],5,FALSE),"Matricule!")</f>
        <v>16</v>
      </c>
      <c r="Q110" s="62">
        <f>IFERROR(SUM(VLOOKUP(B110,Tableau3[#All],6,FALSE),VLOOKUP(B110,Tableau3[#All],8,FALSE)),"Matricule!")</f>
        <v>2</v>
      </c>
      <c r="R110" s="62">
        <f>IFERROR(VLOOKUP(B110,Tableau3[#All],7,FALSE),"Matricule!")</f>
        <v>2</v>
      </c>
      <c r="S110" s="62">
        <f>IFERROR(Tableau242[[#This Row],[Prod. days WK]]-Tableau242[[#This Row],[Prod PXX]],"Matricule")</f>
        <v>0</v>
      </c>
      <c r="T110" s="62">
        <f>IFERROR(Tableau242[[#This Row],[Non prod. days WK]]-Tableau242[[#This Row],[Improd PXX]],"Matricule")</f>
        <v>0</v>
      </c>
      <c r="U110" s="62">
        <f>IFERROR(Tableau242[[#This Row],[Paid leave days WK]]-Tableau242[[#This Row],[Congé PXX]],"Matricule")</f>
        <v>0</v>
      </c>
      <c r="V110" s="63">
        <f>IFERROR(VLOOKUP($B110,#REF!,4,FALSE),0)</f>
        <v>0</v>
      </c>
      <c r="W11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10" s="63">
        <f>IF(AND(Tableau242[[#This Row],[Paid leave days]]&gt;0,Tableau242[[#This Row],[Prod. days]]&lt;0),MIN(Tableau242[[#This Row],[Paid leave days]],-Tableau242[[#This Row],[Prod. days]]),0)</f>
        <v>0</v>
      </c>
      <c r="Z110" s="63">
        <f>IFERROR(_xlfn.XLOOKUP(Tableau242[[#This Row],[Consultant]],Tableau2[Collaborateur/Nom affiché],Tableau2[Montant imputé],0),0)</f>
        <v>0</v>
      </c>
      <c r="AA110" s="64">
        <f t="shared" si="2"/>
        <v>0</v>
      </c>
      <c r="AB110" s="70"/>
      <c r="AC110" s="67"/>
      <c r="AD110" s="67"/>
      <c r="AE110" s="67"/>
      <c r="AF110" s="92"/>
    </row>
    <row r="111" spans="1:32">
      <c r="A111" s="15">
        <f>Tableau242[[#This Row],[Company number]]+0</f>
        <v>18090</v>
      </c>
      <c r="B111" s="60" t="s">
        <v>354</v>
      </c>
      <c r="C111" s="61" t="s">
        <v>355</v>
      </c>
      <c r="D111" s="61" t="s">
        <v>61</v>
      </c>
      <c r="E111" s="62" t="str">
        <f>IFERROR(VLOOKUP(Tableau242[[#This Row],[Manager ou CDM concerné]],Parametres!B:C,2,FALSE),"")</f>
        <v>Squad D</v>
      </c>
      <c r="F111" s="62" t="str">
        <f>IF(Tableau242[[#This Row],[Consultant]]=Tableau242[[#This Row],[Manager ou CDM concerné]],"Non",IF(IFERROR(VLOOKUP(Tableau242[[#This Row],[Consultant]],Parametres!B:C,2,FALSE),0)=0,"Non","Oui"))</f>
        <v>Non</v>
      </c>
      <c r="G111" s="62">
        <f>IFERROR(VLOOKUP(B111,Tableau5[#All],4,FALSE),"Matricule!")</f>
        <v>20</v>
      </c>
      <c r="H111" s="62" t="str">
        <f>IFERROR(VLOOKUP(Tableau242[[#This Row],[Company number]],#REF!,6,FALSE),"")</f>
        <v/>
      </c>
      <c r="I111" s="62">
        <f>IFERROR(VLOOKUP(B111,Tableau5[#All],5,FALSE),"Matricule!")</f>
        <v>0</v>
      </c>
      <c r="J111" s="62">
        <f>IFERROR(VLOOKUP(B111,Tableau5[#All],6,FALSE),"Matricule!")</f>
        <v>0</v>
      </c>
      <c r="K111" s="62">
        <f>IFERROR(VLOOKUP(B111,Tableau5[#All],7,FALSE),"Matricule!")</f>
        <v>0</v>
      </c>
      <c r="L111" s="62" t="e">
        <f>VLOOKUP(Tableau242[[#This Row],[Company number]],#REF!,25,FALSE)</f>
        <v>#REF!</v>
      </c>
      <c r="M111" s="62" t="str">
        <f>IFERROR(VLOOKUP(Tableau242[[#This Row],[Company number]],#REF!,30,FALSE),"")</f>
        <v/>
      </c>
      <c r="N111" s="62" t="str">
        <f>IFERROR(VLOOKUP(Tableau242[[#This Row],[Company number]],#REF!,31,FALSE),"")</f>
        <v/>
      </c>
      <c r="O111" s="62" t="str">
        <f>IFERROR(VLOOKUP(Tableau242[[#This Row],[Company number]],#REF!,32,FALSE),"")</f>
        <v/>
      </c>
      <c r="P111" s="62">
        <f>IFERROR(VLOOKUP(B111,Tableau3[#All],5,FALSE),"Matricule!")</f>
        <v>20</v>
      </c>
      <c r="Q111" s="62">
        <f>IFERROR(SUM(VLOOKUP(B111,Tableau3[#All],6,FALSE),VLOOKUP(B111,Tableau3[#All],8,FALSE)),"Matricule!")</f>
        <v>0</v>
      </c>
      <c r="R111" s="62">
        <f>IFERROR(VLOOKUP(B111,Tableau3[#All],7,FALSE),"Matricule!")</f>
        <v>0</v>
      </c>
      <c r="S111" s="62">
        <f>IFERROR(Tableau242[[#This Row],[Prod. days WK]]-Tableau242[[#This Row],[Prod PXX]],"Matricule")</f>
        <v>0</v>
      </c>
      <c r="T111" s="62">
        <f>IFERROR(Tableau242[[#This Row],[Non prod. days WK]]-Tableau242[[#This Row],[Improd PXX]],"Matricule")</f>
        <v>0</v>
      </c>
      <c r="U111" s="62">
        <f>IFERROR(Tableau242[[#This Row],[Paid leave days WK]]-Tableau242[[#This Row],[Congé PXX]],"Matricule")</f>
        <v>0</v>
      </c>
      <c r="V111" s="63">
        <f>IFERROR(VLOOKUP($B111,#REF!,4,FALSE),0)</f>
        <v>0</v>
      </c>
      <c r="W11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11" s="63">
        <f>IF(AND(Tableau242[[#This Row],[Paid leave days]]&gt;0,Tableau242[[#This Row],[Prod. days]]&lt;0),MIN(Tableau242[[#This Row],[Paid leave days]],-Tableau242[[#This Row],[Prod. days]]),0)</f>
        <v>0</v>
      </c>
      <c r="Z111" s="63">
        <f>IFERROR(_xlfn.XLOOKUP(Tableau242[[#This Row],[Consultant]],Tableau2[Collaborateur/Nom affiché],Tableau2[Montant imputé],0),0)</f>
        <v>0</v>
      </c>
      <c r="AA111" s="64">
        <f t="shared" si="2"/>
        <v>0</v>
      </c>
      <c r="AB111" s="78"/>
      <c r="AC111" s="67"/>
      <c r="AD111" s="67"/>
      <c r="AE111" s="119"/>
      <c r="AF111" s="92"/>
    </row>
    <row r="112" spans="1:32">
      <c r="A112" s="15">
        <f>Tableau242[[#This Row],[Company number]]+0</f>
        <v>13582</v>
      </c>
      <c r="B112" s="60" t="s">
        <v>356</v>
      </c>
      <c r="C112" s="61" t="s">
        <v>357</v>
      </c>
      <c r="D112" s="61" t="s">
        <v>61</v>
      </c>
      <c r="E112" s="62" t="str">
        <f>IFERROR(VLOOKUP(Tableau242[[#This Row],[Manager ou CDM concerné]],Parametres!B:C,2,FALSE),"")</f>
        <v>Squad D</v>
      </c>
      <c r="F112" s="62" t="str">
        <f>IF(Tableau242[[#This Row],[Consultant]]=Tableau242[[#This Row],[Manager ou CDM concerné]],"Non",IF(IFERROR(VLOOKUP(Tableau242[[#This Row],[Consultant]],Parametres!B:C,2,FALSE),0)=0,"Non","Oui"))</f>
        <v>Oui</v>
      </c>
      <c r="G112" s="62">
        <f>IFERROR(VLOOKUP(B112,Tableau5[#All],4,FALSE),"Matricule!")</f>
        <v>16</v>
      </c>
      <c r="H112" s="62" t="str">
        <f>IFERROR(VLOOKUP(Tableau242[[#This Row],[Company number]],#REF!,6,FALSE),"")</f>
        <v/>
      </c>
      <c r="I112" s="62">
        <f>IFERROR(VLOOKUP(B112,Tableau5[#All],5,FALSE),"Matricule!")</f>
        <v>0</v>
      </c>
      <c r="J112" s="62">
        <f>IFERROR(VLOOKUP(B112,Tableau5[#All],6,FALSE),"Matricule!")</f>
        <v>4</v>
      </c>
      <c r="K112" s="62">
        <f>IFERROR(VLOOKUP(B112,Tableau5[#All],7,FALSE),"Matricule!")</f>
        <v>0</v>
      </c>
      <c r="L112" s="62" t="e">
        <f>VLOOKUP(Tableau242[[#This Row],[Company number]],#REF!,25,FALSE)</f>
        <v>#REF!</v>
      </c>
      <c r="M112" s="62" t="str">
        <f>IFERROR(VLOOKUP(Tableau242[[#This Row],[Company number]],#REF!,30,FALSE),"")</f>
        <v/>
      </c>
      <c r="N112" s="62" t="str">
        <f>IFERROR(VLOOKUP(Tableau242[[#This Row],[Company number]],#REF!,31,FALSE),"")</f>
        <v/>
      </c>
      <c r="O112" s="62" t="str">
        <f>IFERROR(VLOOKUP(Tableau242[[#This Row],[Company number]],#REF!,32,FALSE),"")</f>
        <v/>
      </c>
      <c r="P112" s="62">
        <f>IFERROR(VLOOKUP(B112,Tableau3[#All],5,FALSE),"Matricule!")</f>
        <v>16</v>
      </c>
      <c r="Q112" s="62">
        <f>IFERROR(SUM(VLOOKUP(B112,Tableau3[#All],6,FALSE),VLOOKUP(B112,Tableau3[#All],8,FALSE)),"Matricule!")</f>
        <v>0</v>
      </c>
      <c r="R112" s="62">
        <f>IFERROR(VLOOKUP(B112,Tableau3[#All],7,FALSE),"Matricule!")</f>
        <v>4</v>
      </c>
      <c r="S112" s="62">
        <f>IFERROR(Tableau242[[#This Row],[Prod. days WK]]-Tableau242[[#This Row],[Prod PXX]],"Matricule")</f>
        <v>0</v>
      </c>
      <c r="T112" s="62">
        <f>IFERROR(Tableau242[[#This Row],[Non prod. days WK]]-Tableau242[[#This Row],[Improd PXX]],"Matricule")</f>
        <v>0</v>
      </c>
      <c r="U112" s="62">
        <f>IFERROR(Tableau242[[#This Row],[Paid leave days WK]]-Tableau242[[#This Row],[Congé PXX]],"Matricule")</f>
        <v>0</v>
      </c>
      <c r="V112" s="63">
        <f>IFERROR(VLOOKUP($B112,#REF!,4,FALSE),0)</f>
        <v>0</v>
      </c>
      <c r="W11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12" s="63">
        <f>IF(AND(Tableau242[[#This Row],[Paid leave days]]&gt;0,Tableau242[[#This Row],[Prod. days]]&lt;0),MIN(Tableau242[[#This Row],[Paid leave days]],-Tableau242[[#This Row],[Prod. days]]),0)</f>
        <v>0</v>
      </c>
      <c r="Z112" s="63">
        <f>IFERROR(_xlfn.XLOOKUP(Tableau242[[#This Row],[Consultant]],Tableau2[Collaborateur/Nom affiché],Tableau2[Montant imputé],0),0)</f>
        <v>0</v>
      </c>
      <c r="AA112" s="64">
        <f t="shared" si="2"/>
        <v>0</v>
      </c>
      <c r="AB112" s="65"/>
      <c r="AC112" s="66"/>
      <c r="AD112" s="66"/>
      <c r="AE112" s="105"/>
      <c r="AF112" s="90"/>
    </row>
    <row r="113" spans="1:32">
      <c r="A113" s="15">
        <f>Tableau242[[#This Row],[Company number]]+0</f>
        <v>12100</v>
      </c>
      <c r="B113" s="60" t="s">
        <v>358</v>
      </c>
      <c r="C113" s="61" t="s">
        <v>26</v>
      </c>
      <c r="D113" s="61" t="s">
        <v>61</v>
      </c>
      <c r="E113" s="62" t="str">
        <f>IFERROR(VLOOKUP(Tableau242[[#This Row],[Manager ou CDM concerné]],Parametres!B:C,2,FALSE),"")</f>
        <v>Squad D</v>
      </c>
      <c r="F113" s="62" t="str">
        <f>IF(Tableau242[[#This Row],[Consultant]]=Tableau242[[#This Row],[Manager ou CDM concerné]],"Non",IF(IFERROR(VLOOKUP(Tableau242[[#This Row],[Consultant]],Parametres!B:C,2,FALSE),0)=0,"Non","Oui"))</f>
        <v>Oui</v>
      </c>
      <c r="G113" s="62">
        <f>IFERROR(VLOOKUP(B113,Tableau5[#All],4,FALSE),"Matricule!")</f>
        <v>17</v>
      </c>
      <c r="H113" s="62" t="str">
        <f>IFERROR(VLOOKUP(Tableau242[[#This Row],[Company number]],#REF!,6,FALSE),"")</f>
        <v/>
      </c>
      <c r="I113" s="62">
        <f>IFERROR(VLOOKUP(B113,Tableau5[#All],5,FALSE),"Matricule!")</f>
        <v>0</v>
      </c>
      <c r="J113" s="62">
        <f>IFERROR(VLOOKUP(B113,Tableau5[#All],6,FALSE),"Matricule!")</f>
        <v>3</v>
      </c>
      <c r="K113" s="62">
        <f>IFERROR(VLOOKUP(B113,Tableau5[#All],7,FALSE),"Matricule!")</f>
        <v>0</v>
      </c>
      <c r="L113" s="62" t="e">
        <f>VLOOKUP(Tableau242[[#This Row],[Company number]],#REF!,25,FALSE)</f>
        <v>#REF!</v>
      </c>
      <c r="M113" s="62" t="str">
        <f>IFERROR(VLOOKUP(Tableau242[[#This Row],[Company number]],#REF!,30,FALSE),"")</f>
        <v/>
      </c>
      <c r="N113" s="62" t="str">
        <f>IFERROR(VLOOKUP(Tableau242[[#This Row],[Company number]],#REF!,31,FALSE),"")</f>
        <v/>
      </c>
      <c r="O113" s="62" t="str">
        <f>IFERROR(VLOOKUP(Tableau242[[#This Row],[Company number]],#REF!,32,FALSE),"")</f>
        <v/>
      </c>
      <c r="P113" s="62">
        <f>IFERROR(VLOOKUP(B113,Tableau3[#All],5,FALSE),"Matricule!")</f>
        <v>17</v>
      </c>
      <c r="Q113" s="62">
        <f>IFERROR(SUM(VLOOKUP(B113,Tableau3[#All],6,FALSE),VLOOKUP(B113,Tableau3[#All],8,FALSE)),"Matricule!")</f>
        <v>0</v>
      </c>
      <c r="R113" s="62">
        <f>IFERROR(VLOOKUP(B113,Tableau3[#All],7,FALSE),"Matricule!")</f>
        <v>3</v>
      </c>
      <c r="S113" s="62">
        <f>IFERROR(Tableau242[[#This Row],[Prod. days WK]]-Tableau242[[#This Row],[Prod PXX]],"Matricule")</f>
        <v>0</v>
      </c>
      <c r="T113" s="62">
        <f>IFERROR(Tableau242[[#This Row],[Non prod. days WK]]-Tableau242[[#This Row],[Improd PXX]],"Matricule")</f>
        <v>0</v>
      </c>
      <c r="U113" s="62">
        <f>IFERROR(Tableau242[[#This Row],[Paid leave days WK]]-Tableau242[[#This Row],[Congé PXX]],"Matricule")</f>
        <v>0</v>
      </c>
      <c r="V113" s="63">
        <f>IFERROR(VLOOKUP($B113,#REF!,4,FALSE),0)</f>
        <v>0</v>
      </c>
      <c r="W11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13" s="63">
        <f>IF(AND(Tableau242[[#This Row],[Paid leave days]]&gt;0,Tableau242[[#This Row],[Prod. days]]&lt;0),MIN(Tableau242[[#This Row],[Paid leave days]],-Tableau242[[#This Row],[Prod. days]]),0)</f>
        <v>0</v>
      </c>
      <c r="Z113" s="63">
        <f>IFERROR(_xlfn.XLOOKUP(Tableau242[[#This Row],[Consultant]],Tableau2[Collaborateur/Nom affiché],Tableau2[Montant imputé],0),0)</f>
        <v>0</v>
      </c>
      <c r="AA113" s="64">
        <f t="shared" si="2"/>
        <v>0</v>
      </c>
      <c r="AB113" s="65"/>
      <c r="AC113" s="67"/>
      <c r="AD113" s="66"/>
      <c r="AE113" s="105"/>
      <c r="AF113" s="93"/>
    </row>
    <row r="114" spans="1:32">
      <c r="A114" s="15">
        <f>Tableau242[[#This Row],[Company number]]+0</f>
        <v>22404</v>
      </c>
      <c r="B114" s="60" t="s">
        <v>359</v>
      </c>
      <c r="C114" s="61" t="s">
        <v>360</v>
      </c>
      <c r="D114" s="61" t="s">
        <v>361</v>
      </c>
      <c r="E114" s="62" t="str">
        <f>IFERROR(VLOOKUP(Tableau242[[#This Row],[Manager ou CDM concerné]],Parametres!B:C,2,FALSE),"")</f>
        <v>Squad C</v>
      </c>
      <c r="F114" s="62" t="str">
        <f>IF(Tableau242[[#This Row],[Consultant]]=Tableau242[[#This Row],[Manager ou CDM concerné]],"Non",IF(IFERROR(VLOOKUP(Tableau242[[#This Row],[Consultant]],Parametres!B:C,2,FALSE),0)=0,"Non","Oui"))</f>
        <v>Non</v>
      </c>
      <c r="G114" s="62">
        <f>IFERROR(VLOOKUP(B114,Tableau5[#All],4,FALSE),"Matricule!")</f>
        <v>15</v>
      </c>
      <c r="H114" s="62" t="str">
        <f>IFERROR(VLOOKUP(Tableau242[[#This Row],[Company number]],#REF!,6,FALSE),"")</f>
        <v/>
      </c>
      <c r="I114" s="62">
        <f>IFERROR(VLOOKUP(B114,Tableau5[#All],5,FALSE),"Matricule!")</f>
        <v>5</v>
      </c>
      <c r="J114" s="62">
        <f>IFERROR(VLOOKUP(B114,Tableau5[#All],6,FALSE),"Matricule!")</f>
        <v>0</v>
      </c>
      <c r="K114" s="62">
        <f>IFERROR(VLOOKUP(B114,Tableau5[#All],7,FALSE),"Matricule!")</f>
        <v>0</v>
      </c>
      <c r="L114" s="62" t="e">
        <f>VLOOKUP(Tableau242[[#This Row],[Company number]],#REF!,25,FALSE)</f>
        <v>#REF!</v>
      </c>
      <c r="M114" s="62" t="str">
        <f>IFERROR(VLOOKUP(Tableau242[[#This Row],[Company number]],#REF!,30,FALSE),"")</f>
        <v/>
      </c>
      <c r="N114" s="62" t="str">
        <f>IFERROR(VLOOKUP(Tableau242[[#This Row],[Company number]],#REF!,31,FALSE),"")</f>
        <v/>
      </c>
      <c r="O114" s="62" t="str">
        <f>IFERROR(VLOOKUP(Tableau242[[#This Row],[Company number]],#REF!,32,FALSE),"")</f>
        <v/>
      </c>
      <c r="P114" s="62">
        <f>IFERROR(VLOOKUP(B114,Tableau3[#All],5,FALSE),"Matricule!")</f>
        <v>20</v>
      </c>
      <c r="Q114" s="62">
        <f>IFERROR(SUM(VLOOKUP(B114,Tableau3[#All],6,FALSE),VLOOKUP(B114,Tableau3[#All],8,FALSE)),"Matricule!")</f>
        <v>0</v>
      </c>
      <c r="R114" s="62">
        <f>IFERROR(VLOOKUP(B114,Tableau3[#All],7,FALSE),"Matricule!")</f>
        <v>0</v>
      </c>
      <c r="S114" s="62">
        <f>IFERROR(Tableau242[[#This Row],[Prod. days WK]]-Tableau242[[#This Row],[Prod PXX]],"Matricule")</f>
        <v>-5</v>
      </c>
      <c r="T114" s="62">
        <f>IFERROR(Tableau242[[#This Row],[Non prod. days WK]]-Tableau242[[#This Row],[Improd PXX]],"Matricule")</f>
        <v>5</v>
      </c>
      <c r="U114" s="62">
        <f>IFERROR(Tableau242[[#This Row],[Paid leave days WK]]-Tableau242[[#This Row],[Congé PXX]],"Matricule")</f>
        <v>0</v>
      </c>
      <c r="V114" s="63">
        <f>IFERROR(VLOOKUP($B114,#REF!,4,FALSE),0)</f>
        <v>0</v>
      </c>
      <c r="W11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14" s="63">
        <f>IF(AND(Tableau242[[#This Row],[Paid leave days]]&gt;0,Tableau242[[#This Row],[Prod. days]]&lt;0),MIN(Tableau242[[#This Row],[Paid leave days]],-Tableau242[[#This Row],[Prod. days]]),0)</f>
        <v>0</v>
      </c>
      <c r="Z114" s="63">
        <f>IFERROR(_xlfn.XLOOKUP(Tableau242[[#This Row],[Consultant]],Tableau2[Collaborateur/Nom affiché],Tableau2[Montant imputé],0),0)</f>
        <v>0</v>
      </c>
      <c r="AA114" s="64">
        <f t="shared" si="2"/>
        <v>-5</v>
      </c>
      <c r="AB114" s="65" t="s">
        <v>154</v>
      </c>
      <c r="AC114" s="66"/>
      <c r="AD114" s="66"/>
      <c r="AE114" s="39"/>
      <c r="AF114" s="90"/>
    </row>
    <row r="115" spans="1:32">
      <c r="A115" s="15">
        <f>Tableau242[[#This Row],[Company number]]+0</f>
        <v>16510</v>
      </c>
      <c r="B115" s="60" t="s">
        <v>362</v>
      </c>
      <c r="C115" s="61" t="s">
        <v>363</v>
      </c>
      <c r="D115" s="61" t="s">
        <v>67</v>
      </c>
      <c r="E115" s="62" t="str">
        <f>IFERROR(VLOOKUP(Tableau242[[#This Row],[Manager ou CDM concerné]],Parametres!B:C,2,FALSE),"")</f>
        <v>Squad C</v>
      </c>
      <c r="F115" s="62" t="str">
        <f>IF(Tableau242[[#This Row],[Consultant]]=Tableau242[[#This Row],[Manager ou CDM concerné]],"Non",IF(IFERROR(VLOOKUP(Tableau242[[#This Row],[Consultant]],Parametres!B:C,2,FALSE),0)=0,"Non","Oui"))</f>
        <v>Non</v>
      </c>
      <c r="G115" s="62">
        <f>IFERROR(VLOOKUP(B115,Tableau5[#All],4,FALSE),"Matricule!")</f>
        <v>10</v>
      </c>
      <c r="H115" s="62" t="str">
        <f>IFERROR(VLOOKUP(Tableau242[[#This Row],[Company number]],#REF!,6,FALSE),"")</f>
        <v/>
      </c>
      <c r="I115" s="62">
        <f>IFERROR(VLOOKUP(B115,Tableau5[#All],5,FALSE),"Matricule!")</f>
        <v>8</v>
      </c>
      <c r="J115" s="62">
        <f>IFERROR(VLOOKUP(B115,Tableau5[#All],6,FALSE),"Matricule!")</f>
        <v>2</v>
      </c>
      <c r="K115" s="62">
        <f>IFERROR(VLOOKUP(B115,Tableau5[#All],7,FALSE),"Matricule!")</f>
        <v>0</v>
      </c>
      <c r="L115" s="62" t="e">
        <f>VLOOKUP(Tableau242[[#This Row],[Company number]],#REF!,25,FALSE)</f>
        <v>#REF!</v>
      </c>
      <c r="M115" s="62" t="str">
        <f>IFERROR(VLOOKUP(Tableau242[[#This Row],[Company number]],#REF!,30,FALSE),"")</f>
        <v/>
      </c>
      <c r="N115" s="62" t="str">
        <f>IFERROR(VLOOKUP(Tableau242[[#This Row],[Company number]],#REF!,31,FALSE),"")</f>
        <v/>
      </c>
      <c r="O115" s="62" t="str">
        <f>IFERROR(VLOOKUP(Tableau242[[#This Row],[Company number]],#REF!,32,FALSE),"")</f>
        <v/>
      </c>
      <c r="P115" s="62">
        <f>IFERROR(VLOOKUP(B115,Tableau3[#All],5,FALSE),"Matricule!")</f>
        <v>9</v>
      </c>
      <c r="Q115" s="62">
        <f>IFERROR(SUM(VLOOKUP(B115,Tableau3[#All],6,FALSE),VLOOKUP(B115,Tableau3[#All],8,FALSE)),"Matricule!")</f>
        <v>9</v>
      </c>
      <c r="R115" s="62">
        <f>IFERROR(VLOOKUP(B115,Tableau3[#All],7,FALSE),"Matricule!")</f>
        <v>2</v>
      </c>
      <c r="S115" s="62">
        <f>IFERROR(Tableau242[[#This Row],[Prod. days WK]]-Tableau242[[#This Row],[Prod PXX]],"Matricule")</f>
        <v>1</v>
      </c>
      <c r="T115" s="62">
        <f>IFERROR(Tableau242[[#This Row],[Non prod. days WK]]-Tableau242[[#This Row],[Improd PXX]],"Matricule")</f>
        <v>-1</v>
      </c>
      <c r="U115" s="62">
        <f>IFERROR(Tableau242[[#This Row],[Paid leave days WK]]-Tableau242[[#This Row],[Congé PXX]],"Matricule")</f>
        <v>0</v>
      </c>
      <c r="V115" s="63">
        <f>IFERROR(VLOOKUP($B115,#REF!,4,FALSE),0)</f>
        <v>0</v>
      </c>
      <c r="W11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15" s="63">
        <f>IF(AND(Tableau242[[#This Row],[Paid leave days]]&gt;0,Tableau242[[#This Row],[Prod. days]]&lt;0),MIN(Tableau242[[#This Row],[Paid leave days]],-Tableau242[[#This Row],[Prod. days]]),0)</f>
        <v>0</v>
      </c>
      <c r="Z115" s="63">
        <f>IFERROR(_xlfn.XLOOKUP(Tableau242[[#This Row],[Consultant]],Tableau2[Collaborateur/Nom affiché],Tableau2[Montant imputé],0),0)</f>
        <v>0</v>
      </c>
      <c r="AA115" s="64">
        <f t="shared" si="2"/>
        <v>1</v>
      </c>
      <c r="AB115" s="65" t="s">
        <v>165</v>
      </c>
      <c r="AC115" s="66"/>
      <c r="AD115" s="66"/>
      <c r="AE115" s="105"/>
      <c r="AF115" s="90"/>
    </row>
    <row r="116" spans="1:32">
      <c r="A116" s="15">
        <f>Tableau242[[#This Row],[Company number]]+0</f>
        <v>14550</v>
      </c>
      <c r="B116" s="60" t="s">
        <v>364</v>
      </c>
      <c r="C116" s="61" t="s">
        <v>365</v>
      </c>
      <c r="D116" s="61" t="s">
        <v>67</v>
      </c>
      <c r="E116" s="62" t="str">
        <f>IFERROR(VLOOKUP(Tableau242[[#This Row],[Manager ou CDM concerné]],Parametres!B:C,2,FALSE),"")</f>
        <v>Squad C</v>
      </c>
      <c r="F116" s="62" t="str">
        <f>IF(Tableau242[[#This Row],[Consultant]]=Tableau242[[#This Row],[Manager ou CDM concerné]],"Non",IF(IFERROR(VLOOKUP(Tableau242[[#This Row],[Consultant]],Parametres!B:C,2,FALSE),0)=0,"Non","Oui"))</f>
        <v>Non</v>
      </c>
      <c r="G116" s="62">
        <f>IFERROR(VLOOKUP(B116,Tableau5[#All],4,FALSE),"Matricule!")</f>
        <v>20</v>
      </c>
      <c r="H116" s="62" t="str">
        <f>IFERROR(VLOOKUP(Tableau242[[#This Row],[Company number]],#REF!,6,FALSE),"")</f>
        <v/>
      </c>
      <c r="I116" s="62">
        <f>IFERROR(VLOOKUP(B116,Tableau5[#All],5,FALSE),"Matricule!")</f>
        <v>0</v>
      </c>
      <c r="J116" s="62">
        <f>IFERROR(VLOOKUP(B116,Tableau5[#All],6,FALSE),"Matricule!")</f>
        <v>0</v>
      </c>
      <c r="K116" s="62">
        <f>IFERROR(VLOOKUP(B116,Tableau5[#All],7,FALSE),"Matricule!")</f>
        <v>0</v>
      </c>
      <c r="L116" s="62" t="e">
        <f>VLOOKUP(Tableau242[[#This Row],[Company number]],#REF!,25,FALSE)</f>
        <v>#REF!</v>
      </c>
      <c r="M116" s="62" t="str">
        <f>IFERROR(VLOOKUP(Tableau242[[#This Row],[Company number]],#REF!,30,FALSE),"")</f>
        <v/>
      </c>
      <c r="N116" s="62" t="str">
        <f>IFERROR(VLOOKUP(Tableau242[[#This Row],[Company number]],#REF!,31,FALSE),"")</f>
        <v/>
      </c>
      <c r="O116" s="62" t="str">
        <f>IFERROR(VLOOKUP(Tableau242[[#This Row],[Company number]],#REF!,32,FALSE),"")</f>
        <v/>
      </c>
      <c r="P116" s="62">
        <f>IFERROR(VLOOKUP(B116,Tableau3[#All],5,FALSE),"Matricule!")</f>
        <v>20</v>
      </c>
      <c r="Q116" s="62">
        <f>IFERROR(SUM(VLOOKUP(B116,Tableau3[#All],6,FALSE),VLOOKUP(B116,Tableau3[#All],8,FALSE)),"Matricule!")</f>
        <v>0</v>
      </c>
      <c r="R116" s="62">
        <f>IFERROR(VLOOKUP(B116,Tableau3[#All],7,FALSE),"Matricule!")</f>
        <v>0</v>
      </c>
      <c r="S116" s="62">
        <f>IFERROR(Tableau242[[#This Row],[Prod. days WK]]-Tableau242[[#This Row],[Prod PXX]],"Matricule")</f>
        <v>0</v>
      </c>
      <c r="T116" s="62">
        <f>IFERROR(Tableau242[[#This Row],[Non prod. days WK]]-Tableau242[[#This Row],[Improd PXX]],"Matricule")</f>
        <v>0</v>
      </c>
      <c r="U116" s="62">
        <f>IFERROR(Tableau242[[#This Row],[Paid leave days WK]]-Tableau242[[#This Row],[Congé PXX]],"Matricule")</f>
        <v>0</v>
      </c>
      <c r="V116" s="63">
        <f>IFERROR(VLOOKUP($B116,#REF!,4,FALSE),0)</f>
        <v>0</v>
      </c>
      <c r="W11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16" s="63">
        <f>IF(AND(Tableau242[[#This Row],[Paid leave days]]&gt;0,Tableau242[[#This Row],[Prod. days]]&lt;0),MIN(Tableau242[[#This Row],[Paid leave days]],-Tableau242[[#This Row],[Prod. days]]),0)</f>
        <v>0</v>
      </c>
      <c r="Z116" s="63">
        <f>IFERROR(_xlfn.XLOOKUP(Tableau242[[#This Row],[Consultant]],Tableau2[Collaborateur/Nom affiché],Tableau2[Montant imputé],0),0)</f>
        <v>0</v>
      </c>
      <c r="AA116" s="64">
        <f t="shared" si="2"/>
        <v>0</v>
      </c>
      <c r="AB116" s="65"/>
      <c r="AC116" s="67"/>
      <c r="AD116" s="66"/>
      <c r="AE116" s="39"/>
      <c r="AF116" s="93"/>
    </row>
    <row r="117" spans="1:32">
      <c r="A117" s="15">
        <f>Tableau242[[#This Row],[Company number]]+0</f>
        <v>16416</v>
      </c>
      <c r="B117" s="60" t="s">
        <v>366</v>
      </c>
      <c r="C117" s="61" t="s">
        <v>367</v>
      </c>
      <c r="D117" s="61" t="s">
        <v>67</v>
      </c>
      <c r="E117" s="62" t="str">
        <f>IFERROR(VLOOKUP(Tableau242[[#This Row],[Manager ou CDM concerné]],Parametres!B:C,2,FALSE),"")</f>
        <v>Squad C</v>
      </c>
      <c r="F117" s="62" t="str">
        <f>IF(Tableau242[[#This Row],[Consultant]]=Tableau242[[#This Row],[Manager ou CDM concerné]],"Non",IF(IFERROR(VLOOKUP(Tableau242[[#This Row],[Consultant]],Parametres!B:C,2,FALSE),0)=0,"Non","Oui"))</f>
        <v>Non</v>
      </c>
      <c r="G117" s="62">
        <f>IFERROR(VLOOKUP(B117,Tableau5[#All],4,FALSE),"Matricule!")</f>
        <v>19</v>
      </c>
      <c r="H117" s="62" t="str">
        <f>IFERROR(VLOOKUP(Tableau242[[#This Row],[Company number]],#REF!,6,FALSE),"")</f>
        <v/>
      </c>
      <c r="I117" s="62">
        <f>IFERROR(VLOOKUP(B117,Tableau5[#All],5,FALSE),"Matricule!")</f>
        <v>0</v>
      </c>
      <c r="J117" s="62">
        <f>IFERROR(VLOOKUP(B117,Tableau5[#All],6,FALSE),"Matricule!")</f>
        <v>1</v>
      </c>
      <c r="K117" s="62">
        <f>IFERROR(VLOOKUP(B117,Tableau5[#All],7,FALSE),"Matricule!")</f>
        <v>0</v>
      </c>
      <c r="L117" s="62" t="e">
        <f>VLOOKUP(Tableau242[[#This Row],[Company number]],#REF!,25,FALSE)</f>
        <v>#REF!</v>
      </c>
      <c r="M117" s="62" t="str">
        <f>IFERROR(VLOOKUP(Tableau242[[#This Row],[Company number]],#REF!,30,FALSE),"")</f>
        <v/>
      </c>
      <c r="N117" s="62" t="str">
        <f>IFERROR(VLOOKUP(Tableau242[[#This Row],[Company number]],#REF!,31,FALSE),"")</f>
        <v/>
      </c>
      <c r="O117" s="62" t="str">
        <f>IFERROR(VLOOKUP(Tableau242[[#This Row],[Company number]],#REF!,32,FALSE),"")</f>
        <v/>
      </c>
      <c r="P117" s="62">
        <f>IFERROR(VLOOKUP(B117,Tableau3[#All],5,FALSE),"Matricule!")</f>
        <v>19</v>
      </c>
      <c r="Q117" s="62">
        <f>IFERROR(SUM(VLOOKUP(B117,Tableau3[#All],6,FALSE),VLOOKUP(B117,Tableau3[#All],8,FALSE)),"Matricule!")</f>
        <v>0</v>
      </c>
      <c r="R117" s="62">
        <f>IFERROR(VLOOKUP(B117,Tableau3[#All],7,FALSE),"Matricule!")</f>
        <v>1</v>
      </c>
      <c r="S117" s="62">
        <f>IFERROR(Tableau242[[#This Row],[Prod. days WK]]-Tableau242[[#This Row],[Prod PXX]],"Matricule")</f>
        <v>0</v>
      </c>
      <c r="T117" s="62">
        <f>IFERROR(Tableau242[[#This Row],[Non prod. days WK]]-Tableau242[[#This Row],[Improd PXX]],"Matricule")</f>
        <v>0</v>
      </c>
      <c r="U117" s="62">
        <f>IFERROR(Tableau242[[#This Row],[Paid leave days WK]]-Tableau242[[#This Row],[Congé PXX]],"Matricule")</f>
        <v>0</v>
      </c>
      <c r="V117" s="63">
        <f>IFERROR(VLOOKUP($B117,#REF!,4,FALSE),0)</f>
        <v>0</v>
      </c>
      <c r="W11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17" s="63">
        <f>IF(AND(Tableau242[[#This Row],[Paid leave days]]&gt;0,Tableau242[[#This Row],[Prod. days]]&lt;0),MIN(Tableau242[[#This Row],[Paid leave days]],-Tableau242[[#This Row],[Prod. days]]),0)</f>
        <v>0</v>
      </c>
      <c r="Z117" s="63">
        <f>IFERROR(_xlfn.XLOOKUP(Tableau242[[#This Row],[Consultant]],Tableau2[Collaborateur/Nom affiché],Tableau2[Montant imputé],0),0)</f>
        <v>0</v>
      </c>
      <c r="AA117" s="64">
        <f t="shared" si="2"/>
        <v>0</v>
      </c>
      <c r="AB117" s="65"/>
      <c r="AC117" s="66"/>
      <c r="AD117" s="66"/>
      <c r="AE117" s="105"/>
      <c r="AF117" s="90"/>
    </row>
    <row r="118" spans="1:32">
      <c r="A118" s="15">
        <f>Tableau242[[#This Row],[Company number]]+0</f>
        <v>15040</v>
      </c>
      <c r="B118" s="60" t="s">
        <v>368</v>
      </c>
      <c r="C118" s="61" t="s">
        <v>369</v>
      </c>
      <c r="D118" s="61" t="s">
        <v>67</v>
      </c>
      <c r="E118" s="62" t="str">
        <f>IFERROR(VLOOKUP(Tableau242[[#This Row],[Manager ou CDM concerné]],Parametres!B:C,2,FALSE),"")</f>
        <v>Squad C</v>
      </c>
      <c r="F118" s="62" t="str">
        <f>IF(Tableau242[[#This Row],[Consultant]]=Tableau242[[#This Row],[Manager ou CDM concerné]],"Non",IF(IFERROR(VLOOKUP(Tableau242[[#This Row],[Consultant]],Parametres!B:C,2,FALSE),0)=0,"Non","Oui"))</f>
        <v>Non</v>
      </c>
      <c r="G118" s="62">
        <f>IFERROR(VLOOKUP(B118,Tableau5[#All],4,FALSE),"Matricule!")</f>
        <v>18</v>
      </c>
      <c r="H118" s="62" t="str">
        <f>IFERROR(VLOOKUP(Tableau242[[#This Row],[Company number]],#REF!,6,FALSE),"")</f>
        <v/>
      </c>
      <c r="I118" s="62">
        <f>IFERROR(VLOOKUP(B118,Tableau5[#All],5,FALSE),"Matricule!")</f>
        <v>0</v>
      </c>
      <c r="J118" s="62">
        <f>IFERROR(VLOOKUP(B118,Tableau5[#All],6,FALSE),"Matricule!")</f>
        <v>2</v>
      </c>
      <c r="K118" s="62">
        <f>IFERROR(VLOOKUP(B118,Tableau5[#All],7,FALSE),"Matricule!")</f>
        <v>0</v>
      </c>
      <c r="L118" s="62" t="e">
        <f>VLOOKUP(Tableau242[[#This Row],[Company number]],#REF!,25,FALSE)</f>
        <v>#REF!</v>
      </c>
      <c r="M118" s="62" t="str">
        <f>IFERROR(VLOOKUP(Tableau242[[#This Row],[Company number]],#REF!,30,FALSE),"")</f>
        <v/>
      </c>
      <c r="N118" s="62" t="str">
        <f>IFERROR(VLOOKUP(Tableau242[[#This Row],[Company number]],#REF!,31,FALSE),"")</f>
        <v/>
      </c>
      <c r="O118" s="62" t="str">
        <f>IFERROR(VLOOKUP(Tableau242[[#This Row],[Company number]],#REF!,32,FALSE),"")</f>
        <v/>
      </c>
      <c r="P118" s="62">
        <f>IFERROR(VLOOKUP(B118,Tableau3[#All],5,FALSE),"Matricule!")</f>
        <v>18</v>
      </c>
      <c r="Q118" s="62">
        <f>IFERROR(SUM(VLOOKUP(B118,Tableau3[#All],6,FALSE),VLOOKUP(B118,Tableau3[#All],8,FALSE)),"Matricule!")</f>
        <v>0</v>
      </c>
      <c r="R118" s="62">
        <f>IFERROR(VLOOKUP(B118,Tableau3[#All],7,FALSE),"Matricule!")</f>
        <v>2</v>
      </c>
      <c r="S118" s="62">
        <f>IFERROR(Tableau242[[#This Row],[Prod. days WK]]-Tableau242[[#This Row],[Prod PXX]],"Matricule")</f>
        <v>0</v>
      </c>
      <c r="T118" s="62">
        <f>IFERROR(Tableau242[[#This Row],[Non prod. days WK]]-Tableau242[[#This Row],[Improd PXX]],"Matricule")</f>
        <v>0</v>
      </c>
      <c r="U118" s="62">
        <f>IFERROR(Tableau242[[#This Row],[Paid leave days WK]]-Tableau242[[#This Row],[Congé PXX]],"Matricule")</f>
        <v>0</v>
      </c>
      <c r="V118" s="63">
        <f>IFERROR(VLOOKUP($B118,#REF!,4,FALSE),0)</f>
        <v>0</v>
      </c>
      <c r="W11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18" s="63">
        <f>IF(AND(Tableau242[[#This Row],[Paid leave days]]&gt;0,Tableau242[[#This Row],[Prod. days]]&lt;0),MIN(Tableau242[[#This Row],[Paid leave days]],-Tableau242[[#This Row],[Prod. days]]),0)</f>
        <v>0</v>
      </c>
      <c r="Z118" s="63">
        <f>IFERROR(_xlfn.XLOOKUP(Tableau242[[#This Row],[Consultant]],Tableau2[Collaborateur/Nom affiché],Tableau2[Montant imputé],0),0)</f>
        <v>0</v>
      </c>
      <c r="AA118" s="64">
        <f t="shared" si="2"/>
        <v>0</v>
      </c>
      <c r="AB118" s="65"/>
      <c r="AC118" s="66"/>
      <c r="AD118" s="66"/>
      <c r="AE118" s="105"/>
      <c r="AF118" s="90"/>
    </row>
    <row r="119" spans="1:32">
      <c r="A119" s="15">
        <f>Tableau242[[#This Row],[Company number]]+0</f>
        <v>16367</v>
      </c>
      <c r="B119" s="60" t="s">
        <v>370</v>
      </c>
      <c r="C119" s="61" t="s">
        <v>371</v>
      </c>
      <c r="D119" s="61" t="s">
        <v>67</v>
      </c>
      <c r="E119" s="62" t="str">
        <f>IFERROR(VLOOKUP(Tableau242[[#This Row],[Manager ou CDM concerné]],Parametres!B:C,2,FALSE),"")</f>
        <v>Squad C</v>
      </c>
      <c r="F119" s="62" t="str">
        <f>IF(Tableau242[[#This Row],[Consultant]]=Tableau242[[#This Row],[Manager ou CDM concerné]],"Non",IF(IFERROR(VLOOKUP(Tableau242[[#This Row],[Consultant]],Parametres!B:C,2,FALSE),0)=0,"Non","Oui"))</f>
        <v>Non</v>
      </c>
      <c r="G119" s="62">
        <f>IFERROR(VLOOKUP(B119,Tableau5[#All],4,FALSE),"Matricule!")</f>
        <v>19</v>
      </c>
      <c r="H119" s="62" t="str">
        <f>IFERROR(VLOOKUP(Tableau242[[#This Row],[Company number]],#REF!,6,FALSE),"")</f>
        <v/>
      </c>
      <c r="I119" s="62">
        <f>IFERROR(VLOOKUP(B119,Tableau5[#All],5,FALSE),"Matricule!")</f>
        <v>0</v>
      </c>
      <c r="J119" s="62">
        <f>IFERROR(VLOOKUP(B119,Tableau5[#All],6,FALSE),"Matricule!")</f>
        <v>1</v>
      </c>
      <c r="K119" s="62">
        <f>IFERROR(VLOOKUP(B119,Tableau5[#All],7,FALSE),"Matricule!")</f>
        <v>0</v>
      </c>
      <c r="L119" s="62" t="e">
        <f>VLOOKUP(Tableau242[[#This Row],[Company number]],#REF!,25,FALSE)</f>
        <v>#REF!</v>
      </c>
      <c r="M119" s="62" t="str">
        <f>IFERROR(VLOOKUP(Tableau242[[#This Row],[Company number]],#REF!,30,FALSE),"")</f>
        <v/>
      </c>
      <c r="N119" s="62" t="str">
        <f>IFERROR(VLOOKUP(Tableau242[[#This Row],[Company number]],#REF!,31,FALSE),"")</f>
        <v/>
      </c>
      <c r="O119" s="62" t="str">
        <f>IFERROR(VLOOKUP(Tableau242[[#This Row],[Company number]],#REF!,32,FALSE),"")</f>
        <v/>
      </c>
      <c r="P119" s="62">
        <f>IFERROR(VLOOKUP(B119,Tableau3[#All],5,FALSE),"Matricule!")</f>
        <v>19</v>
      </c>
      <c r="Q119" s="62">
        <f>IFERROR(SUM(VLOOKUP(B119,Tableau3[#All],6,FALSE),VLOOKUP(B119,Tableau3[#All],8,FALSE)),"Matricule!")</f>
        <v>0</v>
      </c>
      <c r="R119" s="62">
        <f>IFERROR(VLOOKUP(B119,Tableau3[#All],7,FALSE),"Matricule!")</f>
        <v>1</v>
      </c>
      <c r="S119" s="62">
        <f>IFERROR(Tableau242[[#This Row],[Prod. days WK]]-Tableau242[[#This Row],[Prod PXX]],"Matricule")</f>
        <v>0</v>
      </c>
      <c r="T119" s="62">
        <f>IFERROR(Tableau242[[#This Row],[Non prod. days WK]]-Tableau242[[#This Row],[Improd PXX]],"Matricule")</f>
        <v>0</v>
      </c>
      <c r="U119" s="62">
        <f>IFERROR(Tableau242[[#This Row],[Paid leave days WK]]-Tableau242[[#This Row],[Congé PXX]],"Matricule")</f>
        <v>0</v>
      </c>
      <c r="V119" s="63">
        <f>IFERROR(VLOOKUP($B119,#REF!,4,FALSE),0)</f>
        <v>0</v>
      </c>
      <c r="W11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1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19" s="63">
        <f>IF(AND(Tableau242[[#This Row],[Paid leave days]]&gt;0,Tableau242[[#This Row],[Prod. days]]&lt;0),MIN(Tableau242[[#This Row],[Paid leave days]],-Tableau242[[#This Row],[Prod. days]]),0)</f>
        <v>0</v>
      </c>
      <c r="Z119" s="63">
        <f>IFERROR(_xlfn.XLOOKUP(Tableau242[[#This Row],[Consultant]],Tableau2[Collaborateur/Nom affiché],Tableau2[Montant imputé],0),0)</f>
        <v>0</v>
      </c>
      <c r="AA119" s="64">
        <f t="shared" si="2"/>
        <v>0</v>
      </c>
      <c r="AB119" s="65"/>
      <c r="AC119" s="66"/>
      <c r="AD119" s="66"/>
      <c r="AE119" s="115"/>
      <c r="AF119" s="90"/>
    </row>
    <row r="120" spans="1:32">
      <c r="A120" s="15">
        <f>Tableau242[[#This Row],[Company number]]+0</f>
        <v>20604</v>
      </c>
      <c r="B120" s="60" t="s">
        <v>372</v>
      </c>
      <c r="C120" s="61" t="s">
        <v>373</v>
      </c>
      <c r="D120" s="61" t="s">
        <v>37</v>
      </c>
      <c r="E120" s="62" t="str">
        <f>IFERROR(VLOOKUP(Tableau242[[#This Row],[Manager ou CDM concerné]],Parametres!B:C,2,FALSE),"")</f>
        <v>Squad H</v>
      </c>
      <c r="F120" s="62" t="str">
        <f>IF(Tableau242[[#This Row],[Consultant]]=Tableau242[[#This Row],[Manager ou CDM concerné]],"Non",IF(IFERROR(VLOOKUP(Tableau242[[#This Row],[Consultant]],Parametres!B:C,2,FALSE),0)=0,"Non","Oui"))</f>
        <v>Non</v>
      </c>
      <c r="G120" s="62">
        <f>IFERROR(VLOOKUP(B120,Tableau5[#All],4,FALSE),"Matricule!")</f>
        <v>7.5</v>
      </c>
      <c r="H120" s="62" t="str">
        <f>IFERROR(VLOOKUP(Tableau242[[#This Row],[Company number]],#REF!,6,FALSE),"")</f>
        <v/>
      </c>
      <c r="I120" s="62">
        <f>IFERROR(VLOOKUP(B120,Tableau5[#All],5,FALSE),"Matricule!")</f>
        <v>7.5</v>
      </c>
      <c r="J120" s="62">
        <f>IFERROR(VLOOKUP(B120,Tableau5[#All],6,FALSE),"Matricule!")</f>
        <v>5</v>
      </c>
      <c r="K120" s="62">
        <f>IFERROR(VLOOKUP(B120,Tableau5[#All],7,FALSE),"Matricule!")</f>
        <v>0</v>
      </c>
      <c r="L120" s="62" t="e">
        <f>VLOOKUP(Tableau242[[#This Row],[Company number]],#REF!,25,FALSE)</f>
        <v>#REF!</v>
      </c>
      <c r="M120" s="62" t="str">
        <f>IFERROR(VLOOKUP(Tableau242[[#This Row],[Company number]],#REF!,30,FALSE),"")</f>
        <v/>
      </c>
      <c r="N120" s="62" t="str">
        <f>IFERROR(VLOOKUP(Tableau242[[#This Row],[Company number]],#REF!,31,FALSE),"")</f>
        <v/>
      </c>
      <c r="O120" s="62" t="str">
        <f>IFERROR(VLOOKUP(Tableau242[[#This Row],[Company number]],#REF!,32,FALSE),"")</f>
        <v/>
      </c>
      <c r="P120" s="62">
        <f>IFERROR(VLOOKUP(B120,Tableau3[#All],5,FALSE),"Matricule!")</f>
        <v>12.5</v>
      </c>
      <c r="Q120" s="62">
        <f>IFERROR(SUM(VLOOKUP(B120,Tableau3[#All],6,FALSE),VLOOKUP(B120,Tableau3[#All],8,FALSE)),"Matricule!")</f>
        <v>2.5</v>
      </c>
      <c r="R120" s="62">
        <f>IFERROR(VLOOKUP(B120,Tableau3[#All],7,FALSE),"Matricule!")</f>
        <v>5</v>
      </c>
      <c r="S120" s="62">
        <f>IFERROR(Tableau242[[#This Row],[Prod. days WK]]-Tableau242[[#This Row],[Prod PXX]],"Matricule")</f>
        <v>-5</v>
      </c>
      <c r="T120" s="62">
        <f>IFERROR(Tableau242[[#This Row],[Non prod. days WK]]-Tableau242[[#This Row],[Improd PXX]],"Matricule")</f>
        <v>5</v>
      </c>
      <c r="U120" s="62">
        <f>IFERROR(Tableau242[[#This Row],[Paid leave days WK]]-Tableau242[[#This Row],[Congé PXX]],"Matricule")</f>
        <v>0</v>
      </c>
      <c r="V120" s="63">
        <f>IFERROR(VLOOKUP($B120,#REF!,4,FALSE),0)</f>
        <v>0</v>
      </c>
      <c r="W12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20" s="63">
        <f>IF(AND(Tableau242[[#This Row],[Paid leave days]]&gt;0,Tableau242[[#This Row],[Prod. days]]&lt;0),MIN(Tableau242[[#This Row],[Paid leave days]],-Tableau242[[#This Row],[Prod. days]]),0)</f>
        <v>0</v>
      </c>
      <c r="Z120" s="63">
        <f>IFERROR(_xlfn.XLOOKUP(Tableau242[[#This Row],[Consultant]],Tableau2[Collaborateur/Nom affiché],Tableau2[Montant imputé],0),0)</f>
        <v>0</v>
      </c>
      <c r="AA120" s="64">
        <f t="shared" si="2"/>
        <v>-5</v>
      </c>
      <c r="AB120" s="86" t="s">
        <v>147</v>
      </c>
      <c r="AC120" s="67"/>
      <c r="AD120" s="67"/>
      <c r="AE120" s="106"/>
      <c r="AF120" s="92"/>
    </row>
    <row r="121" spans="1:32">
      <c r="A121" s="15">
        <f>Tableau242[[#This Row],[Company number]]+0</f>
        <v>14906</v>
      </c>
      <c r="B121" s="60" t="s">
        <v>374</v>
      </c>
      <c r="C121" s="61" t="s">
        <v>375</v>
      </c>
      <c r="D121" s="61" t="s">
        <v>67</v>
      </c>
      <c r="E121" s="62" t="str">
        <f>IFERROR(VLOOKUP(Tableau242[[#This Row],[Manager ou CDM concerné]],Parametres!B:C,2,FALSE),"")</f>
        <v>Squad C</v>
      </c>
      <c r="F121" s="62" t="str">
        <f>IF(Tableau242[[#This Row],[Consultant]]=Tableau242[[#This Row],[Manager ou CDM concerné]],"Non",IF(IFERROR(VLOOKUP(Tableau242[[#This Row],[Consultant]],Parametres!B:C,2,FALSE),0)=0,"Non","Oui"))</f>
        <v>Non</v>
      </c>
      <c r="G121" s="62">
        <f>IFERROR(VLOOKUP(B121,Tableau5[#All],4,FALSE),"Matricule!")</f>
        <v>18</v>
      </c>
      <c r="H121" s="62" t="str">
        <f>IFERROR(VLOOKUP(Tableau242[[#This Row],[Company number]],#REF!,6,FALSE),"")</f>
        <v/>
      </c>
      <c r="I121" s="62">
        <f>IFERROR(VLOOKUP(B121,Tableau5[#All],5,FALSE),"Matricule!")</f>
        <v>0</v>
      </c>
      <c r="J121" s="62">
        <f>IFERROR(VLOOKUP(B121,Tableau5[#All],6,FALSE),"Matricule!")</f>
        <v>2</v>
      </c>
      <c r="K121" s="62">
        <f>IFERROR(VLOOKUP(B121,Tableau5[#All],7,FALSE),"Matricule!")</f>
        <v>0</v>
      </c>
      <c r="L121" s="62" t="e">
        <f>VLOOKUP(Tableau242[[#This Row],[Company number]],#REF!,25,FALSE)</f>
        <v>#REF!</v>
      </c>
      <c r="M121" s="62" t="str">
        <f>IFERROR(VLOOKUP(Tableau242[[#This Row],[Company number]],#REF!,30,FALSE),"")</f>
        <v/>
      </c>
      <c r="N121" s="62" t="str">
        <f>IFERROR(VLOOKUP(Tableau242[[#This Row],[Company number]],#REF!,31,FALSE),"")</f>
        <v/>
      </c>
      <c r="O121" s="62" t="str">
        <f>IFERROR(VLOOKUP(Tableau242[[#This Row],[Company number]],#REF!,32,FALSE),"")</f>
        <v/>
      </c>
      <c r="P121" s="62">
        <f>IFERROR(VLOOKUP(B121,Tableau3[#All],5,FALSE),"Matricule!")</f>
        <v>18</v>
      </c>
      <c r="Q121" s="62">
        <f>IFERROR(SUM(VLOOKUP(B121,Tableau3[#All],6,FALSE),VLOOKUP(B121,Tableau3[#All],8,FALSE)),"Matricule!")</f>
        <v>0</v>
      </c>
      <c r="R121" s="62">
        <f>IFERROR(VLOOKUP(B121,Tableau3[#All],7,FALSE),"Matricule!")</f>
        <v>2</v>
      </c>
      <c r="S121" s="62">
        <f>IFERROR(Tableau242[[#This Row],[Prod. days WK]]-Tableau242[[#This Row],[Prod PXX]],"Matricule")</f>
        <v>0</v>
      </c>
      <c r="T121" s="62">
        <f>IFERROR(Tableau242[[#This Row],[Non prod. days WK]]-Tableau242[[#This Row],[Improd PXX]],"Matricule")</f>
        <v>0</v>
      </c>
      <c r="U121" s="62">
        <f>IFERROR(Tableau242[[#This Row],[Paid leave days WK]]-Tableau242[[#This Row],[Congé PXX]],"Matricule")</f>
        <v>0</v>
      </c>
      <c r="V121" s="63">
        <f>IFERROR(VLOOKUP($B121,#REF!,4,FALSE),0)</f>
        <v>0</v>
      </c>
      <c r="W12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21" s="63">
        <f>IF(AND(Tableau242[[#This Row],[Paid leave days]]&gt;0,Tableau242[[#This Row],[Prod. days]]&lt;0),MIN(Tableau242[[#This Row],[Paid leave days]],-Tableau242[[#This Row],[Prod. days]]),0)</f>
        <v>0</v>
      </c>
      <c r="Z121" s="63">
        <f>IFERROR(_xlfn.XLOOKUP(Tableau242[[#This Row],[Consultant]],Tableau2[Collaborateur/Nom affiché],Tableau2[Montant imputé],0),0)</f>
        <v>0</v>
      </c>
      <c r="AA121" s="64">
        <f t="shared" si="2"/>
        <v>0</v>
      </c>
      <c r="AB121" s="65"/>
      <c r="AC121" s="66"/>
      <c r="AD121" s="66"/>
      <c r="AE121" s="105"/>
      <c r="AF121" s="90"/>
    </row>
    <row r="122" spans="1:32">
      <c r="A122" s="15">
        <f>Tableau242[[#This Row],[Company number]]+0</f>
        <v>5587</v>
      </c>
      <c r="B122" s="60" t="s">
        <v>376</v>
      </c>
      <c r="C122" s="61" t="s">
        <v>71</v>
      </c>
      <c r="D122" s="61" t="s">
        <v>8</v>
      </c>
      <c r="E122" s="62" t="str">
        <f>IFERROR(VLOOKUP(Tableau242[[#This Row],[Manager ou CDM concerné]],Parametres!B:C,2,FALSE),"")</f>
        <v>Squad B</v>
      </c>
      <c r="F122" s="62" t="str">
        <f>IF(Tableau242[[#This Row],[Consultant]]=Tableau242[[#This Row],[Manager ou CDM concerné]],"Non",IF(IFERROR(VLOOKUP(Tableau242[[#This Row],[Consultant]],Parametres!B:C,2,FALSE),0)=0,"Non","Oui"))</f>
        <v>Oui</v>
      </c>
      <c r="G122" s="62">
        <f>IFERROR(VLOOKUP(B122,Tableau5[#All],4,FALSE),"Matricule!")</f>
        <v>7</v>
      </c>
      <c r="H122" s="62" t="str">
        <f>IFERROR(VLOOKUP(Tableau242[[#This Row],[Company number]],#REF!,6,FALSE),"")</f>
        <v/>
      </c>
      <c r="I122" s="62">
        <f>IFERROR(VLOOKUP(B122,Tableau5[#All],5,FALSE),"Matricule!")</f>
        <v>5</v>
      </c>
      <c r="J122" s="62">
        <f>IFERROR(VLOOKUP(B122,Tableau5[#All],6,FALSE),"Matricule!")</f>
        <v>4</v>
      </c>
      <c r="K122" s="62">
        <f>IFERROR(VLOOKUP(B122,Tableau5[#All],7,FALSE),"Matricule!")</f>
        <v>4</v>
      </c>
      <c r="L122" s="62" t="e">
        <f>VLOOKUP(Tableau242[[#This Row],[Company number]],#REF!,25,FALSE)</f>
        <v>#REF!</v>
      </c>
      <c r="M122" s="62" t="str">
        <f>IFERROR(VLOOKUP(Tableau242[[#This Row],[Company number]],#REF!,30,FALSE),"")</f>
        <v/>
      </c>
      <c r="N122" s="62" t="str">
        <f>IFERROR(VLOOKUP(Tableau242[[#This Row],[Company number]],#REF!,31,FALSE),"")</f>
        <v/>
      </c>
      <c r="O122" s="62" t="str">
        <f>IFERROR(VLOOKUP(Tableau242[[#This Row],[Company number]],#REF!,32,FALSE),"")</f>
        <v/>
      </c>
      <c r="P122" s="62">
        <f>IFERROR(VLOOKUP(B122,Tableau3[#All],5,FALSE),"Matricule!")</f>
        <v>12</v>
      </c>
      <c r="Q122" s="62">
        <f>IFERROR(SUM(VLOOKUP(B122,Tableau3[#All],6,FALSE),VLOOKUP(B122,Tableau3[#All],8,FALSE)),"Matricule!")</f>
        <v>0</v>
      </c>
      <c r="R122" s="62">
        <f>IFERROR(VLOOKUP(B122,Tableau3[#All],7,FALSE),"Matricule!")</f>
        <v>4</v>
      </c>
      <c r="S122" s="62">
        <f>IFERROR(Tableau242[[#This Row],[Prod. days WK]]-Tableau242[[#This Row],[Prod PXX]],"Matricule")</f>
        <v>-5</v>
      </c>
      <c r="T122" s="62">
        <f>IFERROR(Tableau242[[#This Row],[Non prod. days WK]]-Tableau242[[#This Row],[Improd PXX]],"Matricule")</f>
        <v>5</v>
      </c>
      <c r="U122" s="62">
        <f>IFERROR(Tableau242[[#This Row],[Paid leave days WK]]-Tableau242[[#This Row],[Congé PXX]],"Matricule")</f>
        <v>0</v>
      </c>
      <c r="V122" s="63">
        <f>IFERROR(VLOOKUP($B122,#REF!,4,FALSE),0)</f>
        <v>0</v>
      </c>
      <c r="W12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22" s="63">
        <f>IF(AND(Tableau242[[#This Row],[Paid leave days]]&gt;0,Tableau242[[#This Row],[Prod. days]]&lt;0),MIN(Tableau242[[#This Row],[Paid leave days]],-Tableau242[[#This Row],[Prod. days]]),0)</f>
        <v>0</v>
      </c>
      <c r="Z122" s="63">
        <f>IFERROR(_xlfn.XLOOKUP(Tableau242[[#This Row],[Consultant]],Tableau2[Collaborateur/Nom affiché],Tableau2[Montant imputé],0),0)</f>
        <v>0</v>
      </c>
      <c r="AA122" s="64">
        <f t="shared" si="2"/>
        <v>-5</v>
      </c>
      <c r="AB122" s="65" t="s">
        <v>154</v>
      </c>
      <c r="AC122" s="69"/>
      <c r="AD122" s="66"/>
      <c r="AE122" s="105"/>
      <c r="AF122" s="93"/>
    </row>
    <row r="123" spans="1:32">
      <c r="A123" s="15">
        <f>Tableau242[[#This Row],[Company number]]+0</f>
        <v>14486</v>
      </c>
      <c r="B123" s="60" t="s">
        <v>377</v>
      </c>
      <c r="C123" s="61" t="s">
        <v>378</v>
      </c>
      <c r="D123" s="61" t="s">
        <v>67</v>
      </c>
      <c r="E123" s="62" t="str">
        <f>IFERROR(VLOOKUP(Tableau242[[#This Row],[Manager ou CDM concerné]],Parametres!B:C,2,FALSE),"")</f>
        <v>Squad C</v>
      </c>
      <c r="F123" s="62" t="str">
        <f>IF(Tableau242[[#This Row],[Consultant]]=Tableau242[[#This Row],[Manager ou CDM concerné]],"Non",IF(IFERROR(VLOOKUP(Tableau242[[#This Row],[Consultant]],Parametres!B:C,2,FALSE),0)=0,"Non","Oui"))</f>
        <v>Non</v>
      </c>
      <c r="G123" s="62">
        <f>IFERROR(VLOOKUP(B123,Tableau5[#All],4,FALSE),"Matricule!")</f>
        <v>19.5</v>
      </c>
      <c r="H123" s="62" t="str">
        <f>IFERROR(VLOOKUP(Tableau242[[#This Row],[Company number]],#REF!,6,FALSE),"")</f>
        <v/>
      </c>
      <c r="I123" s="62">
        <f>IFERROR(VLOOKUP(B123,Tableau5[#All],5,FALSE),"Matricule!")</f>
        <v>0</v>
      </c>
      <c r="J123" s="62">
        <f>IFERROR(VLOOKUP(B123,Tableau5[#All],6,FALSE),"Matricule!")</f>
        <v>0.5</v>
      </c>
      <c r="K123" s="62">
        <f>IFERROR(VLOOKUP(B123,Tableau5[#All],7,FALSE),"Matricule!")</f>
        <v>0</v>
      </c>
      <c r="L123" s="62" t="e">
        <f>VLOOKUP(Tableau242[[#This Row],[Company number]],#REF!,25,FALSE)</f>
        <v>#REF!</v>
      </c>
      <c r="M123" s="62" t="str">
        <f>IFERROR(VLOOKUP(Tableau242[[#This Row],[Company number]],#REF!,30,FALSE),"")</f>
        <v/>
      </c>
      <c r="N123" s="62" t="str">
        <f>IFERROR(VLOOKUP(Tableau242[[#This Row],[Company number]],#REF!,31,FALSE),"")</f>
        <v/>
      </c>
      <c r="O123" s="62" t="str">
        <f>IFERROR(VLOOKUP(Tableau242[[#This Row],[Company number]],#REF!,32,FALSE),"")</f>
        <v/>
      </c>
      <c r="P123" s="62">
        <f>IFERROR(VLOOKUP(B123,Tableau3[#All],5,FALSE),"Matricule!")</f>
        <v>19.5</v>
      </c>
      <c r="Q123" s="62">
        <f>IFERROR(SUM(VLOOKUP(B123,Tableau3[#All],6,FALSE),VLOOKUP(B123,Tableau3[#All],8,FALSE)),"Matricule!")</f>
        <v>0</v>
      </c>
      <c r="R123" s="62">
        <f>IFERROR(VLOOKUP(B123,Tableau3[#All],7,FALSE),"Matricule!")</f>
        <v>0.5</v>
      </c>
      <c r="S123" s="62">
        <f>IFERROR(Tableau242[[#This Row],[Prod. days WK]]-Tableau242[[#This Row],[Prod PXX]],"Matricule")</f>
        <v>0</v>
      </c>
      <c r="T123" s="62">
        <f>IFERROR(Tableau242[[#This Row],[Non prod. days WK]]-Tableau242[[#This Row],[Improd PXX]],"Matricule")</f>
        <v>0</v>
      </c>
      <c r="U123" s="62">
        <f>IFERROR(Tableau242[[#This Row],[Paid leave days WK]]-Tableau242[[#This Row],[Congé PXX]],"Matricule")</f>
        <v>0</v>
      </c>
      <c r="V123" s="63">
        <f>IFERROR(VLOOKUP($B123,#REF!,4,FALSE),0)</f>
        <v>0</v>
      </c>
      <c r="W12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23" s="63">
        <f>IF(AND(Tableau242[[#This Row],[Paid leave days]]&gt;0,Tableau242[[#This Row],[Prod. days]]&lt;0),MIN(Tableau242[[#This Row],[Paid leave days]],-Tableau242[[#This Row],[Prod. days]]),0)</f>
        <v>0</v>
      </c>
      <c r="Z123" s="63">
        <f>IFERROR(_xlfn.XLOOKUP(Tableau242[[#This Row],[Consultant]],Tableau2[Collaborateur/Nom affiché],Tableau2[Montant imputé],0),0)</f>
        <v>0</v>
      </c>
      <c r="AA123" s="64">
        <f t="shared" si="2"/>
        <v>0</v>
      </c>
      <c r="AB123" s="65"/>
      <c r="AC123" s="67"/>
      <c r="AD123" s="67"/>
      <c r="AE123" s="114"/>
      <c r="AF123" s="92"/>
    </row>
    <row r="124" spans="1:32">
      <c r="A124" s="15">
        <f>Tableau242[[#This Row],[Company number]]+0</f>
        <v>17062</v>
      </c>
      <c r="B124" s="60" t="s">
        <v>379</v>
      </c>
      <c r="C124" s="61" t="s">
        <v>380</v>
      </c>
      <c r="D124" s="61" t="s">
        <v>67</v>
      </c>
      <c r="E124" s="62" t="str">
        <f>IFERROR(VLOOKUP(Tableau242[[#This Row],[Manager ou CDM concerné]],Parametres!B:C,2,FALSE),"")</f>
        <v>Squad C</v>
      </c>
      <c r="F124" s="62" t="str">
        <f>IF(Tableau242[[#This Row],[Consultant]]=Tableau242[[#This Row],[Manager ou CDM concerné]],"Non",IF(IFERROR(VLOOKUP(Tableau242[[#This Row],[Consultant]],Parametres!B:C,2,FALSE),0)=0,"Non","Oui"))</f>
        <v>Non</v>
      </c>
      <c r="G124" s="62">
        <f>IFERROR(VLOOKUP(B124,Tableau5[#All],4,FALSE),"Matricule!")</f>
        <v>16</v>
      </c>
      <c r="H124" s="62" t="str">
        <f>IFERROR(VLOOKUP(Tableau242[[#This Row],[Company number]],#REF!,6,FALSE),"")</f>
        <v/>
      </c>
      <c r="I124" s="62">
        <f>IFERROR(VLOOKUP(B124,Tableau5[#All],5,FALSE),"Matricule!")</f>
        <v>0</v>
      </c>
      <c r="J124" s="62">
        <f>IFERROR(VLOOKUP(B124,Tableau5[#All],6,FALSE),"Matricule!")</f>
        <v>4</v>
      </c>
      <c r="K124" s="62">
        <f>IFERROR(VLOOKUP(B124,Tableau5[#All],7,FALSE),"Matricule!")</f>
        <v>0</v>
      </c>
      <c r="L124" s="62" t="e">
        <f>VLOOKUP(Tableau242[[#This Row],[Company number]],#REF!,25,FALSE)</f>
        <v>#REF!</v>
      </c>
      <c r="M124" s="62" t="str">
        <f>IFERROR(VLOOKUP(Tableau242[[#This Row],[Company number]],#REF!,30,FALSE),"")</f>
        <v/>
      </c>
      <c r="N124" s="62" t="str">
        <f>IFERROR(VLOOKUP(Tableau242[[#This Row],[Company number]],#REF!,31,FALSE),"")</f>
        <v/>
      </c>
      <c r="O124" s="62" t="str">
        <f>IFERROR(VLOOKUP(Tableau242[[#This Row],[Company number]],#REF!,32,FALSE),"")</f>
        <v/>
      </c>
      <c r="P124" s="62">
        <f>IFERROR(VLOOKUP(B124,Tableau3[#All],5,FALSE),"Matricule!")</f>
        <v>16</v>
      </c>
      <c r="Q124" s="62">
        <f>IFERROR(SUM(VLOOKUP(B124,Tableau3[#All],6,FALSE),VLOOKUP(B124,Tableau3[#All],8,FALSE)),"Matricule!")</f>
        <v>0</v>
      </c>
      <c r="R124" s="62">
        <f>IFERROR(VLOOKUP(B124,Tableau3[#All],7,FALSE),"Matricule!")</f>
        <v>4</v>
      </c>
      <c r="S124" s="62">
        <f>IFERROR(Tableau242[[#This Row],[Prod. days WK]]-Tableau242[[#This Row],[Prod PXX]],"Matricule")</f>
        <v>0</v>
      </c>
      <c r="T124" s="62">
        <f>IFERROR(Tableau242[[#This Row],[Non prod. days WK]]-Tableau242[[#This Row],[Improd PXX]],"Matricule")</f>
        <v>0</v>
      </c>
      <c r="U124" s="62">
        <f>IFERROR(Tableau242[[#This Row],[Paid leave days WK]]-Tableau242[[#This Row],[Congé PXX]],"Matricule")</f>
        <v>0</v>
      </c>
      <c r="V124" s="63">
        <f>IFERROR(VLOOKUP($B124,#REF!,4,FALSE),0)</f>
        <v>0</v>
      </c>
      <c r="W12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24" s="63">
        <f>IF(AND(Tableau242[[#This Row],[Paid leave days]]&gt;0,Tableau242[[#This Row],[Prod. days]]&lt;0),MIN(Tableau242[[#This Row],[Paid leave days]],-Tableau242[[#This Row],[Prod. days]]),0)</f>
        <v>0</v>
      </c>
      <c r="Z124" s="63">
        <f>IFERROR(_xlfn.XLOOKUP(Tableau242[[#This Row],[Consultant]],Tableau2[Collaborateur/Nom affiché],Tableau2[Montant imputé],0),0)</f>
        <v>0</v>
      </c>
      <c r="AA124" s="64">
        <f t="shared" si="2"/>
        <v>0</v>
      </c>
      <c r="AB124" s="65"/>
      <c r="AC124" s="66"/>
      <c r="AD124" s="66"/>
      <c r="AE124" s="105"/>
      <c r="AF124" s="90"/>
    </row>
    <row r="125" spans="1:32">
      <c r="A125" s="15">
        <f>Tableau242[[#This Row],[Company number]]+0</f>
        <v>12755</v>
      </c>
      <c r="B125" s="60" t="s">
        <v>381</v>
      </c>
      <c r="C125" s="61" t="s">
        <v>382</v>
      </c>
      <c r="D125" s="61" t="s">
        <v>39</v>
      </c>
      <c r="E125" s="62" t="str">
        <f>IFERROR(VLOOKUP(Tableau242[[#This Row],[Manager ou CDM concerné]],Parametres!B:C,2,FALSE),"")</f>
        <v>Squad F</v>
      </c>
      <c r="F125" s="62" t="str">
        <f>IF(Tableau242[[#This Row],[Consultant]]=Tableau242[[#This Row],[Manager ou CDM concerné]],"Non",IF(IFERROR(VLOOKUP(Tableau242[[#This Row],[Consultant]],Parametres!B:C,2,FALSE),0)=0,"Non","Oui"))</f>
        <v>Non</v>
      </c>
      <c r="G125" s="62">
        <f>IFERROR(VLOOKUP(B125,Tableau5[#All],4,FALSE),"Matricule!")</f>
        <v>9.5</v>
      </c>
      <c r="H125" s="62" t="str">
        <f>IFERROR(VLOOKUP(Tableau242[[#This Row],[Company number]],#REF!,6,FALSE),"")</f>
        <v/>
      </c>
      <c r="I125" s="62">
        <f>IFERROR(VLOOKUP(B125,Tableau5[#All],5,FALSE),"Matricule!")</f>
        <v>5.5</v>
      </c>
      <c r="J125" s="62">
        <f>IFERROR(VLOOKUP(B125,Tableau5[#All],6,FALSE),"Matricule!")</f>
        <v>5</v>
      </c>
      <c r="K125" s="62">
        <f>IFERROR(VLOOKUP(B125,Tableau5[#All],7,FALSE),"Matricule!")</f>
        <v>0</v>
      </c>
      <c r="L125" s="62" t="e">
        <f>VLOOKUP(Tableau242[[#This Row],[Company number]],#REF!,25,FALSE)</f>
        <v>#REF!</v>
      </c>
      <c r="M125" s="62" t="str">
        <f>IFERROR(VLOOKUP(Tableau242[[#This Row],[Company number]],#REF!,30,FALSE),"")</f>
        <v/>
      </c>
      <c r="N125" s="62" t="str">
        <f>IFERROR(VLOOKUP(Tableau242[[#This Row],[Company number]],#REF!,31,FALSE),"")</f>
        <v/>
      </c>
      <c r="O125" s="62" t="str">
        <f>IFERROR(VLOOKUP(Tableau242[[#This Row],[Company number]],#REF!,32,FALSE),"")</f>
        <v/>
      </c>
      <c r="P125" s="68">
        <f>IFERROR(VLOOKUP(B125,Tableau3[#All],5,FALSE),"Matricule!")</f>
        <v>14</v>
      </c>
      <c r="Q125" s="68">
        <f>IFERROR(SUM(VLOOKUP(B125,Tableau3[#All],6,FALSE),VLOOKUP(B125,Tableau3[#All],8,FALSE)),"Matricule!")</f>
        <v>1</v>
      </c>
      <c r="R125" s="68">
        <f>IFERROR(VLOOKUP(B125,Tableau3[#All],7,FALSE),"Matricule!")</f>
        <v>5</v>
      </c>
      <c r="S125" s="62">
        <f>IFERROR(Tableau242[[#This Row],[Prod. days WK]]-Tableau242[[#This Row],[Prod PXX]],"Matricule")</f>
        <v>-4.5</v>
      </c>
      <c r="T125" s="62">
        <f>IFERROR(Tableau242[[#This Row],[Non prod. days WK]]-Tableau242[[#This Row],[Improd PXX]],"Matricule")</f>
        <v>4.5</v>
      </c>
      <c r="U125" s="62">
        <f>IFERROR(Tableau242[[#This Row],[Paid leave days WK]]-Tableau242[[#This Row],[Congé PXX]],"Matricule")</f>
        <v>0</v>
      </c>
      <c r="V125" s="63">
        <f>IFERROR(VLOOKUP($B125,#REF!,4,FALSE),0)</f>
        <v>0</v>
      </c>
      <c r="W12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25" s="63">
        <f>IF(AND(Tableau242[[#This Row],[Paid leave days]]&gt;0,Tableau242[[#This Row],[Prod. days]]&lt;0),MIN(Tableau242[[#This Row],[Paid leave days]],-Tableau242[[#This Row],[Prod. days]]),0)</f>
        <v>0</v>
      </c>
      <c r="Z125" s="63">
        <f>IFERROR(_xlfn.XLOOKUP(Tableau242[[#This Row],[Consultant]],Tableau2[Collaborateur/Nom affiché],Tableau2[Montant imputé],0),0)</f>
        <v>0</v>
      </c>
      <c r="AA125" s="64">
        <f t="shared" si="2"/>
        <v>-4.5</v>
      </c>
      <c r="AB125" s="65" t="s">
        <v>165</v>
      </c>
      <c r="AC125" s="66"/>
      <c r="AD125" s="66">
        <v>4.5</v>
      </c>
      <c r="AE125" s="39"/>
      <c r="AF125" s="90" t="s">
        <v>383</v>
      </c>
    </row>
    <row r="126" spans="1:32">
      <c r="A126" s="15">
        <f>Tableau242[[#This Row],[Company number]]+0</f>
        <v>20317</v>
      </c>
      <c r="B126" s="60" t="s">
        <v>384</v>
      </c>
      <c r="C126" s="61" t="s">
        <v>385</v>
      </c>
      <c r="D126" s="61" t="s">
        <v>64</v>
      </c>
      <c r="E126" s="62" t="str">
        <f>IFERROR(VLOOKUP(Tableau242[[#This Row],[Manager ou CDM concerné]],Parametres!B:C,2,FALSE),"")</f>
        <v>Squad C</v>
      </c>
      <c r="F126" s="62" t="str">
        <f>IF(Tableau242[[#This Row],[Consultant]]=Tableau242[[#This Row],[Manager ou CDM concerné]],"Non",IF(IFERROR(VLOOKUP(Tableau242[[#This Row],[Consultant]],Parametres!B:C,2,FALSE),0)=0,"Non","Oui"))</f>
        <v>Non</v>
      </c>
      <c r="G126" s="62">
        <f>IFERROR(VLOOKUP(B126,Tableau5[#All],4,FALSE),"Matricule!")</f>
        <v>1.5</v>
      </c>
      <c r="H126" s="62" t="str">
        <f>IFERROR(VLOOKUP(Tableau242[[#This Row],[Company number]],#REF!,6,FALSE),"")</f>
        <v/>
      </c>
      <c r="I126" s="62">
        <f>IFERROR(VLOOKUP(B126,Tableau5[#All],5,FALSE),"Matricule!")</f>
        <v>14.5</v>
      </c>
      <c r="J126" s="62">
        <f>IFERROR(VLOOKUP(B126,Tableau5[#All],6,FALSE),"Matricule!")</f>
        <v>4</v>
      </c>
      <c r="K126" s="62">
        <f>IFERROR(VLOOKUP(B126,Tableau5[#All],7,FALSE),"Matricule!")</f>
        <v>0</v>
      </c>
      <c r="L126" s="62" t="e">
        <f>VLOOKUP(Tableau242[[#This Row],[Company number]],#REF!,25,FALSE)</f>
        <v>#REF!</v>
      </c>
      <c r="M126" s="62" t="str">
        <f>IFERROR(VLOOKUP(Tableau242[[#This Row],[Company number]],#REF!,30,FALSE),"")</f>
        <v/>
      </c>
      <c r="N126" s="62" t="str">
        <f>IFERROR(VLOOKUP(Tableau242[[#This Row],[Company number]],#REF!,31,FALSE),"")</f>
        <v/>
      </c>
      <c r="O126" s="62" t="str">
        <f>IFERROR(VLOOKUP(Tableau242[[#This Row],[Company number]],#REF!,32,FALSE),"")</f>
        <v/>
      </c>
      <c r="P126" s="62">
        <f>IFERROR(VLOOKUP(B126,Tableau3[#All],5,FALSE),"Matricule!")</f>
        <v>6</v>
      </c>
      <c r="Q126" s="62">
        <f>IFERROR(SUM(VLOOKUP(B126,Tableau3[#All],6,FALSE),VLOOKUP(B126,Tableau3[#All],8,FALSE)),"Matricule!")</f>
        <v>10</v>
      </c>
      <c r="R126" s="62">
        <f>IFERROR(VLOOKUP(B126,Tableau3[#All],7,FALSE),"Matricule!")</f>
        <v>4</v>
      </c>
      <c r="S126" s="62">
        <f>IFERROR(Tableau242[[#This Row],[Prod. days WK]]-Tableau242[[#This Row],[Prod PXX]],"Matricule")</f>
        <v>-4.5</v>
      </c>
      <c r="T126" s="62">
        <f>IFERROR(Tableau242[[#This Row],[Non prod. days WK]]-Tableau242[[#This Row],[Improd PXX]],"Matricule")</f>
        <v>4.5</v>
      </c>
      <c r="U126" s="62">
        <f>IFERROR(Tableau242[[#This Row],[Paid leave days WK]]-Tableau242[[#This Row],[Congé PXX]],"Matricule")</f>
        <v>0</v>
      </c>
      <c r="V126" s="63">
        <f>IFERROR(VLOOKUP($B126,#REF!,4,FALSE),0)</f>
        <v>0</v>
      </c>
      <c r="W12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26" s="63">
        <f>IF(AND(Tableau242[[#This Row],[Paid leave days]]&gt;0,Tableau242[[#This Row],[Prod. days]]&lt;0),MIN(Tableau242[[#This Row],[Paid leave days]],-Tableau242[[#This Row],[Prod. days]]),0)</f>
        <v>0</v>
      </c>
      <c r="Z126" s="63">
        <f>IFERROR(_xlfn.XLOOKUP(Tableau242[[#This Row],[Consultant]],Tableau2[Collaborateur/Nom affiché],Tableau2[Montant imputé],0),0)</f>
        <v>0</v>
      </c>
      <c r="AA126" s="64">
        <f t="shared" si="2"/>
        <v>-4.5</v>
      </c>
      <c r="AB126" s="65" t="s">
        <v>154</v>
      </c>
      <c r="AC126" s="66"/>
      <c r="AD126" s="66"/>
      <c r="AE126" s="115"/>
      <c r="AF126" s="94" t="s">
        <v>386</v>
      </c>
    </row>
    <row r="127" spans="1:32">
      <c r="A127" s="15">
        <f>Tableau242[[#This Row],[Company number]]+0</f>
        <v>20844</v>
      </c>
      <c r="B127" s="60" t="s">
        <v>387</v>
      </c>
      <c r="C127" s="61" t="s">
        <v>388</v>
      </c>
      <c r="D127" s="61" t="s">
        <v>7</v>
      </c>
      <c r="E127" s="62" t="str">
        <f>IFERROR(VLOOKUP(Tableau242[[#This Row],[Manager ou CDM concerné]],Parametres!B:C,2,FALSE),"")</f>
        <v>Squad F</v>
      </c>
      <c r="F127" s="62" t="str">
        <f>IF(Tableau242[[#This Row],[Consultant]]=Tableau242[[#This Row],[Manager ou CDM concerné]],"Non",IF(IFERROR(VLOOKUP(Tableau242[[#This Row],[Consultant]],Parametres!B:C,2,FALSE),0)=0,"Non","Oui"))</f>
        <v>Non</v>
      </c>
      <c r="G127" s="62">
        <f>IFERROR(VLOOKUP(B127,Tableau5[#All],4,FALSE),"Matricule!")</f>
        <v>18</v>
      </c>
      <c r="H127" s="62" t="str">
        <f>IFERROR(VLOOKUP(Tableau242[[#This Row],[Company number]],#REF!,6,FALSE),"")</f>
        <v/>
      </c>
      <c r="I127" s="62">
        <f>IFERROR(VLOOKUP(B127,Tableau5[#All],5,FALSE),"Matricule!")</f>
        <v>0</v>
      </c>
      <c r="J127" s="62">
        <f>IFERROR(VLOOKUP(B127,Tableau5[#All],6,FALSE),"Matricule!")</f>
        <v>2</v>
      </c>
      <c r="K127" s="62">
        <f>IFERROR(VLOOKUP(B127,Tableau5[#All],7,FALSE),"Matricule!")</f>
        <v>0</v>
      </c>
      <c r="L127" s="62" t="e">
        <f>VLOOKUP(Tableau242[[#This Row],[Company number]],#REF!,25,FALSE)</f>
        <v>#REF!</v>
      </c>
      <c r="M127" s="62" t="str">
        <f>IFERROR(VLOOKUP(Tableau242[[#This Row],[Company number]],#REF!,30,FALSE),"")</f>
        <v/>
      </c>
      <c r="N127" s="62" t="str">
        <f>IFERROR(VLOOKUP(Tableau242[[#This Row],[Company number]],#REF!,31,FALSE),"")</f>
        <v/>
      </c>
      <c r="O127" s="62" t="str">
        <f>IFERROR(VLOOKUP(Tableau242[[#This Row],[Company number]],#REF!,32,FALSE),"")</f>
        <v/>
      </c>
      <c r="P127" s="62">
        <f>IFERROR(VLOOKUP(B127,Tableau3[#All],5,FALSE),"Matricule!")</f>
        <v>20</v>
      </c>
      <c r="Q127" s="62">
        <f>IFERROR(SUM(VLOOKUP(B127,Tableau3[#All],6,FALSE),VLOOKUP(B127,Tableau3[#All],8,FALSE)),"Matricule!")</f>
        <v>0</v>
      </c>
      <c r="R127" s="62">
        <f>IFERROR(VLOOKUP(B127,Tableau3[#All],7,FALSE),"Matricule!")</f>
        <v>0</v>
      </c>
      <c r="S127" s="62">
        <f>IFERROR(Tableau242[[#This Row],[Prod. days WK]]-Tableau242[[#This Row],[Prod PXX]],"Matricule")</f>
        <v>-2</v>
      </c>
      <c r="T127" s="62">
        <f>IFERROR(Tableau242[[#This Row],[Non prod. days WK]]-Tableau242[[#This Row],[Improd PXX]],"Matricule")</f>
        <v>0</v>
      </c>
      <c r="U127" s="62">
        <f>IFERROR(Tableau242[[#This Row],[Paid leave days WK]]-Tableau242[[#This Row],[Congé PXX]],"Matricule")</f>
        <v>2</v>
      </c>
      <c r="V127" s="63">
        <f>IFERROR(VLOOKUP($B127,#REF!,4,FALSE),0)</f>
        <v>0</v>
      </c>
      <c r="W12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7" s="63" t="s">
        <v>235</v>
      </c>
      <c r="Y127" s="63">
        <f>IF(AND(Tableau242[[#This Row],[Paid leave days]]&gt;0,Tableau242[[#This Row],[Prod. days]]&lt;0),MIN(Tableau242[[#This Row],[Paid leave days]],-Tableau242[[#This Row],[Prod. days]]),0)</f>
        <v>2</v>
      </c>
      <c r="Z127" s="63">
        <f>IFERROR(_xlfn.XLOOKUP(Tableau242[[#This Row],[Consultant]],Tableau2[Collaborateur/Nom affiché],Tableau2[Montant imputé],0),0)</f>
        <v>0</v>
      </c>
      <c r="AA127" s="64">
        <f t="shared" si="2"/>
        <v>-2</v>
      </c>
      <c r="AB127" s="65"/>
      <c r="AC127" s="66"/>
      <c r="AD127" s="66"/>
      <c r="AE127" s="105"/>
      <c r="AF127" s="90"/>
    </row>
    <row r="128" spans="1:32" ht="29.1">
      <c r="A128" s="15">
        <f>Tableau242[[#This Row],[Company number]]+0</f>
        <v>8643</v>
      </c>
      <c r="B128" s="60" t="s">
        <v>389</v>
      </c>
      <c r="C128" s="61" t="s">
        <v>22</v>
      </c>
      <c r="D128" s="61" t="s">
        <v>31</v>
      </c>
      <c r="E128" s="62" t="str">
        <f>IFERROR(VLOOKUP(Tableau242[[#This Row],[Manager ou CDM concerné]],Parametres!B:C,2,FALSE),"")</f>
        <v>Squad C</v>
      </c>
      <c r="F128" s="62" t="str">
        <f>IF(Tableau242[[#This Row],[Consultant]]=Tableau242[[#This Row],[Manager ou CDM concerné]],"Non",IF(IFERROR(VLOOKUP(Tableau242[[#This Row],[Consultant]],Parametres!B:C,2,FALSE),0)=0,"Non","Oui"))</f>
        <v>Oui</v>
      </c>
      <c r="G128" s="62">
        <f>IFERROR(VLOOKUP(B128,Tableau5[#All],4,FALSE),"Matricule!")</f>
        <v>15.5</v>
      </c>
      <c r="H128" s="62" t="str">
        <f>IFERROR(VLOOKUP(Tableau242[[#This Row],[Company number]],#REF!,6,FALSE),"")</f>
        <v/>
      </c>
      <c r="I128" s="62">
        <f>IFERROR(VLOOKUP(B128,Tableau5[#All],5,FALSE),"Matricule!")</f>
        <v>4.5</v>
      </c>
      <c r="J128" s="62">
        <f>IFERROR(VLOOKUP(B128,Tableau5[#All],6,FALSE),"Matricule!")</f>
        <v>0</v>
      </c>
      <c r="K128" s="62">
        <f>IFERROR(VLOOKUP(B128,Tableau5[#All],7,FALSE),"Matricule!")</f>
        <v>0</v>
      </c>
      <c r="L128" s="62" t="e">
        <f>VLOOKUP(Tableau242[[#This Row],[Company number]],#REF!,25,FALSE)</f>
        <v>#REF!</v>
      </c>
      <c r="M128" s="62" t="str">
        <f>IFERROR(VLOOKUP(Tableau242[[#This Row],[Company number]],#REF!,30,FALSE),"")</f>
        <v/>
      </c>
      <c r="N128" s="62" t="str">
        <f>IFERROR(VLOOKUP(Tableau242[[#This Row],[Company number]],#REF!,31,FALSE),"")</f>
        <v/>
      </c>
      <c r="O128" s="62" t="str">
        <f>IFERROR(VLOOKUP(Tableau242[[#This Row],[Company number]],#REF!,32,FALSE),"")</f>
        <v/>
      </c>
      <c r="P128" s="62">
        <f>IFERROR(VLOOKUP(B128,Tableau3[#All],5,FALSE),"Matricule!")</f>
        <v>20</v>
      </c>
      <c r="Q128" s="62">
        <f>IFERROR(SUM(VLOOKUP(B128,Tableau3[#All],6,FALSE),VLOOKUP(B128,Tableau3[#All],8,FALSE)),"Matricule!")</f>
        <v>0</v>
      </c>
      <c r="R128" s="62">
        <f>IFERROR(VLOOKUP(B128,Tableau3[#All],7,FALSE),"Matricule!")</f>
        <v>0</v>
      </c>
      <c r="S128" s="62">
        <f>IFERROR(Tableau242[[#This Row],[Prod. days WK]]-Tableau242[[#This Row],[Prod PXX]],"Matricule")</f>
        <v>-4.5</v>
      </c>
      <c r="T128" s="62">
        <f>IFERROR(Tableau242[[#This Row],[Non prod. days WK]]-Tableau242[[#This Row],[Improd PXX]],"Matricule")</f>
        <v>4.5</v>
      </c>
      <c r="U128" s="62">
        <f>IFERROR(Tableau242[[#This Row],[Paid leave days WK]]-Tableau242[[#This Row],[Congé PXX]],"Matricule")</f>
        <v>0</v>
      </c>
      <c r="V128" s="63">
        <f>IFERROR(VLOOKUP($B128,#REF!,4,FALSE),0)</f>
        <v>0</v>
      </c>
      <c r="W12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28" s="63">
        <f>IF(AND(Tableau242[[#This Row],[Paid leave days]]&gt;0,Tableau242[[#This Row],[Prod. days]]&lt;0),MIN(Tableau242[[#This Row],[Paid leave days]],-Tableau242[[#This Row],[Prod. days]]),0)</f>
        <v>0</v>
      </c>
      <c r="Z128" s="63">
        <f>IFERROR(_xlfn.XLOOKUP(Tableau242[[#This Row],[Consultant]],Tableau2[Collaborateur/Nom affiché],Tableau2[Montant imputé],0),0)</f>
        <v>0</v>
      </c>
      <c r="AA128" s="64">
        <f t="shared" si="2"/>
        <v>-4.5</v>
      </c>
      <c r="AB128" s="65" t="s">
        <v>147</v>
      </c>
      <c r="AC128" s="66"/>
      <c r="AD128" s="66"/>
      <c r="AE128" s="105"/>
      <c r="AF128" s="90"/>
    </row>
    <row r="129" spans="1:32">
      <c r="A129" s="15">
        <f>Tableau242[[#This Row],[Company number]]+0</f>
        <v>22013</v>
      </c>
      <c r="B129" s="60" t="s">
        <v>390</v>
      </c>
      <c r="C129" s="61" t="s">
        <v>391</v>
      </c>
      <c r="D129" s="61" t="s">
        <v>91</v>
      </c>
      <c r="E129" s="62" t="str">
        <f>IFERROR(VLOOKUP(Tableau242[[#This Row],[Manager ou CDM concerné]],Parametres!B:C,2,FALSE),"")</f>
        <v>Squad F</v>
      </c>
      <c r="F129" s="62" t="str">
        <f>IF(Tableau242[[#This Row],[Consultant]]=Tableau242[[#This Row],[Manager ou CDM concerné]],"Non",IF(IFERROR(VLOOKUP(Tableau242[[#This Row],[Consultant]],Parametres!B:C,2,FALSE),0)=0,"Non","Oui"))</f>
        <v>Non</v>
      </c>
      <c r="G129" s="62">
        <f>IFERROR(VLOOKUP(B129,Tableau5[#All],4,FALSE),"Matricule!")</f>
        <v>16</v>
      </c>
      <c r="H129" s="62" t="str">
        <f>IFERROR(VLOOKUP(Tableau242[[#This Row],[Company number]],#REF!,6,FALSE),"")</f>
        <v/>
      </c>
      <c r="I129" s="62">
        <f>IFERROR(VLOOKUP(B129,Tableau5[#All],5,FALSE),"Matricule!")</f>
        <v>4</v>
      </c>
      <c r="J129" s="62">
        <f>IFERROR(VLOOKUP(B129,Tableau5[#All],6,FALSE),"Matricule!")</f>
        <v>0</v>
      </c>
      <c r="K129" s="62">
        <f>IFERROR(VLOOKUP(B129,Tableau5[#All],7,FALSE),"Matricule!")</f>
        <v>0</v>
      </c>
      <c r="L129" s="62" t="e">
        <f>VLOOKUP(Tableau242[[#This Row],[Company number]],#REF!,25,FALSE)</f>
        <v>#REF!</v>
      </c>
      <c r="M129" s="62" t="str">
        <f>IFERROR(VLOOKUP(Tableau242[[#This Row],[Company number]],#REF!,30,FALSE),"")</f>
        <v/>
      </c>
      <c r="N129" s="62" t="str">
        <f>IFERROR(VLOOKUP(Tableau242[[#This Row],[Company number]],#REF!,31,FALSE),"")</f>
        <v/>
      </c>
      <c r="O129" s="62" t="str">
        <f>IFERROR(VLOOKUP(Tableau242[[#This Row],[Company number]],#REF!,32,FALSE),"")</f>
        <v/>
      </c>
      <c r="P129" s="62">
        <f>IFERROR(VLOOKUP(B129,Tableau3[#All],5,FALSE),"Matricule!")</f>
        <v>20</v>
      </c>
      <c r="Q129" s="62">
        <f>IFERROR(SUM(VLOOKUP(B129,Tableau3[#All],6,FALSE),VLOOKUP(B129,Tableau3[#All],8,FALSE)),"Matricule!")</f>
        <v>0</v>
      </c>
      <c r="R129" s="62">
        <f>IFERROR(VLOOKUP(B129,Tableau3[#All],7,FALSE),"Matricule!")</f>
        <v>0</v>
      </c>
      <c r="S129" s="62">
        <f>IFERROR(Tableau242[[#This Row],[Prod. days WK]]-Tableau242[[#This Row],[Prod PXX]],"Matricule")</f>
        <v>-4</v>
      </c>
      <c r="T129" s="62">
        <f>IFERROR(Tableau242[[#This Row],[Non prod. days WK]]-Tableau242[[#This Row],[Improd PXX]],"Matricule")</f>
        <v>4</v>
      </c>
      <c r="U129" s="62">
        <f>IFERROR(Tableau242[[#This Row],[Paid leave days WK]]-Tableau242[[#This Row],[Congé PXX]],"Matricule")</f>
        <v>0</v>
      </c>
      <c r="V129" s="63">
        <f>IFERROR(VLOOKUP($B129,#REF!,4,FALSE),0)</f>
        <v>0</v>
      </c>
      <c r="W12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2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29" s="63">
        <f>IF(AND(Tableau242[[#This Row],[Paid leave days]]&gt;0,Tableau242[[#This Row],[Prod. days]]&lt;0),MIN(Tableau242[[#This Row],[Paid leave days]],-Tableau242[[#This Row],[Prod. days]]),0)</f>
        <v>0</v>
      </c>
      <c r="Z129" s="63">
        <f>IFERROR(_xlfn.XLOOKUP(Tableau242[[#This Row],[Consultant]],Tableau2[Collaborateur/Nom affiché],Tableau2[Montant imputé],0),0)</f>
        <v>0</v>
      </c>
      <c r="AA129" s="64">
        <f t="shared" si="2"/>
        <v>-4</v>
      </c>
      <c r="AB129" s="78" t="s">
        <v>154</v>
      </c>
      <c r="AC129" s="66"/>
      <c r="AD129" s="66"/>
      <c r="AE129" s="115"/>
      <c r="AF129" s="94" t="s">
        <v>392</v>
      </c>
    </row>
    <row r="130" spans="1:32">
      <c r="A130" s="15">
        <f>Tableau242[[#This Row],[Company number]]+0</f>
        <v>20874</v>
      </c>
      <c r="B130" s="60" t="s">
        <v>393</v>
      </c>
      <c r="C130" s="61" t="s">
        <v>394</v>
      </c>
      <c r="D130" s="61" t="s">
        <v>91</v>
      </c>
      <c r="E130" s="62" t="str">
        <f>IFERROR(VLOOKUP(Tableau242[[#This Row],[Manager ou CDM concerné]],Parametres!B:C,2,FALSE),"")</f>
        <v>Squad F</v>
      </c>
      <c r="F130" s="62" t="str">
        <f>IF(Tableau242[[#This Row],[Consultant]]=Tableau242[[#This Row],[Manager ou CDM concerné]],"Non",IF(IFERROR(VLOOKUP(Tableau242[[#This Row],[Consultant]],Parametres!B:C,2,FALSE),0)=0,"Non","Oui"))</f>
        <v>Non</v>
      </c>
      <c r="G130" s="62">
        <f>IFERROR(VLOOKUP(B130,Tableau5[#All],4,FALSE),"Matricule!")</f>
        <v>19</v>
      </c>
      <c r="H130" s="62" t="str">
        <f>IFERROR(VLOOKUP(Tableau242[[#This Row],[Company number]],#REF!,6,FALSE),"")</f>
        <v/>
      </c>
      <c r="I130" s="62">
        <f>IFERROR(VLOOKUP(B130,Tableau5[#All],5,FALSE),"Matricule!")</f>
        <v>0</v>
      </c>
      <c r="J130" s="62">
        <f>IFERROR(VLOOKUP(B130,Tableau5[#All],6,FALSE),"Matricule!")</f>
        <v>1</v>
      </c>
      <c r="K130" s="62">
        <f>IFERROR(VLOOKUP(B130,Tableau5[#All],7,FALSE),"Matricule!")</f>
        <v>0</v>
      </c>
      <c r="L130" s="62" t="e">
        <f>VLOOKUP(Tableau242[[#This Row],[Company number]],#REF!,25,FALSE)</f>
        <v>#REF!</v>
      </c>
      <c r="M130" s="62" t="str">
        <f>IFERROR(VLOOKUP(Tableau242[[#This Row],[Company number]],#REF!,30,FALSE),"")</f>
        <v/>
      </c>
      <c r="N130" s="62" t="str">
        <f>IFERROR(VLOOKUP(Tableau242[[#This Row],[Company number]],#REF!,31,FALSE),"")</f>
        <v/>
      </c>
      <c r="O130" s="62" t="str">
        <f>IFERROR(VLOOKUP(Tableau242[[#This Row],[Company number]],#REF!,32,FALSE),"")</f>
        <v/>
      </c>
      <c r="P130" s="62">
        <f>IFERROR(VLOOKUP(B130,Tableau3[#All],5,FALSE),"Matricule!")</f>
        <v>20</v>
      </c>
      <c r="Q130" s="62">
        <f>IFERROR(SUM(VLOOKUP(B130,Tableau3[#All],6,FALSE),VLOOKUP(B130,Tableau3[#All],8,FALSE)),"Matricule!")</f>
        <v>0</v>
      </c>
      <c r="R130" s="62">
        <f>IFERROR(VLOOKUP(B130,Tableau3[#All],7,FALSE),"Matricule!")</f>
        <v>0</v>
      </c>
      <c r="S130" s="62">
        <f>IFERROR(Tableau242[[#This Row],[Prod. days WK]]-Tableau242[[#This Row],[Prod PXX]],"Matricule")</f>
        <v>-1</v>
      </c>
      <c r="T130" s="62">
        <f>IFERROR(Tableau242[[#This Row],[Non prod. days WK]]-Tableau242[[#This Row],[Improd PXX]],"Matricule")</f>
        <v>0</v>
      </c>
      <c r="U130" s="62">
        <f>IFERROR(Tableau242[[#This Row],[Paid leave days WK]]-Tableau242[[#This Row],[Congé PXX]],"Matricule")</f>
        <v>1</v>
      </c>
      <c r="V130" s="63">
        <f>IFERROR(VLOOKUP($B130,#REF!,4,FALSE),0)</f>
        <v>0</v>
      </c>
      <c r="W13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30" s="63">
        <f>IF(AND(Tableau242[[#This Row],[Paid leave days]]&gt;0,Tableau242[[#This Row],[Prod. days]]&lt;0),MIN(Tableau242[[#This Row],[Paid leave days]],-Tableau242[[#This Row],[Prod. days]]),0)</f>
        <v>1</v>
      </c>
      <c r="Z130" s="63">
        <f>IFERROR(_xlfn.XLOOKUP(Tableau242[[#This Row],[Consultant]],Tableau2[Collaborateur/Nom affiché],Tableau2[Montant imputé],0),0)</f>
        <v>0</v>
      </c>
      <c r="AA130" s="64">
        <f t="shared" si="2"/>
        <v>-1</v>
      </c>
      <c r="AB130" s="65"/>
      <c r="AC130" s="66"/>
      <c r="AD130" s="66"/>
      <c r="AE130" s="115"/>
      <c r="AF130" s="90"/>
    </row>
    <row r="131" spans="1:32">
      <c r="A131" s="15">
        <f>Tableau242[[#This Row],[Company number]]+0</f>
        <v>16536</v>
      </c>
      <c r="B131" s="60" t="s">
        <v>395</v>
      </c>
      <c r="C131" s="61" t="s">
        <v>396</v>
      </c>
      <c r="D131" s="61" t="s">
        <v>13</v>
      </c>
      <c r="E131" s="62" t="str">
        <f>IFERROR(VLOOKUP(Tableau242[[#This Row],[Manager ou CDM concerné]],Parametres!B:C,2,FALSE),"")</f>
        <v>Squad F</v>
      </c>
      <c r="F131" s="62" t="str">
        <f>IF(Tableau242[[#This Row],[Consultant]]=Tableau242[[#This Row],[Manager ou CDM concerné]],"Non",IF(IFERROR(VLOOKUP(Tableau242[[#This Row],[Consultant]],Parametres!B:C,2,FALSE),0)=0,"Non","Oui"))</f>
        <v>Non</v>
      </c>
      <c r="G131" s="62">
        <f>IFERROR(VLOOKUP(B131,Tableau5[#All],4,FALSE),"Matricule!")</f>
        <v>9</v>
      </c>
      <c r="H131" s="62" t="str">
        <f>IFERROR(VLOOKUP(Tableau242[[#This Row],[Company number]],#REF!,6,FALSE),"")</f>
        <v/>
      </c>
      <c r="I131" s="62">
        <f>IFERROR(VLOOKUP(B131,Tableau5[#All],5,FALSE),"Matricule!")</f>
        <v>0</v>
      </c>
      <c r="J131" s="62">
        <f>IFERROR(VLOOKUP(B131,Tableau5[#All],6,FALSE),"Matricule!")</f>
        <v>11</v>
      </c>
      <c r="K131" s="62">
        <f>IFERROR(VLOOKUP(B131,Tableau5[#All],7,FALSE),"Matricule!")</f>
        <v>0</v>
      </c>
      <c r="L131" s="62" t="e">
        <f>VLOOKUP(Tableau242[[#This Row],[Company number]],#REF!,25,FALSE)</f>
        <v>#REF!</v>
      </c>
      <c r="M131" s="62" t="str">
        <f>IFERROR(VLOOKUP(Tableau242[[#This Row],[Company number]],#REF!,30,FALSE),"")</f>
        <v/>
      </c>
      <c r="N131" s="62" t="str">
        <f>IFERROR(VLOOKUP(Tableau242[[#This Row],[Company number]],#REF!,31,FALSE),"")</f>
        <v/>
      </c>
      <c r="O131" s="62" t="str">
        <f>IFERROR(VLOOKUP(Tableau242[[#This Row],[Company number]],#REF!,32,FALSE),"")</f>
        <v/>
      </c>
      <c r="P131" s="62">
        <f>IFERROR(VLOOKUP(B131,Tableau3[#All],5,FALSE),"Matricule!")</f>
        <v>10</v>
      </c>
      <c r="Q131" s="62">
        <f>IFERROR(SUM(VLOOKUP(B131,Tableau3[#All],6,FALSE),VLOOKUP(B131,Tableau3[#All],8,FALSE)),"Matricule!")</f>
        <v>0</v>
      </c>
      <c r="R131" s="62">
        <f>IFERROR(VLOOKUP(B131,Tableau3[#All],7,FALSE),"Matricule!")</f>
        <v>10</v>
      </c>
      <c r="S131" s="62">
        <f>IFERROR(Tableau242[[#This Row],[Prod. days WK]]-Tableau242[[#This Row],[Prod PXX]],"Matricule")</f>
        <v>-1</v>
      </c>
      <c r="T131" s="62">
        <f>IFERROR(Tableau242[[#This Row],[Non prod. days WK]]-Tableau242[[#This Row],[Improd PXX]],"Matricule")</f>
        <v>0</v>
      </c>
      <c r="U131" s="62">
        <f>IFERROR(Tableau242[[#This Row],[Paid leave days WK]]-Tableau242[[#This Row],[Congé PXX]],"Matricule")</f>
        <v>1</v>
      </c>
      <c r="V131" s="63">
        <f>IFERROR(VLOOKUP($B131,#REF!,4,FALSE),0)</f>
        <v>0</v>
      </c>
      <c r="W13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31" s="63">
        <f>IF(AND(Tableau242[[#This Row],[Paid leave days]]&gt;0,Tableau242[[#This Row],[Prod. days]]&lt;0),MIN(Tableau242[[#This Row],[Paid leave days]],-Tableau242[[#This Row],[Prod. days]]),0)</f>
        <v>1</v>
      </c>
      <c r="Z131" s="63">
        <f>IFERROR(_xlfn.XLOOKUP(Tableau242[[#This Row],[Consultant]],Tableau2[Collaborateur/Nom affiché],Tableau2[Montant imputé],0),0)</f>
        <v>0</v>
      </c>
      <c r="AA131" s="64">
        <f t="shared" si="2"/>
        <v>-1</v>
      </c>
      <c r="AB131" s="65"/>
      <c r="AC131" s="66"/>
      <c r="AD131" s="66"/>
      <c r="AE131" s="105"/>
      <c r="AF131" s="90"/>
    </row>
    <row r="132" spans="1:32">
      <c r="A132" s="15">
        <f>Tableau242[[#This Row],[Company number]]+0</f>
        <v>12687</v>
      </c>
      <c r="B132" s="60" t="s">
        <v>397</v>
      </c>
      <c r="C132" s="61" t="s">
        <v>398</v>
      </c>
      <c r="D132" s="61" t="s">
        <v>13</v>
      </c>
      <c r="E132" s="62" t="str">
        <f>IFERROR(VLOOKUP(Tableau242[[#This Row],[Manager ou CDM concerné]],Parametres!B:C,2,FALSE),"")</f>
        <v>Squad F</v>
      </c>
      <c r="F132" s="62" t="str">
        <f>IF(Tableau242[[#This Row],[Consultant]]=Tableau242[[#This Row],[Manager ou CDM concerné]],"Non",IF(IFERROR(VLOOKUP(Tableau242[[#This Row],[Consultant]],Parametres!B:C,2,FALSE),0)=0,"Non","Oui"))</f>
        <v>Non</v>
      </c>
      <c r="G132" s="62">
        <f>IFERROR(VLOOKUP(B132,Tableau5[#All],4,FALSE),"Matricule!")</f>
        <v>18</v>
      </c>
      <c r="H132" s="62" t="str">
        <f>IFERROR(VLOOKUP(Tableau242[[#This Row],[Company number]],#REF!,6,FALSE),"")</f>
        <v/>
      </c>
      <c r="I132" s="62">
        <f>IFERROR(VLOOKUP(B132,Tableau5[#All],5,FALSE),"Matricule!")</f>
        <v>0</v>
      </c>
      <c r="J132" s="62">
        <f>IFERROR(VLOOKUP(B132,Tableau5[#All],6,FALSE),"Matricule!")</f>
        <v>2</v>
      </c>
      <c r="K132" s="62">
        <f>IFERROR(VLOOKUP(B132,Tableau5[#All],7,FALSE),"Matricule!")</f>
        <v>0</v>
      </c>
      <c r="L132" s="62" t="e">
        <f>VLOOKUP(Tableau242[[#This Row],[Company number]],#REF!,25,FALSE)</f>
        <v>#REF!</v>
      </c>
      <c r="M132" s="62" t="str">
        <f>IFERROR(VLOOKUP(Tableau242[[#This Row],[Company number]],#REF!,30,FALSE),"")</f>
        <v/>
      </c>
      <c r="N132" s="62" t="str">
        <f>IFERROR(VLOOKUP(Tableau242[[#This Row],[Company number]],#REF!,31,FALSE),"")</f>
        <v/>
      </c>
      <c r="O132" s="62" t="str">
        <f>IFERROR(VLOOKUP(Tableau242[[#This Row],[Company number]],#REF!,32,FALSE),"")</f>
        <v/>
      </c>
      <c r="P132" s="62">
        <f>IFERROR(VLOOKUP(B132,Tableau3[#All],5,FALSE),"Matricule!")</f>
        <v>19</v>
      </c>
      <c r="Q132" s="62">
        <f>IFERROR(SUM(VLOOKUP(B132,Tableau3[#All],6,FALSE),VLOOKUP(B132,Tableau3[#All],8,FALSE)),"Matricule!")</f>
        <v>0</v>
      </c>
      <c r="R132" s="62">
        <f>IFERROR(VLOOKUP(B132,Tableau3[#All],7,FALSE),"Matricule!")</f>
        <v>1</v>
      </c>
      <c r="S132" s="62">
        <f>IFERROR(Tableau242[[#This Row],[Prod. days WK]]-Tableau242[[#This Row],[Prod PXX]],"Matricule")</f>
        <v>-1</v>
      </c>
      <c r="T132" s="62">
        <f>IFERROR(Tableau242[[#This Row],[Non prod. days WK]]-Tableau242[[#This Row],[Improd PXX]],"Matricule")</f>
        <v>0</v>
      </c>
      <c r="U132" s="62">
        <f>IFERROR(Tableau242[[#This Row],[Paid leave days WK]]-Tableau242[[#This Row],[Congé PXX]],"Matricule")</f>
        <v>1</v>
      </c>
      <c r="V132" s="63">
        <f>IFERROR(VLOOKUP($B132,#REF!,4,FALSE),0)</f>
        <v>0</v>
      </c>
      <c r="W13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32" s="63">
        <f>IF(AND(Tableau242[[#This Row],[Paid leave days]]&gt;0,Tableau242[[#This Row],[Prod. days]]&lt;0),MIN(Tableau242[[#This Row],[Paid leave days]],-Tableau242[[#This Row],[Prod. days]]),0)</f>
        <v>1</v>
      </c>
      <c r="Z132" s="63">
        <f>IFERROR(_xlfn.XLOOKUP(Tableau242[[#This Row],[Consultant]],Tableau2[Collaborateur/Nom affiché],Tableau2[Montant imputé],0),0)</f>
        <v>0</v>
      </c>
      <c r="AA132" s="64">
        <f t="shared" si="2"/>
        <v>-1</v>
      </c>
      <c r="AB132" s="65"/>
      <c r="AC132" s="66"/>
      <c r="AD132" s="66"/>
      <c r="AE132" s="105"/>
      <c r="AF132" s="90"/>
    </row>
    <row r="133" spans="1:32">
      <c r="A133" s="15">
        <f>Tableau242[[#This Row],[Company number]]+0</f>
        <v>13565</v>
      </c>
      <c r="B133" s="60" t="s">
        <v>399</v>
      </c>
      <c r="C133" s="61" t="s">
        <v>69</v>
      </c>
      <c r="D133" s="61" t="s">
        <v>55</v>
      </c>
      <c r="E133" s="62" t="str">
        <f>IFERROR(VLOOKUP(Tableau242[[#This Row],[Manager ou CDM concerné]],Parametres!B:C,2,FALSE),"")</f>
        <v>Squad H</v>
      </c>
      <c r="F133" s="62" t="str">
        <f>IF(Tableau242[[#This Row],[Consultant]]=Tableau242[[#This Row],[Manager ou CDM concerné]],"Non",IF(IFERROR(VLOOKUP(Tableau242[[#This Row],[Consultant]],Parametres!B:C,2,FALSE),0)=0,"Non","Oui"))</f>
        <v>Oui</v>
      </c>
      <c r="G133" s="62">
        <f>IFERROR(VLOOKUP(B133,Tableau5[#All],4,FALSE),"Matricule!")</f>
        <v>15</v>
      </c>
      <c r="H133" s="62" t="str">
        <f>IFERROR(VLOOKUP(Tableau242[[#This Row],[Company number]],#REF!,6,FALSE),"")</f>
        <v/>
      </c>
      <c r="I133" s="62">
        <f>IFERROR(VLOOKUP(B133,Tableau5[#All],5,FALSE),"Matricule!")</f>
        <v>4</v>
      </c>
      <c r="J133" s="62">
        <f>IFERROR(VLOOKUP(B133,Tableau5[#All],6,FALSE),"Matricule!")</f>
        <v>1</v>
      </c>
      <c r="K133" s="62">
        <f>IFERROR(VLOOKUP(B133,Tableau5[#All],7,FALSE),"Matricule!")</f>
        <v>0</v>
      </c>
      <c r="L133" s="62" t="e">
        <f>VLOOKUP(Tableau242[[#This Row],[Company number]],#REF!,25,FALSE)</f>
        <v>#REF!</v>
      </c>
      <c r="M133" s="62" t="str">
        <f>IFERROR(VLOOKUP(Tableau242[[#This Row],[Company number]],#REF!,30,FALSE),"")</f>
        <v/>
      </c>
      <c r="N133" s="62" t="str">
        <f>IFERROR(VLOOKUP(Tableau242[[#This Row],[Company number]],#REF!,31,FALSE),"")</f>
        <v/>
      </c>
      <c r="O133" s="62" t="str">
        <f>IFERROR(VLOOKUP(Tableau242[[#This Row],[Company number]],#REF!,32,FALSE),"")</f>
        <v/>
      </c>
      <c r="P133" s="62">
        <f>IFERROR(VLOOKUP(B133,Tableau3[#All],5,FALSE),"Matricule!")</f>
        <v>19</v>
      </c>
      <c r="Q133" s="62">
        <f>IFERROR(SUM(VLOOKUP(B133,Tableau3[#All],6,FALSE),VLOOKUP(B133,Tableau3[#All],8,FALSE)),"Matricule!")</f>
        <v>0</v>
      </c>
      <c r="R133" s="62">
        <f>IFERROR(VLOOKUP(B133,Tableau3[#All],7,FALSE),"Matricule!")</f>
        <v>1</v>
      </c>
      <c r="S133" s="62">
        <f>IFERROR(Tableau242[[#This Row],[Prod. days WK]]-Tableau242[[#This Row],[Prod PXX]],"Matricule")</f>
        <v>-4</v>
      </c>
      <c r="T133" s="62">
        <f>IFERROR(Tableau242[[#This Row],[Non prod. days WK]]-Tableau242[[#This Row],[Improd PXX]],"Matricule")</f>
        <v>4</v>
      </c>
      <c r="U133" s="62">
        <f>IFERROR(Tableau242[[#This Row],[Paid leave days WK]]-Tableau242[[#This Row],[Congé PXX]],"Matricule")</f>
        <v>0</v>
      </c>
      <c r="V133" s="63">
        <f>IFERROR(VLOOKUP($B133,#REF!,4,FALSE),0)</f>
        <v>0</v>
      </c>
      <c r="W13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33" s="63">
        <f>IF(AND(Tableau242[[#This Row],[Paid leave days]]&gt;0,Tableau242[[#This Row],[Prod. days]]&lt;0),MIN(Tableau242[[#This Row],[Paid leave days]],-Tableau242[[#This Row],[Prod. days]]),0)</f>
        <v>0</v>
      </c>
      <c r="Z133" s="63">
        <f>IFERROR(_xlfn.XLOOKUP(Tableau242[[#This Row],[Consultant]],Tableau2[Collaborateur/Nom affiché],Tableau2[Montant imputé],0),0)</f>
        <v>0</v>
      </c>
      <c r="AA133" s="64">
        <f t="shared" si="2"/>
        <v>-4</v>
      </c>
      <c r="AB133" s="65" t="s">
        <v>154</v>
      </c>
      <c r="AC133" s="66"/>
      <c r="AD133" s="66"/>
      <c r="AE133" s="105"/>
      <c r="AF133" s="90" t="s">
        <v>400</v>
      </c>
    </row>
    <row r="134" spans="1:32">
      <c r="A134" s="15">
        <f>Tableau242[[#This Row],[Company number]]+0</f>
        <v>20498</v>
      </c>
      <c r="B134" s="60" t="s">
        <v>401</v>
      </c>
      <c r="C134" s="61" t="s">
        <v>402</v>
      </c>
      <c r="D134" s="61" t="s">
        <v>21</v>
      </c>
      <c r="E134" s="62" t="str">
        <f>IFERROR(VLOOKUP(Tableau242[[#This Row],[Manager ou CDM concerné]],Parametres!B:C,2,FALSE),"")</f>
        <v>Squad E</v>
      </c>
      <c r="F134" s="62" t="str">
        <f>IF(Tableau242[[#This Row],[Consultant]]=Tableau242[[#This Row],[Manager ou CDM concerné]],"Non",IF(IFERROR(VLOOKUP(Tableau242[[#This Row],[Consultant]],Parametres!B:C,2,FALSE),0)=0,"Non","Oui"))</f>
        <v>Non</v>
      </c>
      <c r="G134" s="62">
        <f>IFERROR(VLOOKUP(B134,Tableau5[#All],4,FALSE),"Matricule!")</f>
        <v>20</v>
      </c>
      <c r="H134" s="62" t="str">
        <f>IFERROR(VLOOKUP(Tableau242[[#This Row],[Company number]],#REF!,6,FALSE),"")</f>
        <v/>
      </c>
      <c r="I134" s="62">
        <f>IFERROR(VLOOKUP(B134,Tableau5[#All],5,FALSE),"Matricule!")</f>
        <v>0</v>
      </c>
      <c r="J134" s="62">
        <f>IFERROR(VLOOKUP(B134,Tableau5[#All],6,FALSE),"Matricule!")</f>
        <v>0</v>
      </c>
      <c r="K134" s="62">
        <f>IFERROR(VLOOKUP(B134,Tableau5[#All],7,FALSE),"Matricule!")</f>
        <v>0</v>
      </c>
      <c r="L134" s="62" t="e">
        <f>VLOOKUP(Tableau242[[#This Row],[Company number]],#REF!,25,FALSE)</f>
        <v>#REF!</v>
      </c>
      <c r="M134" s="62" t="str">
        <f>IFERROR(VLOOKUP(Tableau242[[#This Row],[Company number]],#REF!,30,FALSE),"")</f>
        <v/>
      </c>
      <c r="N134" s="62" t="str">
        <f>IFERROR(VLOOKUP(Tableau242[[#This Row],[Company number]],#REF!,31,FALSE),"")</f>
        <v/>
      </c>
      <c r="O134" s="62" t="str">
        <f>IFERROR(VLOOKUP(Tableau242[[#This Row],[Company number]],#REF!,32,FALSE),"")</f>
        <v/>
      </c>
      <c r="P134" s="68">
        <f>IFERROR(VLOOKUP(B134,Tableau3[#All],5,FALSE),"Matricule!")</f>
        <v>20</v>
      </c>
      <c r="Q134" s="68">
        <f>IFERROR(SUM(VLOOKUP(B134,Tableau3[#All],6,FALSE),VLOOKUP(B134,Tableau3[#All],8,FALSE)),"Matricule!")</f>
        <v>0</v>
      </c>
      <c r="R134" s="68">
        <f>IFERROR(VLOOKUP(B134,Tableau3[#All],7,FALSE),"Matricule!")</f>
        <v>0</v>
      </c>
      <c r="S134" s="62">
        <f>IFERROR(Tableau242[[#This Row],[Prod. days WK]]-Tableau242[[#This Row],[Prod PXX]],"Matricule")</f>
        <v>0</v>
      </c>
      <c r="T134" s="62">
        <f>IFERROR(Tableau242[[#This Row],[Non prod. days WK]]-Tableau242[[#This Row],[Improd PXX]],"Matricule")</f>
        <v>0</v>
      </c>
      <c r="U134" s="62">
        <f>IFERROR(Tableau242[[#This Row],[Paid leave days WK]]-Tableau242[[#This Row],[Congé PXX]],"Matricule")</f>
        <v>0</v>
      </c>
      <c r="V134" s="63">
        <f>IFERROR(VLOOKUP($B134,#REF!,4,FALSE),0)</f>
        <v>0</v>
      </c>
      <c r="W13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34" s="63">
        <f>IF(AND(Tableau242[[#This Row],[Paid leave days]]&gt;0,Tableau242[[#This Row],[Prod. days]]&lt;0),MIN(Tableau242[[#This Row],[Paid leave days]],-Tableau242[[#This Row],[Prod. days]]),0)</f>
        <v>0</v>
      </c>
      <c r="Z134" s="63">
        <f>IFERROR(_xlfn.XLOOKUP(Tableau242[[#This Row],[Consultant]],Tableau2[Collaborateur/Nom affiché],Tableau2[Montant imputé],0),0)</f>
        <v>0</v>
      </c>
      <c r="AA134" s="64">
        <f t="shared" si="2"/>
        <v>0</v>
      </c>
      <c r="AB134" s="78"/>
      <c r="AC134" s="67"/>
      <c r="AD134" s="67"/>
      <c r="AE134" s="39"/>
      <c r="AF134" s="92"/>
    </row>
    <row r="135" spans="1:32">
      <c r="A135" s="15">
        <f>Tableau242[[#This Row],[Company number]]+0</f>
        <v>21824</v>
      </c>
      <c r="B135" s="60" t="s">
        <v>403</v>
      </c>
      <c r="C135" s="61" t="s">
        <v>404</v>
      </c>
      <c r="D135" s="61" t="s">
        <v>21</v>
      </c>
      <c r="E135" s="62" t="str">
        <f>IFERROR(VLOOKUP(Tableau242[[#This Row],[Manager ou CDM concerné]],Parametres!B:C,2,FALSE),"")</f>
        <v>Squad E</v>
      </c>
      <c r="F135" s="62" t="str">
        <f>IF(Tableau242[[#This Row],[Consultant]]=Tableau242[[#This Row],[Manager ou CDM concerné]],"Non",IF(IFERROR(VLOOKUP(Tableau242[[#This Row],[Consultant]],Parametres!B:C,2,FALSE),0)=0,"Non","Oui"))</f>
        <v>Non</v>
      </c>
      <c r="G135" s="62">
        <f>IFERROR(VLOOKUP(B135,Tableau5[#All],4,FALSE),"Matricule!")</f>
        <v>20</v>
      </c>
      <c r="H135" s="62" t="str">
        <f>IFERROR(VLOOKUP(Tableau242[[#This Row],[Company number]],#REF!,6,FALSE),"")</f>
        <v/>
      </c>
      <c r="I135" s="62">
        <f>IFERROR(VLOOKUP(B135,Tableau5[#All],5,FALSE),"Matricule!")</f>
        <v>0</v>
      </c>
      <c r="J135" s="62">
        <f>IFERROR(VLOOKUP(B135,Tableau5[#All],6,FALSE),"Matricule!")</f>
        <v>0</v>
      </c>
      <c r="K135" s="62">
        <f>IFERROR(VLOOKUP(B135,Tableau5[#All],7,FALSE),"Matricule!")</f>
        <v>0</v>
      </c>
      <c r="L135" s="62" t="e">
        <f>VLOOKUP(Tableau242[[#This Row],[Company number]],#REF!,25,FALSE)</f>
        <v>#REF!</v>
      </c>
      <c r="M135" s="62" t="str">
        <f>IFERROR(VLOOKUP(Tableau242[[#This Row],[Company number]],#REF!,30,FALSE),"")</f>
        <v/>
      </c>
      <c r="N135" s="62" t="str">
        <f>IFERROR(VLOOKUP(Tableau242[[#This Row],[Company number]],#REF!,31,FALSE),"")</f>
        <v/>
      </c>
      <c r="O135" s="62" t="str">
        <f>IFERROR(VLOOKUP(Tableau242[[#This Row],[Company number]],#REF!,32,FALSE),"")</f>
        <v/>
      </c>
      <c r="P135" s="62">
        <f>IFERROR(VLOOKUP(B135,Tableau3[#All],5,FALSE),"Matricule!")</f>
        <v>17</v>
      </c>
      <c r="Q135" s="62">
        <f>IFERROR(SUM(VLOOKUP(B135,Tableau3[#All],6,FALSE),VLOOKUP(B135,Tableau3[#All],8,FALSE)),"Matricule!")</f>
        <v>3</v>
      </c>
      <c r="R135" s="62">
        <f>IFERROR(VLOOKUP(B135,Tableau3[#All],7,FALSE),"Matricule!")</f>
        <v>0</v>
      </c>
      <c r="S135" s="62">
        <f>IFERROR(Tableau242[[#This Row],[Prod. days WK]]-Tableau242[[#This Row],[Prod PXX]],"Matricule")</f>
        <v>3</v>
      </c>
      <c r="T135" s="62">
        <f>IFERROR(Tableau242[[#This Row],[Non prod. days WK]]-Tableau242[[#This Row],[Improd PXX]],"Matricule")</f>
        <v>-3</v>
      </c>
      <c r="U135" s="62">
        <f>IFERROR(Tableau242[[#This Row],[Paid leave days WK]]-Tableau242[[#This Row],[Congé PXX]],"Matricule")</f>
        <v>0</v>
      </c>
      <c r="V135" s="63">
        <f>IFERROR(VLOOKUP($B135,#REF!,4,FALSE),0)</f>
        <v>0</v>
      </c>
      <c r="W13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35" s="63">
        <f>IF(AND(Tableau242[[#This Row],[Paid leave days]]&gt;0,Tableau242[[#This Row],[Prod. days]]&lt;0),MIN(Tableau242[[#This Row],[Paid leave days]],-Tableau242[[#This Row],[Prod. days]]),0)</f>
        <v>0</v>
      </c>
      <c r="Z135" s="63">
        <f>IFERROR(_xlfn.XLOOKUP(Tableau242[[#This Row],[Consultant]],Tableau2[Collaborateur/Nom affiché],Tableau2[Montant imputé],0),0)</f>
        <v>0</v>
      </c>
      <c r="AA135" s="64">
        <f t="shared" si="2"/>
        <v>3</v>
      </c>
      <c r="AB135" s="65"/>
      <c r="AC135" s="66"/>
      <c r="AD135" s="66"/>
      <c r="AE135" s="105"/>
      <c r="AF135" s="90"/>
    </row>
    <row r="136" spans="1:32">
      <c r="A136" s="15">
        <f>Tableau242[[#This Row],[Company number]]+0</f>
        <v>14352</v>
      </c>
      <c r="B136" s="60" t="s">
        <v>405</v>
      </c>
      <c r="C136" s="61" t="s">
        <v>406</v>
      </c>
      <c r="D136" s="61" t="s">
        <v>53</v>
      </c>
      <c r="E136" s="62" t="str">
        <f>IFERROR(VLOOKUP(Tableau242[[#This Row],[Manager ou CDM concerné]],Parametres!B:C,2,FALSE),"")</f>
        <v>Squad E</v>
      </c>
      <c r="F136" s="62" t="str">
        <f>IF(Tableau242[[#This Row],[Consultant]]=Tableau242[[#This Row],[Manager ou CDM concerné]],"Non",IF(IFERROR(VLOOKUP(Tableau242[[#This Row],[Consultant]],Parametres!B:C,2,FALSE),0)=0,"Non","Oui"))</f>
        <v>Non</v>
      </c>
      <c r="G136" s="62">
        <f>IFERROR(VLOOKUP(B136,Tableau5[#All],4,FALSE),"Matricule!")</f>
        <v>15.5</v>
      </c>
      <c r="H136" s="62" t="str">
        <f>IFERROR(VLOOKUP(Tableau242[[#This Row],[Company number]],#REF!,6,FALSE),"")</f>
        <v/>
      </c>
      <c r="I136" s="62">
        <f>IFERROR(VLOOKUP(B136,Tableau5[#All],5,FALSE),"Matricule!")</f>
        <v>4</v>
      </c>
      <c r="J136" s="62">
        <f>IFERROR(VLOOKUP(B136,Tableau5[#All],6,FALSE),"Matricule!")</f>
        <v>0.5</v>
      </c>
      <c r="K136" s="62">
        <f>IFERROR(VLOOKUP(B136,Tableau5[#All],7,FALSE),"Matricule!")</f>
        <v>0</v>
      </c>
      <c r="L136" s="62" t="e">
        <f>VLOOKUP(Tableau242[[#This Row],[Company number]],#REF!,25,FALSE)</f>
        <v>#REF!</v>
      </c>
      <c r="M136" s="62" t="str">
        <f>IFERROR(VLOOKUP(Tableau242[[#This Row],[Company number]],#REF!,30,FALSE),"")</f>
        <v/>
      </c>
      <c r="N136" s="62" t="str">
        <f>IFERROR(VLOOKUP(Tableau242[[#This Row],[Company number]],#REF!,31,FALSE),"")</f>
        <v/>
      </c>
      <c r="O136" s="62" t="str">
        <f>IFERROR(VLOOKUP(Tableau242[[#This Row],[Company number]],#REF!,32,FALSE),"")</f>
        <v/>
      </c>
      <c r="P136" s="62">
        <f>IFERROR(VLOOKUP(B136,Tableau3[#All],5,FALSE),"Matricule!")</f>
        <v>19.5</v>
      </c>
      <c r="Q136" s="62">
        <f>IFERROR(SUM(VLOOKUP(B136,Tableau3[#All],6,FALSE),VLOOKUP(B136,Tableau3[#All],8,FALSE)),"Matricule!")</f>
        <v>0</v>
      </c>
      <c r="R136" s="62">
        <f>IFERROR(VLOOKUP(B136,Tableau3[#All],7,FALSE),"Matricule!")</f>
        <v>0.5</v>
      </c>
      <c r="S136" s="62">
        <f>IFERROR(Tableau242[[#This Row],[Prod. days WK]]-Tableau242[[#This Row],[Prod PXX]],"Matricule")</f>
        <v>-4</v>
      </c>
      <c r="T136" s="62">
        <f>IFERROR(Tableau242[[#This Row],[Non prod. days WK]]-Tableau242[[#This Row],[Improd PXX]],"Matricule")</f>
        <v>4</v>
      </c>
      <c r="U136" s="62">
        <f>IFERROR(Tableau242[[#This Row],[Paid leave days WK]]-Tableau242[[#This Row],[Congé PXX]],"Matricule")</f>
        <v>0</v>
      </c>
      <c r="V136" s="63">
        <f>IFERROR(VLOOKUP($B136,#REF!,4,FALSE),0)</f>
        <v>0</v>
      </c>
      <c r="W13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36" s="63">
        <f>IF(AND(Tableau242[[#This Row],[Paid leave days]]&gt;0,Tableau242[[#This Row],[Prod. days]]&lt;0),MIN(Tableau242[[#This Row],[Paid leave days]],-Tableau242[[#This Row],[Prod. days]]),0)</f>
        <v>0</v>
      </c>
      <c r="Z136" s="63">
        <f>IFERROR(_xlfn.XLOOKUP(Tableau242[[#This Row],[Consultant]],Tableau2[Collaborateur/Nom affiché],Tableau2[Montant imputé],0),0)</f>
        <v>0</v>
      </c>
      <c r="AA136" s="64">
        <f t="shared" si="2"/>
        <v>-4</v>
      </c>
      <c r="AB136" s="78" t="s">
        <v>154</v>
      </c>
      <c r="AC136" s="66">
        <v>0.5</v>
      </c>
      <c r="AD136" s="66"/>
      <c r="AE136" s="105"/>
      <c r="AF136" s="90" t="s">
        <v>407</v>
      </c>
    </row>
    <row r="137" spans="1:32">
      <c r="A137" s="15">
        <f>Tableau242[[#This Row],[Company number]]+0</f>
        <v>17516</v>
      </c>
      <c r="B137" s="60" t="s">
        <v>408</v>
      </c>
      <c r="C137" s="61" t="s">
        <v>409</v>
      </c>
      <c r="D137" s="61" t="s">
        <v>21</v>
      </c>
      <c r="E137" s="62" t="str">
        <f>IFERROR(VLOOKUP(Tableau242[[#This Row],[Manager ou CDM concerné]],Parametres!B:C,2,FALSE),"")</f>
        <v>Squad E</v>
      </c>
      <c r="F137" s="62" t="str">
        <f>IF(Tableau242[[#This Row],[Consultant]]=Tableau242[[#This Row],[Manager ou CDM concerné]],"Non",IF(IFERROR(VLOOKUP(Tableau242[[#This Row],[Consultant]],Parametres!B:C,2,FALSE),0)=0,"Non","Oui"))</f>
        <v>Non</v>
      </c>
      <c r="G137" s="62">
        <f>IFERROR(VLOOKUP(B137,Tableau5[#All],4,FALSE),"Matricule!")</f>
        <v>9</v>
      </c>
      <c r="H137" s="62" t="str">
        <f>IFERROR(VLOOKUP(Tableau242[[#This Row],[Company number]],#REF!,6,FALSE),"")</f>
        <v/>
      </c>
      <c r="I137" s="62">
        <f>IFERROR(VLOOKUP(B137,Tableau5[#All],5,FALSE),"Matricule!")</f>
        <v>11</v>
      </c>
      <c r="J137" s="62">
        <f>IFERROR(VLOOKUP(B137,Tableau5[#All],6,FALSE),"Matricule!")</f>
        <v>0</v>
      </c>
      <c r="K137" s="62">
        <f>IFERROR(VLOOKUP(B137,Tableau5[#All],7,FALSE),"Matricule!")</f>
        <v>0</v>
      </c>
      <c r="L137" s="62" t="e">
        <f>VLOOKUP(Tableau242[[#This Row],[Company number]],#REF!,25,FALSE)</f>
        <v>#REF!</v>
      </c>
      <c r="M137" s="62" t="str">
        <f>IFERROR(VLOOKUP(Tableau242[[#This Row],[Company number]],#REF!,30,FALSE),"")</f>
        <v/>
      </c>
      <c r="N137" s="62" t="str">
        <f>IFERROR(VLOOKUP(Tableau242[[#This Row],[Company number]],#REF!,31,FALSE),"")</f>
        <v/>
      </c>
      <c r="O137" s="62" t="str">
        <f>IFERROR(VLOOKUP(Tableau242[[#This Row],[Company number]],#REF!,32,FALSE),"")</f>
        <v/>
      </c>
      <c r="P137" s="62">
        <f>IFERROR(VLOOKUP(B137,Tableau3[#All],5,FALSE),"Matricule!")</f>
        <v>9</v>
      </c>
      <c r="Q137" s="62">
        <f>IFERROR(SUM(VLOOKUP(B137,Tableau3[#All],6,FALSE),VLOOKUP(B137,Tableau3[#All],8,FALSE)),"Matricule!")</f>
        <v>11</v>
      </c>
      <c r="R137" s="62">
        <f>IFERROR(VLOOKUP(B137,Tableau3[#All],7,FALSE),"Matricule!")</f>
        <v>0</v>
      </c>
      <c r="S137" s="62">
        <f>IFERROR(Tableau242[[#This Row],[Prod. days WK]]-Tableau242[[#This Row],[Prod PXX]],"Matricule")</f>
        <v>0</v>
      </c>
      <c r="T137" s="62">
        <f>IFERROR(Tableau242[[#This Row],[Non prod. days WK]]-Tableau242[[#This Row],[Improd PXX]],"Matricule")</f>
        <v>0</v>
      </c>
      <c r="U137" s="62">
        <f>IFERROR(Tableau242[[#This Row],[Paid leave days WK]]-Tableau242[[#This Row],[Congé PXX]],"Matricule")</f>
        <v>0</v>
      </c>
      <c r="V137" s="63">
        <f>IFERROR(VLOOKUP($B137,#REF!,4,FALSE),0)</f>
        <v>0</v>
      </c>
      <c r="W13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37" s="63">
        <f>IF(AND(Tableau242[[#This Row],[Paid leave days]]&gt;0,Tableau242[[#This Row],[Prod. days]]&lt;0),MIN(Tableau242[[#This Row],[Paid leave days]],-Tableau242[[#This Row],[Prod. days]]),0)</f>
        <v>0</v>
      </c>
      <c r="Z137" s="63">
        <f>IFERROR(_xlfn.XLOOKUP(Tableau242[[#This Row],[Consultant]],Tableau2[Collaborateur/Nom affiché],Tableau2[Montant imputé],0),0)</f>
        <v>0</v>
      </c>
      <c r="AA137" s="64">
        <f t="shared" si="2"/>
        <v>0</v>
      </c>
      <c r="AB137" s="65" t="s">
        <v>154</v>
      </c>
      <c r="AC137" s="66"/>
      <c r="AD137" s="66"/>
      <c r="AE137" s="105"/>
      <c r="AF137" s="90"/>
    </row>
    <row r="138" spans="1:32">
      <c r="A138" s="15">
        <f>Tableau242[[#This Row],[Company number]]+0</f>
        <v>21910</v>
      </c>
      <c r="B138" s="60" t="s">
        <v>410</v>
      </c>
      <c r="C138" s="61" t="s">
        <v>411</v>
      </c>
      <c r="D138" s="61" t="s">
        <v>62</v>
      </c>
      <c r="E138" s="62" t="str">
        <f>IFERROR(VLOOKUP(Tableau242[[#This Row],[Manager ou CDM concerné]],Parametres!B:C,2,FALSE),"")</f>
        <v>Squad E</v>
      </c>
      <c r="F138" s="62" t="str">
        <f>IF(Tableau242[[#This Row],[Consultant]]=Tableau242[[#This Row],[Manager ou CDM concerné]],"Non",IF(IFERROR(VLOOKUP(Tableau242[[#This Row],[Consultant]],Parametres!B:C,2,FALSE),0)=0,"Non","Oui"))</f>
        <v>Non</v>
      </c>
      <c r="G138" s="62">
        <f>IFERROR(VLOOKUP(B138,Tableau5[#All],4,FALSE),"Matricule!")</f>
        <v>11.5</v>
      </c>
      <c r="H138" s="62" t="str">
        <f>IFERROR(VLOOKUP(Tableau242[[#This Row],[Company number]],#REF!,6,FALSE),"")</f>
        <v/>
      </c>
      <c r="I138" s="62">
        <f>IFERROR(VLOOKUP(B138,Tableau5[#All],5,FALSE),"Matricule!")</f>
        <v>8.5</v>
      </c>
      <c r="J138" s="62">
        <f>IFERROR(VLOOKUP(B138,Tableau5[#All],6,FALSE),"Matricule!")</f>
        <v>0</v>
      </c>
      <c r="K138" s="62">
        <f>IFERROR(VLOOKUP(B138,Tableau5[#All],7,FALSE),"Matricule!")</f>
        <v>0</v>
      </c>
      <c r="L138" s="62" t="e">
        <f>VLOOKUP(Tableau242[[#This Row],[Company number]],#REF!,25,FALSE)</f>
        <v>#REF!</v>
      </c>
      <c r="M138" s="62" t="str">
        <f>IFERROR(VLOOKUP(Tableau242[[#This Row],[Company number]],#REF!,30,FALSE),"")</f>
        <v/>
      </c>
      <c r="N138" s="62" t="str">
        <f>IFERROR(VLOOKUP(Tableau242[[#This Row],[Company number]],#REF!,31,FALSE),"")</f>
        <v/>
      </c>
      <c r="O138" s="62" t="str">
        <f>IFERROR(VLOOKUP(Tableau242[[#This Row],[Company number]],#REF!,32,FALSE),"")</f>
        <v/>
      </c>
      <c r="P138" s="62">
        <f>IFERROR(VLOOKUP(B138,Tableau3[#All],5,FALSE),"Matricule!")</f>
        <v>15</v>
      </c>
      <c r="Q138" s="62">
        <f>IFERROR(SUM(VLOOKUP(B138,Tableau3[#All],6,FALSE),VLOOKUP(B138,Tableau3[#All],8,FALSE)),"Matricule!")</f>
        <v>5</v>
      </c>
      <c r="R138" s="62">
        <f>IFERROR(VLOOKUP(B138,Tableau3[#All],7,FALSE),"Matricule!")</f>
        <v>0</v>
      </c>
      <c r="S138" s="62">
        <f>IFERROR(Tableau242[[#This Row],[Prod. days WK]]-Tableau242[[#This Row],[Prod PXX]],"Matricule")</f>
        <v>-3.5</v>
      </c>
      <c r="T138" s="62">
        <f>IFERROR(Tableau242[[#This Row],[Non prod. days WK]]-Tableau242[[#This Row],[Improd PXX]],"Matricule")</f>
        <v>3.5</v>
      </c>
      <c r="U138" s="62">
        <f>IFERROR(Tableau242[[#This Row],[Paid leave days WK]]-Tableau242[[#This Row],[Congé PXX]],"Matricule")</f>
        <v>0</v>
      </c>
      <c r="V138" s="63">
        <f>IFERROR(VLOOKUP($B138,#REF!,4,FALSE),0)</f>
        <v>0</v>
      </c>
      <c r="W13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38" s="63">
        <f>IF(AND(Tableau242[[#This Row],[Paid leave days]]&gt;0,Tableau242[[#This Row],[Prod. days]]&lt;0),MIN(Tableau242[[#This Row],[Paid leave days]],-Tableau242[[#This Row],[Prod. days]]),0)</f>
        <v>0</v>
      </c>
      <c r="Z138" s="63">
        <f>IFERROR(_xlfn.XLOOKUP(Tableau242[[#This Row],[Consultant]],Tableau2[Collaborateur/Nom affiché],Tableau2[Montant imputé],0),0)</f>
        <v>0</v>
      </c>
      <c r="AA138" s="64">
        <f t="shared" si="2"/>
        <v>-3.5</v>
      </c>
      <c r="AB138" s="65" t="s">
        <v>154</v>
      </c>
      <c r="AC138" s="66"/>
      <c r="AD138" s="66"/>
      <c r="AE138" s="105"/>
      <c r="AF138" s="90" t="s">
        <v>412</v>
      </c>
    </row>
    <row r="139" spans="1:32">
      <c r="A139" s="15">
        <f>Tableau242[[#This Row],[Company number]]+0</f>
        <v>17015</v>
      </c>
      <c r="B139" s="60" t="s">
        <v>413</v>
      </c>
      <c r="C139" s="61" t="s">
        <v>414</v>
      </c>
      <c r="D139" s="61" t="s">
        <v>21</v>
      </c>
      <c r="E139" s="62" t="str">
        <f>IFERROR(VLOOKUP(Tableau242[[#This Row],[Manager ou CDM concerné]],Parametres!B:C,2,FALSE),"")</f>
        <v>Squad E</v>
      </c>
      <c r="F139" s="62" t="str">
        <f>IF(Tableau242[[#This Row],[Consultant]]=Tableau242[[#This Row],[Manager ou CDM concerné]],"Non",IF(IFERROR(VLOOKUP(Tableau242[[#This Row],[Consultant]],Parametres!B:C,2,FALSE),0)=0,"Non","Oui"))</f>
        <v>Non</v>
      </c>
      <c r="G139" s="62">
        <f>IFERROR(VLOOKUP(B139,Tableau5[#All],4,FALSE),"Matricule!")</f>
        <v>19</v>
      </c>
      <c r="H139" s="62" t="str">
        <f>IFERROR(VLOOKUP(Tableau242[[#This Row],[Company number]],#REF!,6,FALSE),"")</f>
        <v/>
      </c>
      <c r="I139" s="62">
        <f>IFERROR(VLOOKUP(B139,Tableau5[#All],5,FALSE),"Matricule!")</f>
        <v>0</v>
      </c>
      <c r="J139" s="62">
        <f>IFERROR(VLOOKUP(B139,Tableau5[#All],6,FALSE),"Matricule!")</f>
        <v>1</v>
      </c>
      <c r="K139" s="62">
        <f>IFERROR(VLOOKUP(B139,Tableau5[#All],7,FALSE),"Matricule!")</f>
        <v>0</v>
      </c>
      <c r="L139" s="62" t="e">
        <f>VLOOKUP(Tableau242[[#This Row],[Company number]],#REF!,25,FALSE)</f>
        <v>#REF!</v>
      </c>
      <c r="M139" s="62" t="str">
        <f>IFERROR(VLOOKUP(Tableau242[[#This Row],[Company number]],#REF!,30,FALSE),"")</f>
        <v/>
      </c>
      <c r="N139" s="62" t="str">
        <f>IFERROR(VLOOKUP(Tableau242[[#This Row],[Company number]],#REF!,31,FALSE),"")</f>
        <v/>
      </c>
      <c r="O139" s="62" t="str">
        <f>IFERROR(VLOOKUP(Tableau242[[#This Row],[Company number]],#REF!,32,FALSE),"")</f>
        <v/>
      </c>
      <c r="P139" s="62">
        <f>IFERROR(VLOOKUP(B139,Tableau3[#All],5,FALSE),"Matricule!")</f>
        <v>19</v>
      </c>
      <c r="Q139" s="62">
        <f>IFERROR(SUM(VLOOKUP(B139,Tableau3[#All],6,FALSE),VLOOKUP(B139,Tableau3[#All],8,FALSE)),"Matricule!")</f>
        <v>0</v>
      </c>
      <c r="R139" s="62">
        <f>IFERROR(VLOOKUP(B139,Tableau3[#All],7,FALSE),"Matricule!")</f>
        <v>1</v>
      </c>
      <c r="S139" s="62">
        <f>IFERROR(Tableau242[[#This Row],[Prod. days WK]]-Tableau242[[#This Row],[Prod PXX]],"Matricule")</f>
        <v>0</v>
      </c>
      <c r="T139" s="62">
        <f>IFERROR(Tableau242[[#This Row],[Non prod. days WK]]-Tableau242[[#This Row],[Improd PXX]],"Matricule")</f>
        <v>0</v>
      </c>
      <c r="U139" s="62">
        <f>IFERROR(Tableau242[[#This Row],[Paid leave days WK]]-Tableau242[[#This Row],[Congé PXX]],"Matricule")</f>
        <v>0</v>
      </c>
      <c r="V139" s="63">
        <f>IFERROR(VLOOKUP($B139,#REF!,4,FALSE),0)</f>
        <v>0</v>
      </c>
      <c r="W13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3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39" s="63">
        <f>IF(AND(Tableau242[[#This Row],[Paid leave days]]&gt;0,Tableau242[[#This Row],[Prod. days]]&lt;0),MIN(Tableau242[[#This Row],[Paid leave days]],-Tableau242[[#This Row],[Prod. days]]),0)</f>
        <v>0</v>
      </c>
      <c r="Z139" s="63">
        <f>IFERROR(_xlfn.XLOOKUP(Tableau242[[#This Row],[Consultant]],Tableau2[Collaborateur/Nom affiché],Tableau2[Montant imputé],0),0)</f>
        <v>0</v>
      </c>
      <c r="AA139" s="64">
        <f t="shared" ref="AA139:AA202" si="3">IFERROR(S139+Z139,S139)</f>
        <v>0</v>
      </c>
      <c r="AB139" s="65"/>
      <c r="AC139" s="66"/>
      <c r="AD139" s="66"/>
      <c r="AE139" s="105"/>
      <c r="AF139" s="90"/>
    </row>
    <row r="140" spans="1:32">
      <c r="A140" s="15">
        <f>Tableau242[[#This Row],[Company number]]+0</f>
        <v>20570</v>
      </c>
      <c r="B140" s="60" t="s">
        <v>415</v>
      </c>
      <c r="C140" s="61" t="s">
        <v>416</v>
      </c>
      <c r="D140" s="61" t="s">
        <v>21</v>
      </c>
      <c r="E140" s="62" t="str">
        <f>IFERROR(VLOOKUP(Tableau242[[#This Row],[Manager ou CDM concerné]],Parametres!B:C,2,FALSE),"")</f>
        <v>Squad E</v>
      </c>
      <c r="F140" s="62" t="str">
        <f>IF(Tableau242[[#This Row],[Consultant]]=Tableau242[[#This Row],[Manager ou CDM concerné]],"Non",IF(IFERROR(VLOOKUP(Tableau242[[#This Row],[Consultant]],Parametres!B:C,2,FALSE),0)=0,"Non","Oui"))</f>
        <v>Non</v>
      </c>
      <c r="G140" s="62">
        <f>IFERROR(VLOOKUP(B140,Tableau5[#All],4,FALSE),"Matricule!")</f>
        <v>15</v>
      </c>
      <c r="H140" s="62" t="str">
        <f>IFERROR(VLOOKUP(Tableau242[[#This Row],[Company number]],#REF!,6,FALSE),"")</f>
        <v/>
      </c>
      <c r="I140" s="62">
        <f>IFERROR(VLOOKUP(B140,Tableau5[#All],5,FALSE),"Matricule!")</f>
        <v>3</v>
      </c>
      <c r="J140" s="62">
        <f>IFERROR(VLOOKUP(B140,Tableau5[#All],6,FALSE),"Matricule!")</f>
        <v>2</v>
      </c>
      <c r="K140" s="62">
        <f>IFERROR(VLOOKUP(B140,Tableau5[#All],7,FALSE),"Matricule!")</f>
        <v>0</v>
      </c>
      <c r="L140" s="62" t="e">
        <f>VLOOKUP(Tableau242[[#This Row],[Company number]],#REF!,25,FALSE)</f>
        <v>#REF!</v>
      </c>
      <c r="M140" s="62" t="str">
        <f>IFERROR(VLOOKUP(Tableau242[[#This Row],[Company number]],#REF!,30,FALSE),"")</f>
        <v/>
      </c>
      <c r="N140" s="62" t="str">
        <f>IFERROR(VLOOKUP(Tableau242[[#This Row],[Company number]],#REF!,31,FALSE),"")</f>
        <v/>
      </c>
      <c r="O140" s="62" t="str">
        <f>IFERROR(VLOOKUP(Tableau242[[#This Row],[Company number]],#REF!,32,FALSE),"")</f>
        <v/>
      </c>
      <c r="P140" s="62">
        <f>IFERROR(VLOOKUP(B140,Tableau3[#All],5,FALSE),"Matricule!")</f>
        <v>15</v>
      </c>
      <c r="Q140" s="62">
        <f>IFERROR(SUM(VLOOKUP(B140,Tableau3[#All],6,FALSE),VLOOKUP(B140,Tableau3[#All],8,FALSE)),"Matricule!")</f>
        <v>3</v>
      </c>
      <c r="R140" s="62">
        <f>IFERROR(VLOOKUP(B140,Tableau3[#All],7,FALSE),"Matricule!")</f>
        <v>2</v>
      </c>
      <c r="S140" s="62">
        <f>IFERROR(Tableau242[[#This Row],[Prod. days WK]]-Tableau242[[#This Row],[Prod PXX]],"Matricule")</f>
        <v>0</v>
      </c>
      <c r="T140" s="62">
        <f>IFERROR(Tableau242[[#This Row],[Non prod. days WK]]-Tableau242[[#This Row],[Improd PXX]],"Matricule")</f>
        <v>0</v>
      </c>
      <c r="U140" s="62">
        <f>IFERROR(Tableau242[[#This Row],[Paid leave days WK]]-Tableau242[[#This Row],[Congé PXX]],"Matricule")</f>
        <v>0</v>
      </c>
      <c r="V140" s="63">
        <f>IFERROR(VLOOKUP($B140,#REF!,4,FALSE),0)</f>
        <v>0</v>
      </c>
      <c r="W14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140" s="63">
        <f>IF(AND(Tableau242[[#This Row],[Paid leave days]]&gt;0,Tableau242[[#This Row],[Prod. days]]&lt;0),MIN(Tableau242[[#This Row],[Paid leave days]],-Tableau242[[#This Row],[Prod. days]]),0)</f>
        <v>0</v>
      </c>
      <c r="Z140" s="63">
        <f>IFERROR(_xlfn.XLOOKUP(Tableau242[[#This Row],[Consultant]],Tableau2[Collaborateur/Nom affiché],Tableau2[Montant imputé],0),0)</f>
        <v>3</v>
      </c>
      <c r="AA140" s="64">
        <f t="shared" si="3"/>
        <v>3</v>
      </c>
      <c r="AB140" s="65"/>
      <c r="AC140" s="66"/>
      <c r="AD140" s="66"/>
      <c r="AE140" s="105"/>
      <c r="AF140" s="90"/>
    </row>
    <row r="141" spans="1:32">
      <c r="A141" s="15">
        <f>Tableau242[[#This Row],[Company number]]+0</f>
        <v>17773</v>
      </c>
      <c r="B141" s="60" t="s">
        <v>417</v>
      </c>
      <c r="C141" s="61" t="s">
        <v>418</v>
      </c>
      <c r="D141" s="61" t="s">
        <v>21</v>
      </c>
      <c r="E141" s="62" t="str">
        <f>IFERROR(VLOOKUP(Tableau242[[#This Row],[Manager ou CDM concerné]],Parametres!B:C,2,FALSE),"")</f>
        <v>Squad E</v>
      </c>
      <c r="F141" s="62" t="str">
        <f>IF(Tableau242[[#This Row],[Consultant]]=Tableau242[[#This Row],[Manager ou CDM concerné]],"Non",IF(IFERROR(VLOOKUP(Tableau242[[#This Row],[Consultant]],Parametres!B:C,2,FALSE),0)=0,"Non","Oui"))</f>
        <v>Non</v>
      </c>
      <c r="G141" s="62">
        <f>IFERROR(VLOOKUP(B141,Tableau5[#All],4,FALSE),"Matricule!")</f>
        <v>0</v>
      </c>
      <c r="H141" s="62" t="str">
        <f>IFERROR(VLOOKUP(Tableau242[[#This Row],[Company number]],#REF!,6,FALSE),"")</f>
        <v/>
      </c>
      <c r="I141" s="62">
        <f>IFERROR(VLOOKUP(B141,Tableau5[#All],5,FALSE),"Matricule!")</f>
        <v>20</v>
      </c>
      <c r="J141" s="62">
        <f>IFERROR(VLOOKUP(B141,Tableau5[#All],6,FALSE),"Matricule!")</f>
        <v>0</v>
      </c>
      <c r="K141" s="62">
        <f>IFERROR(VLOOKUP(B141,Tableau5[#All],7,FALSE),"Matricule!")</f>
        <v>0</v>
      </c>
      <c r="L141" s="62" t="e">
        <f>VLOOKUP(Tableau242[[#This Row],[Company number]],#REF!,25,FALSE)</f>
        <v>#REF!</v>
      </c>
      <c r="M141" s="62" t="str">
        <f>IFERROR(VLOOKUP(Tableau242[[#This Row],[Company number]],#REF!,30,FALSE),"")</f>
        <v/>
      </c>
      <c r="N141" s="62" t="str">
        <f>IFERROR(VLOOKUP(Tableau242[[#This Row],[Company number]],#REF!,31,FALSE),"")</f>
        <v/>
      </c>
      <c r="O141" s="62" t="str">
        <f>IFERROR(VLOOKUP(Tableau242[[#This Row],[Company number]],#REF!,32,FALSE),"")</f>
        <v/>
      </c>
      <c r="P141" s="62">
        <f>IFERROR(VLOOKUP(B141,Tableau3[#All],5,FALSE),"Matricule!")</f>
        <v>0</v>
      </c>
      <c r="Q141" s="62">
        <f>IFERROR(SUM(VLOOKUP(B141,Tableau3[#All],6,FALSE),VLOOKUP(B141,Tableau3[#All],8,FALSE)),"Matricule!")</f>
        <v>20</v>
      </c>
      <c r="R141" s="62">
        <f>IFERROR(VLOOKUP(B141,Tableau3[#All],7,FALSE),"Matricule!")</f>
        <v>0</v>
      </c>
      <c r="S141" s="62">
        <f>IFERROR(Tableau242[[#This Row],[Prod. days WK]]-Tableau242[[#This Row],[Prod PXX]],"Matricule")</f>
        <v>0</v>
      </c>
      <c r="T141" s="62">
        <f>IFERROR(Tableau242[[#This Row],[Non prod. days WK]]-Tableau242[[#This Row],[Improd PXX]],"Matricule")</f>
        <v>0</v>
      </c>
      <c r="U141" s="62">
        <f>IFERROR(Tableau242[[#This Row],[Paid leave days WK]]-Tableau242[[#This Row],[Congé PXX]],"Matricule")</f>
        <v>0</v>
      </c>
      <c r="V141" s="63">
        <f>IFERROR(VLOOKUP($B141,#REF!,4,FALSE),0)</f>
        <v>0</v>
      </c>
      <c r="W14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41" s="63">
        <f>IF(AND(Tableau242[[#This Row],[Paid leave days]]&gt;0,Tableau242[[#This Row],[Prod. days]]&lt;0),MIN(Tableau242[[#This Row],[Paid leave days]],-Tableau242[[#This Row],[Prod. days]]),0)</f>
        <v>0</v>
      </c>
      <c r="Z141" s="63">
        <f>IFERROR(_xlfn.XLOOKUP(Tableau242[[#This Row],[Consultant]],Tableau2[Collaborateur/Nom affiché],Tableau2[Montant imputé],0),0)</f>
        <v>0</v>
      </c>
      <c r="AA141" s="64">
        <f t="shared" si="3"/>
        <v>0</v>
      </c>
      <c r="AB141" s="65" t="s">
        <v>154</v>
      </c>
      <c r="AC141" s="67"/>
      <c r="AD141" s="67"/>
      <c r="AE141" s="106"/>
      <c r="AF141" s="94"/>
    </row>
    <row r="142" spans="1:32">
      <c r="A142" s="15">
        <f>Tableau242[[#This Row],[Company number]]+0</f>
        <v>16434</v>
      </c>
      <c r="B142" s="60" t="s">
        <v>419</v>
      </c>
      <c r="C142" s="61" t="s">
        <v>420</v>
      </c>
      <c r="D142" s="61" t="s">
        <v>21</v>
      </c>
      <c r="E142" s="62" t="str">
        <f>IFERROR(VLOOKUP(Tableau242[[#This Row],[Manager ou CDM concerné]],Parametres!B:C,2,FALSE),"")</f>
        <v>Squad E</v>
      </c>
      <c r="F142" s="62" t="str">
        <f>IF(Tableau242[[#This Row],[Consultant]]=Tableau242[[#This Row],[Manager ou CDM concerné]],"Non",IF(IFERROR(VLOOKUP(Tableau242[[#This Row],[Consultant]],Parametres!B:C,2,FALSE),0)=0,"Non","Oui"))</f>
        <v>Non</v>
      </c>
      <c r="G142" s="62">
        <f>IFERROR(VLOOKUP(B142,Tableau5[#All],4,FALSE),"Matricule!")</f>
        <v>19</v>
      </c>
      <c r="H142" s="62" t="str">
        <f>IFERROR(VLOOKUP(Tableau242[[#This Row],[Company number]],#REF!,6,FALSE),"")</f>
        <v/>
      </c>
      <c r="I142" s="62">
        <f>IFERROR(VLOOKUP(B142,Tableau5[#All],5,FALSE),"Matricule!")</f>
        <v>0</v>
      </c>
      <c r="J142" s="62">
        <f>IFERROR(VLOOKUP(B142,Tableau5[#All],6,FALSE),"Matricule!")</f>
        <v>1</v>
      </c>
      <c r="K142" s="62">
        <f>IFERROR(VLOOKUP(B142,Tableau5[#All],7,FALSE),"Matricule!")</f>
        <v>0</v>
      </c>
      <c r="L142" s="62" t="e">
        <f>VLOOKUP(Tableau242[[#This Row],[Company number]],#REF!,25,FALSE)</f>
        <v>#REF!</v>
      </c>
      <c r="M142" s="62" t="str">
        <f>IFERROR(VLOOKUP(Tableau242[[#This Row],[Company number]],#REF!,30,FALSE),"")</f>
        <v/>
      </c>
      <c r="N142" s="62" t="str">
        <f>IFERROR(VLOOKUP(Tableau242[[#This Row],[Company number]],#REF!,31,FALSE),"")</f>
        <v/>
      </c>
      <c r="O142" s="62" t="str">
        <f>IFERROR(VLOOKUP(Tableau242[[#This Row],[Company number]],#REF!,32,FALSE),"")</f>
        <v/>
      </c>
      <c r="P142" s="68">
        <f>IFERROR(VLOOKUP(B142,Tableau3[#All],5,FALSE),"Matricule!")</f>
        <v>20</v>
      </c>
      <c r="Q142" s="68">
        <f>IFERROR(SUM(VLOOKUP(B142,Tableau3[#All],6,FALSE),VLOOKUP(B142,Tableau3[#All],8,FALSE)),"Matricule!")</f>
        <v>0</v>
      </c>
      <c r="R142" s="68">
        <f>IFERROR(VLOOKUP(B142,Tableau3[#All],7,FALSE),"Matricule!")</f>
        <v>0</v>
      </c>
      <c r="S142" s="62">
        <f>IFERROR(Tableau242[[#This Row],[Prod. days WK]]-Tableau242[[#This Row],[Prod PXX]],"Matricule")</f>
        <v>-1</v>
      </c>
      <c r="T142" s="62">
        <f>IFERROR(Tableau242[[#This Row],[Non prod. days WK]]-Tableau242[[#This Row],[Improd PXX]],"Matricule")</f>
        <v>0</v>
      </c>
      <c r="U142" s="62">
        <f>IFERROR(Tableau242[[#This Row],[Paid leave days WK]]-Tableau242[[#This Row],[Congé PXX]],"Matricule")</f>
        <v>1</v>
      </c>
      <c r="V142" s="63">
        <f>IFERROR(VLOOKUP($B142,#REF!,4,FALSE),0)</f>
        <v>0</v>
      </c>
      <c r="W14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42" s="63">
        <f>IF(AND(Tableau242[[#This Row],[Paid leave days]]&gt;0,Tableau242[[#This Row],[Prod. days]]&lt;0),MIN(Tableau242[[#This Row],[Paid leave days]],-Tableau242[[#This Row],[Prod. days]]),0)</f>
        <v>1</v>
      </c>
      <c r="Z142" s="63">
        <f>IFERROR(_xlfn.XLOOKUP(Tableau242[[#This Row],[Consultant]],Tableau2[Collaborateur/Nom affiché],Tableau2[Montant imputé],0),0)</f>
        <v>0</v>
      </c>
      <c r="AA142" s="64">
        <f t="shared" si="3"/>
        <v>-1</v>
      </c>
      <c r="AB142" s="65"/>
      <c r="AC142" s="66"/>
      <c r="AD142" s="66"/>
      <c r="AE142" s="115"/>
      <c r="AF142" s="90"/>
    </row>
    <row r="143" spans="1:32">
      <c r="A143" s="15">
        <f>Tableau242[[#This Row],[Company number]]+0</f>
        <v>18123</v>
      </c>
      <c r="B143" s="60" t="s">
        <v>421</v>
      </c>
      <c r="C143" s="61" t="s">
        <v>422</v>
      </c>
      <c r="D143" s="61" t="s">
        <v>21</v>
      </c>
      <c r="E143" s="62" t="str">
        <f>IFERROR(VLOOKUP(Tableau242[[#This Row],[Manager ou CDM concerné]],Parametres!B:C,2,FALSE),"")</f>
        <v>Squad E</v>
      </c>
      <c r="F143" s="62" t="str">
        <f>IF(Tableau242[[#This Row],[Consultant]]=Tableau242[[#This Row],[Manager ou CDM concerné]],"Non",IF(IFERROR(VLOOKUP(Tableau242[[#This Row],[Consultant]],Parametres!B:C,2,FALSE),0)=0,"Non","Oui"))</f>
        <v>Non</v>
      </c>
      <c r="G143" s="62">
        <f>IFERROR(VLOOKUP(B143,Tableau5[#All],4,FALSE),"Matricule!")</f>
        <v>0</v>
      </c>
      <c r="H143" s="62" t="str">
        <f>IFERROR(VLOOKUP(Tableau242[[#This Row],[Company number]],#REF!,6,FALSE),"")</f>
        <v/>
      </c>
      <c r="I143" s="62">
        <f>IFERROR(VLOOKUP(B143,Tableau5[#All],5,FALSE),"Matricule!")</f>
        <v>18</v>
      </c>
      <c r="J143" s="62">
        <f>IFERROR(VLOOKUP(B143,Tableau5[#All],6,FALSE),"Matricule!")</f>
        <v>2</v>
      </c>
      <c r="K143" s="62">
        <f>IFERROR(VLOOKUP(B143,Tableau5[#All],7,FALSE),"Matricule!")</f>
        <v>0</v>
      </c>
      <c r="L143" s="62" t="e">
        <f>VLOOKUP(Tableau242[[#This Row],[Company number]],#REF!,25,FALSE)</f>
        <v>#REF!</v>
      </c>
      <c r="M143" s="62" t="str">
        <f>IFERROR(VLOOKUP(Tableau242[[#This Row],[Company number]],#REF!,30,FALSE),"")</f>
        <v/>
      </c>
      <c r="N143" s="62" t="str">
        <f>IFERROR(VLOOKUP(Tableau242[[#This Row],[Company number]],#REF!,31,FALSE),"")</f>
        <v/>
      </c>
      <c r="O143" s="62" t="str">
        <f>IFERROR(VLOOKUP(Tableau242[[#This Row],[Company number]],#REF!,32,FALSE),"")</f>
        <v/>
      </c>
      <c r="P143" s="62">
        <f>IFERROR(VLOOKUP(B143,Tableau3[#All],5,FALSE),"Matricule!")</f>
        <v>0</v>
      </c>
      <c r="Q143" s="62">
        <f>IFERROR(SUM(VLOOKUP(B143,Tableau3[#All],6,FALSE),VLOOKUP(B143,Tableau3[#All],8,FALSE)),"Matricule!")</f>
        <v>18</v>
      </c>
      <c r="R143" s="62">
        <f>IFERROR(VLOOKUP(B143,Tableau3[#All],7,FALSE),"Matricule!")</f>
        <v>2</v>
      </c>
      <c r="S143" s="62">
        <f>IFERROR(Tableau242[[#This Row],[Prod. days WK]]-Tableau242[[#This Row],[Prod PXX]],"Matricule")</f>
        <v>0</v>
      </c>
      <c r="T143" s="62">
        <f>IFERROR(Tableau242[[#This Row],[Non prod. days WK]]-Tableau242[[#This Row],[Improd PXX]],"Matricule")</f>
        <v>0</v>
      </c>
      <c r="U143" s="62">
        <f>IFERROR(Tableau242[[#This Row],[Paid leave days WK]]-Tableau242[[#This Row],[Congé PXX]],"Matricule")</f>
        <v>0</v>
      </c>
      <c r="V143" s="63">
        <f>IFERROR(VLOOKUP($B143,#REF!,4,FALSE),0)</f>
        <v>0</v>
      </c>
      <c r="W14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43" s="63">
        <f>IF(AND(Tableau242[[#This Row],[Paid leave days]]&gt;0,Tableau242[[#This Row],[Prod. days]]&lt;0),MIN(Tableau242[[#This Row],[Paid leave days]],-Tableau242[[#This Row],[Prod. days]]),0)</f>
        <v>0</v>
      </c>
      <c r="Z143" s="63">
        <f>IFERROR(_xlfn.XLOOKUP(Tableau242[[#This Row],[Consultant]],Tableau2[Collaborateur/Nom affiché],Tableau2[Montant imputé],0),0)</f>
        <v>0</v>
      </c>
      <c r="AA143" s="64">
        <f t="shared" si="3"/>
        <v>0</v>
      </c>
      <c r="AB143" s="65" t="s">
        <v>154</v>
      </c>
      <c r="AC143" s="66"/>
      <c r="AD143" s="66"/>
      <c r="AE143" s="105"/>
      <c r="AF143" s="90"/>
    </row>
    <row r="144" spans="1:32">
      <c r="A144" s="15">
        <f>Tableau242[[#This Row],[Company number]]+0</f>
        <v>21738</v>
      </c>
      <c r="B144" s="60" t="s">
        <v>423</v>
      </c>
      <c r="C144" s="61" t="s">
        <v>424</v>
      </c>
      <c r="D144" s="61" t="s">
        <v>69</v>
      </c>
      <c r="E144" s="62" t="str">
        <f>IFERROR(VLOOKUP(Tableau242[[#This Row],[Manager ou CDM concerné]],Parametres!B:C,2,FALSE),"")</f>
        <v>Squad H</v>
      </c>
      <c r="F144" s="62" t="str">
        <f>IF(Tableau242[[#This Row],[Consultant]]=Tableau242[[#This Row],[Manager ou CDM concerné]],"Non",IF(IFERROR(VLOOKUP(Tableau242[[#This Row],[Consultant]],Parametres!B:C,2,FALSE),0)=0,"Non","Oui"))</f>
        <v>Non</v>
      </c>
      <c r="G144" s="62">
        <f>IFERROR(VLOOKUP(B144,Tableau5[#All],4,FALSE),"Matricule!")</f>
        <v>20</v>
      </c>
      <c r="H144" s="62" t="str">
        <f>IFERROR(VLOOKUP(Tableau242[[#This Row],[Company number]],#REF!,6,FALSE),"")</f>
        <v/>
      </c>
      <c r="I144" s="62">
        <f>IFERROR(VLOOKUP(B144,Tableau5[#All],5,FALSE),"Matricule!")</f>
        <v>0</v>
      </c>
      <c r="J144" s="62">
        <f>IFERROR(VLOOKUP(B144,Tableau5[#All],6,FALSE),"Matricule!")</f>
        <v>0</v>
      </c>
      <c r="K144" s="62">
        <f>IFERROR(VLOOKUP(B144,Tableau5[#All],7,FALSE),"Matricule!")</f>
        <v>0</v>
      </c>
      <c r="L144" s="62" t="e">
        <f>VLOOKUP(Tableau242[[#This Row],[Company number]],#REF!,25,FALSE)</f>
        <v>#REF!</v>
      </c>
      <c r="M144" s="62" t="str">
        <f>IFERROR(VLOOKUP(Tableau242[[#This Row],[Company number]],#REF!,30,FALSE),"")</f>
        <v/>
      </c>
      <c r="N144" s="62" t="str">
        <f>IFERROR(VLOOKUP(Tableau242[[#This Row],[Company number]],#REF!,31,FALSE),"")</f>
        <v/>
      </c>
      <c r="O144" s="62" t="str">
        <f>IFERROR(VLOOKUP(Tableau242[[#This Row],[Company number]],#REF!,32,FALSE),"")</f>
        <v/>
      </c>
      <c r="P144" s="62">
        <f>IFERROR(VLOOKUP(B144,Tableau3[#All],5,FALSE),"Matricule!")</f>
        <v>20</v>
      </c>
      <c r="Q144" s="62">
        <f>IFERROR(SUM(VLOOKUP(B144,Tableau3[#All],6,FALSE),VLOOKUP(B144,Tableau3[#All],8,FALSE)),"Matricule!")</f>
        <v>0</v>
      </c>
      <c r="R144" s="62">
        <f>IFERROR(VLOOKUP(B144,Tableau3[#All],7,FALSE),"Matricule!")</f>
        <v>0</v>
      </c>
      <c r="S144" s="62">
        <f>IFERROR(Tableau242[[#This Row],[Prod. days WK]]-Tableau242[[#This Row],[Prod PXX]],"Matricule")</f>
        <v>0</v>
      </c>
      <c r="T144" s="62">
        <f>IFERROR(Tableau242[[#This Row],[Non prod. days WK]]-Tableau242[[#This Row],[Improd PXX]],"Matricule")</f>
        <v>0</v>
      </c>
      <c r="U144" s="62">
        <f>IFERROR(Tableau242[[#This Row],[Paid leave days WK]]-Tableau242[[#This Row],[Congé PXX]],"Matricule")</f>
        <v>0</v>
      </c>
      <c r="V144" s="63">
        <f>IFERROR(VLOOKUP($B144,#REF!,4,FALSE),0)</f>
        <v>0</v>
      </c>
      <c r="W14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44" s="63">
        <f>IF(AND(Tableau242[[#This Row],[Paid leave days]]&gt;0,Tableau242[[#This Row],[Prod. days]]&lt;0),MIN(Tableau242[[#This Row],[Paid leave days]],-Tableau242[[#This Row],[Prod. days]]),0)</f>
        <v>0</v>
      </c>
      <c r="Z144" s="63">
        <f>IFERROR(_xlfn.XLOOKUP(Tableau242[[#This Row],[Consultant]],Tableau2[Collaborateur/Nom affiché],Tableau2[Montant imputé],0),0)</f>
        <v>0</v>
      </c>
      <c r="AA144" s="64">
        <f t="shared" si="3"/>
        <v>0</v>
      </c>
      <c r="AB144" s="65"/>
      <c r="AC144" s="66"/>
      <c r="AD144" s="66"/>
      <c r="AE144" s="105"/>
      <c r="AF144" s="90"/>
    </row>
    <row r="145" spans="1:32">
      <c r="A145" s="15">
        <f>Tableau242[[#This Row],[Company number]]+0</f>
        <v>21552</v>
      </c>
      <c r="B145" s="60" t="s">
        <v>425</v>
      </c>
      <c r="C145" s="61" t="s">
        <v>426</v>
      </c>
      <c r="D145" s="61" t="s">
        <v>69</v>
      </c>
      <c r="E145" s="62" t="str">
        <f>IFERROR(VLOOKUP(Tableau242[[#This Row],[Manager ou CDM concerné]],Parametres!B:C,2,FALSE),"")</f>
        <v>Squad H</v>
      </c>
      <c r="F145" s="62" t="str">
        <f>IF(Tableau242[[#This Row],[Consultant]]=Tableau242[[#This Row],[Manager ou CDM concerné]],"Non",IF(IFERROR(VLOOKUP(Tableau242[[#This Row],[Consultant]],Parametres!B:C,2,FALSE),0)=0,"Non","Oui"))</f>
        <v>Non</v>
      </c>
      <c r="G145" s="62">
        <f>IFERROR(VLOOKUP(B145,Tableau5[#All],4,FALSE),"Matricule!")</f>
        <v>19</v>
      </c>
      <c r="H145" s="62" t="str">
        <f>IFERROR(VLOOKUP(Tableau242[[#This Row],[Company number]],#REF!,6,FALSE),"")</f>
        <v/>
      </c>
      <c r="I145" s="62">
        <f>IFERROR(VLOOKUP(B145,Tableau5[#All],5,FALSE),"Matricule!")</f>
        <v>0</v>
      </c>
      <c r="J145" s="62">
        <f>IFERROR(VLOOKUP(B145,Tableau5[#All],6,FALSE),"Matricule!")</f>
        <v>1</v>
      </c>
      <c r="K145" s="62">
        <f>IFERROR(VLOOKUP(B145,Tableau5[#All],7,FALSE),"Matricule!")</f>
        <v>0</v>
      </c>
      <c r="L145" s="62" t="e">
        <f>VLOOKUP(Tableau242[[#This Row],[Company number]],#REF!,25,FALSE)</f>
        <v>#REF!</v>
      </c>
      <c r="M145" s="62" t="str">
        <f>IFERROR(VLOOKUP(Tableau242[[#This Row],[Company number]],#REF!,30,FALSE),"")</f>
        <v/>
      </c>
      <c r="N145" s="62" t="str">
        <f>IFERROR(VLOOKUP(Tableau242[[#This Row],[Company number]],#REF!,31,FALSE),"")</f>
        <v/>
      </c>
      <c r="O145" s="62" t="str">
        <f>IFERROR(VLOOKUP(Tableau242[[#This Row],[Company number]],#REF!,32,FALSE),"")</f>
        <v/>
      </c>
      <c r="P145" s="62">
        <f>IFERROR(VLOOKUP(B145,Tableau3[#All],5,FALSE),"Matricule!")</f>
        <v>19</v>
      </c>
      <c r="Q145" s="62">
        <f>IFERROR(SUM(VLOOKUP(B145,Tableau3[#All],6,FALSE),VLOOKUP(B145,Tableau3[#All],8,FALSE)),"Matricule!")</f>
        <v>1</v>
      </c>
      <c r="R145" s="62">
        <f>IFERROR(VLOOKUP(B145,Tableau3[#All],7,FALSE),"Matricule!")</f>
        <v>0</v>
      </c>
      <c r="S145" s="62">
        <f>IFERROR(Tableau242[[#This Row],[Prod. days WK]]-Tableau242[[#This Row],[Prod PXX]],"Matricule")</f>
        <v>0</v>
      </c>
      <c r="T145" s="62">
        <f>IFERROR(Tableau242[[#This Row],[Non prod. days WK]]-Tableau242[[#This Row],[Improd PXX]],"Matricule")</f>
        <v>-1</v>
      </c>
      <c r="U145" s="62">
        <f>IFERROR(Tableau242[[#This Row],[Paid leave days WK]]-Tableau242[[#This Row],[Congé PXX]],"Matricule")</f>
        <v>1</v>
      </c>
      <c r="V145" s="63">
        <f>IFERROR(VLOOKUP($B145,#REF!,4,FALSE),0)</f>
        <v>0</v>
      </c>
      <c r="W14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45" s="63">
        <f>IF(AND(Tableau242[[#This Row],[Paid leave days]]&gt;0,Tableau242[[#This Row],[Prod. days]]&lt;0),MIN(Tableau242[[#This Row],[Paid leave days]],-Tableau242[[#This Row],[Prod. days]]),0)</f>
        <v>0</v>
      </c>
      <c r="Z145" s="63">
        <f>IFERROR(_xlfn.XLOOKUP(Tableau242[[#This Row],[Consultant]],Tableau2[Collaborateur/Nom affiché],Tableau2[Montant imputé],0),0)</f>
        <v>0</v>
      </c>
      <c r="AA145" s="64">
        <f t="shared" si="3"/>
        <v>0</v>
      </c>
      <c r="AB145" s="86"/>
      <c r="AC145" s="67"/>
      <c r="AD145" s="67"/>
      <c r="AE145" s="106"/>
      <c r="AF145" s="92"/>
    </row>
    <row r="146" spans="1:32">
      <c r="A146" s="15">
        <f>Tableau242[[#This Row],[Company number]]+0</f>
        <v>21750</v>
      </c>
      <c r="B146" s="60" t="s">
        <v>427</v>
      </c>
      <c r="C146" s="61" t="s">
        <v>428</v>
      </c>
      <c r="D146" s="61" t="s">
        <v>64</v>
      </c>
      <c r="E146" s="62" t="str">
        <f>IFERROR(VLOOKUP(Tableau242[[#This Row],[Manager ou CDM concerné]],Parametres!B:C,2,FALSE),"")</f>
        <v>Squad C</v>
      </c>
      <c r="F146" s="62" t="str">
        <f>IF(Tableau242[[#This Row],[Consultant]]=Tableau242[[#This Row],[Manager ou CDM concerné]],"Non",IF(IFERROR(VLOOKUP(Tableau242[[#This Row],[Consultant]],Parametres!B:C,2,FALSE),0)=0,"Non","Oui"))</f>
        <v>Non</v>
      </c>
      <c r="G146" s="62">
        <f>IFERROR(VLOOKUP(B146,Tableau5[#All],4,FALSE),"Matricule!")</f>
        <v>3.5</v>
      </c>
      <c r="H146" s="62" t="str">
        <f>IFERROR(VLOOKUP(Tableau242[[#This Row],[Company number]],#REF!,6,FALSE),"")</f>
        <v/>
      </c>
      <c r="I146" s="62">
        <f>IFERROR(VLOOKUP(B146,Tableau5[#All],5,FALSE),"Matricule!")</f>
        <v>16.5</v>
      </c>
      <c r="J146" s="62">
        <f>IFERROR(VLOOKUP(B146,Tableau5[#All],6,FALSE),"Matricule!")</f>
        <v>0</v>
      </c>
      <c r="K146" s="62">
        <f>IFERROR(VLOOKUP(B146,Tableau5[#All],7,FALSE),"Matricule!")</f>
        <v>0</v>
      </c>
      <c r="L146" s="62" t="e">
        <f>VLOOKUP(Tableau242[[#This Row],[Company number]],#REF!,25,FALSE)</f>
        <v>#REF!</v>
      </c>
      <c r="M146" s="62" t="str">
        <f>IFERROR(VLOOKUP(Tableau242[[#This Row],[Company number]],#REF!,30,FALSE),"")</f>
        <v/>
      </c>
      <c r="N146" s="62" t="str">
        <f>IFERROR(VLOOKUP(Tableau242[[#This Row],[Company number]],#REF!,31,FALSE),"")</f>
        <v/>
      </c>
      <c r="O146" s="62" t="str">
        <f>IFERROR(VLOOKUP(Tableau242[[#This Row],[Company number]],#REF!,32,FALSE),"")</f>
        <v/>
      </c>
      <c r="P146" s="62">
        <f>IFERROR(VLOOKUP(B146,Tableau3[#All],5,FALSE),"Matricule!")</f>
        <v>7</v>
      </c>
      <c r="Q146" s="62">
        <f>IFERROR(SUM(VLOOKUP(B146,Tableau3[#All],6,FALSE),VLOOKUP(B146,Tableau3[#All],8,FALSE)),"Matricule!")</f>
        <v>13</v>
      </c>
      <c r="R146" s="62">
        <f>IFERROR(VLOOKUP(B146,Tableau3[#All],7,FALSE),"Matricule!")</f>
        <v>0</v>
      </c>
      <c r="S146" s="62">
        <f>IFERROR(Tableau242[[#This Row],[Prod. days WK]]-Tableau242[[#This Row],[Prod PXX]],"Matricule")</f>
        <v>-3.5</v>
      </c>
      <c r="T146" s="62">
        <f>IFERROR(Tableau242[[#This Row],[Non prod. days WK]]-Tableau242[[#This Row],[Improd PXX]],"Matricule")</f>
        <v>3.5</v>
      </c>
      <c r="U146" s="62">
        <f>IFERROR(Tableau242[[#This Row],[Paid leave days WK]]-Tableau242[[#This Row],[Congé PXX]],"Matricule")</f>
        <v>0</v>
      </c>
      <c r="V146" s="63">
        <f>IFERROR(VLOOKUP($B146,#REF!,4,FALSE),0)</f>
        <v>0</v>
      </c>
      <c r="W14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46" s="63">
        <f>IF(AND(Tableau242[[#This Row],[Paid leave days]]&gt;0,Tableau242[[#This Row],[Prod. days]]&lt;0),MIN(Tableau242[[#This Row],[Paid leave days]],-Tableau242[[#This Row],[Prod. days]]),0)</f>
        <v>0</v>
      </c>
      <c r="Z146" s="63">
        <f>IFERROR(_xlfn.XLOOKUP(Tableau242[[#This Row],[Consultant]],Tableau2[Collaborateur/Nom affiché],Tableau2[Montant imputé],0),0)</f>
        <v>0</v>
      </c>
      <c r="AA146" s="64">
        <f t="shared" si="3"/>
        <v>-3.5</v>
      </c>
      <c r="AB146" s="65" t="s">
        <v>154</v>
      </c>
      <c r="AC146" s="66"/>
      <c r="AD146" s="66"/>
      <c r="AE146" s="115"/>
      <c r="AF146" s="90" t="s">
        <v>429</v>
      </c>
    </row>
    <row r="147" spans="1:32">
      <c r="A147" s="15">
        <f>Tableau242[[#This Row],[Company number]]+0</f>
        <v>21401</v>
      </c>
      <c r="B147" s="60" t="s">
        <v>430</v>
      </c>
      <c r="C147" s="61" t="s">
        <v>431</v>
      </c>
      <c r="D147" s="61" t="s">
        <v>24</v>
      </c>
      <c r="E147" s="62" t="str">
        <f>IFERROR(VLOOKUP(Tableau242[[#This Row],[Manager ou CDM concerné]],Parametres!B:C,2,FALSE),"")</f>
        <v>Squad E</v>
      </c>
      <c r="F147" s="62" t="str">
        <f>IF(Tableau242[[#This Row],[Consultant]]=Tableau242[[#This Row],[Manager ou CDM concerné]],"Non",IF(IFERROR(VLOOKUP(Tableau242[[#This Row],[Consultant]],Parametres!B:C,2,FALSE),0)=0,"Non","Oui"))</f>
        <v>Non</v>
      </c>
      <c r="G147" s="62">
        <f>IFERROR(VLOOKUP(B147,Tableau5[#All],4,FALSE),"Matricule!")</f>
        <v>16.5</v>
      </c>
      <c r="H147" s="62" t="str">
        <f>IFERROR(VLOOKUP(Tableau242[[#This Row],[Company number]],#REF!,6,FALSE),"")</f>
        <v/>
      </c>
      <c r="I147" s="62">
        <f>IFERROR(VLOOKUP(B147,Tableau5[#All],5,FALSE),"Matricule!")</f>
        <v>3.5</v>
      </c>
      <c r="J147" s="62">
        <f>IFERROR(VLOOKUP(B147,Tableau5[#All],6,FALSE),"Matricule!")</f>
        <v>0</v>
      </c>
      <c r="K147" s="62">
        <f>IFERROR(VLOOKUP(B147,Tableau5[#All],7,FALSE),"Matricule!")</f>
        <v>0</v>
      </c>
      <c r="L147" s="62" t="e">
        <f>VLOOKUP(Tableau242[[#This Row],[Company number]],#REF!,25,FALSE)</f>
        <v>#REF!</v>
      </c>
      <c r="M147" s="62" t="str">
        <f>IFERROR(VLOOKUP(Tableau242[[#This Row],[Company number]],#REF!,30,FALSE),"")</f>
        <v/>
      </c>
      <c r="N147" s="62" t="str">
        <f>IFERROR(VLOOKUP(Tableau242[[#This Row],[Company number]],#REF!,31,FALSE),"")</f>
        <v/>
      </c>
      <c r="O147" s="62" t="str">
        <f>IFERROR(VLOOKUP(Tableau242[[#This Row],[Company number]],#REF!,32,FALSE),"")</f>
        <v/>
      </c>
      <c r="P147" s="62">
        <f>IFERROR(VLOOKUP(B147,Tableau3[#All],5,FALSE),"Matricule!")</f>
        <v>20</v>
      </c>
      <c r="Q147" s="62">
        <f>IFERROR(SUM(VLOOKUP(B147,Tableau3[#All],6,FALSE),VLOOKUP(B147,Tableau3[#All],8,FALSE)),"Matricule!")</f>
        <v>0</v>
      </c>
      <c r="R147" s="62">
        <f>IFERROR(VLOOKUP(B147,Tableau3[#All],7,FALSE),"Matricule!")</f>
        <v>0</v>
      </c>
      <c r="S147" s="62">
        <f>IFERROR(Tableau242[[#This Row],[Prod. days WK]]-Tableau242[[#This Row],[Prod PXX]],"Matricule")</f>
        <v>-3.5</v>
      </c>
      <c r="T147" s="62">
        <f>IFERROR(Tableau242[[#This Row],[Non prod. days WK]]-Tableau242[[#This Row],[Improd PXX]],"Matricule")</f>
        <v>3.5</v>
      </c>
      <c r="U147" s="62">
        <f>IFERROR(Tableau242[[#This Row],[Paid leave days WK]]-Tableau242[[#This Row],[Congé PXX]],"Matricule")</f>
        <v>0</v>
      </c>
      <c r="V147" s="63">
        <f>IFERROR(VLOOKUP($B147,#REF!,4,FALSE),0)</f>
        <v>0</v>
      </c>
      <c r="W14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47" s="63">
        <f>IF(AND(Tableau242[[#This Row],[Paid leave days]]&gt;0,Tableau242[[#This Row],[Prod. days]]&lt;0),MIN(Tableau242[[#This Row],[Paid leave days]],-Tableau242[[#This Row],[Prod. days]]),0)</f>
        <v>0</v>
      </c>
      <c r="Z147" s="63">
        <f>IFERROR(_xlfn.XLOOKUP(Tableau242[[#This Row],[Consultant]],Tableau2[Collaborateur/Nom affiché],Tableau2[Montant imputé],0),0)</f>
        <v>0</v>
      </c>
      <c r="AA147" s="64">
        <f t="shared" si="3"/>
        <v>-3.5</v>
      </c>
      <c r="AB147" s="65" t="s">
        <v>154</v>
      </c>
      <c r="AC147" s="66"/>
      <c r="AD147" s="66"/>
      <c r="AE147" s="105"/>
      <c r="AF147" s="90" t="s">
        <v>432</v>
      </c>
    </row>
    <row r="148" spans="1:32" ht="29.1">
      <c r="A148" s="15">
        <f>Tableau242[[#This Row],[Company number]]+0</f>
        <v>22330</v>
      </c>
      <c r="B148" s="60" t="s">
        <v>433</v>
      </c>
      <c r="C148" s="61" t="s">
        <v>434</v>
      </c>
      <c r="D148" s="61" t="s">
        <v>69</v>
      </c>
      <c r="E148" s="62" t="str">
        <f>IFERROR(VLOOKUP(Tableau242[[#This Row],[Manager ou CDM concerné]],Parametres!B:C,2,FALSE),"")</f>
        <v>Squad H</v>
      </c>
      <c r="F148" s="62" t="str">
        <f>IF(Tableau242[[#This Row],[Consultant]]=Tableau242[[#This Row],[Manager ou CDM concerné]],"Non",IF(IFERROR(VLOOKUP(Tableau242[[#This Row],[Consultant]],Parametres!B:C,2,FALSE),0)=0,"Non","Oui"))</f>
        <v>Non</v>
      </c>
      <c r="G148" s="62">
        <f>IFERROR(VLOOKUP(B148,Tableau5[#All],4,FALSE),"Matricule!")</f>
        <v>0</v>
      </c>
      <c r="H148" s="62" t="str">
        <f>IFERROR(VLOOKUP(Tableau242[[#This Row],[Company number]],#REF!,6,FALSE),"")</f>
        <v/>
      </c>
      <c r="I148" s="62">
        <f>IFERROR(VLOOKUP(B148,Tableau5[#All],5,FALSE),"Matricule!")</f>
        <v>20</v>
      </c>
      <c r="J148" s="62">
        <f>IFERROR(VLOOKUP(B148,Tableau5[#All],6,FALSE),"Matricule!")</f>
        <v>0</v>
      </c>
      <c r="K148" s="62">
        <f>IFERROR(VLOOKUP(B148,Tableau5[#All],7,FALSE),"Matricule!")</f>
        <v>0</v>
      </c>
      <c r="L148" s="62" t="e">
        <f>VLOOKUP(Tableau242[[#This Row],[Company number]],#REF!,25,FALSE)</f>
        <v>#REF!</v>
      </c>
      <c r="M148" s="62" t="str">
        <f>IFERROR(VLOOKUP(Tableau242[[#This Row],[Company number]],#REF!,30,FALSE),"")</f>
        <v/>
      </c>
      <c r="N148" s="62" t="str">
        <f>IFERROR(VLOOKUP(Tableau242[[#This Row],[Company number]],#REF!,31,FALSE),"")</f>
        <v/>
      </c>
      <c r="O148" s="62" t="str">
        <f>IFERROR(VLOOKUP(Tableau242[[#This Row],[Company number]],#REF!,32,FALSE),"")</f>
        <v/>
      </c>
      <c r="P148" s="62">
        <f>IFERROR(VLOOKUP(B148,Tableau3[#All],5,FALSE),"Matricule!")</f>
        <v>0</v>
      </c>
      <c r="Q148" s="62">
        <f>IFERROR(SUM(VLOOKUP(B148,Tableau3[#All],6,FALSE),VLOOKUP(B148,Tableau3[#All],8,FALSE)),"Matricule!")</f>
        <v>20</v>
      </c>
      <c r="R148" s="62">
        <f>IFERROR(VLOOKUP(B148,Tableau3[#All],7,FALSE),"Matricule!")</f>
        <v>0</v>
      </c>
      <c r="S148" s="62">
        <f>IFERROR(Tableau242[[#This Row],[Prod. days WK]]-Tableau242[[#This Row],[Prod PXX]],"Matricule")</f>
        <v>0</v>
      </c>
      <c r="T148" s="62">
        <f>IFERROR(Tableau242[[#This Row],[Non prod. days WK]]-Tableau242[[#This Row],[Improd PXX]],"Matricule")</f>
        <v>0</v>
      </c>
      <c r="U148" s="62">
        <f>IFERROR(Tableau242[[#This Row],[Paid leave days WK]]-Tableau242[[#This Row],[Congé PXX]],"Matricule")</f>
        <v>0</v>
      </c>
      <c r="V148" s="63">
        <f>IFERROR(VLOOKUP($B148,#REF!,4,FALSE),0)</f>
        <v>0</v>
      </c>
      <c r="W14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48" s="63">
        <f>IF(AND(Tableau242[[#This Row],[Paid leave days]]&gt;0,Tableau242[[#This Row],[Prod. days]]&lt;0),MIN(Tableau242[[#This Row],[Paid leave days]],-Tableau242[[#This Row],[Prod. days]]),0)</f>
        <v>0</v>
      </c>
      <c r="Z148" s="63">
        <f>IFERROR(_xlfn.XLOOKUP(Tableau242[[#This Row],[Consultant]],Tableau2[Collaborateur/Nom affiché],Tableau2[Montant imputé],0),0)</f>
        <v>0</v>
      </c>
      <c r="AA148" s="64">
        <f t="shared" si="3"/>
        <v>0</v>
      </c>
      <c r="AB148" s="65"/>
      <c r="AC148" s="66"/>
      <c r="AD148" s="66"/>
      <c r="AE148" s="105"/>
      <c r="AF148" s="90"/>
    </row>
    <row r="149" spans="1:32">
      <c r="A149" s="15">
        <f>Tableau242[[#This Row],[Company number]]+0</f>
        <v>22445</v>
      </c>
      <c r="B149" s="60" t="s">
        <v>435</v>
      </c>
      <c r="C149" s="61" t="s">
        <v>436</v>
      </c>
      <c r="D149" s="61" t="s">
        <v>140</v>
      </c>
      <c r="E149" s="62" t="str">
        <f>IFERROR(VLOOKUP(Tableau242[[#This Row],[Manager ou CDM concerné]],Parametres!B:C,2,FALSE),"")</f>
        <v>Squad A</v>
      </c>
      <c r="F149" s="62" t="str">
        <f>IF(Tableau242[[#This Row],[Consultant]]=Tableau242[[#This Row],[Manager ou CDM concerné]],"Non",IF(IFERROR(VLOOKUP(Tableau242[[#This Row],[Consultant]],Parametres!B:C,2,FALSE),0)=0,"Non","Oui"))</f>
        <v>Non</v>
      </c>
      <c r="G149" s="62">
        <f>IFERROR(VLOOKUP(B149,Tableau5[#All],4,FALSE),"Matricule!")</f>
        <v>0</v>
      </c>
      <c r="H149" s="62" t="str">
        <f>IFERROR(VLOOKUP(Tableau242[[#This Row],[Company number]],#REF!,6,FALSE),"")</f>
        <v/>
      </c>
      <c r="I149" s="62">
        <f>IFERROR(VLOOKUP(B149,Tableau5[#All],5,FALSE),"Matricule!")</f>
        <v>20</v>
      </c>
      <c r="J149" s="62">
        <f>IFERROR(VLOOKUP(B149,Tableau5[#All],6,FALSE),"Matricule!")</f>
        <v>0</v>
      </c>
      <c r="K149" s="62">
        <f>IFERROR(VLOOKUP(B149,Tableau5[#All],7,FALSE),"Matricule!")</f>
        <v>0</v>
      </c>
      <c r="L149" s="62" t="e">
        <f>VLOOKUP(Tableau242[[#This Row],[Company number]],#REF!,25,FALSE)</f>
        <v>#REF!</v>
      </c>
      <c r="M149" s="62" t="str">
        <f>IFERROR(VLOOKUP(Tableau242[[#This Row],[Company number]],#REF!,30,FALSE),"")</f>
        <v/>
      </c>
      <c r="N149" s="62" t="str">
        <f>IFERROR(VLOOKUP(Tableau242[[#This Row],[Company number]],#REF!,31,FALSE),"")</f>
        <v/>
      </c>
      <c r="O149" s="62" t="str">
        <f>IFERROR(VLOOKUP(Tableau242[[#This Row],[Company number]],#REF!,32,FALSE),"")</f>
        <v/>
      </c>
      <c r="P149" s="62">
        <f>IFERROR(VLOOKUP(B149,Tableau3[#All],5,FALSE),"Matricule!")</f>
        <v>0</v>
      </c>
      <c r="Q149" s="62">
        <f>IFERROR(SUM(VLOOKUP(B149,Tableau3[#All],6,FALSE),VLOOKUP(B149,Tableau3[#All],8,FALSE)),"Matricule!")</f>
        <v>20</v>
      </c>
      <c r="R149" s="62">
        <f>IFERROR(VLOOKUP(B149,Tableau3[#All],7,FALSE),"Matricule!")</f>
        <v>0</v>
      </c>
      <c r="S149" s="62">
        <f>IFERROR(Tableau242[[#This Row],[Prod. days WK]]-Tableau242[[#This Row],[Prod PXX]],"Matricule")</f>
        <v>0</v>
      </c>
      <c r="T149" s="62">
        <f>IFERROR(Tableau242[[#This Row],[Non prod. days WK]]-Tableau242[[#This Row],[Improd PXX]],"Matricule")</f>
        <v>0</v>
      </c>
      <c r="U149" s="62">
        <f>IFERROR(Tableau242[[#This Row],[Paid leave days WK]]-Tableau242[[#This Row],[Congé PXX]],"Matricule")</f>
        <v>0</v>
      </c>
      <c r="V149" s="63">
        <f>IFERROR(VLOOKUP($B149,#REF!,4,FALSE),0)</f>
        <v>0</v>
      </c>
      <c r="W14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4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49" s="63">
        <f>IF(AND(Tableau242[[#This Row],[Paid leave days]]&gt;0,Tableau242[[#This Row],[Prod. days]]&lt;0),MIN(Tableau242[[#This Row],[Paid leave days]],-Tableau242[[#This Row],[Prod. days]]),0)</f>
        <v>0</v>
      </c>
      <c r="Z149" s="63">
        <f>IFERROR(_xlfn.XLOOKUP(Tableau242[[#This Row],[Consultant]],Tableau2[Collaborateur/Nom affiché],Tableau2[Montant imputé],0),0)</f>
        <v>0</v>
      </c>
      <c r="AA149" s="64">
        <f t="shared" si="3"/>
        <v>0</v>
      </c>
      <c r="AB149" s="65"/>
      <c r="AC149" s="66"/>
      <c r="AD149" s="66"/>
      <c r="AE149" s="105"/>
      <c r="AF149" s="90"/>
    </row>
    <row r="150" spans="1:32">
      <c r="A150" s="15">
        <f>Tableau242[[#This Row],[Company number]]+0</f>
        <v>22271</v>
      </c>
      <c r="B150" s="60" t="s">
        <v>437</v>
      </c>
      <c r="C150" s="61" t="s">
        <v>438</v>
      </c>
      <c r="D150" s="61" t="s">
        <v>140</v>
      </c>
      <c r="E150" s="62" t="str">
        <f>IFERROR(VLOOKUP(Tableau242[[#This Row],[Manager ou CDM concerné]],Parametres!B:C,2,FALSE),"")</f>
        <v>Squad A</v>
      </c>
      <c r="F150" s="62" t="str">
        <f>IF(Tableau242[[#This Row],[Consultant]]=Tableau242[[#This Row],[Manager ou CDM concerné]],"Non",IF(IFERROR(VLOOKUP(Tableau242[[#This Row],[Consultant]],Parametres!B:C,2,FALSE),0)=0,"Non","Oui"))</f>
        <v>Non</v>
      </c>
      <c r="G150" s="62">
        <f>IFERROR(VLOOKUP(B150,Tableau5[#All],4,FALSE),"Matricule!")</f>
        <v>0</v>
      </c>
      <c r="H150" s="62" t="str">
        <f>IFERROR(VLOOKUP(Tableau242[[#This Row],[Company number]],#REF!,6,FALSE),"")</f>
        <v/>
      </c>
      <c r="I150" s="62">
        <f>IFERROR(VLOOKUP(B150,Tableau5[#All],5,FALSE),"Matricule!")</f>
        <v>20</v>
      </c>
      <c r="J150" s="62">
        <f>IFERROR(VLOOKUP(B150,Tableau5[#All],6,FALSE),"Matricule!")</f>
        <v>0</v>
      </c>
      <c r="K150" s="62">
        <f>IFERROR(VLOOKUP(B150,Tableau5[#All],7,FALSE),"Matricule!")</f>
        <v>0</v>
      </c>
      <c r="L150" s="62" t="e">
        <f>VLOOKUP(Tableau242[[#This Row],[Company number]],#REF!,25,FALSE)</f>
        <v>#REF!</v>
      </c>
      <c r="M150" s="62" t="str">
        <f>IFERROR(VLOOKUP(Tableau242[[#This Row],[Company number]],#REF!,30,FALSE),"")</f>
        <v/>
      </c>
      <c r="N150" s="62" t="str">
        <f>IFERROR(VLOOKUP(Tableau242[[#This Row],[Company number]],#REF!,31,FALSE),"")</f>
        <v/>
      </c>
      <c r="O150" s="62" t="str">
        <f>IFERROR(VLOOKUP(Tableau242[[#This Row],[Company number]],#REF!,32,FALSE),"")</f>
        <v/>
      </c>
      <c r="P150" s="62">
        <f>IFERROR(VLOOKUP(B150,Tableau3[#All],5,FALSE),"Matricule!")</f>
        <v>0</v>
      </c>
      <c r="Q150" s="62">
        <f>IFERROR(SUM(VLOOKUP(B150,Tableau3[#All],6,FALSE),VLOOKUP(B150,Tableau3[#All],8,FALSE)),"Matricule!")</f>
        <v>20</v>
      </c>
      <c r="R150" s="62">
        <f>IFERROR(VLOOKUP(B150,Tableau3[#All],7,FALSE),"Matricule!")</f>
        <v>0</v>
      </c>
      <c r="S150" s="62">
        <f>IFERROR(Tableau242[[#This Row],[Prod. days WK]]-Tableau242[[#This Row],[Prod PXX]],"Matricule")</f>
        <v>0</v>
      </c>
      <c r="T150" s="62">
        <f>IFERROR(Tableau242[[#This Row],[Non prod. days WK]]-Tableau242[[#This Row],[Improd PXX]],"Matricule")</f>
        <v>0</v>
      </c>
      <c r="U150" s="62">
        <f>IFERROR(Tableau242[[#This Row],[Paid leave days WK]]-Tableau242[[#This Row],[Congé PXX]],"Matricule")</f>
        <v>0</v>
      </c>
      <c r="V150" s="63">
        <f>IFERROR(VLOOKUP($B150,#REF!,4,FALSE),0)</f>
        <v>0</v>
      </c>
      <c r="W15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50" s="63">
        <f>IF(AND(Tableau242[[#This Row],[Paid leave days]]&gt;0,Tableau242[[#This Row],[Prod. days]]&lt;0),MIN(Tableau242[[#This Row],[Paid leave days]],-Tableau242[[#This Row],[Prod. days]]),0)</f>
        <v>0</v>
      </c>
      <c r="Z150" s="63">
        <f>IFERROR(_xlfn.XLOOKUP(Tableau242[[#This Row],[Consultant]],Tableau2[Collaborateur/Nom affiché],Tableau2[Montant imputé],0),0)</f>
        <v>0</v>
      </c>
      <c r="AA150" s="64">
        <f t="shared" si="3"/>
        <v>0</v>
      </c>
      <c r="AB150" s="65"/>
      <c r="AC150" s="66"/>
      <c r="AD150" s="66"/>
      <c r="AE150" s="115"/>
      <c r="AF150" s="90"/>
    </row>
    <row r="151" spans="1:32">
      <c r="A151" s="15">
        <f>Tableau242[[#This Row],[Company number]]+0</f>
        <v>15522</v>
      </c>
      <c r="B151" s="60" t="s">
        <v>439</v>
      </c>
      <c r="C151" s="61" t="s">
        <v>440</v>
      </c>
      <c r="D151" s="61" t="s">
        <v>27</v>
      </c>
      <c r="E151" s="62" t="str">
        <f>IFERROR(VLOOKUP(Tableau242[[#This Row],[Manager ou CDM concerné]],Parametres!B:C,2,FALSE),"")</f>
        <v>Squad B</v>
      </c>
      <c r="F151" s="62" t="str">
        <f>IF(Tableau242[[#This Row],[Consultant]]=Tableau242[[#This Row],[Manager ou CDM concerné]],"Non",IF(IFERROR(VLOOKUP(Tableau242[[#This Row],[Consultant]],Parametres!B:C,2,FALSE),0)=0,"Non","Oui"))</f>
        <v>Non</v>
      </c>
      <c r="G151" s="62">
        <f>IFERROR(VLOOKUP(B151,Tableau5[#All],4,FALSE),"Matricule!")</f>
        <v>12.5</v>
      </c>
      <c r="H151" s="62" t="str">
        <f>IFERROR(VLOOKUP(Tableau242[[#This Row],[Company number]],#REF!,6,FALSE),"")</f>
        <v/>
      </c>
      <c r="I151" s="62">
        <f>IFERROR(VLOOKUP(B151,Tableau5[#All],5,FALSE),"Matricule!")</f>
        <v>7.5</v>
      </c>
      <c r="J151" s="62">
        <f>IFERROR(VLOOKUP(B151,Tableau5[#All],6,FALSE),"Matricule!")</f>
        <v>0</v>
      </c>
      <c r="K151" s="62">
        <f>IFERROR(VLOOKUP(B151,Tableau5[#All],7,FALSE),"Matricule!")</f>
        <v>0</v>
      </c>
      <c r="L151" s="62" t="e">
        <f>VLOOKUP(Tableau242[[#This Row],[Company number]],#REF!,25,FALSE)</f>
        <v>#REF!</v>
      </c>
      <c r="M151" s="62" t="str">
        <f>IFERROR(VLOOKUP(Tableau242[[#This Row],[Company number]],#REF!,30,FALSE),"")</f>
        <v/>
      </c>
      <c r="N151" s="62" t="str">
        <f>IFERROR(VLOOKUP(Tableau242[[#This Row],[Company number]],#REF!,31,FALSE),"")</f>
        <v/>
      </c>
      <c r="O151" s="62" t="str">
        <f>IFERROR(VLOOKUP(Tableau242[[#This Row],[Company number]],#REF!,32,FALSE),"")</f>
        <v/>
      </c>
      <c r="P151" s="62">
        <f>IFERROR(VLOOKUP(B151,Tableau3[#All],5,FALSE),"Matricule!")</f>
        <v>16</v>
      </c>
      <c r="Q151" s="62">
        <f>IFERROR(SUM(VLOOKUP(B151,Tableau3[#All],6,FALSE),VLOOKUP(B151,Tableau3[#All],8,FALSE)),"Matricule!")</f>
        <v>4</v>
      </c>
      <c r="R151" s="62">
        <f>IFERROR(VLOOKUP(B151,Tableau3[#All],7,FALSE),"Matricule!")</f>
        <v>0</v>
      </c>
      <c r="S151" s="62">
        <f>IFERROR(Tableau242[[#This Row],[Prod. days WK]]-Tableau242[[#This Row],[Prod PXX]],"Matricule")</f>
        <v>-3.5</v>
      </c>
      <c r="T151" s="62">
        <f>IFERROR(Tableau242[[#This Row],[Non prod. days WK]]-Tableau242[[#This Row],[Improd PXX]],"Matricule")</f>
        <v>3.5</v>
      </c>
      <c r="U151" s="62">
        <f>IFERROR(Tableau242[[#This Row],[Paid leave days WK]]-Tableau242[[#This Row],[Congé PXX]],"Matricule")</f>
        <v>0</v>
      </c>
      <c r="V151" s="63">
        <f>IFERROR(VLOOKUP($B151,#REF!,4,FALSE),0)</f>
        <v>0</v>
      </c>
      <c r="W15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51" s="63">
        <f>IF(AND(Tableau242[[#This Row],[Paid leave days]]&gt;0,Tableau242[[#This Row],[Prod. days]]&lt;0),MIN(Tableau242[[#This Row],[Paid leave days]],-Tableau242[[#This Row],[Prod. days]]),0)</f>
        <v>0</v>
      </c>
      <c r="Z151" s="63">
        <f>IFERROR(_xlfn.XLOOKUP(Tableau242[[#This Row],[Consultant]],Tableau2[Collaborateur/Nom affiché],Tableau2[Montant imputé],0),0)</f>
        <v>0</v>
      </c>
      <c r="AA151" s="64">
        <f t="shared" si="3"/>
        <v>-3.5</v>
      </c>
      <c r="AB151" s="65" t="s">
        <v>154</v>
      </c>
      <c r="AC151" s="66"/>
      <c r="AD151" s="66"/>
      <c r="AE151" s="105"/>
      <c r="AF151" s="90"/>
    </row>
    <row r="152" spans="1:32">
      <c r="A152" s="15">
        <f>Tableau242[[#This Row],[Company number]]+0</f>
        <v>15530</v>
      </c>
      <c r="B152" s="60" t="s">
        <v>441</v>
      </c>
      <c r="C152" s="61" t="s">
        <v>442</v>
      </c>
      <c r="D152" s="61" t="s">
        <v>92</v>
      </c>
      <c r="E152" s="62" t="str">
        <f>IFERROR(VLOOKUP(Tableau242[[#This Row],[Manager ou CDM concerné]],Parametres!B:C,2,FALSE),"")</f>
        <v>Squad D</v>
      </c>
      <c r="F152" s="62" t="str">
        <f>IF(Tableau242[[#This Row],[Consultant]]=Tableau242[[#This Row],[Manager ou CDM concerné]],"Non",IF(IFERROR(VLOOKUP(Tableau242[[#This Row],[Consultant]],Parametres!B:C,2,FALSE),0)=0,"Non","Oui"))</f>
        <v>Non</v>
      </c>
      <c r="G152" s="62">
        <f>IFERROR(VLOOKUP(B152,Tableau5[#All],4,FALSE),"Matricule!")</f>
        <v>17</v>
      </c>
      <c r="H152" s="62" t="str">
        <f>IFERROR(VLOOKUP(Tableau242[[#This Row],[Company number]],#REF!,6,FALSE),"")</f>
        <v/>
      </c>
      <c r="I152" s="62">
        <f>IFERROR(VLOOKUP(B152,Tableau5[#All],5,FALSE),"Matricule!")</f>
        <v>0</v>
      </c>
      <c r="J152" s="62">
        <f>IFERROR(VLOOKUP(B152,Tableau5[#All],6,FALSE),"Matricule!")</f>
        <v>3</v>
      </c>
      <c r="K152" s="62">
        <f>IFERROR(VLOOKUP(B152,Tableau5[#All],7,FALSE),"Matricule!")</f>
        <v>0</v>
      </c>
      <c r="L152" s="62" t="e">
        <f>VLOOKUP(Tableau242[[#This Row],[Company number]],#REF!,25,FALSE)</f>
        <v>#REF!</v>
      </c>
      <c r="M152" s="62" t="str">
        <f>IFERROR(VLOOKUP(Tableau242[[#This Row],[Company number]],#REF!,30,FALSE),"")</f>
        <v/>
      </c>
      <c r="N152" s="62" t="str">
        <f>IFERROR(VLOOKUP(Tableau242[[#This Row],[Company number]],#REF!,31,FALSE),"")</f>
        <v/>
      </c>
      <c r="O152" s="62" t="str">
        <f>IFERROR(VLOOKUP(Tableau242[[#This Row],[Company number]],#REF!,32,FALSE),"")</f>
        <v/>
      </c>
      <c r="P152" s="62">
        <f>IFERROR(VLOOKUP(B152,Tableau3[#All],5,FALSE),"Matricule!")</f>
        <v>17</v>
      </c>
      <c r="Q152" s="62">
        <f>IFERROR(SUM(VLOOKUP(B152,Tableau3[#All],6,FALSE),VLOOKUP(B152,Tableau3[#All],8,FALSE)),"Matricule!")</f>
        <v>0</v>
      </c>
      <c r="R152" s="62">
        <f>IFERROR(VLOOKUP(B152,Tableau3[#All],7,FALSE),"Matricule!")</f>
        <v>3</v>
      </c>
      <c r="S152" s="62">
        <f>IFERROR(Tableau242[[#This Row],[Prod. days WK]]-Tableau242[[#This Row],[Prod PXX]],"Matricule")</f>
        <v>0</v>
      </c>
      <c r="T152" s="62">
        <f>IFERROR(Tableau242[[#This Row],[Non prod. days WK]]-Tableau242[[#This Row],[Improd PXX]],"Matricule")</f>
        <v>0</v>
      </c>
      <c r="U152" s="62">
        <f>IFERROR(Tableau242[[#This Row],[Paid leave days WK]]-Tableau242[[#This Row],[Congé PXX]],"Matricule")</f>
        <v>0</v>
      </c>
      <c r="V152" s="63">
        <f>IFERROR(VLOOKUP($B152,#REF!,4,FALSE),0)</f>
        <v>0</v>
      </c>
      <c r="W15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52" s="63">
        <f>IF(AND(Tableau242[[#This Row],[Paid leave days]]&gt;0,Tableau242[[#This Row],[Prod. days]]&lt;0),MIN(Tableau242[[#This Row],[Paid leave days]],-Tableau242[[#This Row],[Prod. days]]),0)</f>
        <v>0</v>
      </c>
      <c r="Z152" s="63">
        <f>IFERROR(_xlfn.XLOOKUP(Tableau242[[#This Row],[Consultant]],Tableau2[Collaborateur/Nom affiché],Tableau2[Montant imputé],0),0)</f>
        <v>0</v>
      </c>
      <c r="AA152" s="64">
        <f t="shared" si="3"/>
        <v>0</v>
      </c>
      <c r="AB152" s="65"/>
      <c r="AC152" s="66"/>
      <c r="AD152" s="66"/>
      <c r="AE152" s="105"/>
      <c r="AF152" s="90"/>
    </row>
    <row r="153" spans="1:32">
      <c r="A153" s="15">
        <f>Tableau242[[#This Row],[Company number]]+0</f>
        <v>22297</v>
      </c>
      <c r="B153" s="60" t="s">
        <v>443</v>
      </c>
      <c r="C153" s="61" t="s">
        <v>444</v>
      </c>
      <c r="D153" s="61" t="s">
        <v>92</v>
      </c>
      <c r="E153" s="62" t="str">
        <f>IFERROR(VLOOKUP(Tableau242[[#This Row],[Manager ou CDM concerné]],Parametres!B:C,2,FALSE),"")</f>
        <v>Squad D</v>
      </c>
      <c r="F153" s="62" t="str">
        <f>IF(Tableau242[[#This Row],[Consultant]]=Tableau242[[#This Row],[Manager ou CDM concerné]],"Non",IF(IFERROR(VLOOKUP(Tableau242[[#This Row],[Consultant]],Parametres!B:C,2,FALSE),0)=0,"Non","Oui"))</f>
        <v>Non</v>
      </c>
      <c r="G153" s="62">
        <f>IFERROR(VLOOKUP(B153,Tableau5[#All],4,FALSE),"Matricule!")</f>
        <v>0</v>
      </c>
      <c r="H153" s="62" t="str">
        <f>IFERROR(VLOOKUP(Tableau242[[#This Row],[Company number]],#REF!,6,FALSE),"")</f>
        <v/>
      </c>
      <c r="I153" s="62">
        <f>IFERROR(VLOOKUP(B153,Tableau5[#All],5,FALSE),"Matricule!")</f>
        <v>20</v>
      </c>
      <c r="J153" s="62">
        <f>IFERROR(VLOOKUP(B153,Tableau5[#All],6,FALSE),"Matricule!")</f>
        <v>0</v>
      </c>
      <c r="K153" s="62">
        <f>IFERROR(VLOOKUP(B153,Tableau5[#All],7,FALSE),"Matricule!")</f>
        <v>0</v>
      </c>
      <c r="L153" s="62" t="e">
        <f>VLOOKUP(Tableau242[[#This Row],[Company number]],#REF!,25,FALSE)</f>
        <v>#REF!</v>
      </c>
      <c r="M153" s="62" t="str">
        <f>IFERROR(VLOOKUP(Tableau242[[#This Row],[Company number]],#REF!,30,FALSE),"")</f>
        <v/>
      </c>
      <c r="N153" s="62" t="str">
        <f>IFERROR(VLOOKUP(Tableau242[[#This Row],[Company number]],#REF!,31,FALSE),"")</f>
        <v/>
      </c>
      <c r="O153" s="62" t="str">
        <f>IFERROR(VLOOKUP(Tableau242[[#This Row],[Company number]],#REF!,32,FALSE),"")</f>
        <v/>
      </c>
      <c r="P153" s="62">
        <f>IFERROR(VLOOKUP(B153,Tableau3[#All],5,FALSE),"Matricule!")</f>
        <v>0</v>
      </c>
      <c r="Q153" s="62">
        <f>IFERROR(SUM(VLOOKUP(B153,Tableau3[#All],6,FALSE),VLOOKUP(B153,Tableau3[#All],8,FALSE)),"Matricule!")</f>
        <v>20</v>
      </c>
      <c r="R153" s="62">
        <f>IFERROR(VLOOKUP(B153,Tableau3[#All],7,FALSE),"Matricule!")</f>
        <v>0</v>
      </c>
      <c r="S153" s="62">
        <f>IFERROR(Tableau242[[#This Row],[Prod. days WK]]-Tableau242[[#This Row],[Prod PXX]],"Matricule")</f>
        <v>0</v>
      </c>
      <c r="T153" s="62">
        <f>IFERROR(Tableau242[[#This Row],[Non prod. days WK]]-Tableau242[[#This Row],[Improd PXX]],"Matricule")</f>
        <v>0</v>
      </c>
      <c r="U153" s="62">
        <f>IFERROR(Tableau242[[#This Row],[Paid leave days WK]]-Tableau242[[#This Row],[Congé PXX]],"Matricule")</f>
        <v>0</v>
      </c>
      <c r="V153" s="63">
        <f>IFERROR(VLOOKUP($B153,#REF!,4,FALSE),0)</f>
        <v>0</v>
      </c>
      <c r="W15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53" s="63">
        <f>IF(AND(Tableau242[[#This Row],[Paid leave days]]&gt;0,Tableau242[[#This Row],[Prod. days]]&lt;0),MIN(Tableau242[[#This Row],[Paid leave days]],-Tableau242[[#This Row],[Prod. days]]),0)</f>
        <v>0</v>
      </c>
      <c r="Z153" s="63">
        <f>IFERROR(_xlfn.XLOOKUP(Tableau242[[#This Row],[Consultant]],Tableau2[Collaborateur/Nom affiché],Tableau2[Montant imputé],0),0)</f>
        <v>0</v>
      </c>
      <c r="AA153" s="64">
        <f t="shared" si="3"/>
        <v>0</v>
      </c>
      <c r="AB153" s="65"/>
      <c r="AC153" s="66"/>
      <c r="AD153" s="66"/>
      <c r="AE153" s="105"/>
      <c r="AF153" s="90"/>
    </row>
    <row r="154" spans="1:32">
      <c r="A154" s="15">
        <f>Tableau242[[#This Row],[Company number]]+0</f>
        <v>9028</v>
      </c>
      <c r="B154" s="60" t="s">
        <v>445</v>
      </c>
      <c r="C154" s="61" t="s">
        <v>446</v>
      </c>
      <c r="D154" s="61" t="s">
        <v>92</v>
      </c>
      <c r="E154" s="62" t="str">
        <f>IFERROR(VLOOKUP(Tableau242[[#This Row],[Manager ou CDM concerné]],Parametres!B:C,2,FALSE),"")</f>
        <v>Squad D</v>
      </c>
      <c r="F154" s="62" t="str">
        <f>IF(Tableau242[[#This Row],[Consultant]]=Tableau242[[#This Row],[Manager ou CDM concerné]],"Non",IF(IFERROR(VLOOKUP(Tableau242[[#This Row],[Consultant]],Parametres!B:C,2,FALSE),0)=0,"Non","Oui"))</f>
        <v>Non</v>
      </c>
      <c r="G154" s="62">
        <f>IFERROR(VLOOKUP(B154,Tableau5[#All],4,FALSE),"Matricule!")</f>
        <v>0</v>
      </c>
      <c r="H154" s="62" t="str">
        <f>IFERROR(VLOOKUP(Tableau242[[#This Row],[Company number]],#REF!,6,FALSE),"")</f>
        <v/>
      </c>
      <c r="I154" s="62">
        <f>IFERROR(VLOOKUP(B154,Tableau5[#All],5,FALSE),"Matricule!")</f>
        <v>20</v>
      </c>
      <c r="J154" s="62">
        <f>IFERROR(VLOOKUP(B154,Tableau5[#All],6,FALSE),"Matricule!")</f>
        <v>0</v>
      </c>
      <c r="K154" s="62">
        <f>IFERROR(VLOOKUP(B154,Tableau5[#All],7,FALSE),"Matricule!")</f>
        <v>0</v>
      </c>
      <c r="L154" s="62" t="e">
        <f>VLOOKUP(Tableau242[[#This Row],[Company number]],#REF!,25,FALSE)</f>
        <v>#REF!</v>
      </c>
      <c r="M154" s="62" t="str">
        <f>IFERROR(VLOOKUP(Tableau242[[#This Row],[Company number]],#REF!,30,FALSE),"")</f>
        <v/>
      </c>
      <c r="N154" s="62" t="str">
        <f>IFERROR(VLOOKUP(Tableau242[[#This Row],[Company number]],#REF!,31,FALSE),"")</f>
        <v/>
      </c>
      <c r="O154" s="62" t="str">
        <f>IFERROR(VLOOKUP(Tableau242[[#This Row],[Company number]],#REF!,32,FALSE),"")</f>
        <v/>
      </c>
      <c r="P154" s="62">
        <f>IFERROR(VLOOKUP(B154,Tableau3[#All],5,FALSE),"Matricule!")</f>
        <v>0</v>
      </c>
      <c r="Q154" s="62">
        <f>IFERROR(SUM(VLOOKUP(B154,Tableau3[#All],6,FALSE),VLOOKUP(B154,Tableau3[#All],8,FALSE)),"Matricule!")</f>
        <v>20</v>
      </c>
      <c r="R154" s="62">
        <f>IFERROR(VLOOKUP(B154,Tableau3[#All],7,FALSE),"Matricule!")</f>
        <v>0</v>
      </c>
      <c r="S154" s="62">
        <f>IFERROR(Tableau242[[#This Row],[Prod. days WK]]-Tableau242[[#This Row],[Prod PXX]],"Matricule")</f>
        <v>0</v>
      </c>
      <c r="T154" s="62">
        <f>IFERROR(Tableau242[[#This Row],[Non prod. days WK]]-Tableau242[[#This Row],[Improd PXX]],"Matricule")</f>
        <v>0</v>
      </c>
      <c r="U154" s="62">
        <f>IFERROR(Tableau242[[#This Row],[Paid leave days WK]]-Tableau242[[#This Row],[Congé PXX]],"Matricule")</f>
        <v>0</v>
      </c>
      <c r="V154" s="63">
        <f>IFERROR(VLOOKUP($B154,#REF!,4,FALSE),0)</f>
        <v>0</v>
      </c>
      <c r="W15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54" s="63">
        <f>IF(AND(Tableau242[[#This Row],[Paid leave days]]&gt;0,Tableau242[[#This Row],[Prod. days]]&lt;0),MIN(Tableau242[[#This Row],[Paid leave days]],-Tableau242[[#This Row],[Prod. days]]),0)</f>
        <v>0</v>
      </c>
      <c r="Z154" s="63">
        <f>IFERROR(_xlfn.XLOOKUP(Tableau242[[#This Row],[Consultant]],Tableau2[Collaborateur/Nom affiché],Tableau2[Montant imputé],0),0)</f>
        <v>0</v>
      </c>
      <c r="AA154" s="64">
        <f t="shared" si="3"/>
        <v>0</v>
      </c>
      <c r="AB154" s="65"/>
      <c r="AC154" s="67"/>
      <c r="AD154" s="67"/>
      <c r="AE154" s="106"/>
      <c r="AF154" s="92"/>
    </row>
    <row r="155" spans="1:32">
      <c r="A155" s="15">
        <f>Tableau242[[#This Row],[Company number]]+0</f>
        <v>12479</v>
      </c>
      <c r="B155" s="60" t="s">
        <v>447</v>
      </c>
      <c r="C155" s="61" t="s">
        <v>64</v>
      </c>
      <c r="D155" s="61" t="s">
        <v>70</v>
      </c>
      <c r="E155" s="62" t="str">
        <f>IFERROR(VLOOKUP(Tableau242[[#This Row],[Manager ou CDM concerné]],Parametres!B:C,2,FALSE),"")</f>
        <v>Squad C</v>
      </c>
      <c r="F155" s="62" t="str">
        <f>IF(Tableau242[[#This Row],[Consultant]]=Tableau242[[#This Row],[Manager ou CDM concerné]],"Non",IF(IFERROR(VLOOKUP(Tableau242[[#This Row],[Consultant]],Parametres!B:C,2,FALSE),0)=0,"Non","Oui"))</f>
        <v>Oui</v>
      </c>
      <c r="G155" s="62">
        <f>IFERROR(VLOOKUP(B155,Tableau5[#All],4,FALSE),"Matricule!")</f>
        <v>20</v>
      </c>
      <c r="H155" s="62" t="str">
        <f>IFERROR(VLOOKUP(Tableau242[[#This Row],[Company number]],#REF!,6,FALSE),"")</f>
        <v/>
      </c>
      <c r="I155" s="62">
        <f>IFERROR(VLOOKUP(B155,Tableau5[#All],5,FALSE),"Matricule!")</f>
        <v>0</v>
      </c>
      <c r="J155" s="62">
        <f>IFERROR(VLOOKUP(B155,Tableau5[#All],6,FALSE),"Matricule!")</f>
        <v>0</v>
      </c>
      <c r="K155" s="62">
        <f>IFERROR(VLOOKUP(B155,Tableau5[#All],7,FALSE),"Matricule!")</f>
        <v>0</v>
      </c>
      <c r="L155" s="62" t="e">
        <f>VLOOKUP(Tableau242[[#This Row],[Company number]],#REF!,25,FALSE)</f>
        <v>#REF!</v>
      </c>
      <c r="M155" s="62" t="str">
        <f>IFERROR(VLOOKUP(Tableau242[[#This Row],[Company number]],#REF!,30,FALSE),"")</f>
        <v/>
      </c>
      <c r="N155" s="62" t="str">
        <f>IFERROR(VLOOKUP(Tableau242[[#This Row],[Company number]],#REF!,31,FALSE),"")</f>
        <v/>
      </c>
      <c r="O155" s="62" t="str">
        <f>IFERROR(VLOOKUP(Tableau242[[#This Row],[Company number]],#REF!,32,FALSE),"")</f>
        <v/>
      </c>
      <c r="P155" s="62">
        <f>IFERROR(VLOOKUP(B155,Tableau3[#All],5,FALSE),"Matricule!")</f>
        <v>20</v>
      </c>
      <c r="Q155" s="62">
        <f>IFERROR(SUM(VLOOKUP(B155,Tableau3[#All],6,FALSE),VLOOKUP(B155,Tableau3[#All],8,FALSE)),"Matricule!")</f>
        <v>0</v>
      </c>
      <c r="R155" s="62">
        <f>IFERROR(VLOOKUP(B155,Tableau3[#All],7,FALSE),"Matricule!")</f>
        <v>0</v>
      </c>
      <c r="S155" s="62">
        <f>IFERROR(Tableau242[[#This Row],[Prod. days WK]]-Tableau242[[#This Row],[Prod PXX]],"Matricule")</f>
        <v>0</v>
      </c>
      <c r="T155" s="62">
        <f>IFERROR(Tableau242[[#This Row],[Non prod. days WK]]-Tableau242[[#This Row],[Improd PXX]],"Matricule")</f>
        <v>0</v>
      </c>
      <c r="U155" s="62">
        <f>IFERROR(Tableau242[[#This Row],[Paid leave days WK]]-Tableau242[[#This Row],[Congé PXX]],"Matricule")</f>
        <v>0</v>
      </c>
      <c r="V155" s="63">
        <f>IFERROR(VLOOKUP($B155,#REF!,4,FALSE),0)</f>
        <v>0</v>
      </c>
      <c r="W15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55" s="63">
        <f>IF(AND(Tableau242[[#This Row],[Paid leave days]]&gt;0,Tableau242[[#This Row],[Prod. days]]&lt;0),MIN(Tableau242[[#This Row],[Paid leave days]],-Tableau242[[#This Row],[Prod. days]]),0)</f>
        <v>0</v>
      </c>
      <c r="Z155" s="63">
        <f>IFERROR(_xlfn.XLOOKUP(Tableau242[[#This Row],[Consultant]],Tableau2[Collaborateur/Nom affiché],Tableau2[Montant imputé],0),0)</f>
        <v>0</v>
      </c>
      <c r="AA155" s="64">
        <f t="shared" si="3"/>
        <v>0</v>
      </c>
      <c r="AB155" s="78"/>
      <c r="AC155" s="67"/>
      <c r="AD155" s="67"/>
      <c r="AE155" s="39"/>
      <c r="AF155" s="90"/>
    </row>
    <row r="156" spans="1:32">
      <c r="A156" s="15">
        <f>Tableau242[[#This Row],[Company number]]+0</f>
        <v>13106</v>
      </c>
      <c r="B156" s="60" t="s">
        <v>448</v>
      </c>
      <c r="C156" s="61" t="s">
        <v>449</v>
      </c>
      <c r="D156" s="61" t="s">
        <v>70</v>
      </c>
      <c r="E156" s="62" t="str">
        <f>IFERROR(VLOOKUP(Tableau242[[#This Row],[Manager ou CDM concerné]],Parametres!B:C,2,FALSE),"")</f>
        <v>Squad C</v>
      </c>
      <c r="F156" s="62" t="str">
        <f>IF(Tableau242[[#This Row],[Consultant]]=Tableau242[[#This Row],[Manager ou CDM concerné]],"Non",IF(IFERROR(VLOOKUP(Tableau242[[#This Row],[Consultant]],Parametres!B:C,2,FALSE),0)=0,"Non","Oui"))</f>
        <v>Non</v>
      </c>
      <c r="G156" s="62">
        <f>IFERROR(VLOOKUP(B156,Tableau5[#All],4,FALSE),"Matricule!")</f>
        <v>20</v>
      </c>
      <c r="H156" s="62" t="str">
        <f>IFERROR(VLOOKUP(Tableau242[[#This Row],[Company number]],#REF!,6,FALSE),"")</f>
        <v/>
      </c>
      <c r="I156" s="62">
        <f>IFERROR(VLOOKUP(B156,Tableau5[#All],5,FALSE),"Matricule!")</f>
        <v>0</v>
      </c>
      <c r="J156" s="62">
        <f>IFERROR(VLOOKUP(B156,Tableau5[#All],6,FALSE),"Matricule!")</f>
        <v>0</v>
      </c>
      <c r="K156" s="62">
        <f>IFERROR(VLOOKUP(B156,Tableau5[#All],7,FALSE),"Matricule!")</f>
        <v>0</v>
      </c>
      <c r="L156" s="62" t="e">
        <f>VLOOKUP(Tableau242[[#This Row],[Company number]],#REF!,25,FALSE)</f>
        <v>#REF!</v>
      </c>
      <c r="M156" s="62" t="str">
        <f>IFERROR(VLOOKUP(Tableau242[[#This Row],[Company number]],#REF!,30,FALSE),"")</f>
        <v/>
      </c>
      <c r="N156" s="62" t="str">
        <f>IFERROR(VLOOKUP(Tableau242[[#This Row],[Company number]],#REF!,31,FALSE),"")</f>
        <v/>
      </c>
      <c r="O156" s="62" t="str">
        <f>IFERROR(VLOOKUP(Tableau242[[#This Row],[Company number]],#REF!,32,FALSE),"")</f>
        <v/>
      </c>
      <c r="P156" s="62">
        <f>IFERROR(VLOOKUP(B156,Tableau3[#All],5,FALSE),"Matricule!")</f>
        <v>20</v>
      </c>
      <c r="Q156" s="62">
        <f>IFERROR(SUM(VLOOKUP(B156,Tableau3[#All],6,FALSE),VLOOKUP(B156,Tableau3[#All],8,FALSE)),"Matricule!")</f>
        <v>0</v>
      </c>
      <c r="R156" s="62">
        <f>IFERROR(VLOOKUP(B156,Tableau3[#All],7,FALSE),"Matricule!")</f>
        <v>0</v>
      </c>
      <c r="S156" s="62">
        <f>IFERROR(Tableau242[[#This Row],[Prod. days WK]]-Tableau242[[#This Row],[Prod PXX]],"Matricule")</f>
        <v>0</v>
      </c>
      <c r="T156" s="62">
        <f>IFERROR(Tableau242[[#This Row],[Non prod. days WK]]-Tableau242[[#This Row],[Improd PXX]],"Matricule")</f>
        <v>0</v>
      </c>
      <c r="U156" s="62">
        <f>IFERROR(Tableau242[[#This Row],[Paid leave days WK]]-Tableau242[[#This Row],[Congé PXX]],"Matricule")</f>
        <v>0</v>
      </c>
      <c r="V156" s="63">
        <f>IFERROR(VLOOKUP($B156,#REF!,4,FALSE),0)</f>
        <v>0</v>
      </c>
      <c r="W15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56" s="63">
        <f>IF(AND(Tableau242[[#This Row],[Paid leave days]]&gt;0,Tableau242[[#This Row],[Prod. days]]&lt;0),MIN(Tableau242[[#This Row],[Paid leave days]],-Tableau242[[#This Row],[Prod. days]]),0)</f>
        <v>0</v>
      </c>
      <c r="Z156" s="63">
        <f>IFERROR(_xlfn.XLOOKUP(Tableau242[[#This Row],[Consultant]],Tableau2[Collaborateur/Nom affiché],Tableau2[Montant imputé],0),0)</f>
        <v>0</v>
      </c>
      <c r="AA156" s="64">
        <f t="shared" si="3"/>
        <v>0</v>
      </c>
      <c r="AB156" s="65"/>
      <c r="AC156" s="66"/>
      <c r="AD156" s="66"/>
      <c r="AE156" s="105"/>
      <c r="AF156" s="90"/>
    </row>
    <row r="157" spans="1:32">
      <c r="A157" s="15">
        <f>Tableau242[[#This Row],[Company number]]+0</f>
        <v>13729</v>
      </c>
      <c r="B157" s="60" t="s">
        <v>450</v>
      </c>
      <c r="C157" s="61" t="s">
        <v>451</v>
      </c>
      <c r="D157" s="61" t="s">
        <v>70</v>
      </c>
      <c r="E157" s="62" t="str">
        <f>IFERROR(VLOOKUP(Tableau242[[#This Row],[Manager ou CDM concerné]],Parametres!B:C,2,FALSE),"")</f>
        <v>Squad C</v>
      </c>
      <c r="F157" s="62" t="str">
        <f>IF(Tableau242[[#This Row],[Consultant]]=Tableau242[[#This Row],[Manager ou CDM concerné]],"Non",IF(IFERROR(VLOOKUP(Tableau242[[#This Row],[Consultant]],Parametres!B:C,2,FALSE),0)=0,"Non","Oui"))</f>
        <v>Non</v>
      </c>
      <c r="G157" s="62">
        <f>IFERROR(VLOOKUP(B157,Tableau5[#All],4,FALSE),"Matricule!")</f>
        <v>14</v>
      </c>
      <c r="H157" s="62" t="str">
        <f>IFERROR(VLOOKUP(Tableau242[[#This Row],[Company number]],#REF!,6,FALSE),"")</f>
        <v/>
      </c>
      <c r="I157" s="62">
        <f>IFERROR(VLOOKUP(B157,Tableau5[#All],5,FALSE),"Matricule!")</f>
        <v>0</v>
      </c>
      <c r="J157" s="62">
        <f>IFERROR(VLOOKUP(B157,Tableau5[#All],6,FALSE),"Matricule!")</f>
        <v>6</v>
      </c>
      <c r="K157" s="62">
        <f>IFERROR(VLOOKUP(B157,Tableau5[#All],7,FALSE),"Matricule!")</f>
        <v>0</v>
      </c>
      <c r="L157" s="62" t="e">
        <f>VLOOKUP(Tableau242[[#This Row],[Company number]],#REF!,25,FALSE)</f>
        <v>#REF!</v>
      </c>
      <c r="M157" s="62" t="str">
        <f>IFERROR(VLOOKUP(Tableau242[[#This Row],[Company number]],#REF!,30,FALSE),"")</f>
        <v/>
      </c>
      <c r="N157" s="62" t="str">
        <f>IFERROR(VLOOKUP(Tableau242[[#This Row],[Company number]],#REF!,31,FALSE),"")</f>
        <v/>
      </c>
      <c r="O157" s="62" t="str">
        <f>IFERROR(VLOOKUP(Tableau242[[#This Row],[Company number]],#REF!,32,FALSE),"")</f>
        <v/>
      </c>
      <c r="P157" s="68">
        <f>IFERROR(VLOOKUP(B157,Tableau3[#All],5,FALSE),"Matricule!")</f>
        <v>10</v>
      </c>
      <c r="Q157" s="68">
        <f>IFERROR(SUM(VLOOKUP(B157,Tableau3[#All],6,FALSE),VLOOKUP(B157,Tableau3[#All],8,FALSE)),"Matricule!")</f>
        <v>4</v>
      </c>
      <c r="R157" s="68">
        <f>IFERROR(VLOOKUP(B157,Tableau3[#All],7,FALSE),"Matricule!")</f>
        <v>6</v>
      </c>
      <c r="S157" s="62">
        <f>IFERROR(Tableau242[[#This Row],[Prod. days WK]]-Tableau242[[#This Row],[Prod PXX]],"Matricule")</f>
        <v>4</v>
      </c>
      <c r="T157" s="62">
        <f>IFERROR(Tableau242[[#This Row],[Non prod. days WK]]-Tableau242[[#This Row],[Improd PXX]],"Matricule")</f>
        <v>-4</v>
      </c>
      <c r="U157" s="62">
        <f>IFERROR(Tableau242[[#This Row],[Paid leave days WK]]-Tableau242[[#This Row],[Congé PXX]],"Matricule")</f>
        <v>0</v>
      </c>
      <c r="V157" s="63">
        <f>IFERROR(VLOOKUP($B157,#REF!,4,FALSE),0)</f>
        <v>0</v>
      </c>
      <c r="W15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57" s="63">
        <f>IF(AND(Tableau242[[#This Row],[Paid leave days]]&gt;0,Tableau242[[#This Row],[Prod. days]]&lt;0),MIN(Tableau242[[#This Row],[Paid leave days]],-Tableau242[[#This Row],[Prod. days]]),0)</f>
        <v>0</v>
      </c>
      <c r="Z157" s="63">
        <f>IFERROR(_xlfn.XLOOKUP(Tableau242[[#This Row],[Consultant]],Tableau2[Collaborateur/Nom affiché],Tableau2[Montant imputé],0),0)</f>
        <v>0</v>
      </c>
      <c r="AA157" s="64">
        <f t="shared" si="3"/>
        <v>4</v>
      </c>
      <c r="AB157" s="65"/>
      <c r="AC157" s="66"/>
      <c r="AD157" s="66"/>
      <c r="AE157" s="105"/>
      <c r="AF157" s="90"/>
    </row>
    <row r="158" spans="1:32">
      <c r="A158" s="15">
        <f>Tableau242[[#This Row],[Company number]]+0</f>
        <v>17209</v>
      </c>
      <c r="B158" s="60" t="s">
        <v>452</v>
      </c>
      <c r="C158" s="61" t="s">
        <v>453</v>
      </c>
      <c r="D158" s="61" t="s">
        <v>70</v>
      </c>
      <c r="E158" s="62" t="str">
        <f>IFERROR(VLOOKUP(Tableau242[[#This Row],[Manager ou CDM concerné]],Parametres!B:C,2,FALSE),"")</f>
        <v>Squad C</v>
      </c>
      <c r="F158" s="62" t="str">
        <f>IF(Tableau242[[#This Row],[Consultant]]=Tableau242[[#This Row],[Manager ou CDM concerné]],"Non",IF(IFERROR(VLOOKUP(Tableau242[[#This Row],[Consultant]],Parametres!B:C,2,FALSE),0)=0,"Non","Oui"))</f>
        <v>Non</v>
      </c>
      <c r="G158" s="62">
        <f>IFERROR(VLOOKUP(B158,Tableau5[#All],4,FALSE),"Matricule!")</f>
        <v>20</v>
      </c>
      <c r="H158" s="62" t="str">
        <f>IFERROR(VLOOKUP(Tableau242[[#This Row],[Company number]],#REF!,6,FALSE),"")</f>
        <v/>
      </c>
      <c r="I158" s="62">
        <f>IFERROR(VLOOKUP(B158,Tableau5[#All],5,FALSE),"Matricule!")</f>
        <v>0</v>
      </c>
      <c r="J158" s="62">
        <f>IFERROR(VLOOKUP(B158,Tableau5[#All],6,FALSE),"Matricule!")</f>
        <v>0</v>
      </c>
      <c r="K158" s="62">
        <f>IFERROR(VLOOKUP(B158,Tableau5[#All],7,FALSE),"Matricule!")</f>
        <v>0</v>
      </c>
      <c r="L158" s="62" t="e">
        <f>VLOOKUP(Tableau242[[#This Row],[Company number]],#REF!,25,FALSE)</f>
        <v>#REF!</v>
      </c>
      <c r="M158" s="62" t="str">
        <f>IFERROR(VLOOKUP(Tableau242[[#This Row],[Company number]],#REF!,30,FALSE),"")</f>
        <v/>
      </c>
      <c r="N158" s="62" t="str">
        <f>IFERROR(VLOOKUP(Tableau242[[#This Row],[Company number]],#REF!,31,FALSE),"")</f>
        <v/>
      </c>
      <c r="O158" s="62" t="str">
        <f>IFERROR(VLOOKUP(Tableau242[[#This Row],[Company number]],#REF!,32,FALSE),"")</f>
        <v/>
      </c>
      <c r="P158" s="68">
        <f>IFERROR(VLOOKUP(B158,Tableau3[#All],5,FALSE),"Matricule!")</f>
        <v>20</v>
      </c>
      <c r="Q158" s="68">
        <f>IFERROR(SUM(VLOOKUP(B158,Tableau3[#All],6,FALSE),VLOOKUP(B158,Tableau3[#All],8,FALSE)),"Matricule!")</f>
        <v>0</v>
      </c>
      <c r="R158" s="68">
        <f>IFERROR(VLOOKUP(B158,Tableau3[#All],7,FALSE),"Matricule!")</f>
        <v>0</v>
      </c>
      <c r="S158" s="62">
        <f>IFERROR(Tableau242[[#This Row],[Prod. days WK]]-Tableau242[[#This Row],[Prod PXX]],"Matricule")</f>
        <v>0</v>
      </c>
      <c r="T158" s="62">
        <f>IFERROR(Tableau242[[#This Row],[Non prod. days WK]]-Tableau242[[#This Row],[Improd PXX]],"Matricule")</f>
        <v>0</v>
      </c>
      <c r="U158" s="62">
        <f>IFERROR(Tableau242[[#This Row],[Paid leave days WK]]-Tableau242[[#This Row],[Congé PXX]],"Matricule")</f>
        <v>0</v>
      </c>
      <c r="V158" s="63">
        <f>IFERROR(VLOOKUP($B158,#REF!,4,FALSE),0)</f>
        <v>0</v>
      </c>
      <c r="W15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58" s="63">
        <f>IF(AND(Tableau242[[#This Row],[Paid leave days]]&gt;0,Tableau242[[#This Row],[Prod. days]]&lt;0),MIN(Tableau242[[#This Row],[Paid leave days]],-Tableau242[[#This Row],[Prod. days]]),0)</f>
        <v>0</v>
      </c>
      <c r="Z158" s="63">
        <f>IFERROR(_xlfn.XLOOKUP(Tableau242[[#This Row],[Consultant]],Tableau2[Collaborateur/Nom affiché],Tableau2[Montant imputé],0),0)</f>
        <v>0</v>
      </c>
      <c r="AA158" s="64">
        <f t="shared" si="3"/>
        <v>0</v>
      </c>
      <c r="AB158" s="78"/>
      <c r="AC158" s="67"/>
      <c r="AD158" s="67"/>
      <c r="AE158" s="106"/>
      <c r="AF158" s="92"/>
    </row>
    <row r="159" spans="1:32">
      <c r="A159" s="15">
        <f>Tableau242[[#This Row],[Company number]]+0</f>
        <v>12185</v>
      </c>
      <c r="B159" s="60" t="s">
        <v>454</v>
      </c>
      <c r="C159" s="61" t="s">
        <v>455</v>
      </c>
      <c r="D159" s="61" t="s">
        <v>70</v>
      </c>
      <c r="E159" s="62" t="str">
        <f>IFERROR(VLOOKUP(Tableau242[[#This Row],[Manager ou CDM concerné]],Parametres!B:C,2,FALSE),"")</f>
        <v>Squad C</v>
      </c>
      <c r="F159" s="62" t="str">
        <f>IF(Tableau242[[#This Row],[Consultant]]=Tableau242[[#This Row],[Manager ou CDM concerné]],"Non",IF(IFERROR(VLOOKUP(Tableau242[[#This Row],[Consultant]],Parametres!B:C,2,FALSE),0)=0,"Non","Oui"))</f>
        <v>Non</v>
      </c>
      <c r="G159" s="62">
        <f>IFERROR(VLOOKUP(B159,Tableau5[#All],4,FALSE),"Matricule!")</f>
        <v>15</v>
      </c>
      <c r="H159" s="62" t="str">
        <f>IFERROR(VLOOKUP(Tableau242[[#This Row],[Company number]],#REF!,6,FALSE),"")</f>
        <v/>
      </c>
      <c r="I159" s="62">
        <f>IFERROR(VLOOKUP(B159,Tableau5[#All],5,FALSE),"Matricule!")</f>
        <v>0</v>
      </c>
      <c r="J159" s="62">
        <f>IFERROR(VLOOKUP(B159,Tableau5[#All],6,FALSE),"Matricule!")</f>
        <v>5</v>
      </c>
      <c r="K159" s="62">
        <f>IFERROR(VLOOKUP(B159,Tableau5[#All],7,FALSE),"Matricule!")</f>
        <v>0</v>
      </c>
      <c r="L159" s="62" t="e">
        <f>VLOOKUP(Tableau242[[#This Row],[Company number]],#REF!,25,FALSE)</f>
        <v>#REF!</v>
      </c>
      <c r="M159" s="62" t="str">
        <f>IFERROR(VLOOKUP(Tableau242[[#This Row],[Company number]],#REF!,30,FALSE),"")</f>
        <v/>
      </c>
      <c r="N159" s="62" t="str">
        <f>IFERROR(VLOOKUP(Tableau242[[#This Row],[Company number]],#REF!,31,FALSE),"")</f>
        <v/>
      </c>
      <c r="O159" s="62" t="str">
        <f>IFERROR(VLOOKUP(Tableau242[[#This Row],[Company number]],#REF!,32,FALSE),"")</f>
        <v/>
      </c>
      <c r="P159" s="62">
        <f>IFERROR(VLOOKUP(B159,Tableau3[#All],5,FALSE),"Matricule!")</f>
        <v>15</v>
      </c>
      <c r="Q159" s="62">
        <f>IFERROR(SUM(VLOOKUP(B159,Tableau3[#All],6,FALSE),VLOOKUP(B159,Tableau3[#All],8,FALSE)),"Matricule!")</f>
        <v>0</v>
      </c>
      <c r="R159" s="62">
        <f>IFERROR(VLOOKUP(B159,Tableau3[#All],7,FALSE),"Matricule!")</f>
        <v>5</v>
      </c>
      <c r="S159" s="62">
        <f>IFERROR(Tableau242[[#This Row],[Prod. days WK]]-Tableau242[[#This Row],[Prod PXX]],"Matricule")</f>
        <v>0</v>
      </c>
      <c r="T159" s="62">
        <f>IFERROR(Tableau242[[#This Row],[Non prod. days WK]]-Tableau242[[#This Row],[Improd PXX]],"Matricule")</f>
        <v>0</v>
      </c>
      <c r="U159" s="62">
        <f>IFERROR(Tableau242[[#This Row],[Paid leave days WK]]-Tableau242[[#This Row],[Congé PXX]],"Matricule")</f>
        <v>0</v>
      </c>
      <c r="V159" s="63">
        <f>IFERROR(VLOOKUP($B159,#REF!,4,FALSE),0)</f>
        <v>0</v>
      </c>
      <c r="W15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5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59" s="63">
        <f>IF(AND(Tableau242[[#This Row],[Paid leave days]]&gt;0,Tableau242[[#This Row],[Prod. days]]&lt;0),MIN(Tableau242[[#This Row],[Paid leave days]],-Tableau242[[#This Row],[Prod. days]]),0)</f>
        <v>0</v>
      </c>
      <c r="Z159" s="63">
        <f>IFERROR(_xlfn.XLOOKUP(Tableau242[[#This Row],[Consultant]],Tableau2[Collaborateur/Nom affiché],Tableau2[Montant imputé],0),0)</f>
        <v>0</v>
      </c>
      <c r="AA159" s="64">
        <f t="shared" si="3"/>
        <v>0</v>
      </c>
      <c r="AB159" s="65"/>
      <c r="AC159" s="67"/>
      <c r="AD159" s="66"/>
      <c r="AE159" s="105"/>
      <c r="AF159" s="93"/>
    </row>
    <row r="160" spans="1:32">
      <c r="A160" s="15">
        <f>Tableau242[[#This Row],[Company number]]+0</f>
        <v>14586</v>
      </c>
      <c r="B160" s="60" t="s">
        <v>456</v>
      </c>
      <c r="C160" s="61" t="s">
        <v>361</v>
      </c>
      <c r="D160" s="61" t="s">
        <v>70</v>
      </c>
      <c r="E160" s="62" t="str">
        <f>IFERROR(VLOOKUP(Tableau242[[#This Row],[Manager ou CDM concerné]],Parametres!B:C,2,FALSE),"")</f>
        <v>Squad C</v>
      </c>
      <c r="F160" s="62" t="str">
        <f>IF(Tableau242[[#This Row],[Consultant]]=Tableau242[[#This Row],[Manager ou CDM concerné]],"Non",IF(IFERROR(VLOOKUP(Tableau242[[#This Row],[Consultant]],Parametres!B:C,2,FALSE),0)=0,"Non","Oui"))</f>
        <v>Oui</v>
      </c>
      <c r="G160" s="62">
        <f>IFERROR(VLOOKUP(B160,Tableau5[#All],4,FALSE),"Matricule!")</f>
        <v>20</v>
      </c>
      <c r="H160" s="62" t="str">
        <f>IFERROR(VLOOKUP(Tableau242[[#This Row],[Company number]],#REF!,6,FALSE),"")</f>
        <v/>
      </c>
      <c r="I160" s="62">
        <f>IFERROR(VLOOKUP(B160,Tableau5[#All],5,FALSE),"Matricule!")</f>
        <v>0</v>
      </c>
      <c r="J160" s="62">
        <f>IFERROR(VLOOKUP(B160,Tableau5[#All],6,FALSE),"Matricule!")</f>
        <v>0</v>
      </c>
      <c r="K160" s="62">
        <f>IFERROR(VLOOKUP(B160,Tableau5[#All],7,FALSE),"Matricule!")</f>
        <v>0</v>
      </c>
      <c r="L160" s="62" t="e">
        <f>VLOOKUP(Tableau242[[#This Row],[Company number]],#REF!,25,FALSE)</f>
        <v>#REF!</v>
      </c>
      <c r="M160" s="62" t="str">
        <f>IFERROR(VLOOKUP(Tableau242[[#This Row],[Company number]],#REF!,30,FALSE),"")</f>
        <v/>
      </c>
      <c r="N160" s="62" t="str">
        <f>IFERROR(VLOOKUP(Tableau242[[#This Row],[Company number]],#REF!,31,FALSE),"")</f>
        <v/>
      </c>
      <c r="O160" s="62" t="str">
        <f>IFERROR(VLOOKUP(Tableau242[[#This Row],[Company number]],#REF!,32,FALSE),"")</f>
        <v/>
      </c>
      <c r="P160" s="62">
        <f>IFERROR(VLOOKUP(B160,Tableau3[#All],5,FALSE),"Matricule!")</f>
        <v>20</v>
      </c>
      <c r="Q160" s="62">
        <f>IFERROR(SUM(VLOOKUP(B160,Tableau3[#All],6,FALSE),VLOOKUP(B160,Tableau3[#All],8,FALSE)),"Matricule!")</f>
        <v>0</v>
      </c>
      <c r="R160" s="62">
        <f>IFERROR(VLOOKUP(B160,Tableau3[#All],7,FALSE),"Matricule!")</f>
        <v>0</v>
      </c>
      <c r="S160" s="62">
        <f>IFERROR(Tableau242[[#This Row],[Prod. days WK]]-Tableau242[[#This Row],[Prod PXX]],"Matricule")</f>
        <v>0</v>
      </c>
      <c r="T160" s="62">
        <f>IFERROR(Tableau242[[#This Row],[Non prod. days WK]]-Tableau242[[#This Row],[Improd PXX]],"Matricule")</f>
        <v>0</v>
      </c>
      <c r="U160" s="62">
        <f>IFERROR(Tableau242[[#This Row],[Paid leave days WK]]-Tableau242[[#This Row],[Congé PXX]],"Matricule")</f>
        <v>0</v>
      </c>
      <c r="V160" s="63">
        <f>IFERROR(VLOOKUP($B160,#REF!,4,FALSE),0)</f>
        <v>0</v>
      </c>
      <c r="W16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60" s="63">
        <f>IF(AND(Tableau242[[#This Row],[Paid leave days]]&gt;0,Tableau242[[#This Row],[Prod. days]]&lt;0),MIN(Tableau242[[#This Row],[Paid leave days]],-Tableau242[[#This Row],[Prod. days]]),0)</f>
        <v>0</v>
      </c>
      <c r="Z160" s="63">
        <f>IFERROR(_xlfn.XLOOKUP(Tableau242[[#This Row],[Consultant]],Tableau2[Collaborateur/Nom affiché],Tableau2[Montant imputé],0),0)</f>
        <v>0</v>
      </c>
      <c r="AA160" s="64">
        <f t="shared" si="3"/>
        <v>0</v>
      </c>
      <c r="AB160" s="65"/>
      <c r="AC160" s="67"/>
      <c r="AD160" s="66"/>
      <c r="AE160" s="105"/>
      <c r="AF160" s="93"/>
    </row>
    <row r="161" spans="1:32">
      <c r="A161" s="15">
        <f>Tableau242[[#This Row],[Company number]]+0</f>
        <v>13966</v>
      </c>
      <c r="B161" s="60" t="s">
        <v>457</v>
      </c>
      <c r="C161" s="61" t="s">
        <v>458</v>
      </c>
      <c r="D161" s="61" t="s">
        <v>70</v>
      </c>
      <c r="E161" s="62" t="str">
        <f>IFERROR(VLOOKUP(Tableau242[[#This Row],[Manager ou CDM concerné]],Parametres!B:C,2,FALSE),"")</f>
        <v>Squad C</v>
      </c>
      <c r="F161" s="62" t="str">
        <f>IF(Tableau242[[#This Row],[Consultant]]=Tableau242[[#This Row],[Manager ou CDM concerné]],"Non",IF(IFERROR(VLOOKUP(Tableau242[[#This Row],[Consultant]],Parametres!B:C,2,FALSE),0)=0,"Non","Oui"))</f>
        <v>Non</v>
      </c>
      <c r="G161" s="62">
        <f>IFERROR(VLOOKUP(B161,Tableau5[#All],4,FALSE),"Matricule!")</f>
        <v>19.5</v>
      </c>
      <c r="H161" s="62" t="str">
        <f>IFERROR(VLOOKUP(Tableau242[[#This Row],[Company number]],#REF!,6,FALSE),"")</f>
        <v/>
      </c>
      <c r="I161" s="62">
        <f>IFERROR(VLOOKUP(B161,Tableau5[#All],5,FALSE),"Matricule!")</f>
        <v>0</v>
      </c>
      <c r="J161" s="62">
        <f>IFERROR(VLOOKUP(B161,Tableau5[#All],6,FALSE),"Matricule!")</f>
        <v>0.5</v>
      </c>
      <c r="K161" s="62">
        <f>IFERROR(VLOOKUP(B161,Tableau5[#All],7,FALSE),"Matricule!")</f>
        <v>0</v>
      </c>
      <c r="L161" s="62" t="e">
        <f>VLOOKUP(Tableau242[[#This Row],[Company number]],#REF!,25,FALSE)</f>
        <v>#REF!</v>
      </c>
      <c r="M161" s="62" t="str">
        <f>IFERROR(VLOOKUP(Tableau242[[#This Row],[Company number]],#REF!,30,FALSE),"")</f>
        <v/>
      </c>
      <c r="N161" s="62" t="str">
        <f>IFERROR(VLOOKUP(Tableau242[[#This Row],[Company number]],#REF!,31,FALSE),"")</f>
        <v/>
      </c>
      <c r="O161" s="62" t="str">
        <f>IFERROR(VLOOKUP(Tableau242[[#This Row],[Company number]],#REF!,32,FALSE),"")</f>
        <v/>
      </c>
      <c r="P161" s="62">
        <f>IFERROR(VLOOKUP(B161,Tableau3[#All],5,FALSE),"Matricule!")</f>
        <v>19</v>
      </c>
      <c r="Q161" s="62">
        <f>IFERROR(SUM(VLOOKUP(B161,Tableau3[#All],6,FALSE),VLOOKUP(B161,Tableau3[#All],8,FALSE)),"Matricule!")</f>
        <v>0</v>
      </c>
      <c r="R161" s="62">
        <f>IFERROR(VLOOKUP(B161,Tableau3[#All],7,FALSE),"Matricule!")</f>
        <v>1</v>
      </c>
      <c r="S161" s="62">
        <f>IFERROR(Tableau242[[#This Row],[Prod. days WK]]-Tableau242[[#This Row],[Prod PXX]],"Matricule")</f>
        <v>0.5</v>
      </c>
      <c r="T161" s="62">
        <f>IFERROR(Tableau242[[#This Row],[Non prod. days WK]]-Tableau242[[#This Row],[Improd PXX]],"Matricule")</f>
        <v>0</v>
      </c>
      <c r="U161" s="62">
        <f>IFERROR(Tableau242[[#This Row],[Paid leave days WK]]-Tableau242[[#This Row],[Congé PXX]],"Matricule")</f>
        <v>-0.5</v>
      </c>
      <c r="V161" s="63">
        <f>IFERROR(VLOOKUP($B161,#REF!,4,FALSE),0)</f>
        <v>0</v>
      </c>
      <c r="W16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61" s="63">
        <f>IF(AND(Tableau242[[#This Row],[Paid leave days]]&gt;0,Tableau242[[#This Row],[Prod. days]]&lt;0),MIN(Tableau242[[#This Row],[Paid leave days]],-Tableau242[[#This Row],[Prod. days]]),0)</f>
        <v>0</v>
      </c>
      <c r="Z161" s="63">
        <f>IFERROR(_xlfn.XLOOKUP(Tableau242[[#This Row],[Consultant]],Tableau2[Collaborateur/Nom affiché],Tableau2[Montant imputé],0),0)</f>
        <v>0</v>
      </c>
      <c r="AA161" s="64">
        <f t="shared" si="3"/>
        <v>0.5</v>
      </c>
      <c r="AB161" s="65"/>
      <c r="AC161" s="66"/>
      <c r="AD161" s="66"/>
      <c r="AE161" s="105"/>
      <c r="AF161" s="90"/>
    </row>
    <row r="162" spans="1:32" ht="14.45" customHeight="1">
      <c r="A162" s="15">
        <f>Tableau242[[#This Row],[Company number]]+0</f>
        <v>10266</v>
      </c>
      <c r="B162" s="60" t="s">
        <v>459</v>
      </c>
      <c r="C162" s="61" t="s">
        <v>460</v>
      </c>
      <c r="D162" s="61" t="s">
        <v>70</v>
      </c>
      <c r="E162" s="62" t="str">
        <f>IFERROR(VLOOKUP(Tableau242[[#This Row],[Manager ou CDM concerné]],Parametres!B:C,2,FALSE),"")</f>
        <v>Squad C</v>
      </c>
      <c r="F162" s="62" t="str">
        <f>IF(Tableau242[[#This Row],[Consultant]]=Tableau242[[#This Row],[Manager ou CDM concerné]],"Non",IF(IFERROR(VLOOKUP(Tableau242[[#This Row],[Consultant]],Parametres!B:C,2,FALSE),0)=0,"Non","Oui"))</f>
        <v>Non</v>
      </c>
      <c r="G162" s="62">
        <f>IFERROR(VLOOKUP(B162,Tableau5[#All],4,FALSE),"Matricule!")</f>
        <v>16</v>
      </c>
      <c r="H162" s="62" t="str">
        <f>IFERROR(VLOOKUP(Tableau242[[#This Row],[Company number]],#REF!,6,FALSE),"")</f>
        <v/>
      </c>
      <c r="I162" s="62">
        <f>IFERROR(VLOOKUP(B162,Tableau5[#All],5,FALSE),"Matricule!")</f>
        <v>0</v>
      </c>
      <c r="J162" s="62">
        <f>IFERROR(VLOOKUP(B162,Tableau5[#All],6,FALSE),"Matricule!")</f>
        <v>4</v>
      </c>
      <c r="K162" s="62">
        <f>IFERROR(VLOOKUP(B162,Tableau5[#All],7,FALSE),"Matricule!")</f>
        <v>0</v>
      </c>
      <c r="L162" s="62" t="e">
        <f>VLOOKUP(Tableau242[[#This Row],[Company number]],#REF!,25,FALSE)</f>
        <v>#REF!</v>
      </c>
      <c r="M162" s="62" t="str">
        <f>IFERROR(VLOOKUP(Tableau242[[#This Row],[Company number]],#REF!,30,FALSE),"")</f>
        <v/>
      </c>
      <c r="N162" s="62" t="str">
        <f>IFERROR(VLOOKUP(Tableau242[[#This Row],[Company number]],#REF!,31,FALSE),"")</f>
        <v/>
      </c>
      <c r="O162" s="62" t="str">
        <f>IFERROR(VLOOKUP(Tableau242[[#This Row],[Company number]],#REF!,32,FALSE),"")</f>
        <v/>
      </c>
      <c r="P162" s="62">
        <f>IFERROR(VLOOKUP(B162,Tableau3[#All],5,FALSE),"Matricule!")</f>
        <v>16</v>
      </c>
      <c r="Q162" s="62">
        <f>IFERROR(SUM(VLOOKUP(B162,Tableau3[#All],6,FALSE),VLOOKUP(B162,Tableau3[#All],8,FALSE)),"Matricule!")</f>
        <v>0</v>
      </c>
      <c r="R162" s="62">
        <f>IFERROR(VLOOKUP(B162,Tableau3[#All],7,FALSE),"Matricule!")</f>
        <v>4</v>
      </c>
      <c r="S162" s="62">
        <f>IFERROR(Tableau242[[#This Row],[Prod. days WK]]-Tableau242[[#This Row],[Prod PXX]],"Matricule")</f>
        <v>0</v>
      </c>
      <c r="T162" s="62">
        <f>IFERROR(Tableau242[[#This Row],[Non prod. days WK]]-Tableau242[[#This Row],[Improd PXX]],"Matricule")</f>
        <v>0</v>
      </c>
      <c r="U162" s="62">
        <f>IFERROR(Tableau242[[#This Row],[Paid leave days WK]]-Tableau242[[#This Row],[Congé PXX]],"Matricule")</f>
        <v>0</v>
      </c>
      <c r="V162" s="63">
        <f>IFERROR(VLOOKUP($B162,#REF!,4,FALSE),0)</f>
        <v>0</v>
      </c>
      <c r="W16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62" s="63">
        <f>IF(AND(Tableau242[[#This Row],[Paid leave days]]&gt;0,Tableau242[[#This Row],[Prod. days]]&lt;0),MIN(Tableau242[[#This Row],[Paid leave days]],-Tableau242[[#This Row],[Prod. days]]),0)</f>
        <v>0</v>
      </c>
      <c r="Z162" s="63">
        <f>IFERROR(_xlfn.XLOOKUP(Tableau242[[#This Row],[Consultant]],Tableau2[Collaborateur/Nom affiché],Tableau2[Montant imputé],0),0)</f>
        <v>0</v>
      </c>
      <c r="AA162" s="64">
        <f t="shared" si="3"/>
        <v>0</v>
      </c>
      <c r="AB162" s="65"/>
      <c r="AC162" s="66"/>
      <c r="AD162" s="66"/>
      <c r="AE162" s="105"/>
      <c r="AF162" s="90"/>
    </row>
    <row r="163" spans="1:32">
      <c r="A163" s="15">
        <f>Tableau242[[#This Row],[Company number]]+0</f>
        <v>12491</v>
      </c>
      <c r="B163" s="60" t="s">
        <v>461</v>
      </c>
      <c r="C163" s="61" t="s">
        <v>462</v>
      </c>
      <c r="D163" s="61" t="s">
        <v>67</v>
      </c>
      <c r="E163" s="62" t="str">
        <f>IFERROR(VLOOKUP(Tableau242[[#This Row],[Manager ou CDM concerné]],Parametres!B:C,2,FALSE),"")</f>
        <v>Squad C</v>
      </c>
      <c r="F163" s="62" t="str">
        <f>IF(Tableau242[[#This Row],[Consultant]]=Tableau242[[#This Row],[Manager ou CDM concerné]],"Non",IF(IFERROR(VLOOKUP(Tableau242[[#This Row],[Consultant]],Parametres!B:C,2,FALSE),0)=0,"Non","Oui"))</f>
        <v>Non</v>
      </c>
      <c r="G163" s="62">
        <f>IFERROR(VLOOKUP(B163,Tableau5[#All],4,FALSE),"Matricule!")</f>
        <v>13</v>
      </c>
      <c r="H163" s="62" t="str">
        <f>IFERROR(VLOOKUP(Tableau242[[#This Row],[Company number]],#REF!,6,FALSE),"")</f>
        <v/>
      </c>
      <c r="I163" s="62">
        <f>IFERROR(VLOOKUP(B163,Tableau5[#All],5,FALSE),"Matricule!")</f>
        <v>3</v>
      </c>
      <c r="J163" s="62">
        <f>IFERROR(VLOOKUP(B163,Tableau5[#All],6,FALSE),"Matricule!")</f>
        <v>0</v>
      </c>
      <c r="K163" s="62">
        <f>IFERROR(VLOOKUP(B163,Tableau5[#All],7,FALSE),"Matricule!")</f>
        <v>4</v>
      </c>
      <c r="L163" s="62" t="e">
        <f>VLOOKUP(Tableau242[[#This Row],[Company number]],#REF!,25,FALSE)</f>
        <v>#REF!</v>
      </c>
      <c r="M163" s="62" t="str">
        <f>IFERROR(VLOOKUP(Tableau242[[#This Row],[Company number]],#REF!,30,FALSE),"")</f>
        <v/>
      </c>
      <c r="N163" s="62" t="str">
        <f>IFERROR(VLOOKUP(Tableau242[[#This Row],[Company number]],#REF!,31,FALSE),"")</f>
        <v/>
      </c>
      <c r="O163" s="62" t="str">
        <f>IFERROR(VLOOKUP(Tableau242[[#This Row],[Company number]],#REF!,32,FALSE),"")</f>
        <v/>
      </c>
      <c r="P163" s="62">
        <f>IFERROR(VLOOKUP(B163,Tableau3[#All],5,FALSE),"Matricule!")</f>
        <v>16</v>
      </c>
      <c r="Q163" s="62">
        <f>IFERROR(SUM(VLOOKUP(B163,Tableau3[#All],6,FALSE),VLOOKUP(B163,Tableau3[#All],8,FALSE)),"Matricule!")</f>
        <v>0</v>
      </c>
      <c r="R163" s="62">
        <f>IFERROR(VLOOKUP(B163,Tableau3[#All],7,FALSE),"Matricule!")</f>
        <v>0</v>
      </c>
      <c r="S163" s="62">
        <f>IFERROR(Tableau242[[#This Row],[Prod. days WK]]-Tableau242[[#This Row],[Prod PXX]],"Matricule")</f>
        <v>-3</v>
      </c>
      <c r="T163" s="62">
        <f>IFERROR(Tableau242[[#This Row],[Non prod. days WK]]-Tableau242[[#This Row],[Improd PXX]],"Matricule")</f>
        <v>3</v>
      </c>
      <c r="U163" s="62">
        <f>IFERROR(Tableau242[[#This Row],[Paid leave days WK]]-Tableau242[[#This Row],[Congé PXX]],"Matricule")</f>
        <v>0</v>
      </c>
      <c r="V163" s="63">
        <f>IFERROR(VLOOKUP($B163,#REF!,4,FALSE),0)</f>
        <v>0</v>
      </c>
      <c r="W16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63" s="63">
        <f>IF(AND(Tableau242[[#This Row],[Paid leave days]]&gt;0,Tableau242[[#This Row],[Prod. days]]&lt;0),MIN(Tableau242[[#This Row],[Paid leave days]],-Tableau242[[#This Row],[Prod. days]]),0)</f>
        <v>0</v>
      </c>
      <c r="Z163" s="63">
        <f>IFERROR(_xlfn.XLOOKUP(Tableau242[[#This Row],[Consultant]],Tableau2[Collaborateur/Nom affiché],Tableau2[Montant imputé],0),0)</f>
        <v>0</v>
      </c>
      <c r="AA163" s="64">
        <f t="shared" si="3"/>
        <v>-3</v>
      </c>
      <c r="AB163" s="65" t="s">
        <v>147</v>
      </c>
      <c r="AC163" s="66"/>
      <c r="AD163" s="66"/>
      <c r="AE163" s="105"/>
      <c r="AF163" s="90"/>
    </row>
    <row r="164" spans="1:32">
      <c r="A164" s="15">
        <f>Tableau242[[#This Row],[Company number]]+0</f>
        <v>4584</v>
      </c>
      <c r="B164" s="60" t="s">
        <v>463</v>
      </c>
      <c r="C164" s="61" t="s">
        <v>464</v>
      </c>
      <c r="D164" s="61" t="s">
        <v>43</v>
      </c>
      <c r="E164" s="62" t="str">
        <f>IFERROR(VLOOKUP(Tableau242[[#This Row],[Manager ou CDM concerné]],Parametres!B:C,2,FALSE),"")</f>
        <v>Squad C</v>
      </c>
      <c r="F164" s="62" t="str">
        <f>IF(Tableau242[[#This Row],[Consultant]]=Tableau242[[#This Row],[Manager ou CDM concerné]],"Non",IF(IFERROR(VLOOKUP(Tableau242[[#This Row],[Consultant]],Parametres!B:C,2,FALSE),0)=0,"Non","Oui"))</f>
        <v>Non</v>
      </c>
      <c r="G164" s="62">
        <f>IFERROR(VLOOKUP(B164,Tableau5[#All],4,FALSE),"Matricule!")</f>
        <v>20</v>
      </c>
      <c r="H164" s="62" t="str">
        <f>IFERROR(VLOOKUP(Tableau242[[#This Row],[Company number]],#REF!,6,FALSE),"")</f>
        <v/>
      </c>
      <c r="I164" s="62">
        <f>IFERROR(VLOOKUP(B164,Tableau5[#All],5,FALSE),"Matricule!")</f>
        <v>0</v>
      </c>
      <c r="J164" s="62">
        <f>IFERROR(VLOOKUP(B164,Tableau5[#All],6,FALSE),"Matricule!")</f>
        <v>0</v>
      </c>
      <c r="K164" s="62">
        <f>IFERROR(VLOOKUP(B164,Tableau5[#All],7,FALSE),"Matricule!")</f>
        <v>0</v>
      </c>
      <c r="L164" s="62" t="e">
        <f>VLOOKUP(Tableau242[[#This Row],[Company number]],#REF!,25,FALSE)</f>
        <v>#REF!</v>
      </c>
      <c r="M164" s="62" t="str">
        <f>IFERROR(VLOOKUP(Tableau242[[#This Row],[Company number]],#REF!,30,FALSE),"")</f>
        <v/>
      </c>
      <c r="N164" s="62" t="str">
        <f>IFERROR(VLOOKUP(Tableau242[[#This Row],[Company number]],#REF!,31,FALSE),"")</f>
        <v/>
      </c>
      <c r="O164" s="62" t="str">
        <f>IFERROR(VLOOKUP(Tableau242[[#This Row],[Company number]],#REF!,32,FALSE),"")</f>
        <v/>
      </c>
      <c r="P164" s="62">
        <f>IFERROR(VLOOKUP(B164,Tableau3[#All],5,FALSE),"Matricule!")</f>
        <v>19</v>
      </c>
      <c r="Q164" s="62">
        <f>IFERROR(SUM(VLOOKUP(B164,Tableau3[#All],6,FALSE),VLOOKUP(B164,Tableau3[#All],8,FALSE)),"Matricule!")</f>
        <v>0</v>
      </c>
      <c r="R164" s="62">
        <f>IFERROR(VLOOKUP(B164,Tableau3[#All],7,FALSE),"Matricule!")</f>
        <v>1</v>
      </c>
      <c r="S164" s="62">
        <f>IFERROR(Tableau242[[#This Row],[Prod. days WK]]-Tableau242[[#This Row],[Prod PXX]],"Matricule")</f>
        <v>1</v>
      </c>
      <c r="T164" s="62">
        <f>IFERROR(Tableau242[[#This Row],[Non prod. days WK]]-Tableau242[[#This Row],[Improd PXX]],"Matricule")</f>
        <v>0</v>
      </c>
      <c r="U164" s="62">
        <f>IFERROR(Tableau242[[#This Row],[Paid leave days WK]]-Tableau242[[#This Row],[Congé PXX]],"Matricule")</f>
        <v>-1</v>
      </c>
      <c r="V164" s="63">
        <f>IFERROR(VLOOKUP($B164,#REF!,4,FALSE),0)</f>
        <v>0</v>
      </c>
      <c r="W16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64" s="63">
        <f>IF(AND(Tableau242[[#This Row],[Paid leave days]]&gt;0,Tableau242[[#This Row],[Prod. days]]&lt;0),MIN(Tableau242[[#This Row],[Paid leave days]],-Tableau242[[#This Row],[Prod. days]]),0)</f>
        <v>0</v>
      </c>
      <c r="Z164" s="63">
        <f>IFERROR(_xlfn.XLOOKUP(Tableau242[[#This Row],[Consultant]],Tableau2[Collaborateur/Nom affiché],Tableau2[Montant imputé],0),0)</f>
        <v>0</v>
      </c>
      <c r="AA164" s="64">
        <f t="shared" si="3"/>
        <v>1</v>
      </c>
      <c r="AB164" s="65"/>
      <c r="AC164" s="66"/>
      <c r="AD164" s="66"/>
      <c r="AE164" s="105"/>
      <c r="AF164" s="90"/>
    </row>
    <row r="165" spans="1:32">
      <c r="A165" s="15">
        <f>Tableau242[[#This Row],[Company number]]+0</f>
        <v>13898</v>
      </c>
      <c r="B165" s="60" t="s">
        <v>465</v>
      </c>
      <c r="C165" s="61" t="s">
        <v>466</v>
      </c>
      <c r="D165" s="61" t="s">
        <v>13</v>
      </c>
      <c r="E165" s="62" t="str">
        <f>IFERROR(VLOOKUP(Tableau242[[#This Row],[Manager ou CDM concerné]],Parametres!B:C,2,FALSE),"")</f>
        <v>Squad F</v>
      </c>
      <c r="F165" s="62" t="str">
        <f>IF(Tableau242[[#This Row],[Consultant]]=Tableau242[[#This Row],[Manager ou CDM concerné]],"Non",IF(IFERROR(VLOOKUP(Tableau242[[#This Row],[Consultant]],Parametres!B:C,2,FALSE),0)=0,"Non","Oui"))</f>
        <v>Non</v>
      </c>
      <c r="G165" s="62">
        <f>IFERROR(VLOOKUP(B165,Tableau5[#All],4,FALSE),"Matricule!")</f>
        <v>16</v>
      </c>
      <c r="H165" s="62" t="str">
        <f>IFERROR(VLOOKUP(Tableau242[[#This Row],[Company number]],#REF!,6,FALSE),"")</f>
        <v/>
      </c>
      <c r="I165" s="62">
        <f>IFERROR(VLOOKUP(B165,Tableau5[#All],5,FALSE),"Matricule!")</f>
        <v>2</v>
      </c>
      <c r="J165" s="62">
        <f>IFERROR(VLOOKUP(B165,Tableau5[#All],6,FALSE),"Matricule!")</f>
        <v>2</v>
      </c>
      <c r="K165" s="62">
        <f>IFERROR(VLOOKUP(B165,Tableau5[#All],7,FALSE),"Matricule!")</f>
        <v>0</v>
      </c>
      <c r="L165" s="62" t="e">
        <f>VLOOKUP(Tableau242[[#This Row],[Company number]],#REF!,25,FALSE)</f>
        <v>#REF!</v>
      </c>
      <c r="M165" s="62" t="str">
        <f>IFERROR(VLOOKUP(Tableau242[[#This Row],[Company number]],#REF!,30,FALSE),"")</f>
        <v/>
      </c>
      <c r="N165" s="62" t="str">
        <f>IFERROR(VLOOKUP(Tableau242[[#This Row],[Company number]],#REF!,31,FALSE),"")</f>
        <v/>
      </c>
      <c r="O165" s="62" t="str">
        <f>IFERROR(VLOOKUP(Tableau242[[#This Row],[Company number]],#REF!,32,FALSE),"")</f>
        <v/>
      </c>
      <c r="P165" s="62">
        <f>IFERROR(VLOOKUP(B165,Tableau3[#All],5,FALSE),"Matricule!")</f>
        <v>19</v>
      </c>
      <c r="Q165" s="62">
        <f>IFERROR(SUM(VLOOKUP(B165,Tableau3[#All],6,FALSE),VLOOKUP(B165,Tableau3[#All],8,FALSE)),"Matricule!")</f>
        <v>0</v>
      </c>
      <c r="R165" s="62">
        <f>IFERROR(VLOOKUP(B165,Tableau3[#All],7,FALSE),"Matricule!")</f>
        <v>1</v>
      </c>
      <c r="S165" s="62">
        <f>IFERROR(Tableau242[[#This Row],[Prod. days WK]]-Tableau242[[#This Row],[Prod PXX]],"Matricule")</f>
        <v>-3</v>
      </c>
      <c r="T165" s="62">
        <f>IFERROR(Tableau242[[#This Row],[Non prod. days WK]]-Tableau242[[#This Row],[Improd PXX]],"Matricule")</f>
        <v>2</v>
      </c>
      <c r="U165" s="62">
        <f>IFERROR(Tableau242[[#This Row],[Paid leave days WK]]-Tableau242[[#This Row],[Congé PXX]],"Matricule")</f>
        <v>1</v>
      </c>
      <c r="V165" s="63">
        <f>IFERROR(VLOOKUP($B165,#REF!,4,FALSE),0)</f>
        <v>0</v>
      </c>
      <c r="W16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65" s="63">
        <f>IF(AND(Tableau242[[#This Row],[Paid leave days]]&gt;0,Tableau242[[#This Row],[Prod. days]]&lt;0),MIN(Tableau242[[#This Row],[Paid leave days]],-Tableau242[[#This Row],[Prod. days]]),0)</f>
        <v>1</v>
      </c>
      <c r="Z165" s="63">
        <f>IFERROR(_xlfn.XLOOKUP(Tableau242[[#This Row],[Consultant]],Tableau2[Collaborateur/Nom affiché],Tableau2[Montant imputé],0),0)</f>
        <v>0</v>
      </c>
      <c r="AA165" s="64">
        <f t="shared" si="3"/>
        <v>-3</v>
      </c>
      <c r="AB165" s="65" t="s">
        <v>147</v>
      </c>
      <c r="AC165" s="66"/>
      <c r="AD165" s="66"/>
      <c r="AE165" s="105"/>
      <c r="AF165" s="90"/>
    </row>
    <row r="166" spans="1:32" s="30" customFormat="1">
      <c r="A166" s="15">
        <f>Tableau242[[#This Row],[Company number]]+0</f>
        <v>18049</v>
      </c>
      <c r="B166" s="60" t="s">
        <v>467</v>
      </c>
      <c r="C166" s="61" t="s">
        <v>468</v>
      </c>
      <c r="D166" s="61" t="s">
        <v>21</v>
      </c>
      <c r="E166" s="62" t="str">
        <f>IFERROR(VLOOKUP(Tableau242[[#This Row],[Manager ou CDM concerné]],Parametres!B:C,2,FALSE),"")</f>
        <v>Squad E</v>
      </c>
      <c r="F166" s="62" t="str">
        <f>IF(Tableau242[[#This Row],[Consultant]]=Tableau242[[#This Row],[Manager ou CDM concerné]],"Non",IF(IFERROR(VLOOKUP(Tableau242[[#This Row],[Consultant]],Parametres!B:C,2,FALSE),0)=0,"Non","Oui"))</f>
        <v>Non</v>
      </c>
      <c r="G166" s="62">
        <f>IFERROR(VLOOKUP(B166,Tableau5[#All],4,FALSE),"Matricule!")</f>
        <v>12</v>
      </c>
      <c r="H166" s="62" t="str">
        <f>IFERROR(VLOOKUP(Tableau242[[#This Row],[Company number]],#REF!,6,FALSE),"")</f>
        <v/>
      </c>
      <c r="I166" s="62">
        <f>IFERROR(VLOOKUP(B166,Tableau5[#All],5,FALSE),"Matricule!")</f>
        <v>8</v>
      </c>
      <c r="J166" s="62">
        <f>IFERROR(VLOOKUP(B166,Tableau5[#All],6,FALSE),"Matricule!")</f>
        <v>0</v>
      </c>
      <c r="K166" s="62">
        <f>IFERROR(VLOOKUP(B166,Tableau5[#All],7,FALSE),"Matricule!")</f>
        <v>0</v>
      </c>
      <c r="L166" s="62" t="e">
        <f>VLOOKUP(Tableau242[[#This Row],[Company number]],#REF!,25,FALSE)</f>
        <v>#REF!</v>
      </c>
      <c r="M166" s="62" t="str">
        <f>IFERROR(VLOOKUP(Tableau242[[#This Row],[Company number]],#REF!,30,FALSE),"")</f>
        <v/>
      </c>
      <c r="N166" s="62" t="str">
        <f>IFERROR(VLOOKUP(Tableau242[[#This Row],[Company number]],#REF!,31,FALSE),"")</f>
        <v/>
      </c>
      <c r="O166" s="62" t="str">
        <f>IFERROR(VLOOKUP(Tableau242[[#This Row],[Company number]],#REF!,32,FALSE),"")</f>
        <v/>
      </c>
      <c r="P166" s="62">
        <f>IFERROR(VLOOKUP(B166,Tableau3[#All],5,FALSE),"Matricule!")</f>
        <v>15</v>
      </c>
      <c r="Q166" s="62">
        <f>IFERROR(SUM(VLOOKUP(B166,Tableau3[#All],6,FALSE),VLOOKUP(B166,Tableau3[#All],8,FALSE)),"Matricule!")</f>
        <v>5</v>
      </c>
      <c r="R166" s="62">
        <f>IFERROR(VLOOKUP(B166,Tableau3[#All],7,FALSE),"Matricule!")</f>
        <v>0</v>
      </c>
      <c r="S166" s="62">
        <f>IFERROR(Tableau242[[#This Row],[Prod. days WK]]-Tableau242[[#This Row],[Prod PXX]],"Matricule")</f>
        <v>-3</v>
      </c>
      <c r="T166" s="62">
        <f>IFERROR(Tableau242[[#This Row],[Non prod. days WK]]-Tableau242[[#This Row],[Improd PXX]],"Matricule")</f>
        <v>3</v>
      </c>
      <c r="U166" s="62">
        <f>IFERROR(Tableau242[[#This Row],[Paid leave days WK]]-Tableau242[[#This Row],[Congé PXX]],"Matricule")</f>
        <v>0</v>
      </c>
      <c r="V166" s="63">
        <f>IFERROR(VLOOKUP($B166,#REF!,4,FALSE),0)</f>
        <v>0</v>
      </c>
      <c r="W16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66" s="63">
        <f>IF(AND(Tableau242[[#This Row],[Paid leave days]]&gt;0,Tableau242[[#This Row],[Prod. days]]&lt;0),MIN(Tableau242[[#This Row],[Paid leave days]],-Tableau242[[#This Row],[Prod. days]]),0)</f>
        <v>0</v>
      </c>
      <c r="Z166" s="63">
        <f>IFERROR(_xlfn.XLOOKUP(Tableau242[[#This Row],[Consultant]],Tableau2[Collaborateur/Nom affiché],Tableau2[Montant imputé],0),0)</f>
        <v>0</v>
      </c>
      <c r="AA166" s="64">
        <f t="shared" si="3"/>
        <v>-3</v>
      </c>
      <c r="AB166" s="65" t="s">
        <v>165</v>
      </c>
      <c r="AC166" s="66"/>
      <c r="AD166" s="66">
        <v>5</v>
      </c>
      <c r="AE166" s="105"/>
      <c r="AF166" s="90"/>
    </row>
    <row r="167" spans="1:32">
      <c r="A167" s="15">
        <f>Tableau242[[#This Row],[Company number]]+0</f>
        <v>21558</v>
      </c>
      <c r="B167" s="60" t="s">
        <v>469</v>
      </c>
      <c r="C167" s="61" t="s">
        <v>470</v>
      </c>
      <c r="D167" s="61" t="s">
        <v>50</v>
      </c>
      <c r="E167" s="62" t="str">
        <f>IFERROR(VLOOKUP(Tableau242[[#This Row],[Manager ou CDM concerné]],Parametres!B:C,2,FALSE),"")</f>
        <v>Squad D</v>
      </c>
      <c r="F167" s="62" t="str">
        <f>IF(Tableau242[[#This Row],[Consultant]]=Tableau242[[#This Row],[Manager ou CDM concerné]],"Non",IF(IFERROR(VLOOKUP(Tableau242[[#This Row],[Consultant]],Parametres!B:C,2,FALSE),0)=0,"Non","Oui"))</f>
        <v>Non</v>
      </c>
      <c r="G167" s="62">
        <f>IFERROR(VLOOKUP(B167,Tableau5[#All],4,FALSE),"Matricule!")</f>
        <v>17</v>
      </c>
      <c r="H167" s="62" t="str">
        <f>IFERROR(VLOOKUP(Tableau242[[#This Row],[Company number]],#REF!,6,FALSE),"")</f>
        <v/>
      </c>
      <c r="I167" s="62">
        <f>IFERROR(VLOOKUP(B167,Tableau5[#All],5,FALSE),"Matricule!")</f>
        <v>0</v>
      </c>
      <c r="J167" s="62">
        <f>IFERROR(VLOOKUP(B167,Tableau5[#All],6,FALSE),"Matricule!")</f>
        <v>3</v>
      </c>
      <c r="K167" s="62">
        <f>IFERROR(VLOOKUP(B167,Tableau5[#All],7,FALSE),"Matricule!")</f>
        <v>0</v>
      </c>
      <c r="L167" s="62" t="e">
        <f>VLOOKUP(Tableau242[[#This Row],[Company number]],#REF!,25,FALSE)</f>
        <v>#REF!</v>
      </c>
      <c r="M167" s="62" t="str">
        <f>IFERROR(VLOOKUP(Tableau242[[#This Row],[Company number]],#REF!,30,FALSE),"")</f>
        <v/>
      </c>
      <c r="N167" s="62" t="str">
        <f>IFERROR(VLOOKUP(Tableau242[[#This Row],[Company number]],#REF!,31,FALSE),"")</f>
        <v/>
      </c>
      <c r="O167" s="62" t="str">
        <f>IFERROR(VLOOKUP(Tableau242[[#This Row],[Company number]],#REF!,32,FALSE),"")</f>
        <v/>
      </c>
      <c r="P167" s="62">
        <f>IFERROR(VLOOKUP(B167,Tableau3[#All],5,FALSE),"Matricule!")</f>
        <v>20</v>
      </c>
      <c r="Q167" s="62">
        <f>IFERROR(SUM(VLOOKUP(B167,Tableau3[#All],6,FALSE),VLOOKUP(B167,Tableau3[#All],8,FALSE)),"Matricule!")</f>
        <v>0</v>
      </c>
      <c r="R167" s="62">
        <f>IFERROR(VLOOKUP(B167,Tableau3[#All],7,FALSE),"Matricule!")</f>
        <v>0</v>
      </c>
      <c r="S167" s="62">
        <f>IFERROR(Tableau242[[#This Row],[Prod. days WK]]-Tableau242[[#This Row],[Prod PXX]],"Matricule")</f>
        <v>-3</v>
      </c>
      <c r="T167" s="62">
        <f>IFERROR(Tableau242[[#This Row],[Non prod. days WK]]-Tableau242[[#This Row],[Improd PXX]],"Matricule")</f>
        <v>0</v>
      </c>
      <c r="U167" s="62">
        <f>IFERROR(Tableau242[[#This Row],[Paid leave days WK]]-Tableau242[[#This Row],[Congé PXX]],"Matricule")</f>
        <v>3</v>
      </c>
      <c r="V167" s="63">
        <f>IFERROR(VLOOKUP($B167,#REF!,4,FALSE),0)</f>
        <v>0</v>
      </c>
      <c r="W16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67" s="63">
        <f>IF(AND(Tableau242[[#This Row],[Paid leave days]]&gt;0,Tableau242[[#This Row],[Prod. days]]&lt;0),MIN(Tableau242[[#This Row],[Paid leave days]],-Tableau242[[#This Row],[Prod. days]]),0)</f>
        <v>3</v>
      </c>
      <c r="Z167" s="63">
        <f>IFERROR(_xlfn.XLOOKUP(Tableau242[[#This Row],[Consultant]],Tableau2[Collaborateur/Nom affiché],Tableau2[Montant imputé],0),0)</f>
        <v>0</v>
      </c>
      <c r="AA167" s="64">
        <f t="shared" si="3"/>
        <v>-3</v>
      </c>
      <c r="AB167" s="65"/>
      <c r="AC167" s="66"/>
      <c r="AD167" s="66"/>
      <c r="AE167" s="105"/>
      <c r="AF167" s="90"/>
    </row>
    <row r="168" spans="1:32" ht="14.45" customHeight="1">
      <c r="A168" s="15">
        <f>Tableau242[[#This Row],[Company number]]+0</f>
        <v>22284</v>
      </c>
      <c r="B168" s="60" t="s">
        <v>471</v>
      </c>
      <c r="C168" s="61" t="s">
        <v>472</v>
      </c>
      <c r="D168" s="61" t="s">
        <v>92</v>
      </c>
      <c r="E168" s="62" t="str">
        <f>IFERROR(VLOOKUP(Tableau242[[#This Row],[Manager ou CDM concerné]],Parametres!B:C,2,FALSE),"")</f>
        <v>Squad D</v>
      </c>
      <c r="F168" s="62" t="str">
        <f>IF(Tableau242[[#This Row],[Consultant]]=Tableau242[[#This Row],[Manager ou CDM concerné]],"Non",IF(IFERROR(VLOOKUP(Tableau242[[#This Row],[Consultant]],Parametres!B:C,2,FALSE),0)=0,"Non","Oui"))</f>
        <v>Non</v>
      </c>
      <c r="G168" s="62">
        <f>IFERROR(VLOOKUP(B168,Tableau5[#All],4,FALSE),"Matricule!")</f>
        <v>7</v>
      </c>
      <c r="H168" s="62" t="str">
        <f>IFERROR(VLOOKUP(Tableau242[[#This Row],[Company number]],#REF!,6,FALSE),"")</f>
        <v/>
      </c>
      <c r="I168" s="62">
        <f>IFERROR(VLOOKUP(B168,Tableau5[#All],5,FALSE),"Matricule!")</f>
        <v>11.5</v>
      </c>
      <c r="J168" s="62">
        <f>IFERROR(VLOOKUP(B168,Tableau5[#All],6,FALSE),"Matricule!")</f>
        <v>0.5</v>
      </c>
      <c r="K168" s="62">
        <f>IFERROR(VLOOKUP(B168,Tableau5[#All],7,FALSE),"Matricule!")</f>
        <v>1</v>
      </c>
      <c r="L168" s="62" t="e">
        <f>VLOOKUP(Tableau242[[#This Row],[Company number]],#REF!,25,FALSE)</f>
        <v>#REF!</v>
      </c>
      <c r="M168" s="62" t="str">
        <f>IFERROR(VLOOKUP(Tableau242[[#This Row],[Company number]],#REF!,30,FALSE),"")</f>
        <v/>
      </c>
      <c r="N168" s="62" t="str">
        <f>IFERROR(VLOOKUP(Tableau242[[#This Row],[Company number]],#REF!,31,FALSE),"")</f>
        <v/>
      </c>
      <c r="O168" s="62" t="str">
        <f>IFERROR(VLOOKUP(Tableau242[[#This Row],[Company number]],#REF!,32,FALSE),"")</f>
        <v/>
      </c>
      <c r="P168" s="62">
        <f>IFERROR(VLOOKUP(B168,Tableau3[#All],5,FALSE),"Matricule!")</f>
        <v>10</v>
      </c>
      <c r="Q168" s="62">
        <f>IFERROR(SUM(VLOOKUP(B168,Tableau3[#All],6,FALSE),VLOOKUP(B168,Tableau3[#All],8,FALSE)),"Matricule!")</f>
        <v>8.5</v>
      </c>
      <c r="R168" s="62">
        <f>IFERROR(VLOOKUP(B168,Tableau3[#All],7,FALSE),"Matricule!")</f>
        <v>0.5</v>
      </c>
      <c r="S168" s="62">
        <f>IFERROR(Tableau242[[#This Row],[Prod. days WK]]-Tableau242[[#This Row],[Prod PXX]],"Matricule")</f>
        <v>-3</v>
      </c>
      <c r="T168" s="62">
        <f>IFERROR(Tableau242[[#This Row],[Non prod. days WK]]-Tableau242[[#This Row],[Improd PXX]],"Matricule")</f>
        <v>3</v>
      </c>
      <c r="U168" s="62">
        <f>IFERROR(Tableau242[[#This Row],[Paid leave days WK]]-Tableau242[[#This Row],[Congé PXX]],"Matricule")</f>
        <v>0</v>
      </c>
      <c r="V168" s="63">
        <f>IFERROR(VLOOKUP($B168,#REF!,4,FALSE),0)</f>
        <v>0</v>
      </c>
      <c r="W16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68" s="63">
        <f>IF(AND(Tableau242[[#This Row],[Paid leave days]]&gt;0,Tableau242[[#This Row],[Prod. days]]&lt;0),MIN(Tableau242[[#This Row],[Paid leave days]],-Tableau242[[#This Row],[Prod. days]]),0)</f>
        <v>0</v>
      </c>
      <c r="Z168" s="63">
        <f>IFERROR(_xlfn.XLOOKUP(Tableau242[[#This Row],[Consultant]],Tableau2[Collaborateur/Nom affiché],Tableau2[Montant imputé],0),0)</f>
        <v>0</v>
      </c>
      <c r="AA168" s="64">
        <f t="shared" si="3"/>
        <v>-3</v>
      </c>
      <c r="AB168" s="65" t="s">
        <v>165</v>
      </c>
      <c r="AC168" s="66">
        <v>3</v>
      </c>
      <c r="AD168" s="66">
        <v>1</v>
      </c>
      <c r="AE168" s="105"/>
      <c r="AF168" s="90" t="s">
        <v>473</v>
      </c>
    </row>
    <row r="169" spans="1:32">
      <c r="A169" s="15">
        <f>Tableau242[[#This Row],[Company number]]+0</f>
        <v>20262</v>
      </c>
      <c r="B169" s="60" t="s">
        <v>474</v>
      </c>
      <c r="C169" s="61" t="s">
        <v>475</v>
      </c>
      <c r="D169" s="61" t="s">
        <v>50</v>
      </c>
      <c r="E169" s="62" t="str">
        <f>IFERROR(VLOOKUP(Tableau242[[#This Row],[Manager ou CDM concerné]],Parametres!B:C,2,FALSE),"")</f>
        <v>Squad D</v>
      </c>
      <c r="F169" s="62" t="str">
        <f>IF(Tableau242[[#This Row],[Consultant]]=Tableau242[[#This Row],[Manager ou CDM concerné]],"Non",IF(IFERROR(VLOOKUP(Tableau242[[#This Row],[Consultant]],Parametres!B:C,2,FALSE),0)=0,"Non","Oui"))</f>
        <v>Non</v>
      </c>
      <c r="G169" s="62">
        <f>IFERROR(VLOOKUP(B169,Tableau5[#All],4,FALSE),"Matricule!")</f>
        <v>19.5</v>
      </c>
      <c r="H169" s="62" t="str">
        <f>IFERROR(VLOOKUP(Tableau242[[#This Row],[Company number]],#REF!,6,FALSE),"")</f>
        <v/>
      </c>
      <c r="I169" s="62">
        <f>IFERROR(VLOOKUP(B169,Tableau5[#All],5,FALSE),"Matricule!")</f>
        <v>0.5</v>
      </c>
      <c r="J169" s="62">
        <f>IFERROR(VLOOKUP(B169,Tableau5[#All],6,FALSE),"Matricule!")</f>
        <v>0</v>
      </c>
      <c r="K169" s="62">
        <f>IFERROR(VLOOKUP(B169,Tableau5[#All],7,FALSE),"Matricule!")</f>
        <v>0</v>
      </c>
      <c r="L169" s="62" t="e">
        <f>VLOOKUP(Tableau242[[#This Row],[Company number]],#REF!,25,FALSE)</f>
        <v>#REF!</v>
      </c>
      <c r="M169" s="62" t="str">
        <f>IFERROR(VLOOKUP(Tableau242[[#This Row],[Company number]],#REF!,30,FALSE),"")</f>
        <v/>
      </c>
      <c r="N169" s="62" t="str">
        <f>IFERROR(VLOOKUP(Tableau242[[#This Row],[Company number]],#REF!,31,FALSE),"")</f>
        <v/>
      </c>
      <c r="O169" s="62" t="str">
        <f>IFERROR(VLOOKUP(Tableau242[[#This Row],[Company number]],#REF!,32,FALSE),"")</f>
        <v/>
      </c>
      <c r="P169" s="62">
        <f>IFERROR(VLOOKUP(B169,Tableau3[#All],5,FALSE),"Matricule!")</f>
        <v>19</v>
      </c>
      <c r="Q169" s="62">
        <f>IFERROR(SUM(VLOOKUP(B169,Tableau3[#All],6,FALSE),VLOOKUP(B169,Tableau3[#All],8,FALSE)),"Matricule!")</f>
        <v>1</v>
      </c>
      <c r="R169" s="62">
        <f>IFERROR(VLOOKUP(B169,Tableau3[#All],7,FALSE),"Matricule!")</f>
        <v>0</v>
      </c>
      <c r="S169" s="62">
        <f>IFERROR(Tableau242[[#This Row],[Prod. days WK]]-Tableau242[[#This Row],[Prod PXX]],"Matricule")</f>
        <v>0.5</v>
      </c>
      <c r="T169" s="62">
        <f>IFERROR(Tableau242[[#This Row],[Non prod. days WK]]-Tableau242[[#This Row],[Improd PXX]],"Matricule")</f>
        <v>-0.5</v>
      </c>
      <c r="U169" s="62">
        <f>IFERROR(Tableau242[[#This Row],[Paid leave days WK]]-Tableau242[[#This Row],[Congé PXX]],"Matricule")</f>
        <v>0</v>
      </c>
      <c r="V169" s="63">
        <f>IFERROR(VLOOKUP($B169,#REF!,4,FALSE),0)</f>
        <v>0</v>
      </c>
      <c r="W16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6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69" s="63">
        <f>IF(AND(Tableau242[[#This Row],[Paid leave days]]&gt;0,Tableau242[[#This Row],[Prod. days]]&lt;0),MIN(Tableau242[[#This Row],[Paid leave days]],-Tableau242[[#This Row],[Prod. days]]),0)</f>
        <v>0</v>
      </c>
      <c r="Z169" s="63">
        <f>IFERROR(_xlfn.XLOOKUP(Tableau242[[#This Row],[Consultant]],Tableau2[Collaborateur/Nom affiché],Tableau2[Montant imputé],0),0)</f>
        <v>0</v>
      </c>
      <c r="AA169" s="64">
        <f t="shared" si="3"/>
        <v>0.5</v>
      </c>
      <c r="AB169" s="65"/>
      <c r="AC169" s="66"/>
      <c r="AD169" s="66"/>
      <c r="AE169" s="105"/>
      <c r="AF169" s="90"/>
    </row>
    <row r="170" spans="1:32" ht="29.1">
      <c r="A170" s="15">
        <f>Tableau242[[#This Row],[Company number]]+0</f>
        <v>20887</v>
      </c>
      <c r="B170" s="60" t="s">
        <v>476</v>
      </c>
      <c r="C170" s="61" t="s">
        <v>477</v>
      </c>
      <c r="D170" s="61" t="s">
        <v>50</v>
      </c>
      <c r="E170" s="62" t="str">
        <f>IFERROR(VLOOKUP(Tableau242[[#This Row],[Manager ou CDM concerné]],Parametres!B:C,2,FALSE),"")</f>
        <v>Squad D</v>
      </c>
      <c r="F170" s="62" t="str">
        <f>IF(Tableau242[[#This Row],[Consultant]]=Tableau242[[#This Row],[Manager ou CDM concerné]],"Non",IF(IFERROR(VLOOKUP(Tableau242[[#This Row],[Consultant]],Parametres!B:C,2,FALSE),0)=0,"Non","Oui"))</f>
        <v>Non</v>
      </c>
      <c r="G170" s="62">
        <f>IFERROR(VLOOKUP(B170,Tableau5[#All],4,FALSE),"Matricule!")</f>
        <v>11</v>
      </c>
      <c r="H170" s="62" t="str">
        <f>IFERROR(VLOOKUP(Tableau242[[#This Row],[Company number]],#REF!,6,FALSE),"")</f>
        <v/>
      </c>
      <c r="I170" s="62">
        <f>IFERROR(VLOOKUP(B170,Tableau5[#All],5,FALSE),"Matricule!")</f>
        <v>0</v>
      </c>
      <c r="J170" s="62">
        <f>IFERROR(VLOOKUP(B170,Tableau5[#All],6,FALSE),"Matricule!")</f>
        <v>9</v>
      </c>
      <c r="K170" s="62">
        <f>IFERROR(VLOOKUP(B170,Tableau5[#All],7,FALSE),"Matricule!")</f>
        <v>0</v>
      </c>
      <c r="L170" s="62" t="e">
        <f>VLOOKUP(Tableau242[[#This Row],[Company number]],#REF!,25,FALSE)</f>
        <v>#REF!</v>
      </c>
      <c r="M170" s="62" t="str">
        <f>IFERROR(VLOOKUP(Tableau242[[#This Row],[Company number]],#REF!,30,FALSE),"")</f>
        <v/>
      </c>
      <c r="N170" s="62" t="str">
        <f>IFERROR(VLOOKUP(Tableau242[[#This Row],[Company number]],#REF!,31,FALSE),"")</f>
        <v/>
      </c>
      <c r="O170" s="62" t="str">
        <f>IFERROR(VLOOKUP(Tableau242[[#This Row],[Company number]],#REF!,32,FALSE),"")</f>
        <v/>
      </c>
      <c r="P170" s="62">
        <f>IFERROR(VLOOKUP(B170,Tableau3[#All],5,FALSE),"Matricule!")</f>
        <v>11</v>
      </c>
      <c r="Q170" s="62">
        <f>IFERROR(SUM(VLOOKUP(B170,Tableau3[#All],6,FALSE),VLOOKUP(B170,Tableau3[#All],8,FALSE)),"Matricule!")</f>
        <v>0</v>
      </c>
      <c r="R170" s="62">
        <f>IFERROR(VLOOKUP(B170,Tableau3[#All],7,FALSE),"Matricule!")</f>
        <v>9</v>
      </c>
      <c r="S170" s="62">
        <f>IFERROR(Tableau242[[#This Row],[Prod. days WK]]-Tableau242[[#This Row],[Prod PXX]],"Matricule")</f>
        <v>0</v>
      </c>
      <c r="T170" s="62">
        <f>IFERROR(Tableau242[[#This Row],[Non prod. days WK]]-Tableau242[[#This Row],[Improd PXX]],"Matricule")</f>
        <v>0</v>
      </c>
      <c r="U170" s="62">
        <f>IFERROR(Tableau242[[#This Row],[Paid leave days WK]]-Tableau242[[#This Row],[Congé PXX]],"Matricule")</f>
        <v>0</v>
      </c>
      <c r="V170" s="63">
        <f>IFERROR(VLOOKUP($B170,#REF!,4,FALSE),0)</f>
        <v>0</v>
      </c>
      <c r="W17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70" s="63">
        <f>IF(AND(Tableau242[[#This Row],[Paid leave days]]&gt;0,Tableau242[[#This Row],[Prod. days]]&lt;0),MIN(Tableau242[[#This Row],[Paid leave days]],-Tableau242[[#This Row],[Prod. days]]),0)</f>
        <v>0</v>
      </c>
      <c r="Z170" s="63">
        <f>IFERROR(_xlfn.XLOOKUP(Tableau242[[#This Row],[Consultant]],Tableau2[Collaborateur/Nom affiché],Tableau2[Montant imputé],0),0)</f>
        <v>0</v>
      </c>
      <c r="AA170" s="64">
        <f t="shared" si="3"/>
        <v>0</v>
      </c>
      <c r="AB170" s="65"/>
      <c r="AC170" s="66"/>
      <c r="AD170" s="66"/>
      <c r="AE170" s="105"/>
      <c r="AF170" s="90"/>
    </row>
    <row r="171" spans="1:32">
      <c r="A171" s="15">
        <f>Tableau242[[#This Row],[Company number]]+0</f>
        <v>21309</v>
      </c>
      <c r="B171" s="60" t="s">
        <v>478</v>
      </c>
      <c r="C171" s="61" t="s">
        <v>479</v>
      </c>
      <c r="D171" s="61" t="s">
        <v>50</v>
      </c>
      <c r="E171" s="62" t="str">
        <f>IFERROR(VLOOKUP(Tableau242[[#This Row],[Manager ou CDM concerné]],Parametres!B:C,2,FALSE),"")</f>
        <v>Squad D</v>
      </c>
      <c r="F171" s="62" t="str">
        <f>IF(Tableau242[[#This Row],[Consultant]]=Tableau242[[#This Row],[Manager ou CDM concerné]],"Non",IF(IFERROR(VLOOKUP(Tableau242[[#This Row],[Consultant]],Parametres!B:C,2,FALSE),0)=0,"Non","Oui"))</f>
        <v>Non</v>
      </c>
      <c r="G171" s="62">
        <f>IFERROR(VLOOKUP(B171,Tableau5[#All],4,FALSE),"Matricule!")</f>
        <v>0</v>
      </c>
      <c r="H171" s="62" t="str">
        <f>IFERROR(VLOOKUP(Tableau242[[#This Row],[Company number]],#REF!,6,FALSE),"")</f>
        <v/>
      </c>
      <c r="I171" s="62">
        <f>IFERROR(VLOOKUP(B171,Tableau5[#All],5,FALSE),"Matricule!")</f>
        <v>20</v>
      </c>
      <c r="J171" s="62">
        <f>IFERROR(VLOOKUP(B171,Tableau5[#All],6,FALSE),"Matricule!")</f>
        <v>0</v>
      </c>
      <c r="K171" s="62">
        <f>IFERROR(VLOOKUP(B171,Tableau5[#All],7,FALSE),"Matricule!")</f>
        <v>0</v>
      </c>
      <c r="L171" s="62" t="e">
        <f>VLOOKUP(Tableau242[[#This Row],[Company number]],#REF!,25,FALSE)</f>
        <v>#REF!</v>
      </c>
      <c r="M171" s="62" t="str">
        <f>IFERROR(VLOOKUP(Tableau242[[#This Row],[Company number]],#REF!,30,FALSE),"")</f>
        <v/>
      </c>
      <c r="N171" s="62" t="str">
        <f>IFERROR(VLOOKUP(Tableau242[[#This Row],[Company number]],#REF!,31,FALSE),"")</f>
        <v/>
      </c>
      <c r="O171" s="62" t="str">
        <f>IFERROR(VLOOKUP(Tableau242[[#This Row],[Company number]],#REF!,32,FALSE),"")</f>
        <v/>
      </c>
      <c r="P171" s="62">
        <f>IFERROR(VLOOKUP(B171,Tableau3[#All],5,FALSE),"Matricule!")</f>
        <v>0</v>
      </c>
      <c r="Q171" s="62">
        <f>IFERROR(SUM(VLOOKUP(B171,Tableau3[#All],6,FALSE),VLOOKUP(B171,Tableau3[#All],8,FALSE)),"Matricule!")</f>
        <v>20</v>
      </c>
      <c r="R171" s="62">
        <f>IFERROR(VLOOKUP(B171,Tableau3[#All],7,FALSE),"Matricule!")</f>
        <v>0</v>
      </c>
      <c r="S171" s="62">
        <f>IFERROR(Tableau242[[#This Row],[Prod. days WK]]-Tableau242[[#This Row],[Prod PXX]],"Matricule")</f>
        <v>0</v>
      </c>
      <c r="T171" s="62">
        <f>IFERROR(Tableau242[[#This Row],[Non prod. days WK]]-Tableau242[[#This Row],[Improd PXX]],"Matricule")</f>
        <v>0</v>
      </c>
      <c r="U171" s="62">
        <f>IFERROR(Tableau242[[#This Row],[Paid leave days WK]]-Tableau242[[#This Row],[Congé PXX]],"Matricule")</f>
        <v>0</v>
      </c>
      <c r="V171" s="63">
        <f>IFERROR(VLOOKUP($B171,#REF!,4,FALSE),0)</f>
        <v>0</v>
      </c>
      <c r="W17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71" s="63">
        <f>IF(AND(Tableau242[[#This Row],[Paid leave days]]&gt;0,Tableau242[[#This Row],[Prod. days]]&lt;0),MIN(Tableau242[[#This Row],[Paid leave days]],-Tableau242[[#This Row],[Prod. days]]),0)</f>
        <v>0</v>
      </c>
      <c r="Z171" s="63">
        <f>IFERROR(_xlfn.XLOOKUP(Tableau242[[#This Row],[Consultant]],Tableau2[Collaborateur/Nom affiché],Tableau2[Montant imputé],0),0)</f>
        <v>0</v>
      </c>
      <c r="AA171" s="64">
        <f t="shared" si="3"/>
        <v>0</v>
      </c>
      <c r="AB171" s="65"/>
      <c r="AC171" s="66"/>
      <c r="AD171" s="66"/>
      <c r="AE171" s="105"/>
      <c r="AF171" s="90"/>
    </row>
    <row r="172" spans="1:32">
      <c r="A172" s="15">
        <f>Tableau242[[#This Row],[Company number]]+0</f>
        <v>22008</v>
      </c>
      <c r="B172" s="60" t="s">
        <v>480</v>
      </c>
      <c r="C172" s="61" t="s">
        <v>481</v>
      </c>
      <c r="D172" s="61" t="s">
        <v>33</v>
      </c>
      <c r="E172" s="62" t="str">
        <f>IFERROR(VLOOKUP(Tableau242[[#This Row],[Manager ou CDM concerné]],Parametres!B:C,2,FALSE),"")</f>
        <v>Squad A</v>
      </c>
      <c r="F172" s="62" t="str">
        <f>IF(Tableau242[[#This Row],[Consultant]]=Tableau242[[#This Row],[Manager ou CDM concerné]],"Non",IF(IFERROR(VLOOKUP(Tableau242[[#This Row],[Consultant]],Parametres!B:C,2,FALSE),0)=0,"Non","Oui"))</f>
        <v>Non</v>
      </c>
      <c r="G172" s="62">
        <f>IFERROR(VLOOKUP(B172,Tableau5[#All],4,FALSE),"Matricule!")</f>
        <v>0</v>
      </c>
      <c r="H172" s="62" t="str">
        <f>IFERROR(VLOOKUP(Tableau242[[#This Row],[Company number]],#REF!,6,FALSE),"")</f>
        <v/>
      </c>
      <c r="I172" s="62">
        <f>IFERROR(VLOOKUP(B172,Tableau5[#All],5,FALSE),"Matricule!")</f>
        <v>20</v>
      </c>
      <c r="J172" s="62">
        <f>IFERROR(VLOOKUP(B172,Tableau5[#All],6,FALSE),"Matricule!")</f>
        <v>0</v>
      </c>
      <c r="K172" s="62">
        <f>IFERROR(VLOOKUP(B172,Tableau5[#All],7,FALSE),"Matricule!")</f>
        <v>0</v>
      </c>
      <c r="L172" s="62" t="e">
        <f>VLOOKUP(Tableau242[[#This Row],[Company number]],#REF!,25,FALSE)</f>
        <v>#REF!</v>
      </c>
      <c r="M172" s="62" t="str">
        <f>IFERROR(VLOOKUP(Tableau242[[#This Row],[Company number]],#REF!,30,FALSE),"")</f>
        <v/>
      </c>
      <c r="N172" s="62" t="str">
        <f>IFERROR(VLOOKUP(Tableau242[[#This Row],[Company number]],#REF!,31,FALSE),"")</f>
        <v/>
      </c>
      <c r="O172" s="62" t="str">
        <f>IFERROR(VLOOKUP(Tableau242[[#This Row],[Company number]],#REF!,32,FALSE),"")</f>
        <v/>
      </c>
      <c r="P172" s="62">
        <f>IFERROR(VLOOKUP(B172,Tableau3[#All],5,FALSE),"Matricule!")</f>
        <v>0</v>
      </c>
      <c r="Q172" s="62">
        <f>IFERROR(SUM(VLOOKUP(B172,Tableau3[#All],6,FALSE),VLOOKUP(B172,Tableau3[#All],8,FALSE)),"Matricule!")</f>
        <v>20</v>
      </c>
      <c r="R172" s="62">
        <f>IFERROR(VLOOKUP(B172,Tableau3[#All],7,FALSE),"Matricule!")</f>
        <v>0</v>
      </c>
      <c r="S172" s="62">
        <f>IFERROR(Tableau242[[#This Row],[Prod. days WK]]-Tableau242[[#This Row],[Prod PXX]],"Matricule")</f>
        <v>0</v>
      </c>
      <c r="T172" s="62">
        <f>IFERROR(Tableau242[[#This Row],[Non prod. days WK]]-Tableau242[[#This Row],[Improd PXX]],"Matricule")</f>
        <v>0</v>
      </c>
      <c r="U172" s="62">
        <f>IFERROR(Tableau242[[#This Row],[Paid leave days WK]]-Tableau242[[#This Row],[Congé PXX]],"Matricule")</f>
        <v>0</v>
      </c>
      <c r="V172" s="63">
        <f>IFERROR(VLOOKUP($B172,#REF!,4,FALSE),0)</f>
        <v>0</v>
      </c>
      <c r="W17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72" s="63">
        <f>IF(AND(Tableau242[[#This Row],[Paid leave days]]&gt;0,Tableau242[[#This Row],[Prod. days]]&lt;0),MIN(Tableau242[[#This Row],[Paid leave days]],-Tableau242[[#This Row],[Prod. days]]),0)</f>
        <v>0</v>
      </c>
      <c r="Z172" s="63">
        <f>IFERROR(_xlfn.XLOOKUP(Tableau242[[#This Row],[Consultant]],Tableau2[Collaborateur/Nom affiché],Tableau2[Montant imputé],0),0)</f>
        <v>0</v>
      </c>
      <c r="AA172" s="64">
        <f t="shared" si="3"/>
        <v>0</v>
      </c>
      <c r="AB172" s="65"/>
      <c r="AC172" s="66"/>
      <c r="AD172" s="66"/>
      <c r="AE172" s="105"/>
      <c r="AF172" s="90"/>
    </row>
    <row r="173" spans="1:32">
      <c r="A173" s="15">
        <f>Tableau242[[#This Row],[Company number]]+0</f>
        <v>20575</v>
      </c>
      <c r="B173" s="60" t="s">
        <v>482</v>
      </c>
      <c r="C173" s="61" t="s">
        <v>483</v>
      </c>
      <c r="D173" s="61" t="s">
        <v>4</v>
      </c>
      <c r="E173" s="62" t="str">
        <f>IFERROR(VLOOKUP(Tableau242[[#This Row],[Manager ou CDM concerné]],Parametres!B:C,2,FALSE),"")</f>
        <v>Squad A</v>
      </c>
      <c r="F173" s="62" t="str">
        <f>IF(Tableau242[[#This Row],[Consultant]]=Tableau242[[#This Row],[Manager ou CDM concerné]],"Non",IF(IFERROR(VLOOKUP(Tableau242[[#This Row],[Consultant]],Parametres!B:C,2,FALSE),0)=0,"Non","Oui"))</f>
        <v>Non</v>
      </c>
      <c r="G173" s="62">
        <f>IFERROR(VLOOKUP(B173,Tableau5[#All],4,FALSE),"Matricule!")</f>
        <v>14</v>
      </c>
      <c r="H173" s="62" t="str">
        <f>IFERROR(VLOOKUP(Tableau242[[#This Row],[Company number]],#REF!,6,FALSE),"")</f>
        <v/>
      </c>
      <c r="I173" s="62">
        <f>IFERROR(VLOOKUP(B173,Tableau5[#All],5,FALSE),"Matricule!")</f>
        <v>4</v>
      </c>
      <c r="J173" s="62">
        <f>IFERROR(VLOOKUP(B173,Tableau5[#All],6,FALSE),"Matricule!")</f>
        <v>2</v>
      </c>
      <c r="K173" s="62">
        <f>IFERROR(VLOOKUP(B173,Tableau5[#All],7,FALSE),"Matricule!")</f>
        <v>0</v>
      </c>
      <c r="L173" s="62" t="e">
        <f>VLOOKUP(Tableau242[[#This Row],[Company number]],#REF!,25,FALSE)</f>
        <v>#REF!</v>
      </c>
      <c r="M173" s="62" t="str">
        <f>IFERROR(VLOOKUP(Tableau242[[#This Row],[Company number]],#REF!,30,FALSE),"")</f>
        <v/>
      </c>
      <c r="N173" s="62" t="str">
        <f>IFERROR(VLOOKUP(Tableau242[[#This Row],[Company number]],#REF!,31,FALSE),"")</f>
        <v/>
      </c>
      <c r="O173" s="62" t="str">
        <f>IFERROR(VLOOKUP(Tableau242[[#This Row],[Company number]],#REF!,32,FALSE),"")</f>
        <v/>
      </c>
      <c r="P173" s="62">
        <f>IFERROR(VLOOKUP(B173,Tableau3[#All],5,FALSE),"Matricule!")</f>
        <v>17</v>
      </c>
      <c r="Q173" s="62">
        <f>IFERROR(SUM(VLOOKUP(B173,Tableau3[#All],6,FALSE),VLOOKUP(B173,Tableau3[#All],8,FALSE)),"Matricule!")</f>
        <v>1</v>
      </c>
      <c r="R173" s="62">
        <f>IFERROR(VLOOKUP(B173,Tableau3[#All],7,FALSE),"Matricule!")</f>
        <v>2</v>
      </c>
      <c r="S173" s="62">
        <f>IFERROR(Tableau242[[#This Row],[Prod. days WK]]-Tableau242[[#This Row],[Prod PXX]],"Matricule")</f>
        <v>-3</v>
      </c>
      <c r="T173" s="62">
        <f>IFERROR(Tableau242[[#This Row],[Non prod. days WK]]-Tableau242[[#This Row],[Improd PXX]],"Matricule")</f>
        <v>3</v>
      </c>
      <c r="U173" s="62">
        <f>IFERROR(Tableau242[[#This Row],[Paid leave days WK]]-Tableau242[[#This Row],[Congé PXX]],"Matricule")</f>
        <v>0</v>
      </c>
      <c r="V173" s="63">
        <f>IFERROR(VLOOKUP($B173,#REF!,4,FALSE),0)</f>
        <v>0</v>
      </c>
      <c r="W17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73" s="63">
        <f>IF(AND(Tableau242[[#This Row],[Paid leave days]]&gt;0,Tableau242[[#This Row],[Prod. days]]&lt;0),MIN(Tableau242[[#This Row],[Paid leave days]],-Tableau242[[#This Row],[Prod. days]]),0)</f>
        <v>0</v>
      </c>
      <c r="Z173" s="63">
        <f>IFERROR(_xlfn.XLOOKUP(Tableau242[[#This Row],[Consultant]],Tableau2[Collaborateur/Nom affiché],Tableau2[Montant imputé],0),0)</f>
        <v>0</v>
      </c>
      <c r="AA173" s="64">
        <f t="shared" si="3"/>
        <v>-3</v>
      </c>
      <c r="AB173" s="65" t="s">
        <v>147</v>
      </c>
      <c r="AC173" s="66"/>
      <c r="AD173" s="66"/>
      <c r="AE173" s="105"/>
      <c r="AF173" s="93"/>
    </row>
    <row r="174" spans="1:32">
      <c r="A174" s="15">
        <f>Tableau242[[#This Row],[Company number]]+0</f>
        <v>20455</v>
      </c>
      <c r="B174" s="60" t="s">
        <v>484</v>
      </c>
      <c r="C174" s="61" t="s">
        <v>485</v>
      </c>
      <c r="D174" s="61" t="s">
        <v>33</v>
      </c>
      <c r="E174" s="62" t="str">
        <f>IFERROR(VLOOKUP(Tableau242[[#This Row],[Manager ou CDM concerné]],Parametres!B:C,2,FALSE),"")</f>
        <v>Squad A</v>
      </c>
      <c r="F174" s="62" t="str">
        <f>IF(Tableau242[[#This Row],[Consultant]]=Tableau242[[#This Row],[Manager ou CDM concerné]],"Non",IF(IFERROR(VLOOKUP(Tableau242[[#This Row],[Consultant]],Parametres!B:C,2,FALSE),0)=0,"Non","Oui"))</f>
        <v>Non</v>
      </c>
      <c r="G174" s="62">
        <f>IFERROR(VLOOKUP(B174,Tableau5[#All],4,FALSE),"Matricule!")</f>
        <v>15</v>
      </c>
      <c r="H174" s="62" t="str">
        <f>IFERROR(VLOOKUP(Tableau242[[#This Row],[Company number]],#REF!,6,FALSE),"")</f>
        <v/>
      </c>
      <c r="I174" s="62">
        <f>IFERROR(VLOOKUP(B174,Tableau5[#All],5,FALSE),"Matricule!")</f>
        <v>0</v>
      </c>
      <c r="J174" s="62">
        <f>IFERROR(VLOOKUP(B174,Tableau5[#All],6,FALSE),"Matricule!")</f>
        <v>5</v>
      </c>
      <c r="K174" s="62">
        <f>IFERROR(VLOOKUP(B174,Tableau5[#All],7,FALSE),"Matricule!")</f>
        <v>0</v>
      </c>
      <c r="L174" s="62" t="e">
        <f>VLOOKUP(Tableau242[[#This Row],[Company number]],#REF!,25,FALSE)</f>
        <v>#REF!</v>
      </c>
      <c r="M174" s="62" t="str">
        <f>IFERROR(VLOOKUP(Tableau242[[#This Row],[Company number]],#REF!,30,FALSE),"")</f>
        <v/>
      </c>
      <c r="N174" s="62" t="str">
        <f>IFERROR(VLOOKUP(Tableau242[[#This Row],[Company number]],#REF!,31,FALSE),"")</f>
        <v/>
      </c>
      <c r="O174" s="62" t="str">
        <f>IFERROR(VLOOKUP(Tableau242[[#This Row],[Company number]],#REF!,32,FALSE),"")</f>
        <v/>
      </c>
      <c r="P174" s="62">
        <f>IFERROR(VLOOKUP(B174,Tableau3[#All],5,FALSE),"Matricule!")</f>
        <v>15</v>
      </c>
      <c r="Q174" s="62">
        <f>IFERROR(SUM(VLOOKUP(B174,Tableau3[#All],6,FALSE),VLOOKUP(B174,Tableau3[#All],8,FALSE)),"Matricule!")</f>
        <v>0</v>
      </c>
      <c r="R174" s="62">
        <f>IFERROR(VLOOKUP(B174,Tableau3[#All],7,FALSE),"Matricule!")</f>
        <v>5</v>
      </c>
      <c r="S174" s="62">
        <f>IFERROR(Tableau242[[#This Row],[Prod. days WK]]-Tableau242[[#This Row],[Prod PXX]],"Matricule")</f>
        <v>0</v>
      </c>
      <c r="T174" s="62">
        <f>IFERROR(Tableau242[[#This Row],[Non prod. days WK]]-Tableau242[[#This Row],[Improd PXX]],"Matricule")</f>
        <v>0</v>
      </c>
      <c r="U174" s="62">
        <f>IFERROR(Tableau242[[#This Row],[Paid leave days WK]]-Tableau242[[#This Row],[Congé PXX]],"Matricule")</f>
        <v>0</v>
      </c>
      <c r="V174" s="63">
        <f>IFERROR(VLOOKUP($B174,#REF!,4,FALSE),0)</f>
        <v>0</v>
      </c>
      <c r="W17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74" s="63">
        <f>IF(AND(Tableau242[[#This Row],[Paid leave days]]&gt;0,Tableau242[[#This Row],[Prod. days]]&lt;0),MIN(Tableau242[[#This Row],[Paid leave days]],-Tableau242[[#This Row],[Prod. days]]),0)</f>
        <v>0</v>
      </c>
      <c r="Z174" s="63">
        <f>IFERROR(_xlfn.XLOOKUP(Tableau242[[#This Row],[Consultant]],Tableau2[Collaborateur/Nom affiché],Tableau2[Montant imputé],0),0)</f>
        <v>0</v>
      </c>
      <c r="AA174" s="64">
        <f t="shared" si="3"/>
        <v>0</v>
      </c>
      <c r="AB174" s="65"/>
      <c r="AC174" s="66"/>
      <c r="AD174" s="66"/>
      <c r="AE174" s="105"/>
      <c r="AF174" s="90"/>
    </row>
    <row r="175" spans="1:32">
      <c r="A175" s="15">
        <f>Tableau242[[#This Row],[Company number]]+0</f>
        <v>20767</v>
      </c>
      <c r="B175" s="60" t="s">
        <v>486</v>
      </c>
      <c r="C175" s="61" t="s">
        <v>487</v>
      </c>
      <c r="D175" s="61" t="s">
        <v>33</v>
      </c>
      <c r="E175" s="62" t="str">
        <f>IFERROR(VLOOKUP(Tableau242[[#This Row],[Manager ou CDM concerné]],Parametres!B:C,2,FALSE),"")</f>
        <v>Squad A</v>
      </c>
      <c r="F175" s="62" t="str">
        <f>IF(Tableau242[[#This Row],[Consultant]]=Tableau242[[#This Row],[Manager ou CDM concerné]],"Non",IF(IFERROR(VLOOKUP(Tableau242[[#This Row],[Consultant]],Parametres!B:C,2,FALSE),0)=0,"Non","Oui"))</f>
        <v>Non</v>
      </c>
      <c r="G175" s="62">
        <f>IFERROR(VLOOKUP(B175,Tableau5[#All],4,FALSE),"Matricule!")</f>
        <v>19</v>
      </c>
      <c r="H175" s="62" t="str">
        <f>IFERROR(VLOOKUP(Tableau242[[#This Row],[Company number]],#REF!,6,FALSE),"")</f>
        <v/>
      </c>
      <c r="I175" s="62">
        <f>IFERROR(VLOOKUP(B175,Tableau5[#All],5,FALSE),"Matricule!")</f>
        <v>0</v>
      </c>
      <c r="J175" s="62">
        <f>IFERROR(VLOOKUP(B175,Tableau5[#All],6,FALSE),"Matricule!")</f>
        <v>1</v>
      </c>
      <c r="K175" s="62">
        <f>IFERROR(VLOOKUP(B175,Tableau5[#All],7,FALSE),"Matricule!")</f>
        <v>0</v>
      </c>
      <c r="L175" s="62" t="e">
        <f>VLOOKUP(Tableau242[[#This Row],[Company number]],#REF!,25,FALSE)</f>
        <v>#REF!</v>
      </c>
      <c r="M175" s="62" t="str">
        <f>IFERROR(VLOOKUP(Tableau242[[#This Row],[Company number]],#REF!,30,FALSE),"")</f>
        <v/>
      </c>
      <c r="N175" s="62" t="str">
        <f>IFERROR(VLOOKUP(Tableau242[[#This Row],[Company number]],#REF!,31,FALSE),"")</f>
        <v/>
      </c>
      <c r="O175" s="62" t="str">
        <f>IFERROR(VLOOKUP(Tableau242[[#This Row],[Company number]],#REF!,32,FALSE),"")</f>
        <v/>
      </c>
      <c r="P175" s="62">
        <f>IFERROR(VLOOKUP(B175,Tableau3[#All],5,FALSE),"Matricule!")</f>
        <v>19</v>
      </c>
      <c r="Q175" s="62">
        <f>IFERROR(SUM(VLOOKUP(B175,Tableau3[#All],6,FALSE),VLOOKUP(B175,Tableau3[#All],8,FALSE)),"Matricule!")</f>
        <v>0</v>
      </c>
      <c r="R175" s="62">
        <f>IFERROR(VLOOKUP(B175,Tableau3[#All],7,FALSE),"Matricule!")</f>
        <v>1</v>
      </c>
      <c r="S175" s="62">
        <f>IFERROR(Tableau242[[#This Row],[Prod. days WK]]-Tableau242[[#This Row],[Prod PXX]],"Matricule")</f>
        <v>0</v>
      </c>
      <c r="T175" s="62">
        <f>IFERROR(Tableau242[[#This Row],[Non prod. days WK]]-Tableau242[[#This Row],[Improd PXX]],"Matricule")</f>
        <v>0</v>
      </c>
      <c r="U175" s="62">
        <f>IFERROR(Tableau242[[#This Row],[Paid leave days WK]]-Tableau242[[#This Row],[Congé PXX]],"Matricule")</f>
        <v>0</v>
      </c>
      <c r="V175" s="63">
        <f>IFERROR(VLOOKUP($B175,#REF!,4,FALSE),0)</f>
        <v>0</v>
      </c>
      <c r="W17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75" s="63">
        <f>IF(AND(Tableau242[[#This Row],[Paid leave days]]&gt;0,Tableau242[[#This Row],[Prod. days]]&lt;0),MIN(Tableau242[[#This Row],[Paid leave days]],-Tableau242[[#This Row],[Prod. days]]),0)</f>
        <v>0</v>
      </c>
      <c r="Z175" s="63">
        <f>IFERROR(_xlfn.XLOOKUP(Tableau242[[#This Row],[Consultant]],Tableau2[Collaborateur/Nom affiché],Tableau2[Montant imputé],0),0)</f>
        <v>0</v>
      </c>
      <c r="AA175" s="64">
        <f t="shared" si="3"/>
        <v>0</v>
      </c>
      <c r="AB175" s="65"/>
      <c r="AC175" s="66"/>
      <c r="AD175" s="66"/>
      <c r="AE175" s="105"/>
      <c r="AF175" s="90"/>
    </row>
    <row r="176" spans="1:32">
      <c r="A176" s="15">
        <f>Tableau242[[#This Row],[Company number]]+0</f>
        <v>22128</v>
      </c>
      <c r="B176" s="60" t="s">
        <v>488</v>
      </c>
      <c r="C176" s="61" t="s">
        <v>489</v>
      </c>
      <c r="D176" s="61" t="s">
        <v>33</v>
      </c>
      <c r="E176" s="62" t="str">
        <f>IFERROR(VLOOKUP(Tableau242[[#This Row],[Manager ou CDM concerné]],Parametres!B:C,2,FALSE),"")</f>
        <v>Squad A</v>
      </c>
      <c r="F176" s="62" t="str">
        <f>IF(Tableau242[[#This Row],[Consultant]]=Tableau242[[#This Row],[Manager ou CDM concerné]],"Non",IF(IFERROR(VLOOKUP(Tableau242[[#This Row],[Consultant]],Parametres!B:C,2,FALSE),0)=0,"Non","Oui"))</f>
        <v>Non</v>
      </c>
      <c r="G176" s="62">
        <f>IFERROR(VLOOKUP(B176,Tableau5[#All],4,FALSE),"Matricule!")</f>
        <v>0</v>
      </c>
      <c r="H176" s="62" t="str">
        <f>IFERROR(VLOOKUP(Tableau242[[#This Row],[Company number]],#REF!,6,FALSE),"")</f>
        <v/>
      </c>
      <c r="I176" s="62">
        <f>IFERROR(VLOOKUP(B176,Tableau5[#All],5,FALSE),"Matricule!")</f>
        <v>14</v>
      </c>
      <c r="J176" s="62">
        <f>IFERROR(VLOOKUP(B176,Tableau5[#All],6,FALSE),"Matricule!")</f>
        <v>6</v>
      </c>
      <c r="K176" s="62">
        <f>IFERROR(VLOOKUP(B176,Tableau5[#All],7,FALSE),"Matricule!")</f>
        <v>0</v>
      </c>
      <c r="L176" s="62" t="e">
        <f>VLOOKUP(Tableau242[[#This Row],[Company number]],#REF!,25,FALSE)</f>
        <v>#REF!</v>
      </c>
      <c r="M176" s="62" t="str">
        <f>IFERROR(VLOOKUP(Tableau242[[#This Row],[Company number]],#REF!,30,FALSE),"")</f>
        <v/>
      </c>
      <c r="N176" s="62" t="str">
        <f>IFERROR(VLOOKUP(Tableau242[[#This Row],[Company number]],#REF!,31,FALSE),"")</f>
        <v/>
      </c>
      <c r="O176" s="62" t="str">
        <f>IFERROR(VLOOKUP(Tableau242[[#This Row],[Company number]],#REF!,32,FALSE),"")</f>
        <v/>
      </c>
      <c r="P176" s="68">
        <f>IFERROR(VLOOKUP(B176,Tableau3[#All],5,FALSE),"Matricule!")</f>
        <v>0</v>
      </c>
      <c r="Q176" s="68">
        <f>IFERROR(SUM(VLOOKUP(B176,Tableau3[#All],6,FALSE),VLOOKUP(B176,Tableau3[#All],8,FALSE)),"Matricule!")</f>
        <v>14</v>
      </c>
      <c r="R176" s="68">
        <f>IFERROR(VLOOKUP(B176,Tableau3[#All],7,FALSE),"Matricule!")</f>
        <v>6</v>
      </c>
      <c r="S176" s="62">
        <f>IFERROR(Tableau242[[#This Row],[Prod. days WK]]-Tableau242[[#This Row],[Prod PXX]],"Matricule")</f>
        <v>0</v>
      </c>
      <c r="T176" s="62">
        <f>IFERROR(Tableau242[[#This Row],[Non prod. days WK]]-Tableau242[[#This Row],[Improd PXX]],"Matricule")</f>
        <v>0</v>
      </c>
      <c r="U176" s="62">
        <f>IFERROR(Tableau242[[#This Row],[Paid leave days WK]]-Tableau242[[#This Row],[Congé PXX]],"Matricule")</f>
        <v>0</v>
      </c>
      <c r="V176" s="63">
        <f>IFERROR(VLOOKUP($B176,#REF!,4,FALSE),0)</f>
        <v>0</v>
      </c>
      <c r="W17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76" s="63">
        <f>IF(AND(Tableau242[[#This Row],[Paid leave days]]&gt;0,Tableau242[[#This Row],[Prod. days]]&lt;0),MIN(Tableau242[[#This Row],[Paid leave days]],-Tableau242[[#This Row],[Prod. days]]),0)</f>
        <v>0</v>
      </c>
      <c r="Z176" s="63">
        <f>IFERROR(_xlfn.XLOOKUP(Tableau242[[#This Row],[Consultant]],Tableau2[Collaborateur/Nom affiché],Tableau2[Montant imputé],0),0)</f>
        <v>0</v>
      </c>
      <c r="AA176" s="64">
        <f t="shared" si="3"/>
        <v>0</v>
      </c>
      <c r="AB176" s="65"/>
      <c r="AC176" s="66"/>
      <c r="AD176" s="66"/>
      <c r="AE176" s="105"/>
      <c r="AF176" s="90"/>
    </row>
    <row r="177" spans="1:32" ht="14.45" customHeight="1">
      <c r="A177" s="15">
        <f>Tableau242[[#This Row],[Company number]]+0</f>
        <v>16906</v>
      </c>
      <c r="B177" s="60" t="s">
        <v>490</v>
      </c>
      <c r="C177" s="61" t="s">
        <v>491</v>
      </c>
      <c r="D177" s="61" t="s">
        <v>33</v>
      </c>
      <c r="E177" s="62" t="str">
        <f>IFERROR(VLOOKUP(Tableau242[[#This Row],[Manager ou CDM concerné]],Parametres!B:C,2,FALSE),"")</f>
        <v>Squad A</v>
      </c>
      <c r="F177" s="62" t="str">
        <f>IF(Tableau242[[#This Row],[Consultant]]=Tableau242[[#This Row],[Manager ou CDM concerné]],"Non",IF(IFERROR(VLOOKUP(Tableau242[[#This Row],[Consultant]],Parametres!B:C,2,FALSE),0)=0,"Non","Oui"))</f>
        <v>Non</v>
      </c>
      <c r="G177" s="62">
        <f>IFERROR(VLOOKUP(B177,Tableau5[#All],4,FALSE),"Matricule!")</f>
        <v>15</v>
      </c>
      <c r="H177" s="62" t="str">
        <f>IFERROR(VLOOKUP(Tableau242[[#This Row],[Company number]],#REF!,6,FALSE),"")</f>
        <v/>
      </c>
      <c r="I177" s="62">
        <f>IFERROR(VLOOKUP(B177,Tableau5[#All],5,FALSE),"Matricule!")</f>
        <v>0</v>
      </c>
      <c r="J177" s="62">
        <f>IFERROR(VLOOKUP(B177,Tableau5[#All],6,FALSE),"Matricule!")</f>
        <v>5</v>
      </c>
      <c r="K177" s="62">
        <f>IFERROR(VLOOKUP(B177,Tableau5[#All],7,FALSE),"Matricule!")</f>
        <v>0</v>
      </c>
      <c r="L177" s="62" t="e">
        <f>VLOOKUP(Tableau242[[#This Row],[Company number]],#REF!,25,FALSE)</f>
        <v>#REF!</v>
      </c>
      <c r="M177" s="62" t="str">
        <f>IFERROR(VLOOKUP(Tableau242[[#This Row],[Company number]],#REF!,30,FALSE),"")</f>
        <v/>
      </c>
      <c r="N177" s="62" t="str">
        <f>IFERROR(VLOOKUP(Tableau242[[#This Row],[Company number]],#REF!,31,FALSE),"")</f>
        <v/>
      </c>
      <c r="O177" s="62" t="str">
        <f>IFERROR(VLOOKUP(Tableau242[[#This Row],[Company number]],#REF!,32,FALSE),"")</f>
        <v/>
      </c>
      <c r="P177" s="62">
        <f>IFERROR(VLOOKUP(B177,Tableau3[#All],5,FALSE),"Matricule!")</f>
        <v>15</v>
      </c>
      <c r="Q177" s="62">
        <f>IFERROR(SUM(VLOOKUP(B177,Tableau3[#All],6,FALSE),VLOOKUP(B177,Tableau3[#All],8,FALSE)),"Matricule!")</f>
        <v>0</v>
      </c>
      <c r="R177" s="62">
        <f>IFERROR(VLOOKUP(B177,Tableau3[#All],7,FALSE),"Matricule!")</f>
        <v>5</v>
      </c>
      <c r="S177" s="62">
        <f>IFERROR(Tableau242[[#This Row],[Prod. days WK]]-Tableau242[[#This Row],[Prod PXX]],"Matricule")</f>
        <v>0</v>
      </c>
      <c r="T177" s="62">
        <f>IFERROR(Tableau242[[#This Row],[Non prod. days WK]]-Tableau242[[#This Row],[Improd PXX]],"Matricule")</f>
        <v>0</v>
      </c>
      <c r="U177" s="62">
        <f>IFERROR(Tableau242[[#This Row],[Paid leave days WK]]-Tableau242[[#This Row],[Congé PXX]],"Matricule")</f>
        <v>0</v>
      </c>
      <c r="V177" s="63">
        <f>IFERROR(VLOOKUP($B177,#REF!,4,FALSE),0)</f>
        <v>0</v>
      </c>
      <c r="W17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77" s="63">
        <f>IF(AND(Tableau242[[#This Row],[Paid leave days]]&gt;0,Tableau242[[#This Row],[Prod. days]]&lt;0),MIN(Tableau242[[#This Row],[Paid leave days]],-Tableau242[[#This Row],[Prod. days]]),0)</f>
        <v>0</v>
      </c>
      <c r="Z177" s="63">
        <f>IFERROR(_xlfn.XLOOKUP(Tableau242[[#This Row],[Consultant]],Tableau2[Collaborateur/Nom affiché],Tableau2[Montant imputé],0),0)</f>
        <v>0</v>
      </c>
      <c r="AA177" s="64">
        <f t="shared" si="3"/>
        <v>0</v>
      </c>
      <c r="AB177" s="65"/>
      <c r="AC177" s="66"/>
      <c r="AD177" s="66"/>
      <c r="AE177" s="105"/>
      <c r="AF177" s="90"/>
    </row>
    <row r="178" spans="1:32">
      <c r="A178" s="15">
        <f>Tableau242[[#This Row],[Company number]]+0</f>
        <v>20891</v>
      </c>
      <c r="B178" s="60" t="s">
        <v>492</v>
      </c>
      <c r="C178" s="61" t="s">
        <v>493</v>
      </c>
      <c r="D178" s="61" t="s">
        <v>33</v>
      </c>
      <c r="E178" s="62" t="str">
        <f>IFERROR(VLOOKUP(Tableau242[[#This Row],[Manager ou CDM concerné]],Parametres!B:C,2,FALSE),"")</f>
        <v>Squad A</v>
      </c>
      <c r="F178" s="62" t="str">
        <f>IF(Tableau242[[#This Row],[Consultant]]=Tableau242[[#This Row],[Manager ou CDM concerné]],"Non",IF(IFERROR(VLOOKUP(Tableau242[[#This Row],[Consultant]],Parametres!B:C,2,FALSE),0)=0,"Non","Oui"))</f>
        <v>Non</v>
      </c>
      <c r="G178" s="62">
        <f>IFERROR(VLOOKUP(B178,Tableau5[#All],4,FALSE),"Matricule!")</f>
        <v>20</v>
      </c>
      <c r="H178" s="62" t="str">
        <f>IFERROR(VLOOKUP(Tableau242[[#This Row],[Company number]],#REF!,6,FALSE),"")</f>
        <v/>
      </c>
      <c r="I178" s="62">
        <f>IFERROR(VLOOKUP(B178,Tableau5[#All],5,FALSE),"Matricule!")</f>
        <v>0</v>
      </c>
      <c r="J178" s="62">
        <f>IFERROR(VLOOKUP(B178,Tableau5[#All],6,FALSE),"Matricule!")</f>
        <v>0</v>
      </c>
      <c r="K178" s="62">
        <f>IFERROR(VLOOKUP(B178,Tableau5[#All],7,FALSE),"Matricule!")</f>
        <v>0</v>
      </c>
      <c r="L178" s="62" t="e">
        <f>VLOOKUP(Tableau242[[#This Row],[Company number]],#REF!,25,FALSE)</f>
        <v>#REF!</v>
      </c>
      <c r="M178" s="62" t="str">
        <f>IFERROR(VLOOKUP(Tableau242[[#This Row],[Company number]],#REF!,30,FALSE),"")</f>
        <v/>
      </c>
      <c r="N178" s="62" t="str">
        <f>IFERROR(VLOOKUP(Tableau242[[#This Row],[Company number]],#REF!,31,FALSE),"")</f>
        <v/>
      </c>
      <c r="O178" s="62" t="str">
        <f>IFERROR(VLOOKUP(Tableau242[[#This Row],[Company number]],#REF!,32,FALSE),"")</f>
        <v/>
      </c>
      <c r="P178" s="62">
        <f>IFERROR(VLOOKUP(B178,Tableau3[#All],5,FALSE),"Matricule!")</f>
        <v>20</v>
      </c>
      <c r="Q178" s="62">
        <f>IFERROR(SUM(VLOOKUP(B178,Tableau3[#All],6,FALSE),VLOOKUP(B178,Tableau3[#All],8,FALSE)),"Matricule!")</f>
        <v>0</v>
      </c>
      <c r="R178" s="62">
        <f>IFERROR(VLOOKUP(B178,Tableau3[#All],7,FALSE),"Matricule!")</f>
        <v>0</v>
      </c>
      <c r="S178" s="62">
        <f>IFERROR(Tableau242[[#This Row],[Prod. days WK]]-Tableau242[[#This Row],[Prod PXX]],"Matricule")</f>
        <v>0</v>
      </c>
      <c r="T178" s="62">
        <f>IFERROR(Tableau242[[#This Row],[Non prod. days WK]]-Tableau242[[#This Row],[Improd PXX]],"Matricule")</f>
        <v>0</v>
      </c>
      <c r="U178" s="62">
        <f>IFERROR(Tableau242[[#This Row],[Paid leave days WK]]-Tableau242[[#This Row],[Congé PXX]],"Matricule")</f>
        <v>0</v>
      </c>
      <c r="V178" s="63">
        <f>IFERROR(VLOOKUP($B178,#REF!,4,FALSE),0)</f>
        <v>0</v>
      </c>
      <c r="W17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78" s="63">
        <f>IF(AND(Tableau242[[#This Row],[Paid leave days]]&gt;0,Tableau242[[#This Row],[Prod. days]]&lt;0),MIN(Tableau242[[#This Row],[Paid leave days]],-Tableau242[[#This Row],[Prod. days]]),0)</f>
        <v>0</v>
      </c>
      <c r="Z178" s="63">
        <f>IFERROR(_xlfn.XLOOKUP(Tableau242[[#This Row],[Consultant]],Tableau2[Collaborateur/Nom affiché],Tableau2[Montant imputé],0),0)</f>
        <v>0</v>
      </c>
      <c r="AA178" s="64">
        <f t="shared" si="3"/>
        <v>0</v>
      </c>
      <c r="AB178" s="65"/>
      <c r="AC178" s="67"/>
      <c r="AD178" s="66"/>
      <c r="AE178" s="105"/>
      <c r="AF178" s="93"/>
    </row>
    <row r="179" spans="1:32">
      <c r="A179" s="15">
        <f>Tableau242[[#This Row],[Company number]]+0</f>
        <v>13529</v>
      </c>
      <c r="B179" s="60" t="s">
        <v>494</v>
      </c>
      <c r="C179" s="61" t="s">
        <v>495</v>
      </c>
      <c r="D179" s="61" t="s">
        <v>33</v>
      </c>
      <c r="E179" s="62" t="str">
        <f>IFERROR(VLOOKUP(Tableau242[[#This Row],[Manager ou CDM concerné]],Parametres!B:C,2,FALSE),"")</f>
        <v>Squad A</v>
      </c>
      <c r="F179" s="62" t="str">
        <f>IF(Tableau242[[#This Row],[Consultant]]=Tableau242[[#This Row],[Manager ou CDM concerné]],"Non",IF(IFERROR(VLOOKUP(Tableau242[[#This Row],[Consultant]],Parametres!B:C,2,FALSE),0)=0,"Non","Oui"))</f>
        <v>Non</v>
      </c>
      <c r="G179" s="62">
        <f>IFERROR(VLOOKUP(B179,Tableau5[#All],4,FALSE),"Matricule!")</f>
        <v>20</v>
      </c>
      <c r="H179" s="62" t="str">
        <f>IFERROR(VLOOKUP(Tableau242[[#This Row],[Company number]],#REF!,6,FALSE),"")</f>
        <v/>
      </c>
      <c r="I179" s="62">
        <f>IFERROR(VLOOKUP(B179,Tableau5[#All],5,FALSE),"Matricule!")</f>
        <v>0</v>
      </c>
      <c r="J179" s="62">
        <f>IFERROR(VLOOKUP(B179,Tableau5[#All],6,FALSE),"Matricule!")</f>
        <v>0</v>
      </c>
      <c r="K179" s="62">
        <f>IFERROR(VLOOKUP(B179,Tableau5[#All],7,FALSE),"Matricule!")</f>
        <v>0</v>
      </c>
      <c r="L179" s="62" t="e">
        <f>VLOOKUP(Tableau242[[#This Row],[Company number]],#REF!,25,FALSE)</f>
        <v>#REF!</v>
      </c>
      <c r="M179" s="62" t="str">
        <f>IFERROR(VLOOKUP(Tableau242[[#This Row],[Company number]],#REF!,30,FALSE),"")</f>
        <v/>
      </c>
      <c r="N179" s="62" t="str">
        <f>IFERROR(VLOOKUP(Tableau242[[#This Row],[Company number]],#REF!,31,FALSE),"")</f>
        <v/>
      </c>
      <c r="O179" s="62" t="str">
        <f>IFERROR(VLOOKUP(Tableau242[[#This Row],[Company number]],#REF!,32,FALSE),"")</f>
        <v/>
      </c>
      <c r="P179" s="62">
        <f>IFERROR(VLOOKUP(B179,Tableau3[#All],5,FALSE),"Matricule!")</f>
        <v>20</v>
      </c>
      <c r="Q179" s="62">
        <f>IFERROR(SUM(VLOOKUP(B179,Tableau3[#All],6,FALSE),VLOOKUP(B179,Tableau3[#All],8,FALSE)),"Matricule!")</f>
        <v>0</v>
      </c>
      <c r="R179" s="62">
        <f>IFERROR(VLOOKUP(B179,Tableau3[#All],7,FALSE),"Matricule!")</f>
        <v>0</v>
      </c>
      <c r="S179" s="62">
        <f>IFERROR(Tableau242[[#This Row],[Prod. days WK]]-Tableau242[[#This Row],[Prod PXX]],"Matricule")</f>
        <v>0</v>
      </c>
      <c r="T179" s="62">
        <f>IFERROR(Tableau242[[#This Row],[Non prod. days WK]]-Tableau242[[#This Row],[Improd PXX]],"Matricule")</f>
        <v>0</v>
      </c>
      <c r="U179" s="62">
        <f>IFERROR(Tableau242[[#This Row],[Paid leave days WK]]-Tableau242[[#This Row],[Congé PXX]],"Matricule")</f>
        <v>0</v>
      </c>
      <c r="V179" s="63">
        <f>IFERROR(VLOOKUP($B179,#REF!,4,FALSE),0)</f>
        <v>0</v>
      </c>
      <c r="W17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7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79" s="63">
        <f>IF(AND(Tableau242[[#This Row],[Paid leave days]]&gt;0,Tableau242[[#This Row],[Prod. days]]&lt;0),MIN(Tableau242[[#This Row],[Paid leave days]],-Tableau242[[#This Row],[Prod. days]]),0)</f>
        <v>0</v>
      </c>
      <c r="Z179" s="63">
        <f>IFERROR(_xlfn.XLOOKUP(Tableau242[[#This Row],[Consultant]],Tableau2[Collaborateur/Nom affiché],Tableau2[Montant imputé],0),0)</f>
        <v>0</v>
      </c>
      <c r="AA179" s="64">
        <f t="shared" si="3"/>
        <v>0</v>
      </c>
      <c r="AB179" s="65"/>
      <c r="AC179" s="66"/>
      <c r="AD179" s="66"/>
      <c r="AE179" s="105"/>
      <c r="AF179" s="90"/>
    </row>
    <row r="180" spans="1:32">
      <c r="A180" s="15">
        <f>Tableau242[[#This Row],[Company number]]+0</f>
        <v>22085</v>
      </c>
      <c r="B180" s="60" t="s">
        <v>496</v>
      </c>
      <c r="C180" s="61" t="s">
        <v>497</v>
      </c>
      <c r="D180" s="61" t="s">
        <v>33</v>
      </c>
      <c r="E180" s="62" t="str">
        <f>IFERROR(VLOOKUP(Tableau242[[#This Row],[Manager ou CDM concerné]],Parametres!B:C,2,FALSE),"")</f>
        <v>Squad A</v>
      </c>
      <c r="F180" s="62" t="str">
        <f>IF(Tableau242[[#This Row],[Consultant]]=Tableau242[[#This Row],[Manager ou CDM concerné]],"Non",IF(IFERROR(VLOOKUP(Tableau242[[#This Row],[Consultant]],Parametres!B:C,2,FALSE),0)=0,"Non","Oui"))</f>
        <v>Non</v>
      </c>
      <c r="G180" s="62">
        <f>IFERROR(VLOOKUP(B180,Tableau5[#All],4,FALSE),"Matricule!")</f>
        <v>18</v>
      </c>
      <c r="H180" s="62" t="str">
        <f>IFERROR(VLOOKUP(Tableau242[[#This Row],[Company number]],#REF!,6,FALSE),"")</f>
        <v/>
      </c>
      <c r="I180" s="62">
        <f>IFERROR(VLOOKUP(B180,Tableau5[#All],5,FALSE),"Matricule!")</f>
        <v>0</v>
      </c>
      <c r="J180" s="62">
        <f>IFERROR(VLOOKUP(B180,Tableau5[#All],6,FALSE),"Matricule!")</f>
        <v>2</v>
      </c>
      <c r="K180" s="62">
        <f>IFERROR(VLOOKUP(B180,Tableau5[#All],7,FALSE),"Matricule!")</f>
        <v>0</v>
      </c>
      <c r="L180" s="62" t="e">
        <f>VLOOKUP(Tableau242[[#This Row],[Company number]],#REF!,25,FALSE)</f>
        <v>#REF!</v>
      </c>
      <c r="M180" s="62" t="str">
        <f>IFERROR(VLOOKUP(Tableau242[[#This Row],[Company number]],#REF!,30,FALSE),"")</f>
        <v/>
      </c>
      <c r="N180" s="62" t="str">
        <f>IFERROR(VLOOKUP(Tableau242[[#This Row],[Company number]],#REF!,31,FALSE),"")</f>
        <v/>
      </c>
      <c r="O180" s="62" t="str">
        <f>IFERROR(VLOOKUP(Tableau242[[#This Row],[Company number]],#REF!,32,FALSE),"")</f>
        <v/>
      </c>
      <c r="P180" s="62">
        <f>IFERROR(VLOOKUP(B180,Tableau3[#All],5,FALSE),"Matricule!")</f>
        <v>18</v>
      </c>
      <c r="Q180" s="62">
        <f>IFERROR(SUM(VLOOKUP(B180,Tableau3[#All],6,FALSE),VLOOKUP(B180,Tableau3[#All],8,FALSE)),"Matricule!")</f>
        <v>0</v>
      </c>
      <c r="R180" s="62">
        <f>IFERROR(VLOOKUP(B180,Tableau3[#All],7,FALSE),"Matricule!")</f>
        <v>2</v>
      </c>
      <c r="S180" s="62">
        <f>IFERROR(Tableau242[[#This Row],[Prod. days WK]]-Tableau242[[#This Row],[Prod PXX]],"Matricule")</f>
        <v>0</v>
      </c>
      <c r="T180" s="62">
        <f>IFERROR(Tableau242[[#This Row],[Non prod. days WK]]-Tableau242[[#This Row],[Improd PXX]],"Matricule")</f>
        <v>0</v>
      </c>
      <c r="U180" s="62">
        <f>IFERROR(Tableau242[[#This Row],[Paid leave days WK]]-Tableau242[[#This Row],[Congé PXX]],"Matricule")</f>
        <v>0</v>
      </c>
      <c r="V180" s="63">
        <f>IFERROR(VLOOKUP($B180,#REF!,4,FALSE),0)</f>
        <v>0</v>
      </c>
      <c r="W18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80" s="63">
        <f>IF(AND(Tableau242[[#This Row],[Paid leave days]]&gt;0,Tableau242[[#This Row],[Prod. days]]&lt;0),MIN(Tableau242[[#This Row],[Paid leave days]],-Tableau242[[#This Row],[Prod. days]]),0)</f>
        <v>0</v>
      </c>
      <c r="Z180" s="63">
        <f>IFERROR(_xlfn.XLOOKUP(Tableau242[[#This Row],[Consultant]],Tableau2[Collaborateur/Nom affiché],Tableau2[Montant imputé],0),0)</f>
        <v>0</v>
      </c>
      <c r="AA180" s="64">
        <f t="shared" si="3"/>
        <v>0</v>
      </c>
      <c r="AB180" s="65"/>
      <c r="AC180" s="66"/>
      <c r="AD180" s="66"/>
      <c r="AE180" s="105"/>
      <c r="AF180" s="90"/>
    </row>
    <row r="181" spans="1:32">
      <c r="A181" s="15">
        <f>Tableau242[[#This Row],[Company number]]+0</f>
        <v>26</v>
      </c>
      <c r="B181" s="60" t="s">
        <v>498</v>
      </c>
      <c r="C181" s="61" t="s">
        <v>97</v>
      </c>
      <c r="D181" s="61" t="s">
        <v>6</v>
      </c>
      <c r="E181" s="62" t="str">
        <f>IFERROR(VLOOKUP(Tableau242[[#This Row],[Manager ou CDM concerné]],Parametres!B:C,2,FALSE),"")</f>
        <v>Squad A</v>
      </c>
      <c r="F181" s="62" t="str">
        <f>IF(Tableau242[[#This Row],[Consultant]]=Tableau242[[#This Row],[Manager ou CDM concerné]],"Non",IF(IFERROR(VLOOKUP(Tableau242[[#This Row],[Consultant]],Parametres!B:C,2,FALSE),0)=0,"Non","Oui"))</f>
        <v>Oui</v>
      </c>
      <c r="G181" s="62">
        <f>IFERROR(VLOOKUP(B181,Tableau5[#All],4,FALSE),"Matricule!")</f>
        <v>0</v>
      </c>
      <c r="H181" s="62" t="str">
        <f>IFERROR(VLOOKUP(Tableau242[[#This Row],[Company number]],#REF!,6,FALSE),"")</f>
        <v/>
      </c>
      <c r="I181" s="62">
        <f>IFERROR(VLOOKUP(B181,Tableau5[#All],5,FALSE),"Matricule!")</f>
        <v>19</v>
      </c>
      <c r="J181" s="62">
        <f>IFERROR(VLOOKUP(B181,Tableau5[#All],6,FALSE),"Matricule!")</f>
        <v>1</v>
      </c>
      <c r="K181" s="62">
        <f>IFERROR(VLOOKUP(B181,Tableau5[#All],7,FALSE),"Matricule!")</f>
        <v>0</v>
      </c>
      <c r="L181" s="62" t="e">
        <f>VLOOKUP(Tableau242[[#This Row],[Company number]],#REF!,25,FALSE)</f>
        <v>#REF!</v>
      </c>
      <c r="M181" s="62" t="str">
        <f>IFERROR(VLOOKUP(Tableau242[[#This Row],[Company number]],#REF!,30,FALSE),"")</f>
        <v/>
      </c>
      <c r="N181" s="62" t="str">
        <f>IFERROR(VLOOKUP(Tableau242[[#This Row],[Company number]],#REF!,31,FALSE),"")</f>
        <v/>
      </c>
      <c r="O181" s="62" t="str">
        <f>IFERROR(VLOOKUP(Tableau242[[#This Row],[Company number]],#REF!,32,FALSE),"")</f>
        <v/>
      </c>
      <c r="P181" s="62">
        <f>IFERROR(VLOOKUP(B181,Tableau3[#All],5,FALSE),"Matricule!")</f>
        <v>3</v>
      </c>
      <c r="Q181" s="62">
        <f>IFERROR(SUM(VLOOKUP(B181,Tableau3[#All],6,FALSE),VLOOKUP(B181,Tableau3[#All],8,FALSE)),"Matricule!")</f>
        <v>16</v>
      </c>
      <c r="R181" s="62">
        <f>IFERROR(VLOOKUP(B181,Tableau3[#All],7,FALSE),"Matricule!")</f>
        <v>1</v>
      </c>
      <c r="S181" s="62">
        <f>IFERROR(Tableau242[[#This Row],[Prod. days WK]]-Tableau242[[#This Row],[Prod PXX]],"Matricule")</f>
        <v>-3</v>
      </c>
      <c r="T181" s="62">
        <f>IFERROR(Tableau242[[#This Row],[Non prod. days WK]]-Tableau242[[#This Row],[Improd PXX]],"Matricule")</f>
        <v>3</v>
      </c>
      <c r="U181" s="62">
        <f>IFERROR(Tableau242[[#This Row],[Paid leave days WK]]-Tableau242[[#This Row],[Congé PXX]],"Matricule")</f>
        <v>0</v>
      </c>
      <c r="V181" s="63">
        <f>IFERROR(VLOOKUP($B181,#REF!,4,FALSE),0)</f>
        <v>0</v>
      </c>
      <c r="W18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81" s="63">
        <f>IF(AND(Tableau242[[#This Row],[Paid leave days]]&gt;0,Tableau242[[#This Row],[Prod. days]]&lt;0),MIN(Tableau242[[#This Row],[Paid leave days]],-Tableau242[[#This Row],[Prod. days]]),0)</f>
        <v>0</v>
      </c>
      <c r="Z181" s="63">
        <f>IFERROR(_xlfn.XLOOKUP(Tableau242[[#This Row],[Consultant]],Tableau2[Collaborateur/Nom affiché],Tableau2[Montant imputé],0),0)</f>
        <v>0</v>
      </c>
      <c r="AA181" s="64">
        <f t="shared" si="3"/>
        <v>-3</v>
      </c>
      <c r="AB181" s="78"/>
      <c r="AC181" s="66"/>
      <c r="AD181" s="66"/>
      <c r="AE181" s="105"/>
      <c r="AF181" s="90"/>
    </row>
    <row r="182" spans="1:32">
      <c r="A182" s="15">
        <f>Tableau242[[#This Row],[Company number]]+0</f>
        <v>21768</v>
      </c>
      <c r="B182" s="60" t="s">
        <v>499</v>
      </c>
      <c r="C182" s="61" t="s">
        <v>500</v>
      </c>
      <c r="D182" s="61" t="s">
        <v>143</v>
      </c>
      <c r="E182" s="62" t="str">
        <f>IFERROR(VLOOKUP(Tableau242[[#This Row],[Manager ou CDM concerné]],Parametres!B:C,2,FALSE),"")</f>
        <v>Squad A</v>
      </c>
      <c r="F182" s="62" t="str">
        <f>IF(Tableau242[[#This Row],[Consultant]]=Tableau242[[#This Row],[Manager ou CDM concerné]],"Non",IF(IFERROR(VLOOKUP(Tableau242[[#This Row],[Consultant]],Parametres!B:C,2,FALSE),0)=0,"Non","Oui"))</f>
        <v>Non</v>
      </c>
      <c r="G182" s="62">
        <f>IFERROR(VLOOKUP(B182,Tableau5[#All],4,FALSE),"Matricule!")</f>
        <v>20</v>
      </c>
      <c r="H182" s="62" t="str">
        <f>IFERROR(VLOOKUP(Tableau242[[#This Row],[Company number]],#REF!,6,FALSE),"")</f>
        <v/>
      </c>
      <c r="I182" s="62">
        <f>IFERROR(VLOOKUP(B182,Tableau5[#All],5,FALSE),"Matricule!")</f>
        <v>0</v>
      </c>
      <c r="J182" s="62">
        <f>IFERROR(VLOOKUP(B182,Tableau5[#All],6,FALSE),"Matricule!")</f>
        <v>0</v>
      </c>
      <c r="K182" s="62">
        <f>IFERROR(VLOOKUP(B182,Tableau5[#All],7,FALSE),"Matricule!")</f>
        <v>0</v>
      </c>
      <c r="L182" s="62" t="e">
        <f>VLOOKUP(Tableau242[[#This Row],[Company number]],#REF!,25,FALSE)</f>
        <v>#REF!</v>
      </c>
      <c r="M182" s="62" t="str">
        <f>IFERROR(VLOOKUP(Tableau242[[#This Row],[Company number]],#REF!,30,FALSE),"")</f>
        <v/>
      </c>
      <c r="N182" s="62" t="str">
        <f>IFERROR(VLOOKUP(Tableau242[[#This Row],[Company number]],#REF!,31,FALSE),"")</f>
        <v/>
      </c>
      <c r="O182" s="62" t="str">
        <f>IFERROR(VLOOKUP(Tableau242[[#This Row],[Company number]],#REF!,32,FALSE),"")</f>
        <v/>
      </c>
      <c r="P182" s="62">
        <f>IFERROR(VLOOKUP(B182,Tableau3[#All],5,FALSE),"Matricule!")</f>
        <v>20</v>
      </c>
      <c r="Q182" s="62">
        <f>IFERROR(SUM(VLOOKUP(B182,Tableau3[#All],6,FALSE),VLOOKUP(B182,Tableau3[#All],8,FALSE)),"Matricule!")</f>
        <v>0</v>
      </c>
      <c r="R182" s="62">
        <f>IFERROR(VLOOKUP(B182,Tableau3[#All],7,FALSE),"Matricule!")</f>
        <v>0</v>
      </c>
      <c r="S182" s="62">
        <f>IFERROR(Tableau242[[#This Row],[Prod. days WK]]-Tableau242[[#This Row],[Prod PXX]],"Matricule")</f>
        <v>0</v>
      </c>
      <c r="T182" s="62">
        <f>IFERROR(Tableau242[[#This Row],[Non prod. days WK]]-Tableau242[[#This Row],[Improd PXX]],"Matricule")</f>
        <v>0</v>
      </c>
      <c r="U182" s="62">
        <f>IFERROR(Tableau242[[#This Row],[Paid leave days WK]]-Tableau242[[#This Row],[Congé PXX]],"Matricule")</f>
        <v>0</v>
      </c>
      <c r="V182" s="63">
        <f>IFERROR(VLOOKUP($B182,#REF!,4,FALSE),0)</f>
        <v>0</v>
      </c>
      <c r="W18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82" s="63">
        <f>IF(AND(Tableau242[[#This Row],[Paid leave days]]&gt;0,Tableau242[[#This Row],[Prod. days]]&lt;0),MIN(Tableau242[[#This Row],[Paid leave days]],-Tableau242[[#This Row],[Prod. days]]),0)</f>
        <v>0</v>
      </c>
      <c r="Z182" s="63">
        <f>IFERROR(_xlfn.XLOOKUP(Tableau242[[#This Row],[Consultant]],Tableau2[Collaborateur/Nom affiché],Tableau2[Montant imputé],0),0)</f>
        <v>0</v>
      </c>
      <c r="AA182" s="64">
        <f t="shared" si="3"/>
        <v>0</v>
      </c>
      <c r="AB182" s="65"/>
      <c r="AC182" s="66"/>
      <c r="AD182" s="66"/>
      <c r="AE182" s="105"/>
      <c r="AF182" s="90"/>
    </row>
    <row r="183" spans="1:32">
      <c r="A183" s="15">
        <f>Tableau242[[#This Row],[Company number]]+0</f>
        <v>21791</v>
      </c>
      <c r="B183" s="60" t="s">
        <v>501</v>
      </c>
      <c r="C183" s="61" t="s">
        <v>502</v>
      </c>
      <c r="D183" s="61" t="s">
        <v>143</v>
      </c>
      <c r="E183" s="62" t="str">
        <f>IFERROR(VLOOKUP(Tableau242[[#This Row],[Manager ou CDM concerné]],Parametres!B:C,2,FALSE),"")</f>
        <v>Squad A</v>
      </c>
      <c r="F183" s="62" t="str">
        <f>IF(Tableau242[[#This Row],[Consultant]]=Tableau242[[#This Row],[Manager ou CDM concerné]],"Non",IF(IFERROR(VLOOKUP(Tableau242[[#This Row],[Consultant]],Parametres!B:C,2,FALSE),0)=0,"Non","Oui"))</f>
        <v>Non</v>
      </c>
      <c r="G183" s="62">
        <f>IFERROR(VLOOKUP(B183,Tableau5[#All],4,FALSE),"Matricule!")</f>
        <v>0</v>
      </c>
      <c r="H183" s="62" t="str">
        <f>IFERROR(VLOOKUP(Tableau242[[#This Row],[Company number]],#REF!,6,FALSE),"")</f>
        <v/>
      </c>
      <c r="I183" s="62">
        <f>IFERROR(VLOOKUP(B183,Tableau5[#All],5,FALSE),"Matricule!")</f>
        <v>19</v>
      </c>
      <c r="J183" s="62">
        <f>IFERROR(VLOOKUP(B183,Tableau5[#All],6,FALSE),"Matricule!")</f>
        <v>1</v>
      </c>
      <c r="K183" s="62">
        <f>IFERROR(VLOOKUP(B183,Tableau5[#All],7,FALSE),"Matricule!")</f>
        <v>0</v>
      </c>
      <c r="L183" s="62" t="e">
        <f>VLOOKUP(Tableau242[[#This Row],[Company number]],#REF!,25,FALSE)</f>
        <v>#REF!</v>
      </c>
      <c r="M183" s="62" t="str">
        <f>IFERROR(VLOOKUP(Tableau242[[#This Row],[Company number]],#REF!,30,FALSE),"")</f>
        <v/>
      </c>
      <c r="N183" s="62" t="str">
        <f>IFERROR(VLOOKUP(Tableau242[[#This Row],[Company number]],#REF!,31,FALSE),"")</f>
        <v/>
      </c>
      <c r="O183" s="62" t="str">
        <f>IFERROR(VLOOKUP(Tableau242[[#This Row],[Company number]],#REF!,32,FALSE),"")</f>
        <v/>
      </c>
      <c r="P183" s="62">
        <f>IFERROR(VLOOKUP(B183,Tableau3[#All],5,FALSE),"Matricule!")</f>
        <v>0</v>
      </c>
      <c r="Q183" s="62">
        <f>IFERROR(SUM(VLOOKUP(B183,Tableau3[#All],6,FALSE),VLOOKUP(B183,Tableau3[#All],8,FALSE)),"Matricule!")</f>
        <v>19</v>
      </c>
      <c r="R183" s="62">
        <f>IFERROR(VLOOKUP(B183,Tableau3[#All],7,FALSE),"Matricule!")</f>
        <v>1</v>
      </c>
      <c r="S183" s="62">
        <f>IFERROR(Tableau242[[#This Row],[Prod. days WK]]-Tableau242[[#This Row],[Prod PXX]],"Matricule")</f>
        <v>0</v>
      </c>
      <c r="T183" s="62">
        <f>IFERROR(Tableau242[[#This Row],[Non prod. days WK]]-Tableau242[[#This Row],[Improd PXX]],"Matricule")</f>
        <v>0</v>
      </c>
      <c r="U183" s="62">
        <f>IFERROR(Tableau242[[#This Row],[Paid leave days WK]]-Tableau242[[#This Row],[Congé PXX]],"Matricule")</f>
        <v>0</v>
      </c>
      <c r="V183" s="63">
        <f>IFERROR(VLOOKUP($B183,#REF!,4,FALSE),0)</f>
        <v>0</v>
      </c>
      <c r="W18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83" s="63">
        <f>IF(AND(Tableau242[[#This Row],[Paid leave days]]&gt;0,Tableau242[[#This Row],[Prod. days]]&lt;0),MIN(Tableau242[[#This Row],[Paid leave days]],-Tableau242[[#This Row],[Prod. days]]),0)</f>
        <v>0</v>
      </c>
      <c r="Z183" s="63">
        <f>IFERROR(_xlfn.XLOOKUP(Tableau242[[#This Row],[Consultant]],Tableau2[Collaborateur/Nom affiché],Tableau2[Montant imputé],0),0)</f>
        <v>0</v>
      </c>
      <c r="AA183" s="64">
        <f t="shared" si="3"/>
        <v>0</v>
      </c>
      <c r="AB183" s="65" t="s">
        <v>154</v>
      </c>
      <c r="AC183" s="74"/>
      <c r="AD183" s="66"/>
      <c r="AE183" s="105"/>
      <c r="AF183" s="90"/>
    </row>
    <row r="184" spans="1:32">
      <c r="A184" s="15">
        <f>Tableau242[[#This Row],[Company number]]+0</f>
        <v>11166</v>
      </c>
      <c r="B184" s="60" t="s">
        <v>503</v>
      </c>
      <c r="C184" s="61" t="s">
        <v>504</v>
      </c>
      <c r="D184" s="61" t="s">
        <v>4</v>
      </c>
      <c r="E184" s="62" t="str">
        <f>IFERROR(VLOOKUP(Tableau242[[#This Row],[Manager ou CDM concerné]],Parametres!B:C,2,FALSE),"")</f>
        <v>Squad A</v>
      </c>
      <c r="F184" s="62" t="str">
        <f>IF(Tableau242[[#This Row],[Consultant]]=Tableau242[[#This Row],[Manager ou CDM concerné]],"Non",IF(IFERROR(VLOOKUP(Tableau242[[#This Row],[Consultant]],Parametres!B:C,2,FALSE),0)=0,"Non","Oui"))</f>
        <v>Non</v>
      </c>
      <c r="G184" s="62">
        <f>IFERROR(VLOOKUP(B184,Tableau5[#All],4,FALSE),"Matricule!")</f>
        <v>16.5</v>
      </c>
      <c r="H184" s="62" t="str">
        <f>IFERROR(VLOOKUP(Tableau242[[#This Row],[Company number]],#REF!,6,FALSE),"")</f>
        <v/>
      </c>
      <c r="I184" s="62">
        <f>IFERROR(VLOOKUP(B184,Tableau5[#All],5,FALSE),"Matricule!")</f>
        <v>0</v>
      </c>
      <c r="J184" s="62">
        <f>IFERROR(VLOOKUP(B184,Tableau5[#All],6,FALSE),"Matricule!")</f>
        <v>3.5</v>
      </c>
      <c r="K184" s="62">
        <f>IFERROR(VLOOKUP(B184,Tableau5[#All],7,FALSE),"Matricule!")</f>
        <v>0</v>
      </c>
      <c r="L184" s="62" t="e">
        <f>VLOOKUP(Tableau242[[#This Row],[Company number]],#REF!,25,FALSE)</f>
        <v>#REF!</v>
      </c>
      <c r="M184" s="62" t="str">
        <f>IFERROR(VLOOKUP(Tableau242[[#This Row],[Company number]],#REF!,30,FALSE),"")</f>
        <v/>
      </c>
      <c r="N184" s="62" t="str">
        <f>IFERROR(VLOOKUP(Tableau242[[#This Row],[Company number]],#REF!,31,FALSE),"")</f>
        <v/>
      </c>
      <c r="O184" s="62" t="str">
        <f>IFERROR(VLOOKUP(Tableau242[[#This Row],[Company number]],#REF!,32,FALSE),"")</f>
        <v/>
      </c>
      <c r="P184" s="62">
        <f>IFERROR(VLOOKUP(B184,Tableau3[#All],5,FALSE),"Matricule!")</f>
        <v>16.5</v>
      </c>
      <c r="Q184" s="62">
        <f>IFERROR(SUM(VLOOKUP(B184,Tableau3[#All],6,FALSE),VLOOKUP(B184,Tableau3[#All],8,FALSE)),"Matricule!")</f>
        <v>0</v>
      </c>
      <c r="R184" s="62">
        <f>IFERROR(VLOOKUP(B184,Tableau3[#All],7,FALSE),"Matricule!")</f>
        <v>3.5</v>
      </c>
      <c r="S184" s="62">
        <f>IFERROR(Tableau242[[#This Row],[Prod. days WK]]-Tableau242[[#This Row],[Prod PXX]],"Matricule")</f>
        <v>0</v>
      </c>
      <c r="T184" s="62">
        <f>IFERROR(Tableau242[[#This Row],[Non prod. days WK]]-Tableau242[[#This Row],[Improd PXX]],"Matricule")</f>
        <v>0</v>
      </c>
      <c r="U184" s="62">
        <f>IFERROR(Tableau242[[#This Row],[Paid leave days WK]]-Tableau242[[#This Row],[Congé PXX]],"Matricule")</f>
        <v>0</v>
      </c>
      <c r="V184" s="63">
        <f>IFERROR(VLOOKUP($B184,#REF!,4,FALSE),0)</f>
        <v>0</v>
      </c>
      <c r="W18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84" s="63">
        <f>IF(AND(Tableau242[[#This Row],[Paid leave days]]&gt;0,Tableau242[[#This Row],[Prod. days]]&lt;0),MIN(Tableau242[[#This Row],[Paid leave days]],-Tableau242[[#This Row],[Prod. days]]),0)</f>
        <v>0</v>
      </c>
      <c r="Z184" s="63">
        <f>IFERROR(_xlfn.XLOOKUP(Tableau242[[#This Row],[Consultant]],Tableau2[Collaborateur/Nom affiché],Tableau2[Montant imputé],0),0)</f>
        <v>0</v>
      </c>
      <c r="AA184" s="64">
        <f t="shared" si="3"/>
        <v>0</v>
      </c>
      <c r="AB184" s="65"/>
      <c r="AC184" s="66"/>
      <c r="AD184" s="66"/>
      <c r="AE184" s="105"/>
      <c r="AF184" s="90"/>
    </row>
    <row r="185" spans="1:32">
      <c r="A185" s="15">
        <f>Tableau242[[#This Row],[Company number]]+0</f>
        <v>17615</v>
      </c>
      <c r="B185" s="60" t="s">
        <v>505</v>
      </c>
      <c r="C185" s="61" t="s">
        <v>506</v>
      </c>
      <c r="D185" s="61" t="s">
        <v>4</v>
      </c>
      <c r="E185" s="62" t="str">
        <f>IFERROR(VLOOKUP(Tableau242[[#This Row],[Manager ou CDM concerné]],Parametres!B:C,2,FALSE),"")</f>
        <v>Squad A</v>
      </c>
      <c r="F185" s="62" t="str">
        <f>IF(Tableau242[[#This Row],[Consultant]]=Tableau242[[#This Row],[Manager ou CDM concerné]],"Non",IF(IFERROR(VLOOKUP(Tableau242[[#This Row],[Consultant]],Parametres!B:C,2,FALSE),0)=0,"Non","Oui"))</f>
        <v>Non</v>
      </c>
      <c r="G185" s="62">
        <f>IFERROR(VLOOKUP(B185,Tableau5[#All],4,FALSE),"Matricule!")</f>
        <v>20</v>
      </c>
      <c r="H185" s="62" t="str">
        <f>IFERROR(VLOOKUP(Tableau242[[#This Row],[Company number]],#REF!,6,FALSE),"")</f>
        <v/>
      </c>
      <c r="I185" s="62">
        <f>IFERROR(VLOOKUP(B185,Tableau5[#All],5,FALSE),"Matricule!")</f>
        <v>0</v>
      </c>
      <c r="J185" s="62">
        <f>IFERROR(VLOOKUP(B185,Tableau5[#All],6,FALSE),"Matricule!")</f>
        <v>0</v>
      </c>
      <c r="K185" s="62">
        <f>IFERROR(VLOOKUP(B185,Tableau5[#All],7,FALSE),"Matricule!")</f>
        <v>0</v>
      </c>
      <c r="L185" s="62" t="e">
        <f>VLOOKUP(Tableau242[[#This Row],[Company number]],#REF!,25,FALSE)</f>
        <v>#REF!</v>
      </c>
      <c r="M185" s="62" t="str">
        <f>IFERROR(VLOOKUP(Tableau242[[#This Row],[Company number]],#REF!,30,FALSE),"")</f>
        <v/>
      </c>
      <c r="N185" s="62" t="str">
        <f>IFERROR(VLOOKUP(Tableau242[[#This Row],[Company number]],#REF!,31,FALSE),"")</f>
        <v/>
      </c>
      <c r="O185" s="62" t="str">
        <f>IFERROR(VLOOKUP(Tableau242[[#This Row],[Company number]],#REF!,32,FALSE),"")</f>
        <v/>
      </c>
      <c r="P185" s="62">
        <f>IFERROR(VLOOKUP(B185,Tableau3[#All],5,FALSE),"Matricule!")</f>
        <v>20</v>
      </c>
      <c r="Q185" s="62">
        <f>IFERROR(SUM(VLOOKUP(B185,Tableau3[#All],6,FALSE),VLOOKUP(B185,Tableau3[#All],8,FALSE)),"Matricule!")</f>
        <v>0</v>
      </c>
      <c r="R185" s="62">
        <f>IFERROR(VLOOKUP(B185,Tableau3[#All],7,FALSE),"Matricule!")</f>
        <v>0</v>
      </c>
      <c r="S185" s="62">
        <f>IFERROR(Tableau242[[#This Row],[Prod. days WK]]-Tableau242[[#This Row],[Prod PXX]],"Matricule")</f>
        <v>0</v>
      </c>
      <c r="T185" s="62">
        <f>IFERROR(Tableau242[[#This Row],[Non prod. days WK]]-Tableau242[[#This Row],[Improd PXX]],"Matricule")</f>
        <v>0</v>
      </c>
      <c r="U185" s="62">
        <f>IFERROR(Tableau242[[#This Row],[Paid leave days WK]]-Tableau242[[#This Row],[Congé PXX]],"Matricule")</f>
        <v>0</v>
      </c>
      <c r="V185" s="63">
        <f>IFERROR(VLOOKUP($B185,#REF!,4,FALSE),0)</f>
        <v>0</v>
      </c>
      <c r="W18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85" s="63">
        <f>IF(AND(Tableau242[[#This Row],[Paid leave days]]&gt;0,Tableau242[[#This Row],[Prod. days]]&lt;0),MIN(Tableau242[[#This Row],[Paid leave days]],-Tableau242[[#This Row],[Prod. days]]),0)</f>
        <v>0</v>
      </c>
      <c r="Z185" s="63">
        <f>IFERROR(_xlfn.XLOOKUP(Tableau242[[#This Row],[Consultant]],Tableau2[Collaborateur/Nom affiché],Tableau2[Montant imputé],0),0)</f>
        <v>0</v>
      </c>
      <c r="AA185" s="64">
        <f t="shared" si="3"/>
        <v>0</v>
      </c>
      <c r="AB185" s="65"/>
      <c r="AC185" s="67"/>
      <c r="AD185" s="66"/>
      <c r="AE185" s="105"/>
      <c r="AF185" s="93"/>
    </row>
    <row r="186" spans="1:32" ht="14.45" customHeight="1">
      <c r="A186" s="15">
        <f>Tableau242[[#This Row],[Company number]]+0</f>
        <v>4891</v>
      </c>
      <c r="B186" s="60" t="s">
        <v>507</v>
      </c>
      <c r="C186" s="61" t="s">
        <v>508</v>
      </c>
      <c r="D186" s="61" t="s">
        <v>30</v>
      </c>
      <c r="E186" s="62" t="str">
        <f>IFERROR(VLOOKUP(Tableau242[[#This Row],[Manager ou CDM concerné]],Parametres!B:C,2,FALSE),"")</f>
        <v>Squad E</v>
      </c>
      <c r="F186" s="62" t="str">
        <f>IF(Tableau242[[#This Row],[Consultant]]=Tableau242[[#This Row],[Manager ou CDM concerné]],"Non",IF(IFERROR(VLOOKUP(Tableau242[[#This Row],[Consultant]],Parametres!B:C,2,FALSE),0)=0,"Non","Oui"))</f>
        <v>Non</v>
      </c>
      <c r="G186" s="62">
        <f>IFERROR(VLOOKUP(B186,Tableau5[#All],4,FALSE),"Matricule!")</f>
        <v>13</v>
      </c>
      <c r="H186" s="62" t="str">
        <f>IFERROR(VLOOKUP(Tableau242[[#This Row],[Company number]],#REF!,6,FALSE),"")</f>
        <v/>
      </c>
      <c r="I186" s="62">
        <f>IFERROR(VLOOKUP(B186,Tableau5[#All],5,FALSE),"Matricule!")</f>
        <v>4.5</v>
      </c>
      <c r="J186" s="62">
        <f>IFERROR(VLOOKUP(B186,Tableau5[#All],6,FALSE),"Matricule!")</f>
        <v>1</v>
      </c>
      <c r="K186" s="62">
        <f>IFERROR(VLOOKUP(B186,Tableau5[#All],7,FALSE),"Matricule!")</f>
        <v>1.5</v>
      </c>
      <c r="L186" s="62" t="e">
        <f>VLOOKUP(Tableau242[[#This Row],[Company number]],#REF!,25,FALSE)</f>
        <v>#REF!</v>
      </c>
      <c r="M186" s="62" t="str">
        <f>IFERROR(VLOOKUP(Tableau242[[#This Row],[Company number]],#REF!,30,FALSE),"")</f>
        <v/>
      </c>
      <c r="N186" s="62" t="str">
        <f>IFERROR(VLOOKUP(Tableau242[[#This Row],[Company number]],#REF!,31,FALSE),"")</f>
        <v/>
      </c>
      <c r="O186" s="62" t="str">
        <f>IFERROR(VLOOKUP(Tableau242[[#This Row],[Company number]],#REF!,32,FALSE),"")</f>
        <v/>
      </c>
      <c r="P186" s="62">
        <f>IFERROR(VLOOKUP(B186,Tableau3[#All],5,FALSE),"Matricule!")</f>
        <v>16</v>
      </c>
      <c r="Q186" s="62">
        <f>IFERROR(SUM(VLOOKUP(B186,Tableau3[#All],6,FALSE),VLOOKUP(B186,Tableau3[#All],8,FALSE)),"Matricule!")</f>
        <v>2</v>
      </c>
      <c r="R186" s="62">
        <f>IFERROR(VLOOKUP(B186,Tableau3[#All],7,FALSE),"Matricule!")</f>
        <v>2</v>
      </c>
      <c r="S186" s="62">
        <f>IFERROR(Tableau242[[#This Row],[Prod. days WK]]-Tableau242[[#This Row],[Prod PXX]],"Matricule")</f>
        <v>-3</v>
      </c>
      <c r="T186" s="62">
        <f>IFERROR(Tableau242[[#This Row],[Non prod. days WK]]-Tableau242[[#This Row],[Improd PXX]],"Matricule")</f>
        <v>2.5</v>
      </c>
      <c r="U186" s="62">
        <f>IFERROR(Tableau242[[#This Row],[Paid leave days WK]]-Tableau242[[#This Row],[Congé PXX]],"Matricule")</f>
        <v>-1</v>
      </c>
      <c r="V186" s="63">
        <f>IFERROR(VLOOKUP($B186,#REF!,4,FALSE),0)</f>
        <v>0</v>
      </c>
      <c r="W18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86" s="63">
        <f>IF(AND(Tableau242[[#This Row],[Paid leave days]]&gt;0,Tableau242[[#This Row],[Prod. days]]&lt;0),MIN(Tableau242[[#This Row],[Paid leave days]],-Tableau242[[#This Row],[Prod. days]]),0)</f>
        <v>0</v>
      </c>
      <c r="Z186" s="63">
        <f>IFERROR(_xlfn.XLOOKUP(Tableau242[[#This Row],[Consultant]],Tableau2[Collaborateur/Nom affiché],Tableau2[Montant imputé],0),0)</f>
        <v>0</v>
      </c>
      <c r="AA186" s="64">
        <f t="shared" si="3"/>
        <v>-3</v>
      </c>
      <c r="AB186" s="78" t="s">
        <v>165</v>
      </c>
      <c r="AC186" s="66">
        <v>3</v>
      </c>
      <c r="AD186" s="66">
        <v>1.5</v>
      </c>
      <c r="AE186" s="105"/>
      <c r="AF186" s="90" t="s">
        <v>509</v>
      </c>
    </row>
    <row r="187" spans="1:32">
      <c r="A187" s="15">
        <f>Tableau242[[#This Row],[Company number]]+0</f>
        <v>15137</v>
      </c>
      <c r="B187" s="60" t="s">
        <v>510</v>
      </c>
      <c r="C187" s="61" t="s">
        <v>511</v>
      </c>
      <c r="D187" s="61" t="s">
        <v>4</v>
      </c>
      <c r="E187" s="62" t="str">
        <f>IFERROR(VLOOKUP(Tableau242[[#This Row],[Manager ou CDM concerné]],Parametres!B:C,2,FALSE),"")</f>
        <v>Squad A</v>
      </c>
      <c r="F187" s="62" t="str">
        <f>IF(Tableau242[[#This Row],[Consultant]]=Tableau242[[#This Row],[Manager ou CDM concerné]],"Non",IF(IFERROR(VLOOKUP(Tableau242[[#This Row],[Consultant]],Parametres!B:C,2,FALSE),0)=0,"Non","Oui"))</f>
        <v>Non</v>
      </c>
      <c r="G187" s="62">
        <f>IFERROR(VLOOKUP(B187,Tableau5[#All],4,FALSE),"Matricule!")</f>
        <v>0</v>
      </c>
      <c r="H187" s="62" t="str">
        <f>IFERROR(VLOOKUP(Tableau242[[#This Row],[Company number]],#REF!,6,FALSE),"")</f>
        <v/>
      </c>
      <c r="I187" s="62">
        <f>IFERROR(VLOOKUP(B187,Tableau5[#All],5,FALSE),"Matricule!")</f>
        <v>7</v>
      </c>
      <c r="J187" s="62">
        <f>IFERROR(VLOOKUP(B187,Tableau5[#All],6,FALSE),"Matricule!")</f>
        <v>0</v>
      </c>
      <c r="K187" s="62">
        <f>IFERROR(VLOOKUP(B187,Tableau5[#All],7,FALSE),"Matricule!")</f>
        <v>13</v>
      </c>
      <c r="L187" s="62" t="e">
        <f>VLOOKUP(Tableau242[[#This Row],[Company number]],#REF!,25,FALSE)</f>
        <v>#REF!</v>
      </c>
      <c r="M187" s="62" t="str">
        <f>IFERROR(VLOOKUP(Tableau242[[#This Row],[Company number]],#REF!,30,FALSE),"")</f>
        <v/>
      </c>
      <c r="N187" s="62" t="str">
        <f>IFERROR(VLOOKUP(Tableau242[[#This Row],[Company number]],#REF!,31,FALSE),"")</f>
        <v/>
      </c>
      <c r="O187" s="62" t="str">
        <f>IFERROR(VLOOKUP(Tableau242[[#This Row],[Company number]],#REF!,32,FALSE),"")</f>
        <v/>
      </c>
      <c r="P187" s="62">
        <f>IFERROR(VLOOKUP(B187,Tableau3[#All],5,FALSE),"Matricule!")</f>
        <v>0</v>
      </c>
      <c r="Q187" s="62">
        <f>IFERROR(SUM(VLOOKUP(B187,Tableau3[#All],6,FALSE),VLOOKUP(B187,Tableau3[#All],8,FALSE)),"Matricule!")</f>
        <v>7</v>
      </c>
      <c r="R187" s="62">
        <f>IFERROR(VLOOKUP(B187,Tableau3[#All],7,FALSE),"Matricule!")</f>
        <v>0</v>
      </c>
      <c r="S187" s="62">
        <f>IFERROR(Tableau242[[#This Row],[Prod. days WK]]-Tableau242[[#This Row],[Prod PXX]],"Matricule")</f>
        <v>0</v>
      </c>
      <c r="T187" s="62">
        <f>IFERROR(Tableau242[[#This Row],[Non prod. days WK]]-Tableau242[[#This Row],[Improd PXX]],"Matricule")</f>
        <v>0</v>
      </c>
      <c r="U187" s="62">
        <f>IFERROR(Tableau242[[#This Row],[Paid leave days WK]]-Tableau242[[#This Row],[Congé PXX]],"Matricule")</f>
        <v>0</v>
      </c>
      <c r="V187" s="63">
        <f>IFERROR(VLOOKUP($B187,#REF!,4,FALSE),0)</f>
        <v>0</v>
      </c>
      <c r="W18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87" s="63">
        <f>IF(AND(Tableau242[[#This Row],[Paid leave days]]&gt;0,Tableau242[[#This Row],[Prod. days]]&lt;0),MIN(Tableau242[[#This Row],[Paid leave days]],-Tableau242[[#This Row],[Prod. days]]),0)</f>
        <v>0</v>
      </c>
      <c r="Z187" s="63">
        <f>IFERROR(_xlfn.XLOOKUP(Tableau242[[#This Row],[Consultant]],Tableau2[Collaborateur/Nom affiché],Tableau2[Montant imputé],0),0)</f>
        <v>0</v>
      </c>
      <c r="AA187" s="64">
        <f t="shared" si="3"/>
        <v>0</v>
      </c>
      <c r="AB187" s="65"/>
      <c r="AC187" s="66"/>
      <c r="AD187" s="66"/>
      <c r="AE187" s="105"/>
      <c r="AF187" s="90"/>
    </row>
    <row r="188" spans="1:32">
      <c r="A188" s="15">
        <f>Tableau242[[#This Row],[Company number]]+0</f>
        <v>17828</v>
      </c>
      <c r="B188" s="60" t="s">
        <v>512</v>
      </c>
      <c r="C188" s="61" t="s">
        <v>513</v>
      </c>
      <c r="D188" s="61" t="s">
        <v>12</v>
      </c>
      <c r="E188" s="62" t="str">
        <f>IFERROR(VLOOKUP(Tableau242[[#This Row],[Manager ou CDM concerné]],Parametres!B:C,2,FALSE),"")</f>
        <v>Squad B</v>
      </c>
      <c r="F188" s="62" t="str">
        <f>IF(Tableau242[[#This Row],[Consultant]]=Tableau242[[#This Row],[Manager ou CDM concerné]],"Non",IF(IFERROR(VLOOKUP(Tableau242[[#This Row],[Consultant]],Parametres!B:C,2,FALSE),0)=0,"Non","Oui"))</f>
        <v>Non</v>
      </c>
      <c r="G188" s="62">
        <f>IFERROR(VLOOKUP(B188,Tableau5[#All],4,FALSE),"Matricule!")</f>
        <v>17</v>
      </c>
      <c r="H188" s="62" t="str">
        <f>IFERROR(VLOOKUP(Tableau242[[#This Row],[Company number]],#REF!,6,FALSE),"")</f>
        <v/>
      </c>
      <c r="I188" s="62">
        <f>IFERROR(VLOOKUP(B188,Tableau5[#All],5,FALSE),"Matricule!")</f>
        <v>3</v>
      </c>
      <c r="J188" s="62">
        <f>IFERROR(VLOOKUP(B188,Tableau5[#All],6,FALSE),"Matricule!")</f>
        <v>0</v>
      </c>
      <c r="K188" s="62">
        <f>IFERROR(VLOOKUP(B188,Tableau5[#All],7,FALSE),"Matricule!")</f>
        <v>0</v>
      </c>
      <c r="L188" s="62" t="e">
        <f>VLOOKUP(Tableau242[[#This Row],[Company number]],#REF!,25,FALSE)</f>
        <v>#REF!</v>
      </c>
      <c r="M188" s="62" t="str">
        <f>IFERROR(VLOOKUP(Tableau242[[#This Row],[Company number]],#REF!,30,FALSE),"")</f>
        <v/>
      </c>
      <c r="N188" s="62" t="str">
        <f>IFERROR(VLOOKUP(Tableau242[[#This Row],[Company number]],#REF!,31,FALSE),"")</f>
        <v/>
      </c>
      <c r="O188" s="62" t="str">
        <f>IFERROR(VLOOKUP(Tableau242[[#This Row],[Company number]],#REF!,32,FALSE),"")</f>
        <v/>
      </c>
      <c r="P188" s="62">
        <f>IFERROR(VLOOKUP(B188,Tableau3[#All],5,FALSE),"Matricule!")</f>
        <v>20</v>
      </c>
      <c r="Q188" s="62">
        <f>IFERROR(SUM(VLOOKUP(B188,Tableau3[#All],6,FALSE),VLOOKUP(B188,Tableau3[#All],8,FALSE)),"Matricule!")</f>
        <v>0</v>
      </c>
      <c r="R188" s="62">
        <f>IFERROR(VLOOKUP(B188,Tableau3[#All],7,FALSE),"Matricule!")</f>
        <v>0</v>
      </c>
      <c r="S188" s="62">
        <f>IFERROR(Tableau242[[#This Row],[Prod. days WK]]-Tableau242[[#This Row],[Prod PXX]],"Matricule")</f>
        <v>-3</v>
      </c>
      <c r="T188" s="62">
        <f>IFERROR(Tableau242[[#This Row],[Non prod. days WK]]-Tableau242[[#This Row],[Improd PXX]],"Matricule")</f>
        <v>3</v>
      </c>
      <c r="U188" s="62">
        <f>IFERROR(Tableau242[[#This Row],[Paid leave days WK]]-Tableau242[[#This Row],[Congé PXX]],"Matricule")</f>
        <v>0</v>
      </c>
      <c r="V188" s="63">
        <f>IFERROR(VLOOKUP($B188,#REF!,4,FALSE),0)</f>
        <v>0</v>
      </c>
      <c r="W18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88" s="63">
        <f>IF(AND(Tableau242[[#This Row],[Paid leave days]]&gt;0,Tableau242[[#This Row],[Prod. days]]&lt;0),MIN(Tableau242[[#This Row],[Paid leave days]],-Tableau242[[#This Row],[Prod. days]]),0)</f>
        <v>0</v>
      </c>
      <c r="Z188" s="63">
        <f>IFERROR(_xlfn.XLOOKUP(Tableau242[[#This Row],[Consultant]],Tableau2[Collaborateur/Nom affiché],Tableau2[Montant imputé],0),0)</f>
        <v>0</v>
      </c>
      <c r="AA188" s="64">
        <f t="shared" si="3"/>
        <v>-3</v>
      </c>
      <c r="AB188" s="65" t="s">
        <v>154</v>
      </c>
      <c r="AC188" s="66"/>
      <c r="AD188" s="66"/>
      <c r="AE188" s="105"/>
      <c r="AF188" s="90"/>
    </row>
    <row r="189" spans="1:32">
      <c r="A189" s="15">
        <f>Tableau242[[#This Row],[Company number]]+0</f>
        <v>13984</v>
      </c>
      <c r="B189" s="60" t="s">
        <v>514</v>
      </c>
      <c r="C189" s="61" t="s">
        <v>515</v>
      </c>
      <c r="D189" s="61" t="s">
        <v>4</v>
      </c>
      <c r="E189" s="62" t="str">
        <f>IFERROR(VLOOKUP(Tableau242[[#This Row],[Manager ou CDM concerné]],Parametres!B:C,2,FALSE),"")</f>
        <v>Squad A</v>
      </c>
      <c r="F189" s="62" t="str">
        <f>IF(Tableau242[[#This Row],[Consultant]]=Tableau242[[#This Row],[Manager ou CDM concerné]],"Non",IF(IFERROR(VLOOKUP(Tableau242[[#This Row],[Consultant]],Parametres!B:C,2,FALSE),0)=0,"Non","Oui"))</f>
        <v>Non</v>
      </c>
      <c r="G189" s="62">
        <f>IFERROR(VLOOKUP(B189,Tableau5[#All],4,FALSE),"Matricule!")</f>
        <v>20</v>
      </c>
      <c r="H189" s="62" t="str">
        <f>IFERROR(VLOOKUP(Tableau242[[#This Row],[Company number]],#REF!,6,FALSE),"")</f>
        <v/>
      </c>
      <c r="I189" s="62">
        <f>IFERROR(VLOOKUP(B189,Tableau5[#All],5,FALSE),"Matricule!")</f>
        <v>0</v>
      </c>
      <c r="J189" s="62">
        <f>IFERROR(VLOOKUP(B189,Tableau5[#All],6,FALSE),"Matricule!")</f>
        <v>0</v>
      </c>
      <c r="K189" s="62">
        <f>IFERROR(VLOOKUP(B189,Tableau5[#All],7,FALSE),"Matricule!")</f>
        <v>0</v>
      </c>
      <c r="L189" s="62" t="e">
        <f>VLOOKUP(Tableau242[[#This Row],[Company number]],#REF!,25,FALSE)</f>
        <v>#REF!</v>
      </c>
      <c r="M189" s="62" t="str">
        <f>IFERROR(VLOOKUP(Tableau242[[#This Row],[Company number]],#REF!,30,FALSE),"")</f>
        <v/>
      </c>
      <c r="N189" s="62" t="str">
        <f>IFERROR(VLOOKUP(Tableau242[[#This Row],[Company number]],#REF!,31,FALSE),"")</f>
        <v/>
      </c>
      <c r="O189" s="62" t="str">
        <f>IFERROR(VLOOKUP(Tableau242[[#This Row],[Company number]],#REF!,32,FALSE),"")</f>
        <v/>
      </c>
      <c r="P189" s="62">
        <f>IFERROR(VLOOKUP(B189,Tableau3[#All],5,FALSE),"Matricule!")</f>
        <v>20</v>
      </c>
      <c r="Q189" s="62">
        <f>IFERROR(SUM(VLOOKUP(B189,Tableau3[#All],6,FALSE),VLOOKUP(B189,Tableau3[#All],8,FALSE)),"Matricule!")</f>
        <v>0</v>
      </c>
      <c r="R189" s="62">
        <f>IFERROR(VLOOKUP(B189,Tableau3[#All],7,FALSE),"Matricule!")</f>
        <v>0</v>
      </c>
      <c r="S189" s="62">
        <f>IFERROR(Tableau242[[#This Row],[Prod. days WK]]-Tableau242[[#This Row],[Prod PXX]],"Matricule")</f>
        <v>0</v>
      </c>
      <c r="T189" s="62">
        <f>IFERROR(Tableau242[[#This Row],[Non prod. days WK]]-Tableau242[[#This Row],[Improd PXX]],"Matricule")</f>
        <v>0</v>
      </c>
      <c r="U189" s="62">
        <f>IFERROR(Tableau242[[#This Row],[Paid leave days WK]]-Tableau242[[#This Row],[Congé PXX]],"Matricule")</f>
        <v>0</v>
      </c>
      <c r="V189" s="63">
        <f>IFERROR(VLOOKUP($B189,#REF!,4,FALSE),0)</f>
        <v>0</v>
      </c>
      <c r="W18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8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89" s="63">
        <f>IF(AND(Tableau242[[#This Row],[Paid leave days]]&gt;0,Tableau242[[#This Row],[Prod. days]]&lt;0),MIN(Tableau242[[#This Row],[Paid leave days]],-Tableau242[[#This Row],[Prod. days]]),0)</f>
        <v>0</v>
      </c>
      <c r="Z189" s="63">
        <f>IFERROR(_xlfn.XLOOKUP(Tableau242[[#This Row],[Consultant]],Tableau2[Collaborateur/Nom affiché],Tableau2[Montant imputé],0),0)</f>
        <v>0</v>
      </c>
      <c r="AA189" s="64">
        <f t="shared" si="3"/>
        <v>0</v>
      </c>
      <c r="AB189" s="65"/>
      <c r="AC189" s="66"/>
      <c r="AD189" s="66"/>
      <c r="AE189" s="105"/>
      <c r="AF189" s="90"/>
    </row>
    <row r="190" spans="1:32">
      <c r="A190" s="15">
        <f>Tableau242[[#This Row],[Company number]]+0</f>
        <v>21446</v>
      </c>
      <c r="B190" s="60" t="s">
        <v>516</v>
      </c>
      <c r="C190" s="61" t="s">
        <v>517</v>
      </c>
      <c r="D190" s="61" t="s">
        <v>57</v>
      </c>
      <c r="E190" s="62" t="str">
        <f>IFERROR(VLOOKUP(Tableau242[[#This Row],[Manager ou CDM concerné]],Parametres!B:C,2,FALSE),"")</f>
        <v>Squad C</v>
      </c>
      <c r="F190" s="62" t="str">
        <f>IF(Tableau242[[#This Row],[Consultant]]=Tableau242[[#This Row],[Manager ou CDM concerné]],"Non",IF(IFERROR(VLOOKUP(Tableau242[[#This Row],[Consultant]],Parametres!B:C,2,FALSE),0)=0,"Non","Oui"))</f>
        <v>Non</v>
      </c>
      <c r="G190" s="62">
        <f>IFERROR(VLOOKUP(B190,Tableau5[#All],4,FALSE),"Matricule!")</f>
        <v>17</v>
      </c>
      <c r="H190" s="62" t="str">
        <f>IFERROR(VLOOKUP(Tableau242[[#This Row],[Company number]],#REF!,6,FALSE),"")</f>
        <v/>
      </c>
      <c r="I190" s="62">
        <f>IFERROR(VLOOKUP(B190,Tableau5[#All],5,FALSE),"Matricule!")</f>
        <v>3</v>
      </c>
      <c r="J190" s="62">
        <f>IFERROR(VLOOKUP(B190,Tableau5[#All],6,FALSE),"Matricule!")</f>
        <v>0</v>
      </c>
      <c r="K190" s="62">
        <f>IFERROR(VLOOKUP(B190,Tableau5[#All],7,FALSE),"Matricule!")</f>
        <v>0</v>
      </c>
      <c r="L190" s="62" t="e">
        <f>VLOOKUP(Tableau242[[#This Row],[Company number]],#REF!,25,FALSE)</f>
        <v>#REF!</v>
      </c>
      <c r="M190" s="62" t="str">
        <f>IFERROR(VLOOKUP(Tableau242[[#This Row],[Company number]],#REF!,30,FALSE),"")</f>
        <v/>
      </c>
      <c r="N190" s="62" t="str">
        <f>IFERROR(VLOOKUP(Tableau242[[#This Row],[Company number]],#REF!,31,FALSE),"")</f>
        <v/>
      </c>
      <c r="O190" s="62" t="str">
        <f>IFERROR(VLOOKUP(Tableau242[[#This Row],[Company number]],#REF!,32,FALSE),"")</f>
        <v/>
      </c>
      <c r="P190" s="62">
        <f>IFERROR(VLOOKUP(B190,Tableau3[#All],5,FALSE),"Matricule!")</f>
        <v>20</v>
      </c>
      <c r="Q190" s="62">
        <f>IFERROR(SUM(VLOOKUP(B190,Tableau3[#All],6,FALSE),VLOOKUP(B190,Tableau3[#All],8,FALSE)),"Matricule!")</f>
        <v>0</v>
      </c>
      <c r="R190" s="62">
        <f>IFERROR(VLOOKUP(B190,Tableau3[#All],7,FALSE),"Matricule!")</f>
        <v>0</v>
      </c>
      <c r="S190" s="62">
        <f>IFERROR(Tableau242[[#This Row],[Prod. days WK]]-Tableau242[[#This Row],[Prod PXX]],"Matricule")</f>
        <v>-3</v>
      </c>
      <c r="T190" s="62">
        <f>IFERROR(Tableau242[[#This Row],[Non prod. days WK]]-Tableau242[[#This Row],[Improd PXX]],"Matricule")</f>
        <v>3</v>
      </c>
      <c r="U190" s="62">
        <f>IFERROR(Tableau242[[#This Row],[Paid leave days WK]]-Tableau242[[#This Row],[Congé PXX]],"Matricule")</f>
        <v>0</v>
      </c>
      <c r="V190" s="63">
        <f>IFERROR(VLOOKUP($B190,#REF!,4,FALSE),0)</f>
        <v>0</v>
      </c>
      <c r="W19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90" s="63">
        <f>IF(AND(Tableau242[[#This Row],[Paid leave days]]&gt;0,Tableau242[[#This Row],[Prod. days]]&lt;0),MIN(Tableau242[[#This Row],[Paid leave days]],-Tableau242[[#This Row],[Prod. days]]),0)</f>
        <v>0</v>
      </c>
      <c r="Z190" s="63">
        <f>IFERROR(_xlfn.XLOOKUP(Tableau242[[#This Row],[Consultant]],Tableau2[Collaborateur/Nom affiché],Tableau2[Montant imputé],0),0)</f>
        <v>0</v>
      </c>
      <c r="AA190" s="64">
        <f t="shared" si="3"/>
        <v>-3</v>
      </c>
      <c r="AB190" s="78" t="s">
        <v>165</v>
      </c>
      <c r="AC190" s="67"/>
      <c r="AD190" s="67"/>
      <c r="AE190" s="106"/>
      <c r="AF190" s="92"/>
    </row>
    <row r="191" spans="1:32">
      <c r="A191" s="15">
        <f>Tableau242[[#This Row],[Company number]]+0</f>
        <v>20633</v>
      </c>
      <c r="B191" s="60" t="s">
        <v>518</v>
      </c>
      <c r="C191" s="61" t="s">
        <v>519</v>
      </c>
      <c r="D191" s="61" t="s">
        <v>520</v>
      </c>
      <c r="E191" s="62" t="str">
        <f>IFERROR(VLOOKUP(Tableau242[[#This Row],[Manager ou CDM concerné]],Parametres!B:C,2,FALSE),"")</f>
        <v>Squad E</v>
      </c>
      <c r="F191" s="62" t="str">
        <f>IF(Tableau242[[#This Row],[Consultant]]=Tableau242[[#This Row],[Manager ou CDM concerné]],"Non",IF(IFERROR(VLOOKUP(Tableau242[[#This Row],[Consultant]],Parametres!B:C,2,FALSE),0)=0,"Non","Oui"))</f>
        <v>Non</v>
      </c>
      <c r="G191" s="62">
        <f>IFERROR(VLOOKUP(B191,Tableau5[#All],4,FALSE),"Matricule!")</f>
        <v>8</v>
      </c>
      <c r="H191" s="62" t="str">
        <f>IFERROR(VLOOKUP(Tableau242[[#This Row],[Company number]],#REF!,6,FALSE),"")</f>
        <v/>
      </c>
      <c r="I191" s="62">
        <f>IFERROR(VLOOKUP(B191,Tableau5[#All],5,FALSE),"Matricule!")</f>
        <v>9</v>
      </c>
      <c r="J191" s="62">
        <f>IFERROR(VLOOKUP(B191,Tableau5[#All],6,FALSE),"Matricule!")</f>
        <v>3</v>
      </c>
      <c r="K191" s="62">
        <f>IFERROR(VLOOKUP(B191,Tableau5[#All],7,FALSE),"Matricule!")</f>
        <v>0</v>
      </c>
      <c r="L191" s="62" t="e">
        <f>VLOOKUP(Tableau242[[#This Row],[Company number]],#REF!,25,FALSE)</f>
        <v>#REF!</v>
      </c>
      <c r="M191" s="62" t="str">
        <f>IFERROR(VLOOKUP(Tableau242[[#This Row],[Company number]],#REF!,30,FALSE),"")</f>
        <v/>
      </c>
      <c r="N191" s="62" t="str">
        <f>IFERROR(VLOOKUP(Tableau242[[#This Row],[Company number]],#REF!,31,FALSE),"")</f>
        <v/>
      </c>
      <c r="O191" s="62" t="str">
        <f>IFERROR(VLOOKUP(Tableau242[[#This Row],[Company number]],#REF!,32,FALSE),"")</f>
        <v/>
      </c>
      <c r="P191" s="62">
        <f>IFERROR(VLOOKUP(B191,Tableau3[#All],5,FALSE),"Matricule!")</f>
        <v>11</v>
      </c>
      <c r="Q191" s="62">
        <f>IFERROR(SUM(VLOOKUP(B191,Tableau3[#All],6,FALSE),VLOOKUP(B191,Tableau3[#All],8,FALSE)),"Matricule!")</f>
        <v>6</v>
      </c>
      <c r="R191" s="62">
        <f>IFERROR(VLOOKUP(B191,Tableau3[#All],7,FALSE),"Matricule!")</f>
        <v>3</v>
      </c>
      <c r="S191" s="62">
        <f>IFERROR(Tableau242[[#This Row],[Prod. days WK]]-Tableau242[[#This Row],[Prod PXX]],"Matricule")</f>
        <v>-3</v>
      </c>
      <c r="T191" s="62">
        <f>IFERROR(Tableau242[[#This Row],[Non prod. days WK]]-Tableau242[[#This Row],[Improd PXX]],"Matricule")</f>
        <v>3</v>
      </c>
      <c r="U191" s="62">
        <f>IFERROR(Tableau242[[#This Row],[Paid leave days WK]]-Tableau242[[#This Row],[Congé PXX]],"Matricule")</f>
        <v>0</v>
      </c>
      <c r="V191" s="63">
        <f>IFERROR(VLOOKUP($B191,#REF!,4,FALSE),0)</f>
        <v>0</v>
      </c>
      <c r="W19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91" s="63">
        <f>IF(AND(Tableau242[[#This Row],[Paid leave days]]&gt;0,Tableau242[[#This Row],[Prod. days]]&lt;0),MIN(Tableau242[[#This Row],[Paid leave days]],-Tableau242[[#This Row],[Prod. days]]),0)</f>
        <v>0</v>
      </c>
      <c r="Z191" s="63">
        <f>IFERROR(_xlfn.XLOOKUP(Tableau242[[#This Row],[Consultant]],Tableau2[Collaborateur/Nom affiché],Tableau2[Montant imputé],0),0)</f>
        <v>0</v>
      </c>
      <c r="AA191" s="64">
        <f t="shared" si="3"/>
        <v>-3</v>
      </c>
      <c r="AB191" s="78" t="s">
        <v>147</v>
      </c>
      <c r="AC191" s="66"/>
      <c r="AD191" s="66"/>
      <c r="AE191" s="105"/>
      <c r="AF191" s="90"/>
    </row>
    <row r="192" spans="1:32">
      <c r="A192" s="15">
        <f>Tableau242[[#This Row],[Company number]]+0</f>
        <v>17281</v>
      </c>
      <c r="B192" s="60" t="s">
        <v>521</v>
      </c>
      <c r="C192" s="61" t="s">
        <v>522</v>
      </c>
      <c r="D192" s="61" t="s">
        <v>4</v>
      </c>
      <c r="E192" s="62" t="str">
        <f>IFERROR(VLOOKUP(Tableau242[[#This Row],[Manager ou CDM concerné]],Parametres!B:C,2,FALSE),"")</f>
        <v>Squad A</v>
      </c>
      <c r="F192" s="62" t="str">
        <f>IF(Tableau242[[#This Row],[Consultant]]=Tableau242[[#This Row],[Manager ou CDM concerné]],"Non",IF(IFERROR(VLOOKUP(Tableau242[[#This Row],[Consultant]],Parametres!B:C,2,FALSE),0)=0,"Non","Oui"))</f>
        <v>Non</v>
      </c>
      <c r="G192" s="62">
        <f>IFERROR(VLOOKUP(B192,Tableau5[#All],4,FALSE),"Matricule!")</f>
        <v>19</v>
      </c>
      <c r="H192" s="62" t="str">
        <f>IFERROR(VLOOKUP(Tableau242[[#This Row],[Company number]],#REF!,6,FALSE),"")</f>
        <v/>
      </c>
      <c r="I192" s="62">
        <f>IFERROR(VLOOKUP(B192,Tableau5[#All],5,FALSE),"Matricule!")</f>
        <v>0</v>
      </c>
      <c r="J192" s="62">
        <f>IFERROR(VLOOKUP(B192,Tableau5[#All],6,FALSE),"Matricule!")</f>
        <v>1</v>
      </c>
      <c r="K192" s="62">
        <f>IFERROR(VLOOKUP(B192,Tableau5[#All],7,FALSE),"Matricule!")</f>
        <v>0</v>
      </c>
      <c r="L192" s="62" t="e">
        <f>VLOOKUP(Tableau242[[#This Row],[Company number]],#REF!,25,FALSE)</f>
        <v>#REF!</v>
      </c>
      <c r="M192" s="62" t="str">
        <f>IFERROR(VLOOKUP(Tableau242[[#This Row],[Company number]],#REF!,30,FALSE),"")</f>
        <v/>
      </c>
      <c r="N192" s="62" t="str">
        <f>IFERROR(VLOOKUP(Tableau242[[#This Row],[Company number]],#REF!,31,FALSE),"")</f>
        <v/>
      </c>
      <c r="O192" s="62" t="str">
        <f>IFERROR(VLOOKUP(Tableau242[[#This Row],[Company number]],#REF!,32,FALSE),"")</f>
        <v/>
      </c>
      <c r="P192" s="62">
        <f>IFERROR(VLOOKUP(B192,Tableau3[#All],5,FALSE),"Matricule!")</f>
        <v>19</v>
      </c>
      <c r="Q192" s="62">
        <f>IFERROR(SUM(VLOOKUP(B192,Tableau3[#All],6,FALSE),VLOOKUP(B192,Tableau3[#All],8,FALSE)),"Matricule!")</f>
        <v>0</v>
      </c>
      <c r="R192" s="62">
        <f>IFERROR(VLOOKUP(B192,Tableau3[#All],7,FALSE),"Matricule!")</f>
        <v>1</v>
      </c>
      <c r="S192" s="62">
        <f>IFERROR(Tableau242[[#This Row],[Prod. days WK]]-Tableau242[[#This Row],[Prod PXX]],"Matricule")</f>
        <v>0</v>
      </c>
      <c r="T192" s="62">
        <f>IFERROR(Tableau242[[#This Row],[Non prod. days WK]]-Tableau242[[#This Row],[Improd PXX]],"Matricule")</f>
        <v>0</v>
      </c>
      <c r="U192" s="62">
        <f>IFERROR(Tableau242[[#This Row],[Paid leave days WK]]-Tableau242[[#This Row],[Congé PXX]],"Matricule")</f>
        <v>0</v>
      </c>
      <c r="V192" s="63">
        <f>IFERROR(VLOOKUP($B192,#REF!,4,FALSE),0)</f>
        <v>0</v>
      </c>
      <c r="W19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92" s="63">
        <f>IF(AND(Tableau242[[#This Row],[Paid leave days]]&gt;0,Tableau242[[#This Row],[Prod. days]]&lt;0),MIN(Tableau242[[#This Row],[Paid leave days]],-Tableau242[[#This Row],[Prod. days]]),0)</f>
        <v>0</v>
      </c>
      <c r="Z192" s="63">
        <f>IFERROR(_xlfn.XLOOKUP(Tableau242[[#This Row],[Consultant]],Tableau2[Collaborateur/Nom affiché],Tableau2[Montant imputé],0),0)</f>
        <v>0</v>
      </c>
      <c r="AA192" s="64">
        <f t="shared" si="3"/>
        <v>0</v>
      </c>
      <c r="AB192" s="65"/>
      <c r="AC192" s="66"/>
      <c r="AD192" s="66"/>
      <c r="AE192" s="105"/>
      <c r="AF192" s="90"/>
    </row>
    <row r="193" spans="1:32">
      <c r="A193" s="15">
        <f>Tableau242[[#This Row],[Company number]]+0</f>
        <v>17765</v>
      </c>
      <c r="B193" s="60" t="s">
        <v>523</v>
      </c>
      <c r="C193" s="61" t="s">
        <v>524</v>
      </c>
      <c r="D193" s="61" t="s">
        <v>4</v>
      </c>
      <c r="E193" s="62" t="str">
        <f>IFERROR(VLOOKUP(Tableau242[[#This Row],[Manager ou CDM concerné]],Parametres!B:C,2,FALSE),"")</f>
        <v>Squad A</v>
      </c>
      <c r="F193" s="62" t="str">
        <f>IF(Tableau242[[#This Row],[Consultant]]=Tableau242[[#This Row],[Manager ou CDM concerné]],"Non",IF(IFERROR(VLOOKUP(Tableau242[[#This Row],[Consultant]],Parametres!B:C,2,FALSE),0)=0,"Non","Oui"))</f>
        <v>Non</v>
      </c>
      <c r="G193" s="62">
        <f>IFERROR(VLOOKUP(B193,Tableau5[#All],4,FALSE),"Matricule!")</f>
        <v>16</v>
      </c>
      <c r="H193" s="62" t="str">
        <f>IFERROR(VLOOKUP(Tableau242[[#This Row],[Company number]],#REF!,6,FALSE),"")</f>
        <v/>
      </c>
      <c r="I193" s="62">
        <f>IFERROR(VLOOKUP(B193,Tableau5[#All],5,FALSE),"Matricule!")</f>
        <v>0</v>
      </c>
      <c r="J193" s="62">
        <f>IFERROR(VLOOKUP(B193,Tableau5[#All],6,FALSE),"Matricule!")</f>
        <v>4</v>
      </c>
      <c r="K193" s="62">
        <f>IFERROR(VLOOKUP(B193,Tableau5[#All],7,FALSE),"Matricule!")</f>
        <v>0</v>
      </c>
      <c r="L193" s="62" t="e">
        <f>VLOOKUP(Tableau242[[#This Row],[Company number]],#REF!,25,FALSE)</f>
        <v>#REF!</v>
      </c>
      <c r="M193" s="62" t="str">
        <f>IFERROR(VLOOKUP(Tableau242[[#This Row],[Company number]],#REF!,30,FALSE),"")</f>
        <v/>
      </c>
      <c r="N193" s="62" t="str">
        <f>IFERROR(VLOOKUP(Tableau242[[#This Row],[Company number]],#REF!,31,FALSE),"")</f>
        <v/>
      </c>
      <c r="O193" s="62" t="str">
        <f>IFERROR(VLOOKUP(Tableau242[[#This Row],[Company number]],#REF!,32,FALSE),"")</f>
        <v/>
      </c>
      <c r="P193" s="68">
        <f>IFERROR(VLOOKUP(B193,Tableau3[#All],5,FALSE),"Matricule!")</f>
        <v>19</v>
      </c>
      <c r="Q193" s="68">
        <f>IFERROR(SUM(VLOOKUP(B193,Tableau3[#All],6,FALSE),VLOOKUP(B193,Tableau3[#All],8,FALSE)),"Matricule!")</f>
        <v>0</v>
      </c>
      <c r="R193" s="68">
        <f>IFERROR(VLOOKUP(B193,Tableau3[#All],7,FALSE),"Matricule!")</f>
        <v>1</v>
      </c>
      <c r="S193" s="62">
        <f>IFERROR(Tableau242[[#This Row],[Prod. days WK]]-Tableau242[[#This Row],[Prod PXX]],"Matricule")</f>
        <v>-3</v>
      </c>
      <c r="T193" s="62">
        <f>IFERROR(Tableau242[[#This Row],[Non prod. days WK]]-Tableau242[[#This Row],[Improd PXX]],"Matricule")</f>
        <v>0</v>
      </c>
      <c r="U193" s="62">
        <f>IFERROR(Tableau242[[#This Row],[Paid leave days WK]]-Tableau242[[#This Row],[Congé PXX]],"Matricule")</f>
        <v>3</v>
      </c>
      <c r="V193" s="63">
        <f>IFERROR(VLOOKUP($B193,#REF!,4,FALSE),0)</f>
        <v>0</v>
      </c>
      <c r="W19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93" s="63">
        <f>IF(AND(Tableau242[[#This Row],[Paid leave days]]&gt;0,Tableau242[[#This Row],[Prod. days]]&lt;0),MIN(Tableau242[[#This Row],[Paid leave days]],-Tableau242[[#This Row],[Prod. days]]),0)</f>
        <v>3</v>
      </c>
      <c r="Z193" s="63">
        <f>IFERROR(_xlfn.XLOOKUP(Tableau242[[#This Row],[Consultant]],Tableau2[Collaborateur/Nom affiché],Tableau2[Montant imputé],0),0)</f>
        <v>0</v>
      </c>
      <c r="AA193" s="64">
        <f t="shared" si="3"/>
        <v>-3</v>
      </c>
      <c r="AB193" s="65"/>
      <c r="AC193" s="66"/>
      <c r="AD193" s="66"/>
      <c r="AE193" s="105"/>
      <c r="AF193" s="90"/>
    </row>
    <row r="194" spans="1:32">
      <c r="A194" s="15">
        <f>Tableau242[[#This Row],[Company number]]+0</f>
        <v>11478</v>
      </c>
      <c r="B194" s="60" t="s">
        <v>525</v>
      </c>
      <c r="C194" s="61" t="s">
        <v>526</v>
      </c>
      <c r="D194" s="61" t="s">
        <v>4</v>
      </c>
      <c r="E194" s="62" t="str">
        <f>IFERROR(VLOOKUP(Tableau242[[#This Row],[Manager ou CDM concerné]],Parametres!B:C,2,FALSE),"")</f>
        <v>Squad A</v>
      </c>
      <c r="F194" s="62" t="str">
        <f>IF(Tableau242[[#This Row],[Consultant]]=Tableau242[[#This Row],[Manager ou CDM concerné]],"Non",IF(IFERROR(VLOOKUP(Tableau242[[#This Row],[Consultant]],Parametres!B:C,2,FALSE),0)=0,"Non","Oui"))</f>
        <v>Non</v>
      </c>
      <c r="G194" s="62">
        <f>IFERROR(VLOOKUP(B194,Tableau5[#All],4,FALSE),"Matricule!")</f>
        <v>20</v>
      </c>
      <c r="H194" s="62" t="str">
        <f>IFERROR(VLOOKUP(Tableau242[[#This Row],[Company number]],#REF!,6,FALSE),"")</f>
        <v/>
      </c>
      <c r="I194" s="62">
        <f>IFERROR(VLOOKUP(B194,Tableau5[#All],5,FALSE),"Matricule!")</f>
        <v>0</v>
      </c>
      <c r="J194" s="62">
        <f>IFERROR(VLOOKUP(B194,Tableau5[#All],6,FALSE),"Matricule!")</f>
        <v>0</v>
      </c>
      <c r="K194" s="62">
        <f>IFERROR(VLOOKUP(B194,Tableau5[#All],7,FALSE),"Matricule!")</f>
        <v>0</v>
      </c>
      <c r="L194" s="62" t="e">
        <f>VLOOKUP(Tableau242[[#This Row],[Company number]],#REF!,25,FALSE)</f>
        <v>#REF!</v>
      </c>
      <c r="M194" s="62" t="str">
        <f>IFERROR(VLOOKUP(Tableau242[[#This Row],[Company number]],#REF!,30,FALSE),"")</f>
        <v/>
      </c>
      <c r="N194" s="62" t="str">
        <f>IFERROR(VLOOKUP(Tableau242[[#This Row],[Company number]],#REF!,31,FALSE),"")</f>
        <v/>
      </c>
      <c r="O194" s="62" t="str">
        <f>IFERROR(VLOOKUP(Tableau242[[#This Row],[Company number]],#REF!,32,FALSE),"")</f>
        <v/>
      </c>
      <c r="P194" s="62">
        <f>IFERROR(VLOOKUP(B194,Tableau3[#All],5,FALSE),"Matricule!")</f>
        <v>20</v>
      </c>
      <c r="Q194" s="62">
        <f>IFERROR(SUM(VLOOKUP(B194,Tableau3[#All],6,FALSE),VLOOKUP(B194,Tableau3[#All],8,FALSE)),"Matricule!")</f>
        <v>0</v>
      </c>
      <c r="R194" s="62">
        <f>IFERROR(VLOOKUP(B194,Tableau3[#All],7,FALSE),"Matricule!")</f>
        <v>0</v>
      </c>
      <c r="S194" s="62">
        <f>IFERROR(Tableau242[[#This Row],[Prod. days WK]]-Tableau242[[#This Row],[Prod PXX]],"Matricule")</f>
        <v>0</v>
      </c>
      <c r="T194" s="62">
        <f>IFERROR(Tableau242[[#This Row],[Non prod. days WK]]-Tableau242[[#This Row],[Improd PXX]],"Matricule")</f>
        <v>0</v>
      </c>
      <c r="U194" s="62">
        <f>IFERROR(Tableau242[[#This Row],[Paid leave days WK]]-Tableau242[[#This Row],[Congé PXX]],"Matricule")</f>
        <v>0</v>
      </c>
      <c r="V194" s="63">
        <f>IFERROR(VLOOKUP($B194,#REF!,4,FALSE),0)</f>
        <v>0</v>
      </c>
      <c r="W19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194" s="63">
        <f>IF(AND(Tableau242[[#This Row],[Paid leave days]]&gt;0,Tableau242[[#This Row],[Prod. days]]&lt;0),MIN(Tableau242[[#This Row],[Paid leave days]],-Tableau242[[#This Row],[Prod. days]]),0)</f>
        <v>0</v>
      </c>
      <c r="Z194" s="63">
        <f>IFERROR(_xlfn.XLOOKUP(Tableau242[[#This Row],[Consultant]],Tableau2[Collaborateur/Nom affiché],Tableau2[Montant imputé],0),0)</f>
        <v>0</v>
      </c>
      <c r="AA194" s="64">
        <f t="shared" si="3"/>
        <v>0</v>
      </c>
      <c r="AB194" s="78"/>
      <c r="AC194" s="67"/>
      <c r="AD194" s="67"/>
      <c r="AE194" s="106"/>
      <c r="AF194" s="92"/>
    </row>
    <row r="195" spans="1:32">
      <c r="A195" s="15">
        <f>Tableau242[[#This Row],[Company number]]+0</f>
        <v>1603</v>
      </c>
      <c r="B195" s="60" t="s">
        <v>527</v>
      </c>
      <c r="C195" s="61" t="s">
        <v>528</v>
      </c>
      <c r="D195" s="61" t="s">
        <v>6</v>
      </c>
      <c r="E195" s="62" t="str">
        <f>IFERROR(VLOOKUP(Tableau242[[#This Row],[Manager ou CDM concerné]],Parametres!B:C,2,FALSE),"")</f>
        <v>Squad A</v>
      </c>
      <c r="F195" s="62" t="str">
        <f>IF(Tableau242[[#This Row],[Consultant]]=Tableau242[[#This Row],[Manager ou CDM concerné]],"Non",IF(IFERROR(VLOOKUP(Tableau242[[#This Row],[Consultant]],Parametres!B:C,2,FALSE),0)=0,"Non","Oui"))</f>
        <v>Non</v>
      </c>
      <c r="G195" s="62">
        <f>IFERROR(VLOOKUP(B195,Tableau5[#All],4,FALSE),"Matricule!")</f>
        <v>5</v>
      </c>
      <c r="H195" s="62" t="str">
        <f>IFERROR(VLOOKUP(Tableau242[[#This Row],[Company number]],#REF!,6,FALSE),"")</f>
        <v/>
      </c>
      <c r="I195" s="62">
        <f>IFERROR(VLOOKUP(B195,Tableau5[#All],5,FALSE),"Matricule!")</f>
        <v>8</v>
      </c>
      <c r="J195" s="62">
        <f>IFERROR(VLOOKUP(B195,Tableau5[#All],6,FALSE),"Matricule!")</f>
        <v>7</v>
      </c>
      <c r="K195" s="62">
        <f>IFERROR(VLOOKUP(B195,Tableau5[#All],7,FALSE),"Matricule!")</f>
        <v>0</v>
      </c>
      <c r="L195" s="62" t="e">
        <f>VLOOKUP(Tableau242[[#This Row],[Company number]],#REF!,25,FALSE)</f>
        <v>#REF!</v>
      </c>
      <c r="M195" s="62" t="str">
        <f>IFERROR(VLOOKUP(Tableau242[[#This Row],[Company number]],#REF!,30,FALSE),"")</f>
        <v/>
      </c>
      <c r="N195" s="62" t="str">
        <f>IFERROR(VLOOKUP(Tableau242[[#This Row],[Company number]],#REF!,31,FALSE),"")</f>
        <v/>
      </c>
      <c r="O195" s="62" t="str">
        <f>IFERROR(VLOOKUP(Tableau242[[#This Row],[Company number]],#REF!,32,FALSE),"")</f>
        <v/>
      </c>
      <c r="P195" s="62">
        <f>IFERROR(VLOOKUP(B195,Tableau3[#All],5,FALSE),"Matricule!")</f>
        <v>5</v>
      </c>
      <c r="Q195" s="62">
        <f>IFERROR(SUM(VLOOKUP(B195,Tableau3[#All],6,FALSE),VLOOKUP(B195,Tableau3[#All],8,FALSE)),"Matricule!")</f>
        <v>8</v>
      </c>
      <c r="R195" s="62">
        <f>IFERROR(VLOOKUP(B195,Tableau3[#All],7,FALSE),"Matricule!")</f>
        <v>7</v>
      </c>
      <c r="S195" s="62">
        <f>IFERROR(Tableau242[[#This Row],[Prod. days WK]]-Tableau242[[#This Row],[Prod PXX]],"Matricule")</f>
        <v>0</v>
      </c>
      <c r="T195" s="62">
        <f>IFERROR(Tableau242[[#This Row],[Non prod. days WK]]-Tableau242[[#This Row],[Improd PXX]],"Matricule")</f>
        <v>0</v>
      </c>
      <c r="U195" s="62">
        <f>IFERROR(Tableau242[[#This Row],[Paid leave days WK]]-Tableau242[[#This Row],[Congé PXX]],"Matricule")</f>
        <v>0</v>
      </c>
      <c r="V195" s="63">
        <f>IFERROR(VLOOKUP($B195,#REF!,4,FALSE),0)</f>
        <v>0</v>
      </c>
      <c r="W19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95" s="63">
        <f>IF(AND(Tableau242[[#This Row],[Paid leave days]]&gt;0,Tableau242[[#This Row],[Prod. days]]&lt;0),MIN(Tableau242[[#This Row],[Paid leave days]],-Tableau242[[#This Row],[Prod. days]]),0)</f>
        <v>0</v>
      </c>
      <c r="Z195" s="63">
        <f>IFERROR(_xlfn.XLOOKUP(Tableau242[[#This Row],[Consultant]],Tableau2[Collaborateur/Nom affiché],Tableau2[Montant imputé],0),0)</f>
        <v>0</v>
      </c>
      <c r="AA195" s="64">
        <f t="shared" si="3"/>
        <v>0</v>
      </c>
      <c r="AB195" s="65"/>
      <c r="AC195" s="67"/>
      <c r="AD195" s="66"/>
      <c r="AE195" s="39"/>
      <c r="AF195" s="93"/>
    </row>
    <row r="196" spans="1:32">
      <c r="A196" s="15">
        <f>Tableau242[[#This Row],[Company number]]+0</f>
        <v>254</v>
      </c>
      <c r="B196" s="60" t="s">
        <v>529</v>
      </c>
      <c r="C196" s="61" t="s">
        <v>30</v>
      </c>
      <c r="D196" s="61" t="s">
        <v>6</v>
      </c>
      <c r="E196" s="62" t="str">
        <f>IFERROR(VLOOKUP(Tableau242[[#This Row],[Manager ou CDM concerné]],Parametres!B:C,2,FALSE),"")</f>
        <v>Squad A</v>
      </c>
      <c r="F196" s="62" t="str">
        <f>IF(Tableau242[[#This Row],[Consultant]]=Tableau242[[#This Row],[Manager ou CDM concerné]],"Non",IF(IFERROR(VLOOKUP(Tableau242[[#This Row],[Consultant]],Parametres!B:C,2,FALSE),0)=0,"Non","Oui"))</f>
        <v>Oui</v>
      </c>
      <c r="G196" s="62">
        <f>IFERROR(VLOOKUP(B196,Tableau5[#All],4,FALSE),"Matricule!")</f>
        <v>0</v>
      </c>
      <c r="H196" s="62" t="str">
        <f>IFERROR(VLOOKUP(Tableau242[[#This Row],[Company number]],#REF!,6,FALSE),"")</f>
        <v/>
      </c>
      <c r="I196" s="62">
        <f>IFERROR(VLOOKUP(B196,Tableau5[#All],5,FALSE),"Matricule!")</f>
        <v>20</v>
      </c>
      <c r="J196" s="62">
        <f>IFERROR(VLOOKUP(B196,Tableau5[#All],6,FALSE),"Matricule!")</f>
        <v>0</v>
      </c>
      <c r="K196" s="62">
        <f>IFERROR(VLOOKUP(B196,Tableau5[#All],7,FALSE),"Matricule!")</f>
        <v>0</v>
      </c>
      <c r="L196" s="62" t="e">
        <f>VLOOKUP(Tableau242[[#This Row],[Company number]],#REF!,25,FALSE)</f>
        <v>#REF!</v>
      </c>
      <c r="M196" s="62" t="str">
        <f>IFERROR(VLOOKUP(Tableau242[[#This Row],[Company number]],#REF!,30,FALSE),"")</f>
        <v/>
      </c>
      <c r="N196" s="62" t="str">
        <f>IFERROR(VLOOKUP(Tableau242[[#This Row],[Company number]],#REF!,31,FALSE),"")</f>
        <v/>
      </c>
      <c r="O196" s="62" t="str">
        <f>IFERROR(VLOOKUP(Tableau242[[#This Row],[Company number]],#REF!,32,FALSE),"")</f>
        <v/>
      </c>
      <c r="P196" s="68">
        <f>IFERROR(VLOOKUP(B196,Tableau3[#All],5,FALSE),"Matricule!")</f>
        <v>0</v>
      </c>
      <c r="Q196" s="68">
        <f>IFERROR(SUM(VLOOKUP(B196,Tableau3[#All],6,FALSE),VLOOKUP(B196,Tableau3[#All],8,FALSE)),"Matricule!")</f>
        <v>20</v>
      </c>
      <c r="R196" s="68">
        <f>IFERROR(VLOOKUP(B196,Tableau3[#All],7,FALSE),"Matricule!")</f>
        <v>0</v>
      </c>
      <c r="S196" s="62">
        <f>IFERROR(Tableau242[[#This Row],[Prod. days WK]]-Tableau242[[#This Row],[Prod PXX]],"Matricule")</f>
        <v>0</v>
      </c>
      <c r="T196" s="62">
        <f>IFERROR(Tableau242[[#This Row],[Non prod. days WK]]-Tableau242[[#This Row],[Improd PXX]],"Matricule")</f>
        <v>0</v>
      </c>
      <c r="U196" s="62">
        <f>IFERROR(Tableau242[[#This Row],[Paid leave days WK]]-Tableau242[[#This Row],[Congé PXX]],"Matricule")</f>
        <v>0</v>
      </c>
      <c r="V196" s="63">
        <f>IFERROR(VLOOKUP($B196,#REF!,4,FALSE),0)</f>
        <v>0</v>
      </c>
      <c r="W19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96" s="63">
        <f>IF(AND(Tableau242[[#This Row],[Paid leave days]]&gt;0,Tableau242[[#This Row],[Prod. days]]&lt;0),MIN(Tableau242[[#This Row],[Paid leave days]],-Tableau242[[#This Row],[Prod. days]]),0)</f>
        <v>0</v>
      </c>
      <c r="Z196" s="63">
        <f>IFERROR(_xlfn.XLOOKUP(Tableau242[[#This Row],[Consultant]],Tableau2[Collaborateur/Nom affiché],Tableau2[Montant imputé],0),0)</f>
        <v>0</v>
      </c>
      <c r="AA196" s="64">
        <f t="shared" si="3"/>
        <v>0</v>
      </c>
      <c r="AB196" s="78"/>
      <c r="AC196" s="69"/>
      <c r="AD196" s="67"/>
      <c r="AE196" s="106"/>
      <c r="AF196" s="92"/>
    </row>
    <row r="197" spans="1:32">
      <c r="A197" s="15">
        <f>Tableau242[[#This Row],[Company number]]+0</f>
        <v>14895</v>
      </c>
      <c r="B197" s="60" t="s">
        <v>530</v>
      </c>
      <c r="C197" s="61" t="s">
        <v>531</v>
      </c>
      <c r="D197" s="61" t="s">
        <v>3</v>
      </c>
      <c r="E197" s="62" t="str">
        <f>IFERROR(VLOOKUP(Tableau242[[#This Row],[Manager ou CDM concerné]],Parametres!B:C,2,FALSE),"")</f>
        <v>Squad B</v>
      </c>
      <c r="F197" s="62" t="str">
        <f>IF(Tableau242[[#This Row],[Consultant]]=Tableau242[[#This Row],[Manager ou CDM concerné]],"Non",IF(IFERROR(VLOOKUP(Tableau242[[#This Row],[Consultant]],Parametres!B:C,2,FALSE),0)=0,"Non","Oui"))</f>
        <v>Non</v>
      </c>
      <c r="G197" s="62">
        <f>IFERROR(VLOOKUP(B197,Tableau5[#All],4,FALSE),"Matricule!")</f>
        <v>18</v>
      </c>
      <c r="H197" s="62" t="str">
        <f>IFERROR(VLOOKUP(Tableau242[[#This Row],[Company number]],#REF!,6,FALSE),"")</f>
        <v/>
      </c>
      <c r="I197" s="62">
        <f>IFERROR(VLOOKUP(B197,Tableau5[#All],5,FALSE),"Matricule!")</f>
        <v>2</v>
      </c>
      <c r="J197" s="62">
        <f>IFERROR(VLOOKUP(B197,Tableau5[#All],6,FALSE),"Matricule!")</f>
        <v>0</v>
      </c>
      <c r="K197" s="62">
        <f>IFERROR(VLOOKUP(B197,Tableau5[#All],7,FALSE),"Matricule!")</f>
        <v>0</v>
      </c>
      <c r="L197" s="62" t="e">
        <f>VLOOKUP(Tableau242[[#This Row],[Company number]],#REF!,25,FALSE)</f>
        <v>#REF!</v>
      </c>
      <c r="M197" s="62" t="str">
        <f>IFERROR(VLOOKUP(Tableau242[[#This Row],[Company number]],#REF!,30,FALSE),"")</f>
        <v/>
      </c>
      <c r="N197" s="62" t="str">
        <f>IFERROR(VLOOKUP(Tableau242[[#This Row],[Company number]],#REF!,31,FALSE),"")</f>
        <v/>
      </c>
      <c r="O197" s="62" t="str">
        <f>IFERROR(VLOOKUP(Tableau242[[#This Row],[Company number]],#REF!,32,FALSE),"")</f>
        <v/>
      </c>
      <c r="P197" s="62">
        <f>IFERROR(VLOOKUP(B197,Tableau3[#All],5,FALSE),"Matricule!")</f>
        <v>20</v>
      </c>
      <c r="Q197" s="62">
        <f>IFERROR(SUM(VLOOKUP(B197,Tableau3[#All],6,FALSE),VLOOKUP(B197,Tableau3[#All],8,FALSE)),"Matricule!")</f>
        <v>0</v>
      </c>
      <c r="R197" s="62">
        <f>IFERROR(VLOOKUP(B197,Tableau3[#All],7,FALSE),"Matricule!")</f>
        <v>0</v>
      </c>
      <c r="S197" s="62">
        <f>IFERROR(Tableau242[[#This Row],[Prod. days WK]]-Tableau242[[#This Row],[Prod PXX]],"Matricule")</f>
        <v>-2</v>
      </c>
      <c r="T197" s="62">
        <f>IFERROR(Tableau242[[#This Row],[Non prod. days WK]]-Tableau242[[#This Row],[Improd PXX]],"Matricule")</f>
        <v>2</v>
      </c>
      <c r="U197" s="62">
        <f>IFERROR(Tableau242[[#This Row],[Paid leave days WK]]-Tableau242[[#This Row],[Congé PXX]],"Matricule")</f>
        <v>0</v>
      </c>
      <c r="V197" s="63">
        <f>IFERROR(VLOOKUP($B197,#REF!,4,FALSE),0)</f>
        <v>0</v>
      </c>
      <c r="W19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97" s="63">
        <f>IF(AND(Tableau242[[#This Row],[Paid leave days]]&gt;0,Tableau242[[#This Row],[Prod. days]]&lt;0),MIN(Tableau242[[#This Row],[Paid leave days]],-Tableau242[[#This Row],[Prod. days]]),0)</f>
        <v>0</v>
      </c>
      <c r="Z197" s="63">
        <f>IFERROR(_xlfn.XLOOKUP(Tableau242[[#This Row],[Consultant]],Tableau2[Collaborateur/Nom affiché],Tableau2[Montant imputé],0),0)</f>
        <v>0</v>
      </c>
      <c r="AA197" s="64">
        <f t="shared" si="3"/>
        <v>-2</v>
      </c>
      <c r="AB197" s="65" t="s">
        <v>154</v>
      </c>
      <c r="AC197" s="66"/>
      <c r="AD197" s="66"/>
      <c r="AE197" s="105"/>
      <c r="AF197" s="90" t="s">
        <v>532</v>
      </c>
    </row>
    <row r="198" spans="1:32">
      <c r="A198" s="15">
        <f>Tableau242[[#This Row],[Company number]]+0</f>
        <v>495</v>
      </c>
      <c r="B198" s="60" t="s">
        <v>533</v>
      </c>
      <c r="C198" s="61" t="s">
        <v>46</v>
      </c>
      <c r="D198" s="61" t="s">
        <v>6</v>
      </c>
      <c r="E198" s="62" t="str">
        <f>IFERROR(VLOOKUP(Tableau242[[#This Row],[Manager ou CDM concerné]],Parametres!B:C,2,FALSE),"")</f>
        <v>Squad A</v>
      </c>
      <c r="F198" s="62" t="str">
        <f>IF(Tableau242[[#This Row],[Consultant]]=Tableau242[[#This Row],[Manager ou CDM concerné]],"Non",IF(IFERROR(VLOOKUP(Tableau242[[#This Row],[Consultant]],Parametres!B:C,2,FALSE),0)=0,"Non","Oui"))</f>
        <v>Oui</v>
      </c>
      <c r="G198" s="62">
        <f>IFERROR(VLOOKUP(B198,Tableau5[#All],4,FALSE),"Matricule!")</f>
        <v>11</v>
      </c>
      <c r="H198" s="62" t="str">
        <f>IFERROR(VLOOKUP(Tableau242[[#This Row],[Company number]],#REF!,6,FALSE),"")</f>
        <v/>
      </c>
      <c r="I198" s="62">
        <f>IFERROR(VLOOKUP(B198,Tableau5[#All],5,FALSE),"Matricule!")</f>
        <v>9</v>
      </c>
      <c r="J198" s="62">
        <f>IFERROR(VLOOKUP(B198,Tableau5[#All],6,FALSE),"Matricule!")</f>
        <v>0</v>
      </c>
      <c r="K198" s="62">
        <f>IFERROR(VLOOKUP(B198,Tableau5[#All],7,FALSE),"Matricule!")</f>
        <v>0</v>
      </c>
      <c r="L198" s="62" t="e">
        <f>VLOOKUP(Tableau242[[#This Row],[Company number]],#REF!,25,FALSE)</f>
        <v>#REF!</v>
      </c>
      <c r="M198" s="62" t="str">
        <f>IFERROR(VLOOKUP(Tableau242[[#This Row],[Company number]],#REF!,30,FALSE),"")</f>
        <v/>
      </c>
      <c r="N198" s="62" t="str">
        <f>IFERROR(VLOOKUP(Tableau242[[#This Row],[Company number]],#REF!,31,FALSE),"")</f>
        <v/>
      </c>
      <c r="O198" s="62" t="str">
        <f>IFERROR(VLOOKUP(Tableau242[[#This Row],[Company number]],#REF!,32,FALSE),"")</f>
        <v/>
      </c>
      <c r="P198" s="62">
        <f>IFERROR(VLOOKUP(B198,Tableau3[#All],5,FALSE),"Matricule!")</f>
        <v>9</v>
      </c>
      <c r="Q198" s="62">
        <f>IFERROR(SUM(VLOOKUP(B198,Tableau3[#All],6,FALSE),VLOOKUP(B198,Tableau3[#All],8,FALSE)),"Matricule!")</f>
        <v>11</v>
      </c>
      <c r="R198" s="62">
        <f>IFERROR(VLOOKUP(B198,Tableau3[#All],7,FALSE),"Matricule!")</f>
        <v>0</v>
      </c>
      <c r="S198" s="62">
        <f>IFERROR(Tableau242[[#This Row],[Prod. days WK]]-Tableau242[[#This Row],[Prod PXX]],"Matricule")</f>
        <v>2</v>
      </c>
      <c r="T198" s="62">
        <f>IFERROR(Tableau242[[#This Row],[Non prod. days WK]]-Tableau242[[#This Row],[Improd PXX]],"Matricule")</f>
        <v>-2</v>
      </c>
      <c r="U198" s="62">
        <f>IFERROR(Tableau242[[#This Row],[Paid leave days WK]]-Tableau242[[#This Row],[Congé PXX]],"Matricule")</f>
        <v>0</v>
      </c>
      <c r="V198" s="63">
        <f>IFERROR(VLOOKUP($B198,#REF!,4,FALSE),0)</f>
        <v>0</v>
      </c>
      <c r="W19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198" s="63">
        <f>IF(AND(Tableau242[[#This Row],[Paid leave days]]&gt;0,Tableau242[[#This Row],[Prod. days]]&lt;0),MIN(Tableau242[[#This Row],[Paid leave days]],-Tableau242[[#This Row],[Prod. days]]),0)</f>
        <v>0</v>
      </c>
      <c r="Z198" s="63">
        <f>IFERROR(_xlfn.XLOOKUP(Tableau242[[#This Row],[Consultant]],Tableau2[Collaborateur/Nom affiché],Tableau2[Montant imputé],0),0)</f>
        <v>0</v>
      </c>
      <c r="AA198" s="64">
        <f t="shared" si="3"/>
        <v>2</v>
      </c>
      <c r="AB198" s="65"/>
      <c r="AC198" s="66"/>
      <c r="AD198" s="66"/>
      <c r="AE198" s="105"/>
      <c r="AF198" s="90"/>
    </row>
    <row r="199" spans="1:32">
      <c r="A199" s="15">
        <f>Tableau242[[#This Row],[Company number]]+0</f>
        <v>14171</v>
      </c>
      <c r="B199" s="60" t="s">
        <v>534</v>
      </c>
      <c r="C199" s="61" t="s">
        <v>535</v>
      </c>
      <c r="D199" s="61" t="s">
        <v>61</v>
      </c>
      <c r="E199" s="62" t="str">
        <f>IFERROR(VLOOKUP(Tableau242[[#This Row],[Manager ou CDM concerné]],Parametres!B:C,2,FALSE),"")</f>
        <v>Squad D</v>
      </c>
      <c r="F199" s="62" t="str">
        <f>IF(Tableau242[[#This Row],[Consultant]]=Tableau242[[#This Row],[Manager ou CDM concerné]],"Non",IF(IFERROR(VLOOKUP(Tableau242[[#This Row],[Consultant]],Parametres!B:C,2,FALSE),0)=0,"Non","Oui"))</f>
        <v>Non</v>
      </c>
      <c r="G199" s="62">
        <f>IFERROR(VLOOKUP(B199,Tableau5[#All],4,FALSE),"Matricule!")</f>
        <v>18</v>
      </c>
      <c r="H199" s="62" t="str">
        <f>IFERROR(VLOOKUP(Tableau242[[#This Row],[Company number]],#REF!,6,FALSE),"")</f>
        <v/>
      </c>
      <c r="I199" s="62">
        <f>IFERROR(VLOOKUP(B199,Tableau5[#All],5,FALSE),"Matricule!")</f>
        <v>1</v>
      </c>
      <c r="J199" s="62">
        <f>IFERROR(VLOOKUP(B199,Tableau5[#All],6,FALSE),"Matricule!")</f>
        <v>1</v>
      </c>
      <c r="K199" s="62">
        <f>IFERROR(VLOOKUP(B199,Tableau5[#All],7,FALSE),"Matricule!")</f>
        <v>0</v>
      </c>
      <c r="L199" s="62" t="e">
        <f>VLOOKUP(Tableau242[[#This Row],[Company number]],#REF!,25,FALSE)</f>
        <v>#REF!</v>
      </c>
      <c r="M199" s="62" t="str">
        <f>IFERROR(VLOOKUP(Tableau242[[#This Row],[Company number]],#REF!,30,FALSE),"")</f>
        <v/>
      </c>
      <c r="N199" s="62" t="str">
        <f>IFERROR(VLOOKUP(Tableau242[[#This Row],[Company number]],#REF!,31,FALSE),"")</f>
        <v/>
      </c>
      <c r="O199" s="62" t="str">
        <f>IFERROR(VLOOKUP(Tableau242[[#This Row],[Company number]],#REF!,32,FALSE),"")</f>
        <v/>
      </c>
      <c r="P199" s="68">
        <f>IFERROR(VLOOKUP(B199,Tableau3[#All],5,FALSE),"Matricule!")</f>
        <v>20</v>
      </c>
      <c r="Q199" s="68">
        <f>IFERROR(SUM(VLOOKUP(B199,Tableau3[#All],6,FALSE),VLOOKUP(B199,Tableau3[#All],8,FALSE)),"Matricule!")</f>
        <v>0</v>
      </c>
      <c r="R199" s="68">
        <f>IFERROR(VLOOKUP(B199,Tableau3[#All],7,FALSE),"Matricule!")</f>
        <v>0</v>
      </c>
      <c r="S199" s="62">
        <f>IFERROR(Tableau242[[#This Row],[Prod. days WK]]-Tableau242[[#This Row],[Prod PXX]],"Matricule")</f>
        <v>-2</v>
      </c>
      <c r="T199" s="62">
        <f>IFERROR(Tableau242[[#This Row],[Non prod. days WK]]-Tableau242[[#This Row],[Improd PXX]],"Matricule")</f>
        <v>1</v>
      </c>
      <c r="U199" s="62">
        <f>IFERROR(Tableau242[[#This Row],[Paid leave days WK]]-Tableau242[[#This Row],[Congé PXX]],"Matricule")</f>
        <v>1</v>
      </c>
      <c r="V199" s="63">
        <f>IFERROR(VLOOKUP($B199,#REF!,4,FALSE),0)</f>
        <v>0</v>
      </c>
      <c r="W19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19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199" s="63">
        <f>IF(AND(Tableau242[[#This Row],[Paid leave days]]&gt;0,Tableau242[[#This Row],[Prod. days]]&lt;0),MIN(Tableau242[[#This Row],[Paid leave days]],-Tableau242[[#This Row],[Prod. days]]),0)</f>
        <v>1</v>
      </c>
      <c r="Z199" s="63">
        <f>IFERROR(_xlfn.XLOOKUP(Tableau242[[#This Row],[Consultant]],Tableau2[Collaborateur/Nom affiché],Tableau2[Montant imputé],0),0)</f>
        <v>0</v>
      </c>
      <c r="AA199" s="64">
        <f t="shared" si="3"/>
        <v>-2</v>
      </c>
      <c r="AB199" s="65" t="s">
        <v>165</v>
      </c>
      <c r="AC199" s="66">
        <v>1</v>
      </c>
      <c r="AD199" s="66">
        <v>1</v>
      </c>
      <c r="AE199" s="105"/>
      <c r="AF199" s="90"/>
    </row>
    <row r="200" spans="1:32">
      <c r="A200" s="15">
        <f>Tableau242[[#This Row],[Company number]]+0</f>
        <v>140</v>
      </c>
      <c r="B200" s="60" t="s">
        <v>536</v>
      </c>
      <c r="C200" s="61" t="s">
        <v>537</v>
      </c>
      <c r="D200" s="61" t="s">
        <v>6</v>
      </c>
      <c r="E200" s="62" t="str">
        <f>IFERROR(VLOOKUP(Tableau242[[#This Row],[Manager ou CDM concerné]],Parametres!B:C,2,FALSE),"")</f>
        <v>Squad A</v>
      </c>
      <c r="F200" s="62" t="str">
        <f>IF(Tableau242[[#This Row],[Consultant]]=Tableau242[[#This Row],[Manager ou CDM concerné]],"Non",IF(IFERROR(VLOOKUP(Tableau242[[#This Row],[Consultant]],Parametres!B:C,2,FALSE),0)=0,"Non","Oui"))</f>
        <v>Non</v>
      </c>
      <c r="G200" s="62">
        <f>IFERROR(VLOOKUP(B200,Tableau5[#All],4,FALSE),"Matricule!")</f>
        <v>20</v>
      </c>
      <c r="H200" s="62" t="str">
        <f>IFERROR(VLOOKUP(Tableau242[[#This Row],[Company number]],#REF!,6,FALSE),"")</f>
        <v/>
      </c>
      <c r="I200" s="62">
        <f>IFERROR(VLOOKUP(B200,Tableau5[#All],5,FALSE),"Matricule!")</f>
        <v>0</v>
      </c>
      <c r="J200" s="62">
        <f>IFERROR(VLOOKUP(B200,Tableau5[#All],6,FALSE),"Matricule!")</f>
        <v>0</v>
      </c>
      <c r="K200" s="62">
        <f>IFERROR(VLOOKUP(B200,Tableau5[#All],7,FALSE),"Matricule!")</f>
        <v>0</v>
      </c>
      <c r="L200" s="62" t="e">
        <f>VLOOKUP(Tableau242[[#This Row],[Company number]],#REF!,25,FALSE)</f>
        <v>#REF!</v>
      </c>
      <c r="M200" s="62" t="str">
        <f>IFERROR(VLOOKUP(Tableau242[[#This Row],[Company number]],#REF!,30,FALSE),"")</f>
        <v/>
      </c>
      <c r="N200" s="62" t="str">
        <f>IFERROR(VLOOKUP(Tableau242[[#This Row],[Company number]],#REF!,31,FALSE),"")</f>
        <v/>
      </c>
      <c r="O200" s="62" t="str">
        <f>IFERROR(VLOOKUP(Tableau242[[#This Row],[Company number]],#REF!,32,FALSE),"")</f>
        <v/>
      </c>
      <c r="P200" s="62">
        <f>IFERROR(VLOOKUP(B200,Tableau3[#All],5,FALSE),"Matricule!")</f>
        <v>19</v>
      </c>
      <c r="Q200" s="62">
        <f>IFERROR(SUM(VLOOKUP(B200,Tableau3[#All],6,FALSE),VLOOKUP(B200,Tableau3[#All],8,FALSE)),"Matricule!")</f>
        <v>1</v>
      </c>
      <c r="R200" s="62">
        <f>IFERROR(VLOOKUP(B200,Tableau3[#All],7,FALSE),"Matricule!")</f>
        <v>0</v>
      </c>
      <c r="S200" s="62">
        <f>IFERROR(Tableau242[[#This Row],[Prod. days WK]]-Tableau242[[#This Row],[Prod PXX]],"Matricule")</f>
        <v>1</v>
      </c>
      <c r="T200" s="62">
        <f>IFERROR(Tableau242[[#This Row],[Non prod. days WK]]-Tableau242[[#This Row],[Improd PXX]],"Matricule")</f>
        <v>-1</v>
      </c>
      <c r="U200" s="62">
        <f>IFERROR(Tableau242[[#This Row],[Paid leave days WK]]-Tableau242[[#This Row],[Congé PXX]],"Matricule")</f>
        <v>0</v>
      </c>
      <c r="V200" s="63">
        <f>IFERROR(VLOOKUP($B200,#REF!,4,FALSE),0)</f>
        <v>0</v>
      </c>
      <c r="W20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00" s="63">
        <f>IF(AND(Tableau242[[#This Row],[Paid leave days]]&gt;0,Tableau242[[#This Row],[Prod. days]]&lt;0),MIN(Tableau242[[#This Row],[Paid leave days]],-Tableau242[[#This Row],[Prod. days]]),0)</f>
        <v>0</v>
      </c>
      <c r="Z200" s="63">
        <f>IFERROR(_xlfn.XLOOKUP(Tableau242[[#This Row],[Consultant]],Tableau2[Collaborateur/Nom affiché],Tableau2[Montant imputé],0),0)</f>
        <v>0</v>
      </c>
      <c r="AA200" s="64">
        <f t="shared" si="3"/>
        <v>1</v>
      </c>
      <c r="AB200" s="65"/>
      <c r="AC200" s="66"/>
      <c r="AD200" s="66"/>
      <c r="AE200" s="105"/>
      <c r="AF200" s="90"/>
    </row>
    <row r="201" spans="1:32" ht="29.1">
      <c r="A201" s="15">
        <f>Tableau242[[#This Row],[Company number]]+0</f>
        <v>15240</v>
      </c>
      <c r="B201" s="60" t="s">
        <v>538</v>
      </c>
      <c r="C201" s="61" t="s">
        <v>539</v>
      </c>
      <c r="D201" s="61" t="s">
        <v>45</v>
      </c>
      <c r="E201" s="62" t="str">
        <f>IFERROR(VLOOKUP(Tableau242[[#This Row],[Manager ou CDM concerné]],Parametres!B:C,2,FALSE),"")</f>
        <v>Squad F</v>
      </c>
      <c r="F201" s="62" t="str">
        <f>IF(Tableau242[[#This Row],[Consultant]]=Tableau242[[#This Row],[Manager ou CDM concerné]],"Non",IF(IFERROR(VLOOKUP(Tableau242[[#This Row],[Consultant]],Parametres!B:C,2,FALSE),0)=0,"Non","Oui"))</f>
        <v>Non</v>
      </c>
      <c r="G201" s="62">
        <f>IFERROR(VLOOKUP(B201,Tableau5[#All],4,FALSE),"Matricule!")</f>
        <v>9</v>
      </c>
      <c r="H201" s="62" t="str">
        <f>IFERROR(VLOOKUP(Tableau242[[#This Row],[Company number]],#REF!,6,FALSE),"")</f>
        <v/>
      </c>
      <c r="I201" s="62">
        <f>IFERROR(VLOOKUP(B201,Tableau5[#All],5,FALSE),"Matricule!")</f>
        <v>2</v>
      </c>
      <c r="J201" s="62">
        <f>IFERROR(VLOOKUP(B201,Tableau5[#All],6,FALSE),"Matricule!")</f>
        <v>9</v>
      </c>
      <c r="K201" s="62">
        <f>IFERROR(VLOOKUP(B201,Tableau5[#All],7,FALSE),"Matricule!")</f>
        <v>0</v>
      </c>
      <c r="L201" s="62" t="e">
        <f>VLOOKUP(Tableau242[[#This Row],[Company number]],#REF!,25,FALSE)</f>
        <v>#REF!</v>
      </c>
      <c r="M201" s="62" t="str">
        <f>IFERROR(VLOOKUP(Tableau242[[#This Row],[Company number]],#REF!,30,FALSE),"")</f>
        <v/>
      </c>
      <c r="N201" s="62" t="str">
        <f>IFERROR(VLOOKUP(Tableau242[[#This Row],[Company number]],#REF!,31,FALSE),"")</f>
        <v/>
      </c>
      <c r="O201" s="62" t="str">
        <f>IFERROR(VLOOKUP(Tableau242[[#This Row],[Company number]],#REF!,32,FALSE),"")</f>
        <v/>
      </c>
      <c r="P201" s="62">
        <f>IFERROR(VLOOKUP(B201,Tableau3[#All],5,FALSE),"Matricule!")</f>
        <v>11</v>
      </c>
      <c r="Q201" s="62">
        <f>IFERROR(SUM(VLOOKUP(B201,Tableau3[#All],6,FALSE),VLOOKUP(B201,Tableau3[#All],8,FALSE)),"Matricule!")</f>
        <v>0</v>
      </c>
      <c r="R201" s="62">
        <f>IFERROR(VLOOKUP(B201,Tableau3[#All],7,FALSE),"Matricule!")</f>
        <v>9</v>
      </c>
      <c r="S201" s="62">
        <f>IFERROR(Tableau242[[#This Row],[Prod. days WK]]-Tableau242[[#This Row],[Prod PXX]],"Matricule")</f>
        <v>-2</v>
      </c>
      <c r="T201" s="62">
        <f>IFERROR(Tableau242[[#This Row],[Non prod. days WK]]-Tableau242[[#This Row],[Improd PXX]],"Matricule")</f>
        <v>2</v>
      </c>
      <c r="U201" s="62">
        <f>IFERROR(Tableau242[[#This Row],[Paid leave days WK]]-Tableau242[[#This Row],[Congé PXX]],"Matricule")</f>
        <v>0</v>
      </c>
      <c r="V201" s="63">
        <f>IFERROR(VLOOKUP($B201,#REF!,4,FALSE),0)</f>
        <v>0</v>
      </c>
      <c r="W20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01" s="63">
        <f>IF(AND(Tableau242[[#This Row],[Paid leave days]]&gt;0,Tableau242[[#This Row],[Prod. days]]&lt;0),MIN(Tableau242[[#This Row],[Paid leave days]],-Tableau242[[#This Row],[Prod. days]]),0)</f>
        <v>0</v>
      </c>
      <c r="Z201" s="63">
        <f>IFERROR(_xlfn.XLOOKUP(Tableau242[[#This Row],[Consultant]],Tableau2[Collaborateur/Nom affiché],Tableau2[Montant imputé],0),0)</f>
        <v>0</v>
      </c>
      <c r="AA201" s="64">
        <f t="shared" si="3"/>
        <v>-2</v>
      </c>
      <c r="AB201" s="70" t="s">
        <v>154</v>
      </c>
      <c r="AC201" s="66"/>
      <c r="AD201" s="66"/>
      <c r="AE201" s="105"/>
      <c r="AF201" s="90" t="s">
        <v>540</v>
      </c>
    </row>
    <row r="202" spans="1:32">
      <c r="A202" s="15">
        <f>Tableau242[[#This Row],[Company number]]+0</f>
        <v>180</v>
      </c>
      <c r="B202" s="60" t="s">
        <v>541</v>
      </c>
      <c r="C202" s="61" t="s">
        <v>98</v>
      </c>
      <c r="D202" s="61" t="s">
        <v>6</v>
      </c>
      <c r="E202" s="62" t="str">
        <f>IFERROR(VLOOKUP(Tableau242[[#This Row],[Manager ou CDM concerné]],Parametres!B:C,2,FALSE),"")</f>
        <v>Squad A</v>
      </c>
      <c r="F202" s="62" t="str">
        <f>IF(Tableau242[[#This Row],[Consultant]]=Tableau242[[#This Row],[Manager ou CDM concerné]],"Non",IF(IFERROR(VLOOKUP(Tableau242[[#This Row],[Consultant]],Parametres!B:C,2,FALSE),0)=0,"Non","Oui"))</f>
        <v>Non</v>
      </c>
      <c r="G202" s="62">
        <f>IFERROR(VLOOKUP(B202,Tableau5[#All],4,FALSE),"Matricule!")</f>
        <v>0</v>
      </c>
      <c r="H202" s="62" t="str">
        <f>IFERROR(VLOOKUP(Tableau242[[#This Row],[Company number]],#REF!,6,FALSE),"")</f>
        <v/>
      </c>
      <c r="I202" s="62">
        <f>IFERROR(VLOOKUP(B202,Tableau5[#All],5,FALSE),"Matricule!")</f>
        <v>20</v>
      </c>
      <c r="J202" s="62">
        <f>IFERROR(VLOOKUP(B202,Tableau5[#All],6,FALSE),"Matricule!")</f>
        <v>0</v>
      </c>
      <c r="K202" s="62">
        <f>IFERROR(VLOOKUP(B202,Tableau5[#All],7,FALSE),"Matricule!")</f>
        <v>0</v>
      </c>
      <c r="L202" s="62" t="e">
        <f>VLOOKUP(Tableau242[[#This Row],[Company number]],#REF!,25,FALSE)</f>
        <v>#REF!</v>
      </c>
      <c r="M202" s="62" t="str">
        <f>IFERROR(VLOOKUP(Tableau242[[#This Row],[Company number]],#REF!,30,FALSE),"")</f>
        <v/>
      </c>
      <c r="N202" s="62" t="str">
        <f>IFERROR(VLOOKUP(Tableau242[[#This Row],[Company number]],#REF!,31,FALSE),"")</f>
        <v/>
      </c>
      <c r="O202" s="62" t="str">
        <f>IFERROR(VLOOKUP(Tableau242[[#This Row],[Company number]],#REF!,32,FALSE),"")</f>
        <v/>
      </c>
      <c r="P202" s="62">
        <f>IFERROR(VLOOKUP(B202,Tableau3[#All],5,FALSE),"Matricule!")</f>
        <v>0</v>
      </c>
      <c r="Q202" s="62">
        <f>IFERROR(SUM(VLOOKUP(B202,Tableau3[#All],6,FALSE),VLOOKUP(B202,Tableau3[#All],8,FALSE)),"Matricule!")</f>
        <v>20</v>
      </c>
      <c r="R202" s="62">
        <f>IFERROR(VLOOKUP(B202,Tableau3[#All],7,FALSE),"Matricule!")</f>
        <v>0</v>
      </c>
      <c r="S202" s="62">
        <f>IFERROR(Tableau242[[#This Row],[Prod. days WK]]-Tableau242[[#This Row],[Prod PXX]],"Matricule")</f>
        <v>0</v>
      </c>
      <c r="T202" s="62">
        <f>IFERROR(Tableau242[[#This Row],[Non prod. days WK]]-Tableau242[[#This Row],[Improd PXX]],"Matricule")</f>
        <v>0</v>
      </c>
      <c r="U202" s="62">
        <f>IFERROR(Tableau242[[#This Row],[Paid leave days WK]]-Tableau242[[#This Row],[Congé PXX]],"Matricule")</f>
        <v>0</v>
      </c>
      <c r="V202" s="63">
        <f>IFERROR(VLOOKUP($B202,#REF!,4,FALSE),0)</f>
        <v>0</v>
      </c>
      <c r="W20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02" s="63">
        <f>IF(AND(Tableau242[[#This Row],[Paid leave days]]&gt;0,Tableau242[[#This Row],[Prod. days]]&lt;0),MIN(Tableau242[[#This Row],[Paid leave days]],-Tableau242[[#This Row],[Prod. days]]),0)</f>
        <v>0</v>
      </c>
      <c r="Z202" s="63">
        <f>IFERROR(_xlfn.XLOOKUP(Tableau242[[#This Row],[Consultant]],Tableau2[Collaborateur/Nom affiché],Tableau2[Montant imputé],0),0)</f>
        <v>0</v>
      </c>
      <c r="AA202" s="64">
        <f t="shared" si="3"/>
        <v>0</v>
      </c>
      <c r="AB202" s="65"/>
      <c r="AC202" s="66"/>
      <c r="AD202" s="66"/>
      <c r="AE202" s="105"/>
      <c r="AF202" s="90"/>
    </row>
    <row r="203" spans="1:32">
      <c r="A203" s="15">
        <f>Tableau242[[#This Row],[Company number]]+0</f>
        <v>4350</v>
      </c>
      <c r="B203" s="60" t="s">
        <v>542</v>
      </c>
      <c r="C203" s="61" t="s">
        <v>543</v>
      </c>
      <c r="D203" s="61" t="s">
        <v>6</v>
      </c>
      <c r="E203" s="62" t="str">
        <f>IFERROR(VLOOKUP(Tableau242[[#This Row],[Manager ou CDM concerné]],Parametres!B:C,2,FALSE),"")</f>
        <v>Squad A</v>
      </c>
      <c r="F203" s="62" t="str">
        <f>IF(Tableau242[[#This Row],[Consultant]]=Tableau242[[#This Row],[Manager ou CDM concerné]],"Non",IF(IFERROR(VLOOKUP(Tableau242[[#This Row],[Consultant]],Parametres!B:C,2,FALSE),0)=0,"Non","Oui"))</f>
        <v>Oui</v>
      </c>
      <c r="G203" s="62">
        <f>IFERROR(VLOOKUP(B203,Tableau5[#All],4,FALSE),"Matricule!")</f>
        <v>10</v>
      </c>
      <c r="H203" s="62" t="str">
        <f>IFERROR(VLOOKUP(Tableau242[[#This Row],[Company number]],#REF!,6,FALSE),"")</f>
        <v/>
      </c>
      <c r="I203" s="62">
        <f>IFERROR(VLOOKUP(B203,Tableau5[#All],5,FALSE),"Matricule!")</f>
        <v>10</v>
      </c>
      <c r="J203" s="62">
        <f>IFERROR(VLOOKUP(B203,Tableau5[#All],6,FALSE),"Matricule!")</f>
        <v>0</v>
      </c>
      <c r="K203" s="62">
        <f>IFERROR(VLOOKUP(B203,Tableau5[#All],7,FALSE),"Matricule!")</f>
        <v>0</v>
      </c>
      <c r="L203" s="62" t="e">
        <f>VLOOKUP(Tableau242[[#This Row],[Company number]],#REF!,25,FALSE)</f>
        <v>#REF!</v>
      </c>
      <c r="M203" s="62" t="str">
        <f>IFERROR(VLOOKUP(Tableau242[[#This Row],[Company number]],#REF!,30,FALSE),"")</f>
        <v/>
      </c>
      <c r="N203" s="62" t="str">
        <f>IFERROR(VLOOKUP(Tableau242[[#This Row],[Company number]],#REF!,31,FALSE),"")</f>
        <v/>
      </c>
      <c r="O203" s="62" t="str">
        <f>IFERROR(VLOOKUP(Tableau242[[#This Row],[Company number]],#REF!,32,FALSE),"")</f>
        <v/>
      </c>
      <c r="P203" s="62">
        <f>IFERROR(VLOOKUP(B203,Tableau3[#All],5,FALSE),"Matricule!")</f>
        <v>8</v>
      </c>
      <c r="Q203" s="62">
        <f>IFERROR(SUM(VLOOKUP(B203,Tableau3[#All],6,FALSE),VLOOKUP(B203,Tableau3[#All],8,FALSE)),"Matricule!")</f>
        <v>12</v>
      </c>
      <c r="R203" s="62">
        <f>IFERROR(VLOOKUP(B203,Tableau3[#All],7,FALSE),"Matricule!")</f>
        <v>0</v>
      </c>
      <c r="S203" s="62">
        <f>IFERROR(Tableau242[[#This Row],[Prod. days WK]]-Tableau242[[#This Row],[Prod PXX]],"Matricule")</f>
        <v>2</v>
      </c>
      <c r="T203" s="62">
        <f>IFERROR(Tableau242[[#This Row],[Non prod. days WK]]-Tableau242[[#This Row],[Improd PXX]],"Matricule")</f>
        <v>-2</v>
      </c>
      <c r="U203" s="62">
        <f>IFERROR(Tableau242[[#This Row],[Paid leave days WK]]-Tableau242[[#This Row],[Congé PXX]],"Matricule")</f>
        <v>0</v>
      </c>
      <c r="V203" s="63">
        <f>IFERROR(VLOOKUP($B203,#REF!,4,FALSE),0)</f>
        <v>0</v>
      </c>
      <c r="W20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03" s="63">
        <f>IF(AND(Tableau242[[#This Row],[Paid leave days]]&gt;0,Tableau242[[#This Row],[Prod. days]]&lt;0),MIN(Tableau242[[#This Row],[Paid leave days]],-Tableau242[[#This Row],[Prod. days]]),0)</f>
        <v>0</v>
      </c>
      <c r="Z203" s="63">
        <f>IFERROR(_xlfn.XLOOKUP(Tableau242[[#This Row],[Consultant]],Tableau2[Collaborateur/Nom affiché],Tableau2[Montant imputé],0),0)</f>
        <v>0</v>
      </c>
      <c r="AA203" s="64">
        <f t="shared" ref="AA203:AA266" si="4">IFERROR(S203+Z203,S203)</f>
        <v>2</v>
      </c>
      <c r="AB203" s="66"/>
      <c r="AC203" s="67"/>
      <c r="AD203" s="66"/>
      <c r="AE203" s="105"/>
      <c r="AF203" s="90"/>
    </row>
    <row r="204" spans="1:32">
      <c r="A204" s="15">
        <f>Tableau242[[#This Row],[Company number]]+0</f>
        <v>4136</v>
      </c>
      <c r="B204" s="60" t="s">
        <v>544</v>
      </c>
      <c r="C204" s="61" t="s">
        <v>38</v>
      </c>
      <c r="D204" s="61" t="s">
        <v>6</v>
      </c>
      <c r="E204" s="62" t="str">
        <f>IFERROR(VLOOKUP(Tableau242[[#This Row],[Manager ou CDM concerné]],Parametres!B:C,2,FALSE),"")</f>
        <v>Squad A</v>
      </c>
      <c r="F204" s="62" t="str">
        <f>IF(Tableau242[[#This Row],[Consultant]]=Tableau242[[#This Row],[Manager ou CDM concerné]],"Non",IF(IFERROR(VLOOKUP(Tableau242[[#This Row],[Consultant]],Parametres!B:C,2,FALSE),0)=0,"Non","Oui"))</f>
        <v>Oui</v>
      </c>
      <c r="G204" s="62">
        <f>IFERROR(VLOOKUP(B204,Tableau5[#All],4,FALSE),"Matricule!")</f>
        <v>4</v>
      </c>
      <c r="H204" s="62" t="str">
        <f>IFERROR(VLOOKUP(Tableau242[[#This Row],[Company number]],#REF!,6,FALSE),"")</f>
        <v/>
      </c>
      <c r="I204" s="62">
        <f>IFERROR(VLOOKUP(B204,Tableau5[#All],5,FALSE),"Matricule!")</f>
        <v>16</v>
      </c>
      <c r="J204" s="62">
        <f>IFERROR(VLOOKUP(B204,Tableau5[#All],6,FALSE),"Matricule!")</f>
        <v>0</v>
      </c>
      <c r="K204" s="62">
        <f>IFERROR(VLOOKUP(B204,Tableau5[#All],7,FALSE),"Matricule!")</f>
        <v>0</v>
      </c>
      <c r="L204" s="62" t="e">
        <f>VLOOKUP(Tableau242[[#This Row],[Company number]],#REF!,25,FALSE)</f>
        <v>#REF!</v>
      </c>
      <c r="M204" s="62" t="str">
        <f>IFERROR(VLOOKUP(Tableau242[[#This Row],[Company number]],#REF!,30,FALSE),"")</f>
        <v/>
      </c>
      <c r="N204" s="62" t="str">
        <f>IFERROR(VLOOKUP(Tableau242[[#This Row],[Company number]],#REF!,31,FALSE),"")</f>
        <v/>
      </c>
      <c r="O204" s="62" t="str">
        <f>IFERROR(VLOOKUP(Tableau242[[#This Row],[Company number]],#REF!,32,FALSE),"")</f>
        <v/>
      </c>
      <c r="P204" s="62">
        <f>IFERROR(VLOOKUP(B204,Tableau3[#All],5,FALSE),"Matricule!")</f>
        <v>4</v>
      </c>
      <c r="Q204" s="62">
        <f>IFERROR(SUM(VLOOKUP(B204,Tableau3[#All],6,FALSE),VLOOKUP(B204,Tableau3[#All],8,FALSE)),"Matricule!")</f>
        <v>16</v>
      </c>
      <c r="R204" s="62">
        <f>IFERROR(VLOOKUP(B204,Tableau3[#All],7,FALSE),"Matricule!")</f>
        <v>0</v>
      </c>
      <c r="S204" s="62">
        <f>IFERROR(Tableau242[[#This Row],[Prod. days WK]]-Tableau242[[#This Row],[Prod PXX]],"Matricule")</f>
        <v>0</v>
      </c>
      <c r="T204" s="62">
        <f>IFERROR(Tableau242[[#This Row],[Non prod. days WK]]-Tableau242[[#This Row],[Improd PXX]],"Matricule")</f>
        <v>0</v>
      </c>
      <c r="U204" s="62">
        <f>IFERROR(Tableau242[[#This Row],[Paid leave days WK]]-Tableau242[[#This Row],[Congé PXX]],"Matricule")</f>
        <v>0</v>
      </c>
      <c r="V204" s="63">
        <f>IFERROR(VLOOKUP($B204,#REF!,4,FALSE),0)</f>
        <v>0</v>
      </c>
      <c r="W20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04" s="63">
        <f>IF(AND(Tableau242[[#This Row],[Paid leave days]]&gt;0,Tableau242[[#This Row],[Prod. days]]&lt;0),MIN(Tableau242[[#This Row],[Paid leave days]],-Tableau242[[#This Row],[Prod. days]]),0)</f>
        <v>0</v>
      </c>
      <c r="Z204" s="63">
        <f>IFERROR(_xlfn.XLOOKUP(Tableau242[[#This Row],[Consultant]],Tableau2[Collaborateur/Nom affiché],Tableau2[Montant imputé],0),0)</f>
        <v>0</v>
      </c>
      <c r="AA204" s="64">
        <f t="shared" si="4"/>
        <v>0</v>
      </c>
      <c r="AB204" s="65"/>
      <c r="AC204" s="66"/>
      <c r="AD204" s="66"/>
      <c r="AE204" s="105"/>
      <c r="AF204" s="90"/>
    </row>
    <row r="205" spans="1:32">
      <c r="A205" s="15">
        <f>Tableau242[[#This Row],[Company number]]+0</f>
        <v>149</v>
      </c>
      <c r="B205" s="60" t="s">
        <v>545</v>
      </c>
      <c r="C205" s="61" t="s">
        <v>546</v>
      </c>
      <c r="D205" s="61" t="s">
        <v>6</v>
      </c>
      <c r="E205" s="62" t="str">
        <f>IFERROR(VLOOKUP(Tableau242[[#This Row],[Manager ou CDM concerné]],Parametres!B:C,2,FALSE),"")</f>
        <v>Squad A</v>
      </c>
      <c r="F205" s="62" t="str">
        <f>IF(Tableau242[[#This Row],[Consultant]]=Tableau242[[#This Row],[Manager ou CDM concerné]],"Non",IF(IFERROR(VLOOKUP(Tableau242[[#This Row],[Consultant]],Parametres!B:C,2,FALSE),0)=0,"Non","Oui"))</f>
        <v>Non</v>
      </c>
      <c r="G205" s="62">
        <f>IFERROR(VLOOKUP(B205,Tableau5[#All],4,FALSE),"Matricule!")</f>
        <v>18</v>
      </c>
      <c r="H205" s="62" t="str">
        <f>IFERROR(VLOOKUP(Tableau242[[#This Row],[Company number]],#REF!,6,FALSE),"")</f>
        <v/>
      </c>
      <c r="I205" s="62">
        <f>IFERROR(VLOOKUP(B205,Tableau5[#All],5,FALSE),"Matricule!")</f>
        <v>2</v>
      </c>
      <c r="J205" s="62">
        <f>IFERROR(VLOOKUP(B205,Tableau5[#All],6,FALSE),"Matricule!")</f>
        <v>0</v>
      </c>
      <c r="K205" s="62">
        <f>IFERROR(VLOOKUP(B205,Tableau5[#All],7,FALSE),"Matricule!")</f>
        <v>0</v>
      </c>
      <c r="L205" s="62" t="e">
        <f>VLOOKUP(Tableau242[[#This Row],[Company number]],#REF!,25,FALSE)</f>
        <v>#REF!</v>
      </c>
      <c r="M205" s="62" t="str">
        <f>IFERROR(VLOOKUP(Tableau242[[#This Row],[Company number]],#REF!,30,FALSE),"")</f>
        <v/>
      </c>
      <c r="N205" s="62" t="str">
        <f>IFERROR(VLOOKUP(Tableau242[[#This Row],[Company number]],#REF!,31,FALSE),"")</f>
        <v/>
      </c>
      <c r="O205" s="62" t="str">
        <f>IFERROR(VLOOKUP(Tableau242[[#This Row],[Company number]],#REF!,32,FALSE),"")</f>
        <v/>
      </c>
      <c r="P205" s="62">
        <f>IFERROR(VLOOKUP(B205,Tableau3[#All],5,FALSE),"Matricule!")</f>
        <v>18</v>
      </c>
      <c r="Q205" s="62">
        <f>IFERROR(SUM(VLOOKUP(B205,Tableau3[#All],6,FALSE),VLOOKUP(B205,Tableau3[#All],8,FALSE)),"Matricule!")</f>
        <v>2</v>
      </c>
      <c r="R205" s="62">
        <f>IFERROR(VLOOKUP(B205,Tableau3[#All],7,FALSE),"Matricule!")</f>
        <v>0</v>
      </c>
      <c r="S205" s="62">
        <f>IFERROR(Tableau242[[#This Row],[Prod. days WK]]-Tableau242[[#This Row],[Prod PXX]],"Matricule")</f>
        <v>0</v>
      </c>
      <c r="T205" s="62">
        <f>IFERROR(Tableau242[[#This Row],[Non prod. days WK]]-Tableau242[[#This Row],[Improd PXX]],"Matricule")</f>
        <v>0</v>
      </c>
      <c r="U205" s="62">
        <f>IFERROR(Tableau242[[#This Row],[Paid leave days WK]]-Tableau242[[#This Row],[Congé PXX]],"Matricule")</f>
        <v>0</v>
      </c>
      <c r="V205" s="63">
        <f>IFERROR(VLOOKUP($B205,#REF!,4,FALSE),0)</f>
        <v>0</v>
      </c>
      <c r="W20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05" s="63">
        <f>IF(AND(Tableau242[[#This Row],[Paid leave days]]&gt;0,Tableau242[[#This Row],[Prod. days]]&lt;0),MIN(Tableau242[[#This Row],[Paid leave days]],-Tableau242[[#This Row],[Prod. days]]),0)</f>
        <v>0</v>
      </c>
      <c r="Z205" s="63">
        <f>IFERROR(_xlfn.XLOOKUP(Tableau242[[#This Row],[Consultant]],Tableau2[Collaborateur/Nom affiché],Tableau2[Montant imputé],0),0)</f>
        <v>0</v>
      </c>
      <c r="AA205" s="64">
        <f t="shared" si="4"/>
        <v>0</v>
      </c>
      <c r="AB205" s="65"/>
      <c r="AC205" s="66"/>
      <c r="AD205" s="66"/>
      <c r="AE205" s="39"/>
      <c r="AF205" s="90"/>
    </row>
    <row r="206" spans="1:32">
      <c r="A206" s="15">
        <f>Tableau242[[#This Row],[Company number]]+0</f>
        <v>972</v>
      </c>
      <c r="B206" s="60" t="s">
        <v>547</v>
      </c>
      <c r="C206" s="61" t="s">
        <v>28</v>
      </c>
      <c r="D206" s="61" t="s">
        <v>6</v>
      </c>
      <c r="E206" s="62" t="str">
        <f>IFERROR(VLOOKUP(Tableau242[[#This Row],[Manager ou CDM concerné]],Parametres!B:C,2,FALSE),"")</f>
        <v>Squad A</v>
      </c>
      <c r="F206" s="62" t="str">
        <f>IF(Tableau242[[#This Row],[Consultant]]=Tableau242[[#This Row],[Manager ou CDM concerné]],"Non",IF(IFERROR(VLOOKUP(Tableau242[[#This Row],[Consultant]],Parametres!B:C,2,FALSE),0)=0,"Non","Oui"))</f>
        <v>Oui</v>
      </c>
      <c r="G206" s="62">
        <f>IFERROR(VLOOKUP(B206,Tableau5[#All],4,FALSE),"Matricule!")</f>
        <v>16</v>
      </c>
      <c r="H206" s="62" t="str">
        <f>IFERROR(VLOOKUP(Tableau242[[#This Row],[Company number]],#REF!,6,FALSE),"")</f>
        <v/>
      </c>
      <c r="I206" s="62">
        <f>IFERROR(VLOOKUP(B206,Tableau5[#All],5,FALSE),"Matricule!")</f>
        <v>4</v>
      </c>
      <c r="J206" s="62">
        <f>IFERROR(VLOOKUP(B206,Tableau5[#All],6,FALSE),"Matricule!")</f>
        <v>0</v>
      </c>
      <c r="K206" s="62">
        <f>IFERROR(VLOOKUP(B206,Tableau5[#All],7,FALSE),"Matricule!")</f>
        <v>0</v>
      </c>
      <c r="L206" s="62" t="e">
        <f>VLOOKUP(Tableau242[[#This Row],[Company number]],#REF!,25,FALSE)</f>
        <v>#REF!</v>
      </c>
      <c r="M206" s="62" t="str">
        <f>IFERROR(VLOOKUP(Tableau242[[#This Row],[Company number]],#REF!,30,FALSE),"")</f>
        <v/>
      </c>
      <c r="N206" s="62" t="str">
        <f>IFERROR(VLOOKUP(Tableau242[[#This Row],[Company number]],#REF!,31,FALSE),"")</f>
        <v/>
      </c>
      <c r="O206" s="62" t="str">
        <f>IFERROR(VLOOKUP(Tableau242[[#This Row],[Company number]],#REF!,32,FALSE),"")</f>
        <v/>
      </c>
      <c r="P206" s="62">
        <f>IFERROR(VLOOKUP(B206,Tableau3[#All],5,FALSE),"Matricule!")</f>
        <v>8</v>
      </c>
      <c r="Q206" s="62">
        <f>IFERROR(SUM(VLOOKUP(B206,Tableau3[#All],6,FALSE),VLOOKUP(B206,Tableau3[#All],8,FALSE)),"Matricule!")</f>
        <v>12</v>
      </c>
      <c r="R206" s="62">
        <f>IFERROR(VLOOKUP(B206,Tableau3[#All],7,FALSE),"Matricule!")</f>
        <v>0</v>
      </c>
      <c r="S206" s="62">
        <f>IFERROR(Tableau242[[#This Row],[Prod. days WK]]-Tableau242[[#This Row],[Prod PXX]],"Matricule")</f>
        <v>8</v>
      </c>
      <c r="T206" s="62">
        <f>IFERROR(Tableau242[[#This Row],[Non prod. days WK]]-Tableau242[[#This Row],[Improd PXX]],"Matricule")</f>
        <v>-8</v>
      </c>
      <c r="U206" s="62">
        <f>IFERROR(Tableau242[[#This Row],[Paid leave days WK]]-Tableau242[[#This Row],[Congé PXX]],"Matricule")</f>
        <v>0</v>
      </c>
      <c r="V206" s="63">
        <f>IFERROR(VLOOKUP($B206,#REF!,4,FALSE),0)</f>
        <v>0</v>
      </c>
      <c r="W20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06" s="63">
        <f>IF(AND(Tableau242[[#This Row],[Paid leave days]]&gt;0,Tableau242[[#This Row],[Prod. days]]&lt;0),MIN(Tableau242[[#This Row],[Paid leave days]],-Tableau242[[#This Row],[Prod. days]]),0)</f>
        <v>0</v>
      </c>
      <c r="Z206" s="63">
        <f>IFERROR(_xlfn.XLOOKUP(Tableau242[[#This Row],[Consultant]],Tableau2[Collaborateur/Nom affiché],Tableau2[Montant imputé],0),0)</f>
        <v>0</v>
      </c>
      <c r="AA206" s="64">
        <f t="shared" si="4"/>
        <v>8</v>
      </c>
      <c r="AB206" s="65"/>
      <c r="AC206" s="66"/>
      <c r="AD206" s="66"/>
      <c r="AE206" s="105"/>
      <c r="AF206" s="90"/>
    </row>
    <row r="207" spans="1:32">
      <c r="A207" s="15">
        <f>Tableau242[[#This Row],[Company number]]+0</f>
        <v>2559</v>
      </c>
      <c r="B207" s="60" t="s">
        <v>548</v>
      </c>
      <c r="C207" s="61" t="s">
        <v>549</v>
      </c>
      <c r="D207" s="61" t="s">
        <v>6</v>
      </c>
      <c r="E207" s="62" t="str">
        <f>IFERROR(VLOOKUP(Tableau242[[#This Row],[Manager ou CDM concerné]],Parametres!B:C,2,FALSE),"")</f>
        <v>Squad A</v>
      </c>
      <c r="F207" s="62" t="str">
        <f>IF(Tableau242[[#This Row],[Consultant]]=Tableau242[[#This Row],[Manager ou CDM concerné]],"Non",IF(IFERROR(VLOOKUP(Tableau242[[#This Row],[Consultant]],Parametres!B:C,2,FALSE),0)=0,"Non","Oui"))</f>
        <v>Non</v>
      </c>
      <c r="G207" s="62">
        <f>IFERROR(VLOOKUP(B207,Tableau5[#All],4,FALSE),"Matricule!")</f>
        <v>20</v>
      </c>
      <c r="H207" s="62" t="str">
        <f>IFERROR(VLOOKUP(Tableau242[[#This Row],[Company number]],#REF!,6,FALSE),"")</f>
        <v/>
      </c>
      <c r="I207" s="62">
        <f>IFERROR(VLOOKUP(B207,Tableau5[#All],5,FALSE),"Matricule!")</f>
        <v>0</v>
      </c>
      <c r="J207" s="62">
        <f>IFERROR(VLOOKUP(B207,Tableau5[#All],6,FALSE),"Matricule!")</f>
        <v>0</v>
      </c>
      <c r="K207" s="62">
        <f>IFERROR(VLOOKUP(B207,Tableau5[#All],7,FALSE),"Matricule!")</f>
        <v>0</v>
      </c>
      <c r="L207" s="62" t="e">
        <f>VLOOKUP(Tableau242[[#This Row],[Company number]],#REF!,25,FALSE)</f>
        <v>#REF!</v>
      </c>
      <c r="M207" s="62" t="str">
        <f>IFERROR(VLOOKUP(Tableau242[[#This Row],[Company number]],#REF!,30,FALSE),"")</f>
        <v/>
      </c>
      <c r="N207" s="62" t="str">
        <f>IFERROR(VLOOKUP(Tableau242[[#This Row],[Company number]],#REF!,31,FALSE),"")</f>
        <v/>
      </c>
      <c r="O207" s="62" t="str">
        <f>IFERROR(VLOOKUP(Tableau242[[#This Row],[Company number]],#REF!,32,FALSE),"")</f>
        <v/>
      </c>
      <c r="P207" s="62">
        <f>IFERROR(VLOOKUP(B207,Tableau3[#All],5,FALSE),"Matricule!")</f>
        <v>20</v>
      </c>
      <c r="Q207" s="62">
        <f>IFERROR(SUM(VLOOKUP(B207,Tableau3[#All],6,FALSE),VLOOKUP(B207,Tableau3[#All],8,FALSE)),"Matricule!")</f>
        <v>0</v>
      </c>
      <c r="R207" s="62">
        <f>IFERROR(VLOOKUP(B207,Tableau3[#All],7,FALSE),"Matricule!")</f>
        <v>0</v>
      </c>
      <c r="S207" s="62">
        <f>IFERROR(Tableau242[[#This Row],[Prod. days WK]]-Tableau242[[#This Row],[Prod PXX]],"Matricule")</f>
        <v>0</v>
      </c>
      <c r="T207" s="62">
        <f>IFERROR(Tableau242[[#This Row],[Non prod. days WK]]-Tableau242[[#This Row],[Improd PXX]],"Matricule")</f>
        <v>0</v>
      </c>
      <c r="U207" s="62">
        <f>IFERROR(Tableau242[[#This Row],[Paid leave days WK]]-Tableau242[[#This Row],[Congé PXX]],"Matricule")</f>
        <v>0</v>
      </c>
      <c r="V207" s="63">
        <f>IFERROR(VLOOKUP($B207,#REF!,4,FALSE),0)</f>
        <v>0</v>
      </c>
      <c r="W20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07" s="63">
        <f>IF(AND(Tableau242[[#This Row],[Paid leave days]]&gt;0,Tableau242[[#This Row],[Prod. days]]&lt;0),MIN(Tableau242[[#This Row],[Paid leave days]],-Tableau242[[#This Row],[Prod. days]]),0)</f>
        <v>0</v>
      </c>
      <c r="Z207" s="63">
        <f>IFERROR(_xlfn.XLOOKUP(Tableau242[[#This Row],[Consultant]],Tableau2[Collaborateur/Nom affiché],Tableau2[Montant imputé],0),0)</f>
        <v>0</v>
      </c>
      <c r="AA207" s="64">
        <f t="shared" si="4"/>
        <v>0</v>
      </c>
      <c r="AB207" s="65"/>
      <c r="AC207" s="66"/>
      <c r="AD207" s="66"/>
      <c r="AE207" s="105"/>
      <c r="AF207" s="90"/>
    </row>
    <row r="208" spans="1:32">
      <c r="A208" s="15">
        <f>Tableau242[[#This Row],[Company number]]+0</f>
        <v>142</v>
      </c>
      <c r="B208" s="60" t="s">
        <v>550</v>
      </c>
      <c r="C208" s="61" t="s">
        <v>63</v>
      </c>
      <c r="D208" s="61" t="s">
        <v>6</v>
      </c>
      <c r="E208" s="62" t="str">
        <f>IFERROR(VLOOKUP(Tableau242[[#This Row],[Manager ou CDM concerné]],Parametres!B:C,2,FALSE),"")</f>
        <v>Squad A</v>
      </c>
      <c r="F208" s="62" t="str">
        <f>IF(Tableau242[[#This Row],[Consultant]]=Tableau242[[#This Row],[Manager ou CDM concerné]],"Non",IF(IFERROR(VLOOKUP(Tableau242[[#This Row],[Consultant]],Parametres!B:C,2,FALSE),0)=0,"Non","Oui"))</f>
        <v>Oui</v>
      </c>
      <c r="G208" s="62">
        <f>IFERROR(VLOOKUP(B208,Tableau5[#All],4,FALSE),"Matricule!")</f>
        <v>3</v>
      </c>
      <c r="H208" s="62" t="str">
        <f>IFERROR(VLOOKUP(Tableau242[[#This Row],[Company number]],#REF!,6,FALSE),"")</f>
        <v/>
      </c>
      <c r="I208" s="62">
        <f>IFERROR(VLOOKUP(B208,Tableau5[#All],5,FALSE),"Matricule!")</f>
        <v>17</v>
      </c>
      <c r="J208" s="62">
        <f>IFERROR(VLOOKUP(B208,Tableau5[#All],6,FALSE),"Matricule!")</f>
        <v>0</v>
      </c>
      <c r="K208" s="62">
        <f>IFERROR(VLOOKUP(B208,Tableau5[#All],7,FALSE),"Matricule!")</f>
        <v>0</v>
      </c>
      <c r="L208" s="62" t="e">
        <f>VLOOKUP(Tableau242[[#This Row],[Company number]],#REF!,25,FALSE)</f>
        <v>#REF!</v>
      </c>
      <c r="M208" s="62" t="str">
        <f>IFERROR(VLOOKUP(Tableau242[[#This Row],[Company number]],#REF!,30,FALSE),"")</f>
        <v/>
      </c>
      <c r="N208" s="62" t="str">
        <f>IFERROR(VLOOKUP(Tableau242[[#This Row],[Company number]],#REF!,31,FALSE),"")</f>
        <v/>
      </c>
      <c r="O208" s="62" t="str">
        <f>IFERROR(VLOOKUP(Tableau242[[#This Row],[Company number]],#REF!,32,FALSE),"")</f>
        <v/>
      </c>
      <c r="P208" s="62">
        <f>IFERROR(VLOOKUP(B208,Tableau3[#All],5,FALSE),"Matricule!")</f>
        <v>3</v>
      </c>
      <c r="Q208" s="62">
        <f>IFERROR(SUM(VLOOKUP(B208,Tableau3[#All],6,FALSE),VLOOKUP(B208,Tableau3[#All],8,FALSE)),"Matricule!")</f>
        <v>17</v>
      </c>
      <c r="R208" s="62">
        <f>IFERROR(VLOOKUP(B208,Tableau3[#All],7,FALSE),"Matricule!")</f>
        <v>0</v>
      </c>
      <c r="S208" s="62">
        <f>IFERROR(Tableau242[[#This Row],[Prod. days WK]]-Tableau242[[#This Row],[Prod PXX]],"Matricule")</f>
        <v>0</v>
      </c>
      <c r="T208" s="62">
        <f>IFERROR(Tableau242[[#This Row],[Non prod. days WK]]-Tableau242[[#This Row],[Improd PXX]],"Matricule")</f>
        <v>0</v>
      </c>
      <c r="U208" s="62">
        <f>IFERROR(Tableau242[[#This Row],[Paid leave days WK]]-Tableau242[[#This Row],[Congé PXX]],"Matricule")</f>
        <v>0</v>
      </c>
      <c r="V208" s="63">
        <f>IFERROR(VLOOKUP($B208,#REF!,4,FALSE),0)</f>
        <v>0</v>
      </c>
      <c r="W20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08" s="63">
        <f>IF(AND(Tableau242[[#This Row],[Paid leave days]]&gt;0,Tableau242[[#This Row],[Prod. days]]&lt;0),MIN(Tableau242[[#This Row],[Paid leave days]],-Tableau242[[#This Row],[Prod. days]]),0)</f>
        <v>0</v>
      </c>
      <c r="Z208" s="63">
        <f>IFERROR(_xlfn.XLOOKUP(Tableau242[[#This Row],[Consultant]],Tableau2[Collaborateur/Nom affiché],Tableau2[Montant imputé],0),0)</f>
        <v>0</v>
      </c>
      <c r="AA208" s="64">
        <f t="shared" si="4"/>
        <v>0</v>
      </c>
      <c r="AB208" s="65"/>
      <c r="AC208" s="66"/>
      <c r="AD208" s="66"/>
      <c r="AE208" s="105"/>
      <c r="AF208" s="90"/>
    </row>
    <row r="209" spans="1:32">
      <c r="A209" s="15">
        <f>Tableau242[[#This Row],[Company number]]+0</f>
        <v>1371</v>
      </c>
      <c r="B209" s="60" t="s">
        <v>551</v>
      </c>
      <c r="C209" s="61" t="s">
        <v>552</v>
      </c>
      <c r="D209" s="61" t="s">
        <v>30</v>
      </c>
      <c r="E209" s="62" t="str">
        <f>IFERROR(VLOOKUP(Tableau242[[#This Row],[Manager ou CDM concerné]],Parametres!B:C,2,FALSE),"")</f>
        <v>Squad E</v>
      </c>
      <c r="F209" s="62" t="str">
        <f>IF(Tableau242[[#This Row],[Consultant]]=Tableau242[[#This Row],[Manager ou CDM concerné]],"Non",IF(IFERROR(VLOOKUP(Tableau242[[#This Row],[Consultant]],Parametres!B:C,2,FALSE),0)=0,"Non","Oui"))</f>
        <v>Non</v>
      </c>
      <c r="G209" s="62">
        <f>IFERROR(VLOOKUP(B209,Tableau5[#All],4,FALSE),"Matricule!")</f>
        <v>8</v>
      </c>
      <c r="H209" s="62" t="str">
        <f>IFERROR(VLOOKUP(Tableau242[[#This Row],[Company number]],#REF!,6,FALSE),"")</f>
        <v/>
      </c>
      <c r="I209" s="62">
        <f>IFERROR(VLOOKUP(B209,Tableau5[#All],5,FALSE),"Matricule!")</f>
        <v>12</v>
      </c>
      <c r="J209" s="62">
        <f>IFERROR(VLOOKUP(B209,Tableau5[#All],6,FALSE),"Matricule!")</f>
        <v>0</v>
      </c>
      <c r="K209" s="62">
        <f>IFERROR(VLOOKUP(B209,Tableau5[#All],7,FALSE),"Matricule!")</f>
        <v>0</v>
      </c>
      <c r="L209" s="62" t="e">
        <f>VLOOKUP(Tableau242[[#This Row],[Company number]],#REF!,25,FALSE)</f>
        <v>#REF!</v>
      </c>
      <c r="M209" s="62" t="str">
        <f>IFERROR(VLOOKUP(Tableau242[[#This Row],[Company number]],#REF!,30,FALSE),"")</f>
        <v/>
      </c>
      <c r="N209" s="62" t="str">
        <f>IFERROR(VLOOKUP(Tableau242[[#This Row],[Company number]],#REF!,31,FALSE),"")</f>
        <v/>
      </c>
      <c r="O209" s="62" t="str">
        <f>IFERROR(VLOOKUP(Tableau242[[#This Row],[Company number]],#REF!,32,FALSE),"")</f>
        <v/>
      </c>
      <c r="P209" s="62">
        <f>IFERROR(VLOOKUP(B209,Tableau3[#All],5,FALSE),"Matricule!")</f>
        <v>20</v>
      </c>
      <c r="Q209" s="62">
        <f>IFERROR(SUM(VLOOKUP(B209,Tableau3[#All],6,FALSE),VLOOKUP(B209,Tableau3[#All],8,FALSE)),"Matricule!")</f>
        <v>0</v>
      </c>
      <c r="R209" s="62">
        <f>IFERROR(VLOOKUP(B209,Tableau3[#All],7,FALSE),"Matricule!")</f>
        <v>0</v>
      </c>
      <c r="S209" s="62">
        <f>IFERROR(Tableau242[[#This Row],[Prod. days WK]]-Tableau242[[#This Row],[Prod PXX]],"Matricule")</f>
        <v>-12</v>
      </c>
      <c r="T209" s="62">
        <f>IFERROR(Tableau242[[#This Row],[Non prod. days WK]]-Tableau242[[#This Row],[Improd PXX]],"Matricule")</f>
        <v>12</v>
      </c>
      <c r="U209" s="62">
        <f>IFERROR(Tableau242[[#This Row],[Paid leave days WK]]-Tableau242[[#This Row],[Congé PXX]],"Matricule")</f>
        <v>0</v>
      </c>
      <c r="V209" s="63">
        <f>IFERROR(VLOOKUP($B209,#REF!,4,FALSE),0)</f>
        <v>0</v>
      </c>
      <c r="W20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0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209" s="63">
        <f>IF(AND(Tableau242[[#This Row],[Paid leave days]]&gt;0,Tableau242[[#This Row],[Prod. days]]&lt;0),MIN(Tableau242[[#This Row],[Paid leave days]],-Tableau242[[#This Row],[Prod. days]]),0)</f>
        <v>0</v>
      </c>
      <c r="Z209" s="63">
        <f>IFERROR(_xlfn.XLOOKUP(Tableau242[[#This Row],[Consultant]],Tableau2[Collaborateur/Nom affiché],Tableau2[Montant imputé],0),0)</f>
        <v>12</v>
      </c>
      <c r="AA209" s="64">
        <f t="shared" si="4"/>
        <v>0</v>
      </c>
      <c r="AB209" s="65"/>
      <c r="AC209" s="66"/>
      <c r="AD209" s="66"/>
      <c r="AE209" s="39"/>
      <c r="AF209" s="90"/>
    </row>
    <row r="210" spans="1:32">
      <c r="A210" s="15">
        <f>Tableau242[[#This Row],[Company number]]+0</f>
        <v>5717</v>
      </c>
      <c r="B210" s="60" t="s">
        <v>553</v>
      </c>
      <c r="C210" s="61" t="s">
        <v>61</v>
      </c>
      <c r="D210" s="61" t="s">
        <v>30</v>
      </c>
      <c r="E210" s="62" t="str">
        <f>IFERROR(VLOOKUP(Tableau242[[#This Row],[Manager ou CDM concerné]],Parametres!B:C,2,FALSE),"")</f>
        <v>Squad E</v>
      </c>
      <c r="F210" s="62" t="str">
        <f>IF(Tableau242[[#This Row],[Consultant]]=Tableau242[[#This Row],[Manager ou CDM concerné]],"Non",IF(IFERROR(VLOOKUP(Tableau242[[#This Row],[Consultant]],Parametres!B:C,2,FALSE),0)=0,"Non","Oui"))</f>
        <v>Oui</v>
      </c>
      <c r="G210" s="62">
        <f>IFERROR(VLOOKUP(B210,Tableau5[#All],4,FALSE),"Matricule!")</f>
        <v>0</v>
      </c>
      <c r="H210" s="62" t="str">
        <f>IFERROR(VLOOKUP(Tableau242[[#This Row],[Company number]],#REF!,6,FALSE),"")</f>
        <v/>
      </c>
      <c r="I210" s="62">
        <f>IFERROR(VLOOKUP(B210,Tableau5[#All],5,FALSE),"Matricule!")</f>
        <v>20</v>
      </c>
      <c r="J210" s="62">
        <f>IFERROR(VLOOKUP(B210,Tableau5[#All],6,FALSE),"Matricule!")</f>
        <v>0</v>
      </c>
      <c r="K210" s="62">
        <f>IFERROR(VLOOKUP(B210,Tableau5[#All],7,FALSE),"Matricule!")</f>
        <v>0</v>
      </c>
      <c r="L210" s="62" t="e">
        <f>VLOOKUP(Tableau242[[#This Row],[Company number]],#REF!,25,FALSE)</f>
        <v>#REF!</v>
      </c>
      <c r="M210" s="62" t="str">
        <f>IFERROR(VLOOKUP(Tableau242[[#This Row],[Company number]],#REF!,30,FALSE),"")</f>
        <v/>
      </c>
      <c r="N210" s="62" t="str">
        <f>IFERROR(VLOOKUP(Tableau242[[#This Row],[Company number]],#REF!,31,FALSE),"")</f>
        <v/>
      </c>
      <c r="O210" s="62" t="str">
        <f>IFERROR(VLOOKUP(Tableau242[[#This Row],[Company number]],#REF!,32,FALSE),"")</f>
        <v/>
      </c>
      <c r="P210" s="62">
        <f>IFERROR(VLOOKUP(B210,Tableau3[#All],5,FALSE),"Matricule!")</f>
        <v>0</v>
      </c>
      <c r="Q210" s="62">
        <f>IFERROR(SUM(VLOOKUP(B210,Tableau3[#All],6,FALSE),VLOOKUP(B210,Tableau3[#All],8,FALSE)),"Matricule!")</f>
        <v>20</v>
      </c>
      <c r="R210" s="62">
        <f>IFERROR(VLOOKUP(B210,Tableau3[#All],7,FALSE),"Matricule!")</f>
        <v>0</v>
      </c>
      <c r="S210" s="62">
        <f>IFERROR(Tableau242[[#This Row],[Prod. days WK]]-Tableau242[[#This Row],[Prod PXX]],"Matricule")</f>
        <v>0</v>
      </c>
      <c r="T210" s="62">
        <f>IFERROR(Tableau242[[#This Row],[Non prod. days WK]]-Tableau242[[#This Row],[Improd PXX]],"Matricule")</f>
        <v>0</v>
      </c>
      <c r="U210" s="62">
        <f>IFERROR(Tableau242[[#This Row],[Paid leave days WK]]-Tableau242[[#This Row],[Congé PXX]],"Matricule")</f>
        <v>0</v>
      </c>
      <c r="V210" s="63">
        <f>IFERROR(VLOOKUP($B210,#REF!,4,FALSE),0)</f>
        <v>0</v>
      </c>
      <c r="W21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10" s="63">
        <f>IF(AND(Tableau242[[#This Row],[Paid leave days]]&gt;0,Tableau242[[#This Row],[Prod. days]]&lt;0),MIN(Tableau242[[#This Row],[Paid leave days]],-Tableau242[[#This Row],[Prod. days]]),0)</f>
        <v>0</v>
      </c>
      <c r="Z210" s="63">
        <f>IFERROR(_xlfn.XLOOKUP(Tableau242[[#This Row],[Consultant]],Tableau2[Collaborateur/Nom affiché],Tableau2[Montant imputé],0),0)</f>
        <v>0</v>
      </c>
      <c r="AA210" s="64">
        <f t="shared" si="4"/>
        <v>0</v>
      </c>
      <c r="AB210" s="65"/>
      <c r="AC210" s="66"/>
      <c r="AD210" s="66"/>
      <c r="AE210" s="105"/>
      <c r="AF210" s="90"/>
    </row>
    <row r="211" spans="1:32">
      <c r="A211" s="15">
        <f>Tableau242[[#This Row],[Company number]]+0</f>
        <v>582</v>
      </c>
      <c r="B211" s="60" t="s">
        <v>554</v>
      </c>
      <c r="C211" s="61" t="s">
        <v>555</v>
      </c>
      <c r="D211" s="61" t="s">
        <v>30</v>
      </c>
      <c r="E211" s="62" t="str">
        <f>IFERROR(VLOOKUP(Tableau242[[#This Row],[Manager ou CDM concerné]],Parametres!B:C,2,FALSE),"")</f>
        <v>Squad E</v>
      </c>
      <c r="F211" s="62" t="str">
        <f>IF(Tableau242[[#This Row],[Consultant]]=Tableau242[[#This Row],[Manager ou CDM concerné]],"Non",IF(IFERROR(VLOOKUP(Tableau242[[#This Row],[Consultant]],Parametres!B:C,2,FALSE),0)=0,"Non","Oui"))</f>
        <v>Non</v>
      </c>
      <c r="G211" s="62">
        <f>IFERROR(VLOOKUP(B211,Tableau5[#All],4,FALSE),"Matricule!")</f>
        <v>16</v>
      </c>
      <c r="H211" s="62" t="str">
        <f>IFERROR(VLOOKUP(Tableau242[[#This Row],[Company number]],#REF!,6,FALSE),"")</f>
        <v/>
      </c>
      <c r="I211" s="62">
        <f>IFERROR(VLOOKUP(B211,Tableau5[#All],5,FALSE),"Matricule!")</f>
        <v>4</v>
      </c>
      <c r="J211" s="62">
        <f>IFERROR(VLOOKUP(B211,Tableau5[#All],6,FALSE),"Matricule!")</f>
        <v>0</v>
      </c>
      <c r="K211" s="62">
        <f>IFERROR(VLOOKUP(B211,Tableau5[#All],7,FALSE),"Matricule!")</f>
        <v>0</v>
      </c>
      <c r="L211" s="62" t="e">
        <f>VLOOKUP(Tableau242[[#This Row],[Company number]],#REF!,25,FALSE)</f>
        <v>#REF!</v>
      </c>
      <c r="M211" s="62" t="str">
        <f>IFERROR(VLOOKUP(Tableau242[[#This Row],[Company number]],#REF!,30,FALSE),"")</f>
        <v/>
      </c>
      <c r="N211" s="62" t="str">
        <f>IFERROR(VLOOKUP(Tableau242[[#This Row],[Company number]],#REF!,31,FALSE),"")</f>
        <v/>
      </c>
      <c r="O211" s="62" t="str">
        <f>IFERROR(VLOOKUP(Tableau242[[#This Row],[Company number]],#REF!,32,FALSE),"")</f>
        <v/>
      </c>
      <c r="P211" s="62">
        <f>IFERROR(VLOOKUP(B211,Tableau3[#All],5,FALSE),"Matricule!")</f>
        <v>16</v>
      </c>
      <c r="Q211" s="62">
        <f>IFERROR(SUM(VLOOKUP(B211,Tableau3[#All],6,FALSE),VLOOKUP(B211,Tableau3[#All],8,FALSE)),"Matricule!")</f>
        <v>4</v>
      </c>
      <c r="R211" s="62">
        <f>IFERROR(VLOOKUP(B211,Tableau3[#All],7,FALSE),"Matricule!")</f>
        <v>0</v>
      </c>
      <c r="S211" s="62">
        <f>IFERROR(Tableau242[[#This Row],[Prod. days WK]]-Tableau242[[#This Row],[Prod PXX]],"Matricule")</f>
        <v>0</v>
      </c>
      <c r="T211" s="62">
        <f>IFERROR(Tableau242[[#This Row],[Non prod. days WK]]-Tableau242[[#This Row],[Improd PXX]],"Matricule")</f>
        <v>0</v>
      </c>
      <c r="U211" s="62">
        <f>IFERROR(Tableau242[[#This Row],[Paid leave days WK]]-Tableau242[[#This Row],[Congé PXX]],"Matricule")</f>
        <v>0</v>
      </c>
      <c r="V211" s="63">
        <f>IFERROR(VLOOKUP($B211,#REF!,4,FALSE),0)</f>
        <v>0</v>
      </c>
      <c r="W21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11" s="63">
        <f>IF(AND(Tableau242[[#This Row],[Paid leave days]]&gt;0,Tableau242[[#This Row],[Prod. days]]&lt;0),MIN(Tableau242[[#This Row],[Paid leave days]],-Tableau242[[#This Row],[Prod. days]]),0)</f>
        <v>0</v>
      </c>
      <c r="Z211" s="63">
        <f>IFERROR(_xlfn.XLOOKUP(Tableau242[[#This Row],[Consultant]],Tableau2[Collaborateur/Nom affiché],Tableau2[Montant imputé],0),0)</f>
        <v>0</v>
      </c>
      <c r="AA211" s="64">
        <f t="shared" si="4"/>
        <v>0</v>
      </c>
      <c r="AB211" s="65"/>
      <c r="AC211" s="66"/>
      <c r="AD211" s="66"/>
      <c r="AE211" s="105"/>
      <c r="AF211" s="90"/>
    </row>
    <row r="212" spans="1:32">
      <c r="A212" s="15">
        <f>Tableau242[[#This Row],[Company number]]+0</f>
        <v>17222</v>
      </c>
      <c r="B212" s="60" t="s">
        <v>556</v>
      </c>
      <c r="C212" s="61" t="s">
        <v>557</v>
      </c>
      <c r="D212" s="61" t="s">
        <v>49</v>
      </c>
      <c r="E212" s="62" t="str">
        <f>IFERROR(VLOOKUP(Tableau242[[#This Row],[Manager ou CDM concerné]],Parametres!B:C,2,FALSE),"")</f>
        <v>Squad F</v>
      </c>
      <c r="F212" s="62" t="str">
        <f>IF(Tableau242[[#This Row],[Consultant]]=Tableau242[[#This Row],[Manager ou CDM concerné]],"Non",IF(IFERROR(VLOOKUP(Tableau242[[#This Row],[Consultant]],Parametres!B:C,2,FALSE),0)=0,"Non","Oui"))</f>
        <v>Non</v>
      </c>
      <c r="G212" s="62">
        <f>IFERROR(VLOOKUP(B212,Tableau5[#All],4,FALSE),"Matricule!")</f>
        <v>18</v>
      </c>
      <c r="H212" s="62" t="str">
        <f>IFERROR(VLOOKUP(Tableau242[[#This Row],[Company number]],#REF!,6,FALSE),"")</f>
        <v/>
      </c>
      <c r="I212" s="62">
        <f>IFERROR(VLOOKUP(B212,Tableau5[#All],5,FALSE),"Matricule!")</f>
        <v>2</v>
      </c>
      <c r="J212" s="62">
        <f>IFERROR(VLOOKUP(B212,Tableau5[#All],6,FALSE),"Matricule!")</f>
        <v>0</v>
      </c>
      <c r="K212" s="62">
        <f>IFERROR(VLOOKUP(B212,Tableau5[#All],7,FALSE),"Matricule!")</f>
        <v>0</v>
      </c>
      <c r="L212" s="62" t="e">
        <f>VLOOKUP(Tableau242[[#This Row],[Company number]],#REF!,25,FALSE)</f>
        <v>#REF!</v>
      </c>
      <c r="M212" s="62" t="str">
        <f>IFERROR(VLOOKUP(Tableau242[[#This Row],[Company number]],#REF!,30,FALSE),"")</f>
        <v/>
      </c>
      <c r="N212" s="62" t="str">
        <f>IFERROR(VLOOKUP(Tableau242[[#This Row],[Company number]],#REF!,31,FALSE),"")</f>
        <v/>
      </c>
      <c r="O212" s="62" t="str">
        <f>IFERROR(VLOOKUP(Tableau242[[#This Row],[Company number]],#REF!,32,FALSE),"")</f>
        <v/>
      </c>
      <c r="P212" s="62">
        <f>IFERROR(VLOOKUP(B212,Tableau3[#All],5,FALSE),"Matricule!")</f>
        <v>20</v>
      </c>
      <c r="Q212" s="62">
        <f>IFERROR(SUM(VLOOKUP(B212,Tableau3[#All],6,FALSE),VLOOKUP(B212,Tableau3[#All],8,FALSE)),"Matricule!")</f>
        <v>0</v>
      </c>
      <c r="R212" s="62">
        <f>IFERROR(VLOOKUP(B212,Tableau3[#All],7,FALSE),"Matricule!")</f>
        <v>0</v>
      </c>
      <c r="S212" s="62">
        <f>IFERROR(Tableau242[[#This Row],[Prod. days WK]]-Tableau242[[#This Row],[Prod PXX]],"Matricule")</f>
        <v>-2</v>
      </c>
      <c r="T212" s="62">
        <f>IFERROR(Tableau242[[#This Row],[Non prod. days WK]]-Tableau242[[#This Row],[Improd PXX]],"Matricule")</f>
        <v>2</v>
      </c>
      <c r="U212" s="62">
        <f>IFERROR(Tableau242[[#This Row],[Paid leave days WK]]-Tableau242[[#This Row],[Congé PXX]],"Matricule")</f>
        <v>0</v>
      </c>
      <c r="V212" s="63">
        <f>IFERROR(VLOOKUP($B212,#REF!,4,FALSE),0)</f>
        <v>0</v>
      </c>
      <c r="W21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12" s="63">
        <f>IF(AND(Tableau242[[#This Row],[Paid leave days]]&gt;0,Tableau242[[#This Row],[Prod. days]]&lt;0),MIN(Tableau242[[#This Row],[Paid leave days]],-Tableau242[[#This Row],[Prod. days]]),0)</f>
        <v>0</v>
      </c>
      <c r="Z212" s="63">
        <f>IFERROR(_xlfn.XLOOKUP(Tableau242[[#This Row],[Consultant]],Tableau2[Collaborateur/Nom affiché],Tableau2[Montant imputé],0),0)</f>
        <v>0</v>
      </c>
      <c r="AA212" s="64">
        <f t="shared" si="4"/>
        <v>-2</v>
      </c>
      <c r="AB212" s="65" t="s">
        <v>154</v>
      </c>
      <c r="AC212" s="66"/>
      <c r="AD212" s="66"/>
      <c r="AE212" s="105"/>
      <c r="AF212" s="90"/>
    </row>
    <row r="213" spans="1:32">
      <c r="A213" s="15">
        <f>Tableau242[[#This Row],[Company number]]+0</f>
        <v>529</v>
      </c>
      <c r="B213" s="60" t="s">
        <v>558</v>
      </c>
      <c r="C213" s="61" t="s">
        <v>559</v>
      </c>
      <c r="D213" s="61" t="s">
        <v>30</v>
      </c>
      <c r="E213" s="62" t="str">
        <f>IFERROR(VLOOKUP(Tableau242[[#This Row],[Manager ou CDM concerné]],Parametres!B:C,2,FALSE),"")</f>
        <v>Squad E</v>
      </c>
      <c r="F213" s="62" t="str">
        <f>IF(Tableau242[[#This Row],[Consultant]]=Tableau242[[#This Row],[Manager ou CDM concerné]],"Non",IF(IFERROR(VLOOKUP(Tableau242[[#This Row],[Consultant]],Parametres!B:C,2,FALSE),0)=0,"Non","Oui"))</f>
        <v>Non</v>
      </c>
      <c r="G213" s="62">
        <f>IFERROR(VLOOKUP(B213,Tableau5[#All],4,FALSE),"Matricule!")</f>
        <v>10.5</v>
      </c>
      <c r="H213" s="62" t="str">
        <f>IFERROR(VLOOKUP(Tableau242[[#This Row],[Company number]],#REF!,6,FALSE),"")</f>
        <v/>
      </c>
      <c r="I213" s="62">
        <f>IFERROR(VLOOKUP(B213,Tableau5[#All],5,FALSE),"Matricule!")</f>
        <v>0</v>
      </c>
      <c r="J213" s="62">
        <f>IFERROR(VLOOKUP(B213,Tableau5[#All],6,FALSE),"Matricule!")</f>
        <v>0</v>
      </c>
      <c r="K213" s="62">
        <f>IFERROR(VLOOKUP(B213,Tableau5[#All],7,FALSE),"Matricule!")</f>
        <v>9.5</v>
      </c>
      <c r="L213" s="62" t="e">
        <f>VLOOKUP(Tableau242[[#This Row],[Company number]],#REF!,25,FALSE)</f>
        <v>#REF!</v>
      </c>
      <c r="M213" s="62" t="str">
        <f>IFERROR(VLOOKUP(Tableau242[[#This Row],[Company number]],#REF!,30,FALSE),"")</f>
        <v/>
      </c>
      <c r="N213" s="62" t="str">
        <f>IFERROR(VLOOKUP(Tableau242[[#This Row],[Company number]],#REF!,31,FALSE),"")</f>
        <v/>
      </c>
      <c r="O213" s="62" t="str">
        <f>IFERROR(VLOOKUP(Tableau242[[#This Row],[Company number]],#REF!,32,FALSE),"")</f>
        <v/>
      </c>
      <c r="P213" s="62">
        <f>IFERROR(VLOOKUP(B213,Tableau3[#All],5,FALSE),"Matricule!")</f>
        <v>7</v>
      </c>
      <c r="Q213" s="62">
        <f>IFERROR(SUM(VLOOKUP(B213,Tableau3[#All],6,FALSE),VLOOKUP(B213,Tableau3[#All],8,FALSE)),"Matricule!")</f>
        <v>13</v>
      </c>
      <c r="R213" s="62">
        <f>IFERROR(VLOOKUP(B213,Tableau3[#All],7,FALSE),"Matricule!")</f>
        <v>0</v>
      </c>
      <c r="S213" s="62">
        <f>IFERROR(Tableau242[[#This Row],[Prod. days WK]]-Tableau242[[#This Row],[Prod PXX]],"Matricule")</f>
        <v>3.5</v>
      </c>
      <c r="T213" s="62">
        <f>IFERROR(Tableau242[[#This Row],[Non prod. days WK]]-Tableau242[[#This Row],[Improd PXX]],"Matricule")</f>
        <v>-13</v>
      </c>
      <c r="U213" s="62">
        <f>IFERROR(Tableau242[[#This Row],[Paid leave days WK]]-Tableau242[[#This Row],[Congé PXX]],"Matricule")</f>
        <v>0</v>
      </c>
      <c r="V213" s="63">
        <f>IFERROR(VLOOKUP($B213,#REF!,4,FALSE),0)</f>
        <v>0</v>
      </c>
      <c r="W21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13" s="63">
        <f>IF(AND(Tableau242[[#This Row],[Paid leave days]]&gt;0,Tableau242[[#This Row],[Prod. days]]&lt;0),MIN(Tableau242[[#This Row],[Paid leave days]],-Tableau242[[#This Row],[Prod. days]]),0)</f>
        <v>0</v>
      </c>
      <c r="Z213" s="63">
        <f>IFERROR(_xlfn.XLOOKUP(Tableau242[[#This Row],[Consultant]],Tableau2[Collaborateur/Nom affiché],Tableau2[Montant imputé],0),0)</f>
        <v>0</v>
      </c>
      <c r="AA213" s="64">
        <f t="shared" si="4"/>
        <v>3.5</v>
      </c>
      <c r="AB213" s="65"/>
      <c r="AC213" s="66"/>
      <c r="AD213" s="66"/>
      <c r="AE213" s="105"/>
      <c r="AF213" s="90"/>
    </row>
    <row r="214" spans="1:32">
      <c r="A214" s="15">
        <f>Tableau242[[#This Row],[Company number]]+0</f>
        <v>21324</v>
      </c>
      <c r="B214" s="60" t="s">
        <v>560</v>
      </c>
      <c r="C214" s="61" t="s">
        <v>561</v>
      </c>
      <c r="D214" s="61" t="s">
        <v>30</v>
      </c>
      <c r="E214" s="62" t="str">
        <f>IFERROR(VLOOKUP(Tableau242[[#This Row],[Manager ou CDM concerné]],Parametres!B:C,2,FALSE),"")</f>
        <v>Squad E</v>
      </c>
      <c r="F214" s="62" t="str">
        <f>IF(Tableau242[[#This Row],[Consultant]]=Tableau242[[#This Row],[Manager ou CDM concerné]],"Non",IF(IFERROR(VLOOKUP(Tableau242[[#This Row],[Consultant]],Parametres!B:C,2,FALSE),0)=0,"Non","Oui"))</f>
        <v>Non</v>
      </c>
      <c r="G214" s="62">
        <f>IFERROR(VLOOKUP(B214,Tableau5[#All],4,FALSE),"Matricule!")</f>
        <v>19</v>
      </c>
      <c r="H214" s="62" t="str">
        <f>IFERROR(VLOOKUP(Tableau242[[#This Row],[Company number]],#REF!,6,FALSE),"")</f>
        <v/>
      </c>
      <c r="I214" s="62">
        <f>IFERROR(VLOOKUP(B214,Tableau5[#All],5,FALSE),"Matricule!")</f>
        <v>1</v>
      </c>
      <c r="J214" s="62">
        <f>IFERROR(VLOOKUP(B214,Tableau5[#All],6,FALSE),"Matricule!")</f>
        <v>0</v>
      </c>
      <c r="K214" s="62">
        <f>IFERROR(VLOOKUP(B214,Tableau5[#All],7,FALSE),"Matricule!")</f>
        <v>0</v>
      </c>
      <c r="L214" s="62" t="e">
        <f>VLOOKUP(Tableau242[[#This Row],[Company number]],#REF!,25,FALSE)</f>
        <v>#REF!</v>
      </c>
      <c r="M214" s="62" t="str">
        <f>IFERROR(VLOOKUP(Tableau242[[#This Row],[Company number]],#REF!,30,FALSE),"")</f>
        <v/>
      </c>
      <c r="N214" s="62" t="str">
        <f>IFERROR(VLOOKUP(Tableau242[[#This Row],[Company number]],#REF!,31,FALSE),"")</f>
        <v/>
      </c>
      <c r="O214" s="62" t="str">
        <f>IFERROR(VLOOKUP(Tableau242[[#This Row],[Company number]],#REF!,32,FALSE),"")</f>
        <v/>
      </c>
      <c r="P214" s="62">
        <f>IFERROR(VLOOKUP(B214,Tableau3[#All],5,FALSE),"Matricule!")</f>
        <v>18</v>
      </c>
      <c r="Q214" s="62">
        <f>IFERROR(SUM(VLOOKUP(B214,Tableau3[#All],6,FALSE),VLOOKUP(B214,Tableau3[#All],8,FALSE)),"Matricule!")</f>
        <v>2</v>
      </c>
      <c r="R214" s="62">
        <f>IFERROR(VLOOKUP(B214,Tableau3[#All],7,FALSE),"Matricule!")</f>
        <v>0</v>
      </c>
      <c r="S214" s="62">
        <f>IFERROR(Tableau242[[#This Row],[Prod. days WK]]-Tableau242[[#This Row],[Prod PXX]],"Matricule")</f>
        <v>1</v>
      </c>
      <c r="T214" s="62">
        <f>IFERROR(Tableau242[[#This Row],[Non prod. days WK]]-Tableau242[[#This Row],[Improd PXX]],"Matricule")</f>
        <v>-1</v>
      </c>
      <c r="U214" s="62">
        <f>IFERROR(Tableau242[[#This Row],[Paid leave days WK]]-Tableau242[[#This Row],[Congé PXX]],"Matricule")</f>
        <v>0</v>
      </c>
      <c r="V214" s="63">
        <f>IFERROR(VLOOKUP($B214,#REF!,4,FALSE),0)</f>
        <v>0</v>
      </c>
      <c r="W21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14" s="63">
        <f>IF(AND(Tableau242[[#This Row],[Paid leave days]]&gt;0,Tableau242[[#This Row],[Prod. days]]&lt;0),MIN(Tableau242[[#This Row],[Paid leave days]],-Tableau242[[#This Row],[Prod. days]]),0)</f>
        <v>0</v>
      </c>
      <c r="Z214" s="63">
        <f>IFERROR(_xlfn.XLOOKUP(Tableau242[[#This Row],[Consultant]],Tableau2[Collaborateur/Nom affiché],Tableau2[Montant imputé],0),0)</f>
        <v>0</v>
      </c>
      <c r="AA214" s="64">
        <f t="shared" si="4"/>
        <v>1</v>
      </c>
      <c r="AB214" s="65"/>
      <c r="AC214" s="66"/>
      <c r="AD214" s="66"/>
      <c r="AE214" s="105"/>
      <c r="AF214" s="90"/>
    </row>
    <row r="215" spans="1:32">
      <c r="A215" s="15">
        <f>Tableau242[[#This Row],[Company number]]+0</f>
        <v>34</v>
      </c>
      <c r="B215" s="60" t="s">
        <v>562</v>
      </c>
      <c r="C215" s="61" t="s">
        <v>563</v>
      </c>
      <c r="D215" s="61" t="s">
        <v>43</v>
      </c>
      <c r="E215" s="62" t="str">
        <f>IFERROR(VLOOKUP(Tableau242[[#This Row],[Manager ou CDM concerné]],Parametres!B:C,2,FALSE),"")</f>
        <v>Squad C</v>
      </c>
      <c r="F215" s="62" t="str">
        <f>IF(Tableau242[[#This Row],[Consultant]]=Tableau242[[#This Row],[Manager ou CDM concerné]],"Non",IF(IFERROR(VLOOKUP(Tableau242[[#This Row],[Consultant]],Parametres!B:C,2,FALSE),0)=0,"Non","Oui"))</f>
        <v>Non</v>
      </c>
      <c r="G215" s="62">
        <f>IFERROR(VLOOKUP(B215,Tableau5[#All],4,FALSE),"Matricule!")</f>
        <v>18</v>
      </c>
      <c r="H215" s="62" t="str">
        <f>IFERROR(VLOOKUP(Tableau242[[#This Row],[Company number]],#REF!,6,FALSE),"")</f>
        <v/>
      </c>
      <c r="I215" s="62">
        <f>IFERROR(VLOOKUP(B215,Tableau5[#All],5,FALSE),"Matricule!")</f>
        <v>2</v>
      </c>
      <c r="J215" s="62">
        <f>IFERROR(VLOOKUP(B215,Tableau5[#All],6,FALSE),"Matricule!")</f>
        <v>0</v>
      </c>
      <c r="K215" s="62">
        <f>IFERROR(VLOOKUP(B215,Tableau5[#All],7,FALSE),"Matricule!")</f>
        <v>0</v>
      </c>
      <c r="L215" s="62" t="e">
        <f>VLOOKUP(Tableau242[[#This Row],[Company number]],#REF!,25,FALSE)</f>
        <v>#REF!</v>
      </c>
      <c r="M215" s="62" t="str">
        <f>IFERROR(VLOOKUP(Tableau242[[#This Row],[Company number]],#REF!,30,FALSE),"")</f>
        <v/>
      </c>
      <c r="N215" s="62" t="str">
        <f>IFERROR(VLOOKUP(Tableau242[[#This Row],[Company number]],#REF!,31,FALSE),"")</f>
        <v/>
      </c>
      <c r="O215" s="62" t="str">
        <f>IFERROR(VLOOKUP(Tableau242[[#This Row],[Company number]],#REF!,32,FALSE),"")</f>
        <v/>
      </c>
      <c r="P215" s="62">
        <f>IFERROR(VLOOKUP(B215,Tableau3[#All],5,FALSE),"Matricule!")</f>
        <v>20</v>
      </c>
      <c r="Q215" s="62">
        <f>IFERROR(SUM(VLOOKUP(B215,Tableau3[#All],6,FALSE),VLOOKUP(B215,Tableau3[#All],8,FALSE)),"Matricule!")</f>
        <v>0</v>
      </c>
      <c r="R215" s="62">
        <f>IFERROR(VLOOKUP(B215,Tableau3[#All],7,FALSE),"Matricule!")</f>
        <v>0</v>
      </c>
      <c r="S215" s="62">
        <f>IFERROR(Tableau242[[#This Row],[Prod. days WK]]-Tableau242[[#This Row],[Prod PXX]],"Matricule")</f>
        <v>-2</v>
      </c>
      <c r="T215" s="62">
        <f>IFERROR(Tableau242[[#This Row],[Non prod. days WK]]-Tableau242[[#This Row],[Improd PXX]],"Matricule")</f>
        <v>2</v>
      </c>
      <c r="U215" s="62">
        <f>IFERROR(Tableau242[[#This Row],[Paid leave days WK]]-Tableau242[[#This Row],[Congé PXX]],"Matricule")</f>
        <v>0</v>
      </c>
      <c r="V215" s="63">
        <f>IFERROR(VLOOKUP($B215,#REF!,4,FALSE),0)</f>
        <v>0</v>
      </c>
      <c r="W21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15" s="63">
        <f>IF(AND(Tableau242[[#This Row],[Paid leave days]]&gt;0,Tableau242[[#This Row],[Prod. days]]&lt;0),MIN(Tableau242[[#This Row],[Paid leave days]],-Tableau242[[#This Row],[Prod. days]]),0)</f>
        <v>0</v>
      </c>
      <c r="Z215" s="63">
        <f>IFERROR(_xlfn.XLOOKUP(Tableau242[[#This Row],[Consultant]],Tableau2[Collaborateur/Nom affiché],Tableau2[Montant imputé],0),0)</f>
        <v>0</v>
      </c>
      <c r="AA215" s="64">
        <f t="shared" si="4"/>
        <v>-2</v>
      </c>
      <c r="AB215" s="70" t="s">
        <v>147</v>
      </c>
      <c r="AC215" s="66"/>
      <c r="AD215" s="66"/>
      <c r="AE215" s="105"/>
      <c r="AF215" s="90"/>
    </row>
    <row r="216" spans="1:32">
      <c r="A216" s="15">
        <f>Tableau242[[#This Row],[Company number]]+0</f>
        <v>17686</v>
      </c>
      <c r="B216" s="60" t="s">
        <v>564</v>
      </c>
      <c r="C216" s="61" t="s">
        <v>565</v>
      </c>
      <c r="D216" s="61" t="s">
        <v>33</v>
      </c>
      <c r="E216" s="62" t="str">
        <f>IFERROR(VLOOKUP(Tableau242[[#This Row],[Manager ou CDM concerné]],Parametres!B:C,2,FALSE),"")</f>
        <v>Squad A</v>
      </c>
      <c r="F216" s="62" t="str">
        <f>IF(Tableau242[[#This Row],[Consultant]]=Tableau242[[#This Row],[Manager ou CDM concerné]],"Non",IF(IFERROR(VLOOKUP(Tableau242[[#This Row],[Consultant]],Parametres!B:C,2,FALSE),0)=0,"Non","Oui"))</f>
        <v>Non</v>
      </c>
      <c r="G216" s="62">
        <f>IFERROR(VLOOKUP(B216,Tableau5[#All],4,FALSE),"Matricule!")</f>
        <v>12</v>
      </c>
      <c r="H216" s="62" t="str">
        <f>IFERROR(VLOOKUP(Tableau242[[#This Row],[Company number]],#REF!,6,FALSE),"")</f>
        <v/>
      </c>
      <c r="I216" s="62">
        <f>IFERROR(VLOOKUP(B216,Tableau5[#All],5,FALSE),"Matricule!")</f>
        <v>8</v>
      </c>
      <c r="J216" s="62">
        <f>IFERROR(VLOOKUP(B216,Tableau5[#All],6,FALSE),"Matricule!")</f>
        <v>0</v>
      </c>
      <c r="K216" s="62">
        <f>IFERROR(VLOOKUP(B216,Tableau5[#All],7,FALSE),"Matricule!")</f>
        <v>0</v>
      </c>
      <c r="L216" s="62" t="e">
        <f>VLOOKUP(Tableau242[[#This Row],[Company number]],#REF!,25,FALSE)</f>
        <v>#REF!</v>
      </c>
      <c r="M216" s="62" t="str">
        <f>IFERROR(VLOOKUP(Tableau242[[#This Row],[Company number]],#REF!,30,FALSE),"")</f>
        <v/>
      </c>
      <c r="N216" s="62" t="str">
        <f>IFERROR(VLOOKUP(Tableau242[[#This Row],[Company number]],#REF!,31,FALSE),"")</f>
        <v/>
      </c>
      <c r="O216" s="62" t="str">
        <f>IFERROR(VLOOKUP(Tableau242[[#This Row],[Company number]],#REF!,32,FALSE),"")</f>
        <v/>
      </c>
      <c r="P216" s="62">
        <f>IFERROR(VLOOKUP(B216,Tableau3[#All],5,FALSE),"Matricule!")</f>
        <v>14</v>
      </c>
      <c r="Q216" s="62">
        <f>IFERROR(SUM(VLOOKUP(B216,Tableau3[#All],6,FALSE),VLOOKUP(B216,Tableau3[#All],8,FALSE)),"Matricule!")</f>
        <v>6</v>
      </c>
      <c r="R216" s="62">
        <f>IFERROR(VLOOKUP(B216,Tableau3[#All],7,FALSE),"Matricule!")</f>
        <v>0</v>
      </c>
      <c r="S216" s="62">
        <f>IFERROR(Tableau242[[#This Row],[Prod. days WK]]-Tableau242[[#This Row],[Prod PXX]],"Matricule")</f>
        <v>-2</v>
      </c>
      <c r="T216" s="62">
        <f>IFERROR(Tableau242[[#This Row],[Non prod. days WK]]-Tableau242[[#This Row],[Improd PXX]],"Matricule")</f>
        <v>2</v>
      </c>
      <c r="U216" s="62">
        <f>IFERROR(Tableau242[[#This Row],[Paid leave days WK]]-Tableau242[[#This Row],[Congé PXX]],"Matricule")</f>
        <v>0</v>
      </c>
      <c r="V216" s="63">
        <f>IFERROR(VLOOKUP($B216,#REF!,4,FALSE),0)</f>
        <v>0</v>
      </c>
      <c r="W21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16" s="63">
        <f>IF(AND(Tableau242[[#This Row],[Paid leave days]]&gt;0,Tableau242[[#This Row],[Prod. days]]&lt;0),MIN(Tableau242[[#This Row],[Paid leave days]],-Tableau242[[#This Row],[Prod. days]]),0)</f>
        <v>0</v>
      </c>
      <c r="Z216" s="63">
        <f>IFERROR(_xlfn.XLOOKUP(Tableau242[[#This Row],[Consultant]],Tableau2[Collaborateur/Nom affiché],Tableau2[Montant imputé],0),0)</f>
        <v>0</v>
      </c>
      <c r="AA216" s="64">
        <f t="shared" si="4"/>
        <v>-2</v>
      </c>
      <c r="AB216" s="65" t="s">
        <v>154</v>
      </c>
      <c r="AC216" s="66"/>
      <c r="AD216" s="66"/>
      <c r="AE216" s="105"/>
      <c r="AF216" s="90" t="s">
        <v>566</v>
      </c>
    </row>
    <row r="217" spans="1:32">
      <c r="A217" s="15">
        <f>Tableau242[[#This Row],[Company number]]+0</f>
        <v>3962</v>
      </c>
      <c r="B217" s="60" t="s">
        <v>567</v>
      </c>
      <c r="C217" s="61" t="s">
        <v>8</v>
      </c>
      <c r="D217" s="61" t="s">
        <v>30</v>
      </c>
      <c r="E217" s="62" t="str">
        <f>IFERROR(VLOOKUP(Tableau242[[#This Row],[Manager ou CDM concerné]],Parametres!B:C,2,FALSE),"")</f>
        <v>Squad E</v>
      </c>
      <c r="F217" s="62" t="str">
        <f>IF(Tableau242[[#This Row],[Consultant]]=Tableau242[[#This Row],[Manager ou CDM concerné]],"Non",IF(IFERROR(VLOOKUP(Tableau242[[#This Row],[Consultant]],Parametres!B:C,2,FALSE),0)=0,"Non","Oui"))</f>
        <v>Oui</v>
      </c>
      <c r="G217" s="62">
        <f>IFERROR(VLOOKUP(B217,Tableau5[#All],4,FALSE),"Matricule!")</f>
        <v>12.5</v>
      </c>
      <c r="H217" s="62" t="str">
        <f>IFERROR(VLOOKUP(Tableau242[[#This Row],[Company number]],#REF!,6,FALSE),"")</f>
        <v/>
      </c>
      <c r="I217" s="62">
        <f>IFERROR(VLOOKUP(B217,Tableau5[#All],5,FALSE),"Matricule!")</f>
        <v>7.5</v>
      </c>
      <c r="J217" s="62">
        <f>IFERROR(VLOOKUP(B217,Tableau5[#All],6,FALSE),"Matricule!")</f>
        <v>0</v>
      </c>
      <c r="K217" s="62">
        <f>IFERROR(VLOOKUP(B217,Tableau5[#All],7,FALSE),"Matricule!")</f>
        <v>0</v>
      </c>
      <c r="L217" s="62" t="e">
        <f>VLOOKUP(Tableau242[[#This Row],[Company number]],#REF!,25,FALSE)</f>
        <v>#REF!</v>
      </c>
      <c r="M217" s="62" t="str">
        <f>IFERROR(VLOOKUP(Tableau242[[#This Row],[Company number]],#REF!,30,FALSE),"")</f>
        <v/>
      </c>
      <c r="N217" s="62" t="str">
        <f>IFERROR(VLOOKUP(Tableau242[[#This Row],[Company number]],#REF!,31,FALSE),"")</f>
        <v/>
      </c>
      <c r="O217" s="62" t="str">
        <f>IFERROR(VLOOKUP(Tableau242[[#This Row],[Company number]],#REF!,32,FALSE),"")</f>
        <v/>
      </c>
      <c r="P217" s="62">
        <f>IFERROR(VLOOKUP(B217,Tableau3[#All],5,FALSE),"Matricule!")</f>
        <v>4</v>
      </c>
      <c r="Q217" s="62">
        <f>IFERROR(SUM(VLOOKUP(B217,Tableau3[#All],6,FALSE),VLOOKUP(B217,Tableau3[#All],8,FALSE)),"Matricule!")</f>
        <v>16</v>
      </c>
      <c r="R217" s="62">
        <f>IFERROR(VLOOKUP(B217,Tableau3[#All],7,FALSE),"Matricule!")</f>
        <v>0</v>
      </c>
      <c r="S217" s="62">
        <f>IFERROR(Tableau242[[#This Row],[Prod. days WK]]-Tableau242[[#This Row],[Prod PXX]],"Matricule")</f>
        <v>8.5</v>
      </c>
      <c r="T217" s="62">
        <f>IFERROR(Tableau242[[#This Row],[Non prod. days WK]]-Tableau242[[#This Row],[Improd PXX]],"Matricule")</f>
        <v>-8.5</v>
      </c>
      <c r="U217" s="62">
        <f>IFERROR(Tableau242[[#This Row],[Paid leave days WK]]-Tableau242[[#This Row],[Congé PXX]],"Matricule")</f>
        <v>0</v>
      </c>
      <c r="V217" s="63">
        <f>IFERROR(VLOOKUP($B217,#REF!,4,FALSE),0)</f>
        <v>0</v>
      </c>
      <c r="W21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17" s="63">
        <f>IF(AND(Tableau242[[#This Row],[Paid leave days]]&gt;0,Tableau242[[#This Row],[Prod. days]]&lt;0),MIN(Tableau242[[#This Row],[Paid leave days]],-Tableau242[[#This Row],[Prod. days]]),0)</f>
        <v>0</v>
      </c>
      <c r="Z217" s="63">
        <f>IFERROR(_xlfn.XLOOKUP(Tableau242[[#This Row],[Consultant]],Tableau2[Collaborateur/Nom affiché],Tableau2[Montant imputé],0),0)</f>
        <v>0</v>
      </c>
      <c r="AA217" s="64">
        <f t="shared" si="4"/>
        <v>8.5</v>
      </c>
      <c r="AB217" s="65"/>
      <c r="AC217" s="66"/>
      <c r="AD217" s="66"/>
      <c r="AE217" s="105"/>
      <c r="AF217" s="90"/>
    </row>
    <row r="218" spans="1:32">
      <c r="A218" s="15">
        <f>Tableau242[[#This Row],[Company number]]+0</f>
        <v>10723</v>
      </c>
      <c r="B218" s="60" t="s">
        <v>568</v>
      </c>
      <c r="C218" s="61" t="s">
        <v>569</v>
      </c>
      <c r="D218" s="61" t="s">
        <v>29</v>
      </c>
      <c r="E218" s="62" t="str">
        <f>IFERROR(VLOOKUP(Tableau242[[#This Row],[Manager ou CDM concerné]],Parametres!B:C,2,FALSE),"")</f>
        <v>Squad E</v>
      </c>
      <c r="F218" s="62" t="str">
        <f>IF(Tableau242[[#This Row],[Consultant]]=Tableau242[[#This Row],[Manager ou CDM concerné]],"Non",IF(IFERROR(VLOOKUP(Tableau242[[#This Row],[Consultant]],Parametres!B:C,2,FALSE),0)=0,"Non","Oui"))</f>
        <v>Non</v>
      </c>
      <c r="G218" s="62">
        <f>IFERROR(VLOOKUP(B218,Tableau5[#All],4,FALSE),"Matricule!")</f>
        <v>20</v>
      </c>
      <c r="H218" s="62" t="str">
        <f>IFERROR(VLOOKUP(Tableau242[[#This Row],[Company number]],#REF!,6,FALSE),"")</f>
        <v/>
      </c>
      <c r="I218" s="62">
        <f>IFERROR(VLOOKUP(B218,Tableau5[#All],5,FALSE),"Matricule!")</f>
        <v>0</v>
      </c>
      <c r="J218" s="62">
        <f>IFERROR(VLOOKUP(B218,Tableau5[#All],6,FALSE),"Matricule!")</f>
        <v>0</v>
      </c>
      <c r="K218" s="62">
        <f>IFERROR(VLOOKUP(B218,Tableau5[#All],7,FALSE),"Matricule!")</f>
        <v>0</v>
      </c>
      <c r="L218" s="62" t="e">
        <f>VLOOKUP(Tableau242[[#This Row],[Company number]],#REF!,25,FALSE)</f>
        <v>#REF!</v>
      </c>
      <c r="M218" s="62" t="str">
        <f>IFERROR(VLOOKUP(Tableau242[[#This Row],[Company number]],#REF!,30,FALSE),"")</f>
        <v/>
      </c>
      <c r="N218" s="62" t="str">
        <f>IFERROR(VLOOKUP(Tableau242[[#This Row],[Company number]],#REF!,31,FALSE),"")</f>
        <v/>
      </c>
      <c r="O218" s="62" t="str">
        <f>IFERROR(VLOOKUP(Tableau242[[#This Row],[Company number]],#REF!,32,FALSE),"")</f>
        <v/>
      </c>
      <c r="P218" s="62">
        <f>IFERROR(VLOOKUP(B218,Tableau3[#All],5,FALSE),"Matricule!")</f>
        <v>20</v>
      </c>
      <c r="Q218" s="62">
        <f>IFERROR(SUM(VLOOKUP(B218,Tableau3[#All],6,FALSE),VLOOKUP(B218,Tableau3[#All],8,FALSE)),"Matricule!")</f>
        <v>0</v>
      </c>
      <c r="R218" s="62">
        <f>IFERROR(VLOOKUP(B218,Tableau3[#All],7,FALSE),"Matricule!")</f>
        <v>0</v>
      </c>
      <c r="S218" s="62">
        <f>IFERROR(Tableau242[[#This Row],[Prod. days WK]]-Tableau242[[#This Row],[Prod PXX]],"Matricule")</f>
        <v>0</v>
      </c>
      <c r="T218" s="62">
        <f>IFERROR(Tableau242[[#This Row],[Non prod. days WK]]-Tableau242[[#This Row],[Improd PXX]],"Matricule")</f>
        <v>0</v>
      </c>
      <c r="U218" s="62">
        <f>IFERROR(Tableau242[[#This Row],[Paid leave days WK]]-Tableau242[[#This Row],[Congé PXX]],"Matricule")</f>
        <v>0</v>
      </c>
      <c r="V218" s="63">
        <f>IFERROR(VLOOKUP($B218,#REF!,4,FALSE),0)</f>
        <v>0</v>
      </c>
      <c r="W21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18" s="63">
        <f>IF(AND(Tableau242[[#This Row],[Paid leave days]]&gt;0,Tableau242[[#This Row],[Prod. days]]&lt;0),MIN(Tableau242[[#This Row],[Paid leave days]],-Tableau242[[#This Row],[Prod. days]]),0)</f>
        <v>0</v>
      </c>
      <c r="Z218" s="63">
        <f>IFERROR(_xlfn.XLOOKUP(Tableau242[[#This Row],[Consultant]],Tableau2[Collaborateur/Nom affiché],Tableau2[Montant imputé],0),0)</f>
        <v>0</v>
      </c>
      <c r="AA218" s="64">
        <f t="shared" si="4"/>
        <v>0</v>
      </c>
      <c r="AB218" s="65"/>
      <c r="AC218" s="66"/>
      <c r="AD218" s="66"/>
      <c r="AE218" s="105"/>
      <c r="AF218" s="90"/>
    </row>
    <row r="219" spans="1:32">
      <c r="A219" s="15">
        <f>Tableau242[[#This Row],[Company number]]+0</f>
        <v>11656</v>
      </c>
      <c r="B219" s="60" t="s">
        <v>570</v>
      </c>
      <c r="C219" s="61" t="s">
        <v>571</v>
      </c>
      <c r="D219" s="61" t="s">
        <v>29</v>
      </c>
      <c r="E219" s="62" t="str">
        <f>IFERROR(VLOOKUP(Tableau242[[#This Row],[Manager ou CDM concerné]],Parametres!B:C,2,FALSE),"")</f>
        <v>Squad E</v>
      </c>
      <c r="F219" s="62" t="str">
        <f>IF(Tableau242[[#This Row],[Consultant]]=Tableau242[[#This Row],[Manager ou CDM concerné]],"Non",IF(IFERROR(VLOOKUP(Tableau242[[#This Row],[Consultant]],Parametres!B:C,2,FALSE),0)=0,"Non","Oui"))</f>
        <v>Non</v>
      </c>
      <c r="G219" s="62">
        <f>IFERROR(VLOOKUP(B219,Tableau5[#All],4,FALSE),"Matricule!")</f>
        <v>20</v>
      </c>
      <c r="H219" s="62" t="str">
        <f>IFERROR(VLOOKUP(Tableau242[[#This Row],[Company number]],#REF!,6,FALSE),"")</f>
        <v/>
      </c>
      <c r="I219" s="62">
        <f>IFERROR(VLOOKUP(B219,Tableau5[#All],5,FALSE),"Matricule!")</f>
        <v>0</v>
      </c>
      <c r="J219" s="62">
        <f>IFERROR(VLOOKUP(B219,Tableau5[#All],6,FALSE),"Matricule!")</f>
        <v>0</v>
      </c>
      <c r="K219" s="62">
        <f>IFERROR(VLOOKUP(B219,Tableau5[#All],7,FALSE),"Matricule!")</f>
        <v>0</v>
      </c>
      <c r="L219" s="62" t="e">
        <f>VLOOKUP(Tableau242[[#This Row],[Company number]],#REF!,25,FALSE)</f>
        <v>#REF!</v>
      </c>
      <c r="M219" s="62" t="str">
        <f>IFERROR(VLOOKUP(Tableau242[[#This Row],[Company number]],#REF!,30,FALSE),"")</f>
        <v/>
      </c>
      <c r="N219" s="62" t="str">
        <f>IFERROR(VLOOKUP(Tableau242[[#This Row],[Company number]],#REF!,31,FALSE),"")</f>
        <v/>
      </c>
      <c r="O219" s="62" t="str">
        <f>IFERROR(VLOOKUP(Tableau242[[#This Row],[Company number]],#REF!,32,FALSE),"")</f>
        <v/>
      </c>
      <c r="P219" s="62">
        <f>IFERROR(VLOOKUP(B219,Tableau3[#All],5,FALSE),"Matricule!")</f>
        <v>20</v>
      </c>
      <c r="Q219" s="62">
        <f>IFERROR(SUM(VLOOKUP(B219,Tableau3[#All],6,FALSE),VLOOKUP(B219,Tableau3[#All],8,FALSE)),"Matricule!")</f>
        <v>0</v>
      </c>
      <c r="R219" s="62">
        <f>IFERROR(VLOOKUP(B219,Tableau3[#All],7,FALSE),"Matricule!")</f>
        <v>0</v>
      </c>
      <c r="S219" s="62">
        <f>IFERROR(Tableau242[[#This Row],[Prod. days WK]]-Tableau242[[#This Row],[Prod PXX]],"Matricule")</f>
        <v>0</v>
      </c>
      <c r="T219" s="62">
        <f>IFERROR(Tableau242[[#This Row],[Non prod. days WK]]-Tableau242[[#This Row],[Improd PXX]],"Matricule")</f>
        <v>0</v>
      </c>
      <c r="U219" s="62">
        <f>IFERROR(Tableau242[[#This Row],[Paid leave days WK]]-Tableau242[[#This Row],[Congé PXX]],"Matricule")</f>
        <v>0</v>
      </c>
      <c r="V219" s="63">
        <f>IFERROR(VLOOKUP($B219,#REF!,4,FALSE),0)</f>
        <v>0</v>
      </c>
      <c r="W21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1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19" s="63">
        <f>IF(AND(Tableau242[[#This Row],[Paid leave days]]&gt;0,Tableau242[[#This Row],[Prod. days]]&lt;0),MIN(Tableau242[[#This Row],[Paid leave days]],-Tableau242[[#This Row],[Prod. days]]),0)</f>
        <v>0</v>
      </c>
      <c r="Z219" s="63">
        <f>IFERROR(_xlfn.XLOOKUP(Tableau242[[#This Row],[Consultant]],Tableau2[Collaborateur/Nom affiché],Tableau2[Montant imputé],0),0)</f>
        <v>0</v>
      </c>
      <c r="AA219" s="64">
        <f t="shared" si="4"/>
        <v>0</v>
      </c>
      <c r="AB219" s="65"/>
      <c r="AC219" s="66"/>
      <c r="AD219" s="66"/>
      <c r="AE219" s="39"/>
      <c r="AF219" s="90"/>
    </row>
    <row r="220" spans="1:32">
      <c r="A220" s="15">
        <f>Tableau242[[#This Row],[Company number]]+0</f>
        <v>10061</v>
      </c>
      <c r="B220" s="60" t="s">
        <v>572</v>
      </c>
      <c r="C220" s="61" t="s">
        <v>62</v>
      </c>
      <c r="D220" s="61" t="s">
        <v>29</v>
      </c>
      <c r="E220" s="62" t="str">
        <f>IFERROR(VLOOKUP(Tableau242[[#This Row],[Manager ou CDM concerné]],Parametres!B:C,2,FALSE),"")</f>
        <v>Squad E</v>
      </c>
      <c r="F220" s="62" t="str">
        <f>IF(Tableau242[[#This Row],[Consultant]]=Tableau242[[#This Row],[Manager ou CDM concerné]],"Non",IF(IFERROR(VLOOKUP(Tableau242[[#This Row],[Consultant]],Parametres!B:C,2,FALSE),0)=0,"Non","Oui"))</f>
        <v>Oui</v>
      </c>
      <c r="G220" s="62">
        <f>IFERROR(VLOOKUP(B220,Tableau5[#All],4,FALSE),"Matricule!")</f>
        <v>16</v>
      </c>
      <c r="H220" s="62" t="str">
        <f>IFERROR(VLOOKUP(Tableau242[[#This Row],[Company number]],#REF!,6,FALSE),"")</f>
        <v/>
      </c>
      <c r="I220" s="62">
        <f>IFERROR(VLOOKUP(B220,Tableau5[#All],5,FALSE),"Matricule!")</f>
        <v>1</v>
      </c>
      <c r="J220" s="62">
        <f>IFERROR(VLOOKUP(B220,Tableau5[#All],6,FALSE),"Matricule!")</f>
        <v>3</v>
      </c>
      <c r="K220" s="62">
        <f>IFERROR(VLOOKUP(B220,Tableau5[#All],7,FALSE),"Matricule!")</f>
        <v>0</v>
      </c>
      <c r="L220" s="62" t="e">
        <f>VLOOKUP(Tableau242[[#This Row],[Company number]],#REF!,25,FALSE)</f>
        <v>#REF!</v>
      </c>
      <c r="M220" s="62" t="str">
        <f>IFERROR(VLOOKUP(Tableau242[[#This Row],[Company number]],#REF!,30,FALSE),"")</f>
        <v/>
      </c>
      <c r="N220" s="62" t="str">
        <f>IFERROR(VLOOKUP(Tableau242[[#This Row],[Company number]],#REF!,31,FALSE),"")</f>
        <v/>
      </c>
      <c r="O220" s="62" t="str">
        <f>IFERROR(VLOOKUP(Tableau242[[#This Row],[Company number]],#REF!,32,FALSE),"")</f>
        <v/>
      </c>
      <c r="P220" s="62">
        <f>IFERROR(VLOOKUP(B220,Tableau3[#All],5,FALSE),"Matricule!")</f>
        <v>16</v>
      </c>
      <c r="Q220" s="62">
        <f>IFERROR(SUM(VLOOKUP(B220,Tableau3[#All],6,FALSE),VLOOKUP(B220,Tableau3[#All],8,FALSE)),"Matricule!")</f>
        <v>1</v>
      </c>
      <c r="R220" s="62">
        <f>IFERROR(VLOOKUP(B220,Tableau3[#All],7,FALSE),"Matricule!")</f>
        <v>3</v>
      </c>
      <c r="S220" s="62">
        <f>IFERROR(Tableau242[[#This Row],[Prod. days WK]]-Tableau242[[#This Row],[Prod PXX]],"Matricule")</f>
        <v>0</v>
      </c>
      <c r="T220" s="62">
        <f>IFERROR(Tableau242[[#This Row],[Non prod. days WK]]-Tableau242[[#This Row],[Improd PXX]],"Matricule")</f>
        <v>0</v>
      </c>
      <c r="U220" s="62">
        <f>IFERROR(Tableau242[[#This Row],[Paid leave days WK]]-Tableau242[[#This Row],[Congé PXX]],"Matricule")</f>
        <v>0</v>
      </c>
      <c r="V220" s="63">
        <f>IFERROR(VLOOKUP($B220,#REF!,4,FALSE),0)</f>
        <v>0</v>
      </c>
      <c r="W22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20" s="63">
        <f>IF(AND(Tableau242[[#This Row],[Paid leave days]]&gt;0,Tableau242[[#This Row],[Prod. days]]&lt;0),MIN(Tableau242[[#This Row],[Paid leave days]],-Tableau242[[#This Row],[Prod. days]]),0)</f>
        <v>0</v>
      </c>
      <c r="Z220" s="63">
        <f>IFERROR(_xlfn.XLOOKUP(Tableau242[[#This Row],[Consultant]],Tableau2[Collaborateur/Nom affiché],Tableau2[Montant imputé],0),0)</f>
        <v>0</v>
      </c>
      <c r="AA220" s="64">
        <f t="shared" si="4"/>
        <v>0</v>
      </c>
      <c r="AB220" s="78" t="s">
        <v>154</v>
      </c>
      <c r="AC220" s="67"/>
      <c r="AD220" s="67"/>
      <c r="AE220" s="39"/>
      <c r="AF220" s="92"/>
    </row>
    <row r="221" spans="1:32" ht="29.1">
      <c r="A221" s="15">
        <f>Tableau242[[#This Row],[Company number]]+0</f>
        <v>13111</v>
      </c>
      <c r="B221" s="60" t="s">
        <v>573</v>
      </c>
      <c r="C221" s="61" t="s">
        <v>25</v>
      </c>
      <c r="D221" s="61" t="s">
        <v>29</v>
      </c>
      <c r="E221" s="62" t="str">
        <f>IFERROR(VLOOKUP(Tableau242[[#This Row],[Manager ou CDM concerné]],Parametres!B:C,2,FALSE),"")</f>
        <v>Squad E</v>
      </c>
      <c r="F221" s="62" t="str">
        <f>IF(Tableau242[[#This Row],[Consultant]]=Tableau242[[#This Row],[Manager ou CDM concerné]],"Non",IF(IFERROR(VLOOKUP(Tableau242[[#This Row],[Consultant]],Parametres!B:C,2,FALSE),0)=0,"Non","Oui"))</f>
        <v>Oui</v>
      </c>
      <c r="G221" s="62">
        <f>IFERROR(VLOOKUP(B221,Tableau5[#All],4,FALSE),"Matricule!")</f>
        <v>20</v>
      </c>
      <c r="H221" s="62" t="str">
        <f>IFERROR(VLOOKUP(Tableau242[[#This Row],[Company number]],#REF!,6,FALSE),"")</f>
        <v/>
      </c>
      <c r="I221" s="62">
        <f>IFERROR(VLOOKUP(B221,Tableau5[#All],5,FALSE),"Matricule!")</f>
        <v>0</v>
      </c>
      <c r="J221" s="62">
        <f>IFERROR(VLOOKUP(B221,Tableau5[#All],6,FALSE),"Matricule!")</f>
        <v>0</v>
      </c>
      <c r="K221" s="62">
        <f>IFERROR(VLOOKUP(B221,Tableau5[#All],7,FALSE),"Matricule!")</f>
        <v>0</v>
      </c>
      <c r="L221" s="62" t="e">
        <f>VLOOKUP(Tableau242[[#This Row],[Company number]],#REF!,25,FALSE)</f>
        <v>#REF!</v>
      </c>
      <c r="M221" s="62" t="str">
        <f>IFERROR(VLOOKUP(Tableau242[[#This Row],[Company number]],#REF!,30,FALSE),"")</f>
        <v/>
      </c>
      <c r="N221" s="62" t="str">
        <f>IFERROR(VLOOKUP(Tableau242[[#This Row],[Company number]],#REF!,31,FALSE),"")</f>
        <v/>
      </c>
      <c r="O221" s="62" t="str">
        <f>IFERROR(VLOOKUP(Tableau242[[#This Row],[Company number]],#REF!,32,FALSE),"")</f>
        <v/>
      </c>
      <c r="P221" s="62">
        <f>IFERROR(VLOOKUP(B221,Tableau3[#All],5,FALSE),"Matricule!")</f>
        <v>20</v>
      </c>
      <c r="Q221" s="62">
        <f>IFERROR(SUM(VLOOKUP(B221,Tableau3[#All],6,FALSE),VLOOKUP(B221,Tableau3[#All],8,FALSE)),"Matricule!")</f>
        <v>0</v>
      </c>
      <c r="R221" s="62">
        <f>IFERROR(VLOOKUP(B221,Tableau3[#All],7,FALSE),"Matricule!")</f>
        <v>0</v>
      </c>
      <c r="S221" s="62">
        <f>IFERROR(Tableau242[[#This Row],[Prod. days WK]]-Tableau242[[#This Row],[Prod PXX]],"Matricule")</f>
        <v>0</v>
      </c>
      <c r="T221" s="62">
        <f>IFERROR(Tableau242[[#This Row],[Non prod. days WK]]-Tableau242[[#This Row],[Improd PXX]],"Matricule")</f>
        <v>0</v>
      </c>
      <c r="U221" s="62">
        <f>IFERROR(Tableau242[[#This Row],[Paid leave days WK]]-Tableau242[[#This Row],[Congé PXX]],"Matricule")</f>
        <v>0</v>
      </c>
      <c r="V221" s="63">
        <f>IFERROR(VLOOKUP($B221,#REF!,4,FALSE),0)</f>
        <v>0</v>
      </c>
      <c r="W22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21" s="63">
        <f>IF(AND(Tableau242[[#This Row],[Paid leave days]]&gt;0,Tableau242[[#This Row],[Prod. days]]&lt;0),MIN(Tableau242[[#This Row],[Paid leave days]],-Tableau242[[#This Row],[Prod. days]]),0)</f>
        <v>0</v>
      </c>
      <c r="Z221" s="63">
        <f>IFERROR(_xlfn.XLOOKUP(Tableau242[[#This Row],[Consultant]],Tableau2[Collaborateur/Nom affiché],Tableau2[Montant imputé],0),0)</f>
        <v>0</v>
      </c>
      <c r="AA221" s="64">
        <f t="shared" si="4"/>
        <v>0</v>
      </c>
      <c r="AB221" s="65"/>
      <c r="AC221" s="66"/>
      <c r="AD221" s="66"/>
      <c r="AE221" s="105"/>
      <c r="AF221" s="90"/>
    </row>
    <row r="222" spans="1:32">
      <c r="A222" s="15">
        <f>Tableau242[[#This Row],[Company number]]+0</f>
        <v>12773</v>
      </c>
      <c r="B222" s="60" t="s">
        <v>574</v>
      </c>
      <c r="C222" s="61" t="s">
        <v>575</v>
      </c>
      <c r="D222" s="61" t="s">
        <v>29</v>
      </c>
      <c r="E222" s="62" t="str">
        <f>IFERROR(VLOOKUP(Tableau242[[#This Row],[Manager ou CDM concerné]],Parametres!B:C,2,FALSE),"")</f>
        <v>Squad E</v>
      </c>
      <c r="F222" s="62" t="str">
        <f>IF(Tableau242[[#This Row],[Consultant]]=Tableau242[[#This Row],[Manager ou CDM concerné]],"Non",IF(IFERROR(VLOOKUP(Tableau242[[#This Row],[Consultant]],Parametres!B:C,2,FALSE),0)=0,"Non","Oui"))</f>
        <v>Non</v>
      </c>
      <c r="G222" s="62">
        <f>IFERROR(VLOOKUP(B222,Tableau5[#All],4,FALSE),"Matricule!")</f>
        <v>20</v>
      </c>
      <c r="H222" s="62" t="str">
        <f>IFERROR(VLOOKUP(Tableau242[[#This Row],[Company number]],#REF!,6,FALSE),"")</f>
        <v/>
      </c>
      <c r="I222" s="62">
        <f>IFERROR(VLOOKUP(B222,Tableau5[#All],5,FALSE),"Matricule!")</f>
        <v>0</v>
      </c>
      <c r="J222" s="62">
        <f>IFERROR(VLOOKUP(B222,Tableau5[#All],6,FALSE),"Matricule!")</f>
        <v>0</v>
      </c>
      <c r="K222" s="62">
        <f>IFERROR(VLOOKUP(B222,Tableau5[#All],7,FALSE),"Matricule!")</f>
        <v>0</v>
      </c>
      <c r="L222" s="62" t="e">
        <f>VLOOKUP(Tableau242[[#This Row],[Company number]],#REF!,25,FALSE)</f>
        <v>#REF!</v>
      </c>
      <c r="M222" s="62" t="str">
        <f>IFERROR(VLOOKUP(Tableau242[[#This Row],[Company number]],#REF!,30,FALSE),"")</f>
        <v/>
      </c>
      <c r="N222" s="62" t="str">
        <f>IFERROR(VLOOKUP(Tableau242[[#This Row],[Company number]],#REF!,31,FALSE),"")</f>
        <v/>
      </c>
      <c r="O222" s="62" t="str">
        <f>IFERROR(VLOOKUP(Tableau242[[#This Row],[Company number]],#REF!,32,FALSE),"")</f>
        <v/>
      </c>
      <c r="P222" s="62">
        <f>IFERROR(VLOOKUP(B222,Tableau3[#All],5,FALSE),"Matricule!")</f>
        <v>20</v>
      </c>
      <c r="Q222" s="62">
        <f>IFERROR(SUM(VLOOKUP(B222,Tableau3[#All],6,FALSE),VLOOKUP(B222,Tableau3[#All],8,FALSE)),"Matricule!")</f>
        <v>0</v>
      </c>
      <c r="R222" s="62">
        <f>IFERROR(VLOOKUP(B222,Tableau3[#All],7,FALSE),"Matricule!")</f>
        <v>0</v>
      </c>
      <c r="S222" s="62">
        <f>IFERROR(Tableau242[[#This Row],[Prod. days WK]]-Tableau242[[#This Row],[Prod PXX]],"Matricule")</f>
        <v>0</v>
      </c>
      <c r="T222" s="62">
        <f>IFERROR(Tableau242[[#This Row],[Non prod. days WK]]-Tableau242[[#This Row],[Improd PXX]],"Matricule")</f>
        <v>0</v>
      </c>
      <c r="U222" s="62">
        <f>IFERROR(Tableau242[[#This Row],[Paid leave days WK]]-Tableau242[[#This Row],[Congé PXX]],"Matricule")</f>
        <v>0</v>
      </c>
      <c r="V222" s="63">
        <f>IFERROR(VLOOKUP($B222,#REF!,4,FALSE),0)</f>
        <v>0</v>
      </c>
      <c r="W22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22" s="63">
        <f>IF(AND(Tableau242[[#This Row],[Paid leave days]]&gt;0,Tableau242[[#This Row],[Prod. days]]&lt;0),MIN(Tableau242[[#This Row],[Paid leave days]],-Tableau242[[#This Row],[Prod. days]]),0)</f>
        <v>0</v>
      </c>
      <c r="Z222" s="63">
        <f>IFERROR(_xlfn.XLOOKUP(Tableau242[[#This Row],[Consultant]],Tableau2[Collaborateur/Nom affiché],Tableau2[Montant imputé],0),0)</f>
        <v>0</v>
      </c>
      <c r="AA222" s="64">
        <f t="shared" si="4"/>
        <v>0</v>
      </c>
      <c r="AB222" s="65"/>
      <c r="AC222" s="66"/>
      <c r="AD222" s="66"/>
      <c r="AE222" s="105"/>
      <c r="AF222" s="90"/>
    </row>
    <row r="223" spans="1:32" ht="14.45" customHeight="1">
      <c r="A223" s="15">
        <f>Tableau242[[#This Row],[Company number]]+0</f>
        <v>9815</v>
      </c>
      <c r="B223" s="60" t="s">
        <v>576</v>
      </c>
      <c r="C223" s="61" t="s">
        <v>577</v>
      </c>
      <c r="D223" s="61" t="s">
        <v>29</v>
      </c>
      <c r="E223" s="62" t="str">
        <f>IFERROR(VLOOKUP(Tableau242[[#This Row],[Manager ou CDM concerné]],Parametres!B:C,2,FALSE),"")</f>
        <v>Squad E</v>
      </c>
      <c r="F223" s="62" t="str">
        <f>IF(Tableau242[[#This Row],[Consultant]]=Tableau242[[#This Row],[Manager ou CDM concerné]],"Non",IF(IFERROR(VLOOKUP(Tableau242[[#This Row],[Consultant]],Parametres!B:C,2,FALSE),0)=0,"Non","Oui"))</f>
        <v>Oui</v>
      </c>
      <c r="G223" s="62">
        <f>IFERROR(VLOOKUP(B223,Tableau5[#All],4,FALSE),"Matricule!")</f>
        <v>0</v>
      </c>
      <c r="H223" s="62" t="str">
        <f>IFERROR(VLOOKUP(Tableau242[[#This Row],[Company number]],#REF!,6,FALSE),"")</f>
        <v/>
      </c>
      <c r="I223" s="62">
        <f>IFERROR(VLOOKUP(B223,Tableau5[#All],5,FALSE),"Matricule!")</f>
        <v>9</v>
      </c>
      <c r="J223" s="62">
        <f>IFERROR(VLOOKUP(B223,Tableau5[#All],6,FALSE),"Matricule!")</f>
        <v>11</v>
      </c>
      <c r="K223" s="62">
        <f>IFERROR(VLOOKUP(B223,Tableau5[#All],7,FALSE),"Matricule!")</f>
        <v>0</v>
      </c>
      <c r="L223" s="62" t="e">
        <f>VLOOKUP(Tableau242[[#This Row],[Company number]],#REF!,25,FALSE)</f>
        <v>#REF!</v>
      </c>
      <c r="M223" s="62" t="str">
        <f>IFERROR(VLOOKUP(Tableau242[[#This Row],[Company number]],#REF!,30,FALSE),"")</f>
        <v/>
      </c>
      <c r="N223" s="62" t="str">
        <f>IFERROR(VLOOKUP(Tableau242[[#This Row],[Company number]],#REF!,31,FALSE),"")</f>
        <v/>
      </c>
      <c r="O223" s="62" t="str">
        <f>IFERROR(VLOOKUP(Tableau242[[#This Row],[Company number]],#REF!,32,FALSE),"")</f>
        <v/>
      </c>
      <c r="P223" s="62">
        <f>IFERROR(VLOOKUP(B223,Tableau3[#All],5,FALSE),"Matricule!")</f>
        <v>0</v>
      </c>
      <c r="Q223" s="62">
        <f>IFERROR(SUM(VLOOKUP(B223,Tableau3[#All],6,FALSE),VLOOKUP(B223,Tableau3[#All],8,FALSE)),"Matricule!")</f>
        <v>9</v>
      </c>
      <c r="R223" s="62">
        <f>IFERROR(VLOOKUP(B223,Tableau3[#All],7,FALSE),"Matricule!")</f>
        <v>11</v>
      </c>
      <c r="S223" s="62">
        <f>IFERROR(Tableau242[[#This Row],[Prod. days WK]]-Tableau242[[#This Row],[Prod PXX]],"Matricule")</f>
        <v>0</v>
      </c>
      <c r="T223" s="62">
        <f>IFERROR(Tableau242[[#This Row],[Non prod. days WK]]-Tableau242[[#This Row],[Improd PXX]],"Matricule")</f>
        <v>0</v>
      </c>
      <c r="U223" s="62">
        <f>IFERROR(Tableau242[[#This Row],[Paid leave days WK]]-Tableau242[[#This Row],[Congé PXX]],"Matricule")</f>
        <v>0</v>
      </c>
      <c r="V223" s="63">
        <f>IFERROR(VLOOKUP($B223,#REF!,4,FALSE),0)</f>
        <v>0</v>
      </c>
      <c r="W22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23" s="63">
        <f>IF(AND(Tableau242[[#This Row],[Paid leave days]]&gt;0,Tableau242[[#This Row],[Prod. days]]&lt;0),MIN(Tableau242[[#This Row],[Paid leave days]],-Tableau242[[#This Row],[Prod. days]]),0)</f>
        <v>0</v>
      </c>
      <c r="Z223" s="63">
        <f>IFERROR(_xlfn.XLOOKUP(Tableau242[[#This Row],[Consultant]],Tableau2[Collaborateur/Nom affiché],Tableau2[Montant imputé],0),0)</f>
        <v>0</v>
      </c>
      <c r="AA223" s="64">
        <f t="shared" si="4"/>
        <v>0</v>
      </c>
      <c r="AB223" s="65" t="s">
        <v>154</v>
      </c>
      <c r="AC223" s="66"/>
      <c r="AD223" s="66"/>
      <c r="AE223" s="105"/>
      <c r="AF223" s="90"/>
    </row>
    <row r="224" spans="1:32">
      <c r="A224" s="15">
        <f>Tableau242[[#This Row],[Company number]]+0</f>
        <v>9827</v>
      </c>
      <c r="B224" s="60" t="s">
        <v>578</v>
      </c>
      <c r="C224" s="61" t="s">
        <v>579</v>
      </c>
      <c r="D224" s="61" t="s">
        <v>29</v>
      </c>
      <c r="E224" s="62" t="str">
        <f>IFERROR(VLOOKUP(Tableau242[[#This Row],[Manager ou CDM concerné]],Parametres!B:C,2,FALSE),"")</f>
        <v>Squad E</v>
      </c>
      <c r="F224" s="62" t="str">
        <f>IF(Tableau242[[#This Row],[Consultant]]=Tableau242[[#This Row],[Manager ou CDM concerné]],"Non",IF(IFERROR(VLOOKUP(Tableau242[[#This Row],[Consultant]],Parametres!B:C,2,FALSE),0)=0,"Non","Oui"))</f>
        <v>Non</v>
      </c>
      <c r="G224" s="62">
        <f>IFERROR(VLOOKUP(B224,Tableau5[#All],4,FALSE),"Matricule!")</f>
        <v>0</v>
      </c>
      <c r="H224" s="62" t="str">
        <f>IFERROR(VLOOKUP(Tableau242[[#This Row],[Company number]],#REF!,6,FALSE),"")</f>
        <v/>
      </c>
      <c r="I224" s="62">
        <f>IFERROR(VLOOKUP(B224,Tableau5[#All],5,FALSE),"Matricule!")</f>
        <v>1</v>
      </c>
      <c r="J224" s="62">
        <f>IFERROR(VLOOKUP(B224,Tableau5[#All],6,FALSE),"Matricule!")</f>
        <v>0</v>
      </c>
      <c r="K224" s="62">
        <f>IFERROR(VLOOKUP(B224,Tableau5[#All],7,FALSE),"Matricule!")</f>
        <v>19</v>
      </c>
      <c r="L224" s="62" t="e">
        <f>VLOOKUP(Tableau242[[#This Row],[Company number]],#REF!,25,FALSE)</f>
        <v>#REF!</v>
      </c>
      <c r="M224" s="62" t="str">
        <f>IFERROR(VLOOKUP(Tableau242[[#This Row],[Company number]],#REF!,30,FALSE),"")</f>
        <v/>
      </c>
      <c r="N224" s="62" t="str">
        <f>IFERROR(VLOOKUP(Tableau242[[#This Row],[Company number]],#REF!,31,FALSE),"")</f>
        <v/>
      </c>
      <c r="O224" s="62" t="str">
        <f>IFERROR(VLOOKUP(Tableau242[[#This Row],[Company number]],#REF!,32,FALSE),"")</f>
        <v/>
      </c>
      <c r="P224" s="62">
        <f>IFERROR(VLOOKUP(B224,Tableau3[#All],5,FALSE),"Matricule!")</f>
        <v>0</v>
      </c>
      <c r="Q224" s="62">
        <f>IFERROR(SUM(VLOOKUP(B224,Tableau3[#All],6,FALSE),VLOOKUP(B224,Tableau3[#All],8,FALSE)),"Matricule!")</f>
        <v>20</v>
      </c>
      <c r="R224" s="62">
        <f>IFERROR(VLOOKUP(B224,Tableau3[#All],7,FALSE),"Matricule!")</f>
        <v>0</v>
      </c>
      <c r="S224" s="62">
        <f>IFERROR(Tableau242[[#This Row],[Prod. days WK]]-Tableau242[[#This Row],[Prod PXX]],"Matricule")</f>
        <v>0</v>
      </c>
      <c r="T224" s="62">
        <f>IFERROR(Tableau242[[#This Row],[Non prod. days WK]]-Tableau242[[#This Row],[Improd PXX]],"Matricule")</f>
        <v>-19</v>
      </c>
      <c r="U224" s="62">
        <f>IFERROR(Tableau242[[#This Row],[Paid leave days WK]]-Tableau242[[#This Row],[Congé PXX]],"Matricule")</f>
        <v>0</v>
      </c>
      <c r="V224" s="63">
        <f>IFERROR(VLOOKUP($B224,#REF!,4,FALSE),0)</f>
        <v>0</v>
      </c>
      <c r="W22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24" s="63">
        <f>IF(AND(Tableau242[[#This Row],[Paid leave days]]&gt;0,Tableau242[[#This Row],[Prod. days]]&lt;0),MIN(Tableau242[[#This Row],[Paid leave days]],-Tableau242[[#This Row],[Prod. days]]),0)</f>
        <v>0</v>
      </c>
      <c r="Z224" s="63">
        <f>IFERROR(_xlfn.XLOOKUP(Tableau242[[#This Row],[Consultant]],Tableau2[Collaborateur/Nom affiché],Tableau2[Montant imputé],0),0)</f>
        <v>0</v>
      </c>
      <c r="AA224" s="64">
        <f t="shared" si="4"/>
        <v>0</v>
      </c>
      <c r="AB224" s="65" t="s">
        <v>154</v>
      </c>
      <c r="AC224" s="66"/>
      <c r="AD224" s="66"/>
      <c r="AE224" s="105"/>
      <c r="AF224" s="90"/>
    </row>
    <row r="225" spans="1:32">
      <c r="A225" s="15">
        <f>Tableau242[[#This Row],[Company number]]+0</f>
        <v>8424</v>
      </c>
      <c r="B225" s="60" t="s">
        <v>580</v>
      </c>
      <c r="C225" s="61" t="s">
        <v>581</v>
      </c>
      <c r="D225" s="61" t="s">
        <v>29</v>
      </c>
      <c r="E225" s="62" t="str">
        <f>IFERROR(VLOOKUP(Tableau242[[#This Row],[Manager ou CDM concerné]],Parametres!B:C,2,FALSE),"")</f>
        <v>Squad E</v>
      </c>
      <c r="F225" s="62" t="str">
        <f>IF(Tableau242[[#This Row],[Consultant]]=Tableau242[[#This Row],[Manager ou CDM concerné]],"Non",IF(IFERROR(VLOOKUP(Tableau242[[#This Row],[Consultant]],Parametres!B:C,2,FALSE),0)=0,"Non","Oui"))</f>
        <v>Non</v>
      </c>
      <c r="G225" s="62">
        <f>IFERROR(VLOOKUP(B225,Tableau5[#All],4,FALSE),"Matricule!")</f>
        <v>19</v>
      </c>
      <c r="H225" s="62" t="str">
        <f>IFERROR(VLOOKUP(Tableau242[[#This Row],[Company number]],#REF!,6,FALSE),"")</f>
        <v/>
      </c>
      <c r="I225" s="62">
        <f>IFERROR(VLOOKUP(B225,Tableau5[#All],5,FALSE),"Matricule!")</f>
        <v>0</v>
      </c>
      <c r="J225" s="62">
        <f>IFERROR(VLOOKUP(B225,Tableau5[#All],6,FALSE),"Matricule!")</f>
        <v>1</v>
      </c>
      <c r="K225" s="62">
        <f>IFERROR(VLOOKUP(B225,Tableau5[#All],7,FALSE),"Matricule!")</f>
        <v>0</v>
      </c>
      <c r="L225" s="62" t="e">
        <f>VLOOKUP(Tableau242[[#This Row],[Company number]],#REF!,25,FALSE)</f>
        <v>#REF!</v>
      </c>
      <c r="M225" s="62" t="str">
        <f>IFERROR(VLOOKUP(Tableau242[[#This Row],[Company number]],#REF!,30,FALSE),"")</f>
        <v/>
      </c>
      <c r="N225" s="62" t="str">
        <f>IFERROR(VLOOKUP(Tableau242[[#This Row],[Company number]],#REF!,31,FALSE),"")</f>
        <v/>
      </c>
      <c r="O225" s="62" t="str">
        <f>IFERROR(VLOOKUP(Tableau242[[#This Row],[Company number]],#REF!,32,FALSE),"")</f>
        <v/>
      </c>
      <c r="P225" s="62">
        <f>IFERROR(VLOOKUP(B225,Tableau3[#All],5,FALSE),"Matricule!")</f>
        <v>19</v>
      </c>
      <c r="Q225" s="62">
        <f>IFERROR(SUM(VLOOKUP(B225,Tableau3[#All],6,FALSE),VLOOKUP(B225,Tableau3[#All],8,FALSE)),"Matricule!")</f>
        <v>0</v>
      </c>
      <c r="R225" s="62">
        <f>IFERROR(VLOOKUP(B225,Tableau3[#All],7,FALSE),"Matricule!")</f>
        <v>1</v>
      </c>
      <c r="S225" s="62">
        <f>IFERROR(Tableau242[[#This Row],[Prod. days WK]]-Tableau242[[#This Row],[Prod PXX]],"Matricule")</f>
        <v>0</v>
      </c>
      <c r="T225" s="62">
        <f>IFERROR(Tableau242[[#This Row],[Non prod. days WK]]-Tableau242[[#This Row],[Improd PXX]],"Matricule")</f>
        <v>0</v>
      </c>
      <c r="U225" s="62">
        <f>IFERROR(Tableau242[[#This Row],[Paid leave days WK]]-Tableau242[[#This Row],[Congé PXX]],"Matricule")</f>
        <v>0</v>
      </c>
      <c r="V225" s="63">
        <f>IFERROR(VLOOKUP($B225,#REF!,4,FALSE),0)</f>
        <v>0</v>
      </c>
      <c r="W22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25" s="63">
        <f>IF(AND(Tableau242[[#This Row],[Paid leave days]]&gt;0,Tableau242[[#This Row],[Prod. days]]&lt;0),MIN(Tableau242[[#This Row],[Paid leave days]],-Tableau242[[#This Row],[Prod. days]]),0)</f>
        <v>0</v>
      </c>
      <c r="Z225" s="63">
        <f>IFERROR(_xlfn.XLOOKUP(Tableau242[[#This Row],[Consultant]],Tableau2[Collaborateur/Nom affiché],Tableau2[Montant imputé],0),0)</f>
        <v>0</v>
      </c>
      <c r="AA225" s="64">
        <f t="shared" si="4"/>
        <v>0</v>
      </c>
      <c r="AB225" s="65"/>
      <c r="AC225" s="66"/>
      <c r="AD225" s="66"/>
      <c r="AE225" s="39"/>
      <c r="AF225" s="90"/>
    </row>
    <row r="226" spans="1:32">
      <c r="A226" s="15">
        <f>Tableau242[[#This Row],[Company number]]+0</f>
        <v>12084</v>
      </c>
      <c r="B226" s="60" t="s">
        <v>582</v>
      </c>
      <c r="C226" s="61" t="s">
        <v>59</v>
      </c>
      <c r="D226" s="61" t="s">
        <v>29</v>
      </c>
      <c r="E226" s="62" t="str">
        <f>IFERROR(VLOOKUP(Tableau242[[#This Row],[Manager ou CDM concerné]],Parametres!B:C,2,FALSE),"")</f>
        <v>Squad E</v>
      </c>
      <c r="F226" s="62" t="str">
        <f>IF(Tableau242[[#This Row],[Consultant]]=Tableau242[[#This Row],[Manager ou CDM concerné]],"Non",IF(IFERROR(VLOOKUP(Tableau242[[#This Row],[Consultant]],Parametres!B:C,2,FALSE),0)=0,"Non","Oui"))</f>
        <v>Oui</v>
      </c>
      <c r="G226" s="62">
        <f>IFERROR(VLOOKUP(B226,Tableau5[#All],4,FALSE),"Matricule!")</f>
        <v>19.5</v>
      </c>
      <c r="H226" s="62" t="str">
        <f>IFERROR(VLOOKUP(Tableau242[[#This Row],[Company number]],#REF!,6,FALSE),"")</f>
        <v/>
      </c>
      <c r="I226" s="62">
        <f>IFERROR(VLOOKUP(B226,Tableau5[#All],5,FALSE),"Matricule!")</f>
        <v>0</v>
      </c>
      <c r="J226" s="62">
        <f>IFERROR(VLOOKUP(B226,Tableau5[#All],6,FALSE),"Matricule!")</f>
        <v>0.5</v>
      </c>
      <c r="K226" s="62">
        <f>IFERROR(VLOOKUP(B226,Tableau5[#All],7,FALSE),"Matricule!")</f>
        <v>0</v>
      </c>
      <c r="L226" s="62" t="e">
        <f>VLOOKUP(Tableau242[[#This Row],[Company number]],#REF!,25,FALSE)</f>
        <v>#REF!</v>
      </c>
      <c r="M226" s="62" t="str">
        <f>IFERROR(VLOOKUP(Tableau242[[#This Row],[Company number]],#REF!,30,FALSE),"")</f>
        <v/>
      </c>
      <c r="N226" s="62" t="str">
        <f>IFERROR(VLOOKUP(Tableau242[[#This Row],[Company number]],#REF!,31,FALSE),"")</f>
        <v/>
      </c>
      <c r="O226" s="62" t="str">
        <f>IFERROR(VLOOKUP(Tableau242[[#This Row],[Company number]],#REF!,32,FALSE),"")</f>
        <v/>
      </c>
      <c r="P226" s="62">
        <f>IFERROR(VLOOKUP(B226,Tableau3[#All],5,FALSE),"Matricule!")</f>
        <v>20</v>
      </c>
      <c r="Q226" s="62">
        <f>IFERROR(SUM(VLOOKUP(B226,Tableau3[#All],6,FALSE),VLOOKUP(B226,Tableau3[#All],8,FALSE)),"Matricule!")</f>
        <v>0</v>
      </c>
      <c r="R226" s="62">
        <f>IFERROR(VLOOKUP(B226,Tableau3[#All],7,FALSE),"Matricule!")</f>
        <v>0</v>
      </c>
      <c r="S226" s="62">
        <f>IFERROR(Tableau242[[#This Row],[Prod. days WK]]-Tableau242[[#This Row],[Prod PXX]],"Matricule")</f>
        <v>-0.5</v>
      </c>
      <c r="T226" s="62">
        <f>IFERROR(Tableau242[[#This Row],[Non prod. days WK]]-Tableau242[[#This Row],[Improd PXX]],"Matricule")</f>
        <v>0</v>
      </c>
      <c r="U226" s="62">
        <f>IFERROR(Tableau242[[#This Row],[Paid leave days WK]]-Tableau242[[#This Row],[Congé PXX]],"Matricule")</f>
        <v>0.5</v>
      </c>
      <c r="V226" s="63">
        <f>IFERROR(VLOOKUP($B226,#REF!,4,FALSE),0)</f>
        <v>0</v>
      </c>
      <c r="W22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26" s="63">
        <f>IF(AND(Tableau242[[#This Row],[Paid leave days]]&gt;0,Tableau242[[#This Row],[Prod. days]]&lt;0),MIN(Tableau242[[#This Row],[Paid leave days]],-Tableau242[[#This Row],[Prod. days]]),0)</f>
        <v>0.5</v>
      </c>
      <c r="Z226" s="63">
        <f>IFERROR(_xlfn.XLOOKUP(Tableau242[[#This Row],[Consultant]],Tableau2[Collaborateur/Nom affiché],Tableau2[Montant imputé],0),0)</f>
        <v>0</v>
      </c>
      <c r="AA226" s="64">
        <f t="shared" si="4"/>
        <v>-0.5</v>
      </c>
      <c r="AB226" s="65"/>
      <c r="AC226" s="66"/>
      <c r="AD226" s="66"/>
      <c r="AE226" s="105"/>
      <c r="AF226" s="90"/>
    </row>
    <row r="227" spans="1:32">
      <c r="A227" s="15">
        <f>Tableau242[[#This Row],[Company number]]+0</f>
        <v>12872</v>
      </c>
      <c r="B227" s="60" t="s">
        <v>583</v>
      </c>
      <c r="C227" s="61" t="s">
        <v>584</v>
      </c>
      <c r="D227" s="61" t="s">
        <v>29</v>
      </c>
      <c r="E227" s="62" t="str">
        <f>IFERROR(VLOOKUP(Tableau242[[#This Row],[Manager ou CDM concerné]],Parametres!B:C,2,FALSE),"")</f>
        <v>Squad E</v>
      </c>
      <c r="F227" s="62" t="str">
        <f>IF(Tableau242[[#This Row],[Consultant]]=Tableau242[[#This Row],[Manager ou CDM concerné]],"Non",IF(IFERROR(VLOOKUP(Tableau242[[#This Row],[Consultant]],Parametres!B:C,2,FALSE),0)=0,"Non","Oui"))</f>
        <v>Non</v>
      </c>
      <c r="G227" s="62">
        <f>IFERROR(VLOOKUP(B227,Tableau5[#All],4,FALSE),"Matricule!")</f>
        <v>16</v>
      </c>
      <c r="H227" s="62" t="str">
        <f>IFERROR(VLOOKUP(Tableau242[[#This Row],[Company number]],#REF!,6,FALSE),"")</f>
        <v/>
      </c>
      <c r="I227" s="62">
        <f>IFERROR(VLOOKUP(B227,Tableau5[#All],5,FALSE),"Matricule!")</f>
        <v>0</v>
      </c>
      <c r="J227" s="62">
        <f>IFERROR(VLOOKUP(B227,Tableau5[#All],6,FALSE),"Matricule!")</f>
        <v>4</v>
      </c>
      <c r="K227" s="62">
        <f>IFERROR(VLOOKUP(B227,Tableau5[#All],7,FALSE),"Matricule!")</f>
        <v>0</v>
      </c>
      <c r="L227" s="62" t="e">
        <f>VLOOKUP(Tableau242[[#This Row],[Company number]],#REF!,25,FALSE)</f>
        <v>#REF!</v>
      </c>
      <c r="M227" s="62" t="str">
        <f>IFERROR(VLOOKUP(Tableau242[[#This Row],[Company number]],#REF!,30,FALSE),"")</f>
        <v/>
      </c>
      <c r="N227" s="62" t="str">
        <f>IFERROR(VLOOKUP(Tableau242[[#This Row],[Company number]],#REF!,31,FALSE),"")</f>
        <v/>
      </c>
      <c r="O227" s="62" t="str">
        <f>IFERROR(VLOOKUP(Tableau242[[#This Row],[Company number]],#REF!,32,FALSE),"")</f>
        <v/>
      </c>
      <c r="P227" s="62">
        <f>IFERROR(VLOOKUP(B227,Tableau3[#All],5,FALSE),"Matricule!")</f>
        <v>16</v>
      </c>
      <c r="Q227" s="62">
        <f>IFERROR(SUM(VLOOKUP(B227,Tableau3[#All],6,FALSE),VLOOKUP(B227,Tableau3[#All],8,FALSE)),"Matricule!")</f>
        <v>0</v>
      </c>
      <c r="R227" s="62">
        <f>IFERROR(VLOOKUP(B227,Tableau3[#All],7,FALSE),"Matricule!")</f>
        <v>4</v>
      </c>
      <c r="S227" s="62">
        <f>IFERROR(Tableau242[[#This Row],[Prod. days WK]]-Tableau242[[#This Row],[Prod PXX]],"Matricule")</f>
        <v>0</v>
      </c>
      <c r="T227" s="62">
        <f>IFERROR(Tableau242[[#This Row],[Non prod. days WK]]-Tableau242[[#This Row],[Improd PXX]],"Matricule")</f>
        <v>0</v>
      </c>
      <c r="U227" s="62">
        <f>IFERROR(Tableau242[[#This Row],[Paid leave days WK]]-Tableau242[[#This Row],[Congé PXX]],"Matricule")</f>
        <v>0</v>
      </c>
      <c r="V227" s="63">
        <f>IFERROR(VLOOKUP($B227,#REF!,4,FALSE),0)</f>
        <v>0</v>
      </c>
      <c r="W22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27" s="63">
        <f>IF(AND(Tableau242[[#This Row],[Paid leave days]]&gt;0,Tableau242[[#This Row],[Prod. days]]&lt;0),MIN(Tableau242[[#This Row],[Paid leave days]],-Tableau242[[#This Row],[Prod. days]]),0)</f>
        <v>0</v>
      </c>
      <c r="Z227" s="63">
        <f>IFERROR(_xlfn.XLOOKUP(Tableau242[[#This Row],[Consultant]],Tableau2[Collaborateur/Nom affiché],Tableau2[Montant imputé],0),0)</f>
        <v>0</v>
      </c>
      <c r="AA227" s="64">
        <f t="shared" si="4"/>
        <v>0</v>
      </c>
      <c r="AB227" s="65"/>
      <c r="AC227" s="66"/>
      <c r="AD227" s="66"/>
      <c r="AE227" s="105"/>
      <c r="AF227" s="90"/>
    </row>
    <row r="228" spans="1:32" ht="14.45" customHeight="1">
      <c r="A228" s="15">
        <f>Tableau242[[#This Row],[Company number]]+0</f>
        <v>10982</v>
      </c>
      <c r="B228" s="60" t="s">
        <v>585</v>
      </c>
      <c r="C228" s="61" t="s">
        <v>520</v>
      </c>
      <c r="D228" s="61" t="s">
        <v>29</v>
      </c>
      <c r="E228" s="62" t="str">
        <f>IFERROR(VLOOKUP(Tableau242[[#This Row],[Manager ou CDM concerné]],Parametres!B:C,2,FALSE),"")</f>
        <v>Squad E</v>
      </c>
      <c r="F228" s="62" t="str">
        <f>IF(Tableau242[[#This Row],[Consultant]]=Tableau242[[#This Row],[Manager ou CDM concerné]],"Non",IF(IFERROR(VLOOKUP(Tableau242[[#This Row],[Consultant]],Parametres!B:C,2,FALSE),0)=0,"Non","Oui"))</f>
        <v>Oui</v>
      </c>
      <c r="G228" s="62">
        <f>IFERROR(VLOOKUP(B228,Tableau5[#All],4,FALSE),"Matricule!")</f>
        <v>9</v>
      </c>
      <c r="H228" s="62" t="str">
        <f>IFERROR(VLOOKUP(Tableau242[[#This Row],[Company number]],#REF!,6,FALSE),"")</f>
        <v/>
      </c>
      <c r="I228" s="62">
        <f>IFERROR(VLOOKUP(B228,Tableau5[#All],5,FALSE),"Matricule!")</f>
        <v>3</v>
      </c>
      <c r="J228" s="62">
        <f>IFERROR(VLOOKUP(B228,Tableau5[#All],6,FALSE),"Matricule!")</f>
        <v>8</v>
      </c>
      <c r="K228" s="62">
        <f>IFERROR(VLOOKUP(B228,Tableau5[#All],7,FALSE),"Matricule!")</f>
        <v>0</v>
      </c>
      <c r="L228" s="62" t="e">
        <f>VLOOKUP(Tableau242[[#This Row],[Company number]],#REF!,25,FALSE)</f>
        <v>#REF!</v>
      </c>
      <c r="M228" s="62" t="str">
        <f>IFERROR(VLOOKUP(Tableau242[[#This Row],[Company number]],#REF!,30,FALSE),"")</f>
        <v/>
      </c>
      <c r="N228" s="62" t="str">
        <f>IFERROR(VLOOKUP(Tableau242[[#This Row],[Company number]],#REF!,31,FALSE),"")</f>
        <v/>
      </c>
      <c r="O228" s="62" t="str">
        <f>IFERROR(VLOOKUP(Tableau242[[#This Row],[Company number]],#REF!,32,FALSE),"")</f>
        <v/>
      </c>
      <c r="P228" s="62">
        <f>IFERROR(VLOOKUP(B228,Tableau3[#All],5,FALSE),"Matricule!")</f>
        <v>9</v>
      </c>
      <c r="Q228" s="62">
        <f>IFERROR(SUM(VLOOKUP(B228,Tableau3[#All],6,FALSE),VLOOKUP(B228,Tableau3[#All],8,FALSE)),"Matricule!")</f>
        <v>3</v>
      </c>
      <c r="R228" s="62">
        <f>IFERROR(VLOOKUP(B228,Tableau3[#All],7,FALSE),"Matricule!")</f>
        <v>8</v>
      </c>
      <c r="S228" s="62">
        <f>IFERROR(Tableau242[[#This Row],[Prod. days WK]]-Tableau242[[#This Row],[Prod PXX]],"Matricule")</f>
        <v>0</v>
      </c>
      <c r="T228" s="62">
        <f>IFERROR(Tableau242[[#This Row],[Non prod. days WK]]-Tableau242[[#This Row],[Improd PXX]],"Matricule")</f>
        <v>0</v>
      </c>
      <c r="U228" s="62">
        <f>IFERROR(Tableau242[[#This Row],[Paid leave days WK]]-Tableau242[[#This Row],[Congé PXX]],"Matricule")</f>
        <v>0</v>
      </c>
      <c r="V228" s="63">
        <f>IFERROR(VLOOKUP($B228,#REF!,4,FALSE),0)</f>
        <v>0</v>
      </c>
      <c r="W22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28" s="63">
        <f>IF(AND(Tableau242[[#This Row],[Paid leave days]]&gt;0,Tableau242[[#This Row],[Prod. days]]&lt;0),MIN(Tableau242[[#This Row],[Paid leave days]],-Tableau242[[#This Row],[Prod. days]]),0)</f>
        <v>0</v>
      </c>
      <c r="Z228" s="63">
        <f>IFERROR(_xlfn.XLOOKUP(Tableau242[[#This Row],[Consultant]],Tableau2[Collaborateur/Nom affiché],Tableau2[Montant imputé],0),0)</f>
        <v>0</v>
      </c>
      <c r="AA228" s="64">
        <f t="shared" si="4"/>
        <v>0</v>
      </c>
      <c r="AB228" s="78" t="s">
        <v>154</v>
      </c>
      <c r="AC228" s="66"/>
      <c r="AD228" s="66"/>
      <c r="AE228" s="105"/>
      <c r="AF228" s="90"/>
    </row>
    <row r="229" spans="1:32">
      <c r="A229" s="15">
        <f>Tableau242[[#This Row],[Company number]]+0</f>
        <v>11579</v>
      </c>
      <c r="B229" s="60" t="s">
        <v>586</v>
      </c>
      <c r="C229" s="61" t="s">
        <v>587</v>
      </c>
      <c r="D229" s="61" t="s">
        <v>29</v>
      </c>
      <c r="E229" s="62" t="str">
        <f>IFERROR(VLOOKUP(Tableau242[[#This Row],[Manager ou CDM concerné]],Parametres!B:C,2,FALSE),"")</f>
        <v>Squad E</v>
      </c>
      <c r="F229" s="62" t="str">
        <f>IF(Tableau242[[#This Row],[Consultant]]=Tableau242[[#This Row],[Manager ou CDM concerné]],"Non",IF(IFERROR(VLOOKUP(Tableau242[[#This Row],[Consultant]],Parametres!B:C,2,FALSE),0)=0,"Non","Oui"))</f>
        <v>Non</v>
      </c>
      <c r="G229" s="62">
        <f>IFERROR(VLOOKUP(B229,Tableau5[#All],4,FALSE),"Matricule!")</f>
        <v>12</v>
      </c>
      <c r="H229" s="62" t="str">
        <f>IFERROR(VLOOKUP(Tableau242[[#This Row],[Company number]],#REF!,6,FALSE),"")</f>
        <v/>
      </c>
      <c r="I229" s="62">
        <f>IFERROR(VLOOKUP(B229,Tableau5[#All],5,FALSE),"Matricule!")</f>
        <v>0</v>
      </c>
      <c r="J229" s="62">
        <f>IFERROR(VLOOKUP(B229,Tableau5[#All],6,FALSE),"Matricule!")</f>
        <v>0</v>
      </c>
      <c r="K229" s="62">
        <f>IFERROR(VLOOKUP(B229,Tableau5[#All],7,FALSE),"Matricule!")</f>
        <v>8</v>
      </c>
      <c r="L229" s="62" t="e">
        <f>VLOOKUP(Tableau242[[#This Row],[Company number]],#REF!,25,FALSE)</f>
        <v>#REF!</v>
      </c>
      <c r="M229" s="62" t="str">
        <f>IFERROR(VLOOKUP(Tableau242[[#This Row],[Company number]],#REF!,30,FALSE),"")</f>
        <v/>
      </c>
      <c r="N229" s="62" t="str">
        <f>IFERROR(VLOOKUP(Tableau242[[#This Row],[Company number]],#REF!,31,FALSE),"")</f>
        <v/>
      </c>
      <c r="O229" s="62" t="str">
        <f>IFERROR(VLOOKUP(Tableau242[[#This Row],[Company number]],#REF!,32,FALSE),"")</f>
        <v/>
      </c>
      <c r="P229" s="62">
        <f>IFERROR(VLOOKUP(B229,Tableau3[#All],5,FALSE),"Matricule!")</f>
        <v>12</v>
      </c>
      <c r="Q229" s="62">
        <f>IFERROR(SUM(VLOOKUP(B229,Tableau3[#All],6,FALSE),VLOOKUP(B229,Tableau3[#All],8,FALSE)),"Matricule!")</f>
        <v>0</v>
      </c>
      <c r="R229" s="62">
        <f>IFERROR(VLOOKUP(B229,Tableau3[#All],7,FALSE),"Matricule!")</f>
        <v>0</v>
      </c>
      <c r="S229" s="62">
        <f>IFERROR(Tableau242[[#This Row],[Prod. days WK]]-Tableau242[[#This Row],[Prod PXX]],"Matricule")</f>
        <v>0</v>
      </c>
      <c r="T229" s="62">
        <f>IFERROR(Tableau242[[#This Row],[Non prod. days WK]]-Tableau242[[#This Row],[Improd PXX]],"Matricule")</f>
        <v>0</v>
      </c>
      <c r="U229" s="62">
        <f>IFERROR(Tableau242[[#This Row],[Paid leave days WK]]-Tableau242[[#This Row],[Congé PXX]],"Matricule")</f>
        <v>0</v>
      </c>
      <c r="V229" s="63">
        <f>IFERROR(VLOOKUP($B229,#REF!,4,FALSE),0)</f>
        <v>0</v>
      </c>
      <c r="W22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2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29" s="63">
        <f>IF(AND(Tableau242[[#This Row],[Paid leave days]]&gt;0,Tableau242[[#This Row],[Prod. days]]&lt;0),MIN(Tableau242[[#This Row],[Paid leave days]],-Tableau242[[#This Row],[Prod. days]]),0)</f>
        <v>0</v>
      </c>
      <c r="Z229" s="63">
        <f>IFERROR(_xlfn.XLOOKUP(Tableau242[[#This Row],[Consultant]],Tableau2[Collaborateur/Nom affiché],Tableau2[Montant imputé],0),0)</f>
        <v>0</v>
      </c>
      <c r="AA229" s="64">
        <f t="shared" si="4"/>
        <v>0</v>
      </c>
      <c r="AB229" s="65"/>
      <c r="AC229" s="66"/>
      <c r="AD229" s="66"/>
      <c r="AE229" s="105"/>
      <c r="AF229" s="90"/>
    </row>
    <row r="230" spans="1:32">
      <c r="A230" s="15">
        <f>Tableau242[[#This Row],[Company number]]+0</f>
        <v>15471</v>
      </c>
      <c r="B230" s="60" t="s">
        <v>588</v>
      </c>
      <c r="C230" s="61" t="s">
        <v>589</v>
      </c>
      <c r="D230" s="61" t="s">
        <v>76</v>
      </c>
      <c r="E230" s="62" t="str">
        <f>IFERROR(VLOOKUP(Tableau242[[#This Row],[Manager ou CDM concerné]],Parametres!B:C,2,FALSE),"")</f>
        <v>Squad D</v>
      </c>
      <c r="F230" s="62" t="str">
        <f>IF(Tableau242[[#This Row],[Consultant]]=Tableau242[[#This Row],[Manager ou CDM concerné]],"Non",IF(IFERROR(VLOOKUP(Tableau242[[#This Row],[Consultant]],Parametres!B:C,2,FALSE),0)=0,"Non","Oui"))</f>
        <v>Non</v>
      </c>
      <c r="G230" s="62">
        <f>IFERROR(VLOOKUP(B230,Tableau5[#All],4,FALSE),"Matricule!")</f>
        <v>0</v>
      </c>
      <c r="H230" s="62" t="str">
        <f>IFERROR(VLOOKUP(Tableau242[[#This Row],[Company number]],#REF!,6,FALSE),"")</f>
        <v/>
      </c>
      <c r="I230" s="62">
        <f>IFERROR(VLOOKUP(B230,Tableau5[#All],5,FALSE),"Matricule!")</f>
        <v>20</v>
      </c>
      <c r="J230" s="62">
        <f>IFERROR(VLOOKUP(B230,Tableau5[#All],6,FALSE),"Matricule!")</f>
        <v>0</v>
      </c>
      <c r="K230" s="62">
        <f>IFERROR(VLOOKUP(B230,Tableau5[#All],7,FALSE),"Matricule!")</f>
        <v>0</v>
      </c>
      <c r="L230" s="62" t="e">
        <f>VLOOKUP(Tableau242[[#This Row],[Company number]],#REF!,25,FALSE)</f>
        <v>#REF!</v>
      </c>
      <c r="M230" s="62" t="str">
        <f>IFERROR(VLOOKUP(Tableau242[[#This Row],[Company number]],#REF!,30,FALSE),"")</f>
        <v/>
      </c>
      <c r="N230" s="62" t="str">
        <f>IFERROR(VLOOKUP(Tableau242[[#This Row],[Company number]],#REF!,31,FALSE),"")</f>
        <v/>
      </c>
      <c r="O230" s="62" t="str">
        <f>IFERROR(VLOOKUP(Tableau242[[#This Row],[Company number]],#REF!,32,FALSE),"")</f>
        <v/>
      </c>
      <c r="P230" s="62">
        <f>IFERROR(VLOOKUP(B230,Tableau3[#All],5,FALSE),"Matricule!")</f>
        <v>15</v>
      </c>
      <c r="Q230" s="62">
        <f>IFERROR(SUM(VLOOKUP(B230,Tableau3[#All],6,FALSE),VLOOKUP(B230,Tableau3[#All],8,FALSE)),"Matricule!")</f>
        <v>5</v>
      </c>
      <c r="R230" s="62">
        <f>IFERROR(VLOOKUP(B230,Tableau3[#All],7,FALSE),"Matricule!")</f>
        <v>0</v>
      </c>
      <c r="S230" s="62">
        <f>IFERROR(Tableau242[[#This Row],[Prod. days WK]]-Tableau242[[#This Row],[Prod PXX]],"Matricule")</f>
        <v>-15</v>
      </c>
      <c r="T230" s="62">
        <f>IFERROR(Tableau242[[#This Row],[Non prod. days WK]]-Tableau242[[#This Row],[Improd PXX]],"Matricule")</f>
        <v>15</v>
      </c>
      <c r="U230" s="62">
        <f>IFERROR(Tableau242[[#This Row],[Paid leave days WK]]-Tableau242[[#This Row],[Congé PXX]],"Matricule")</f>
        <v>0</v>
      </c>
      <c r="V230" s="63">
        <f>IFERROR(VLOOKUP($B230,#REF!,4,FALSE),0)</f>
        <v>0</v>
      </c>
      <c r="W23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230" s="63">
        <f>IF(AND(Tableau242[[#This Row],[Paid leave days]]&gt;0,Tableau242[[#This Row],[Prod. days]]&lt;0),MIN(Tableau242[[#This Row],[Paid leave days]],-Tableau242[[#This Row],[Prod. days]]),0)</f>
        <v>0</v>
      </c>
      <c r="Z230" s="63">
        <f>IFERROR(_xlfn.XLOOKUP(Tableau242[[#This Row],[Consultant]],Tableau2[Collaborateur/Nom affiché],Tableau2[Montant imputé],0),0)</f>
        <v>15</v>
      </c>
      <c r="AA230" s="64">
        <f t="shared" si="4"/>
        <v>0</v>
      </c>
      <c r="AB230" s="65" t="s">
        <v>590</v>
      </c>
      <c r="AC230" s="66"/>
      <c r="AD230" s="66"/>
      <c r="AE230" s="114"/>
      <c r="AF230" s="90" t="s">
        <v>591</v>
      </c>
    </row>
    <row r="231" spans="1:32">
      <c r="A231" s="15">
        <f>Tableau242[[#This Row],[Company number]]+0</f>
        <v>14976</v>
      </c>
      <c r="B231" s="60" t="s">
        <v>592</v>
      </c>
      <c r="C231" s="61" t="s">
        <v>593</v>
      </c>
      <c r="D231" s="61" t="s">
        <v>76</v>
      </c>
      <c r="E231" s="62" t="str">
        <f>IFERROR(VLOOKUP(Tableau242[[#This Row],[Manager ou CDM concerné]],Parametres!B:C,2,FALSE),"")</f>
        <v>Squad D</v>
      </c>
      <c r="F231" s="62" t="str">
        <f>IF(Tableau242[[#This Row],[Consultant]]=Tableau242[[#This Row],[Manager ou CDM concerné]],"Non",IF(IFERROR(VLOOKUP(Tableau242[[#This Row],[Consultant]],Parametres!B:C,2,FALSE),0)=0,"Non","Oui"))</f>
        <v>Non</v>
      </c>
      <c r="G231" s="62">
        <f>IFERROR(VLOOKUP(B231,Tableau5[#All],4,FALSE),"Matricule!")</f>
        <v>10.5</v>
      </c>
      <c r="H231" s="62" t="str">
        <f>IFERROR(VLOOKUP(Tableau242[[#This Row],[Company number]],#REF!,6,FALSE),"")</f>
        <v/>
      </c>
      <c r="I231" s="62">
        <f>IFERROR(VLOOKUP(B231,Tableau5[#All],5,FALSE),"Matricule!")</f>
        <v>8.5</v>
      </c>
      <c r="J231" s="62">
        <f>IFERROR(VLOOKUP(B231,Tableau5[#All],6,FALSE),"Matricule!")</f>
        <v>1</v>
      </c>
      <c r="K231" s="62">
        <f>IFERROR(VLOOKUP(B231,Tableau5[#All],7,FALSE),"Matricule!")</f>
        <v>0</v>
      </c>
      <c r="L231" s="62" t="e">
        <f>VLOOKUP(Tableau242[[#This Row],[Company number]],#REF!,25,FALSE)</f>
        <v>#REF!</v>
      </c>
      <c r="M231" s="62" t="str">
        <f>IFERROR(VLOOKUP(Tableau242[[#This Row],[Company number]],#REF!,30,FALSE),"")</f>
        <v/>
      </c>
      <c r="N231" s="62" t="str">
        <f>IFERROR(VLOOKUP(Tableau242[[#This Row],[Company number]],#REF!,31,FALSE),"")</f>
        <v/>
      </c>
      <c r="O231" s="62" t="str">
        <f>IFERROR(VLOOKUP(Tableau242[[#This Row],[Company number]],#REF!,32,FALSE),"")</f>
        <v/>
      </c>
      <c r="P231" s="62">
        <f>IFERROR(VLOOKUP(B231,Tableau3[#All],5,FALSE),"Matricule!")</f>
        <v>10.5</v>
      </c>
      <c r="Q231" s="62">
        <f>IFERROR(SUM(VLOOKUP(B231,Tableau3[#All],6,FALSE),VLOOKUP(B231,Tableau3[#All],8,FALSE)),"Matricule!")</f>
        <v>8.5</v>
      </c>
      <c r="R231" s="62">
        <f>IFERROR(VLOOKUP(B231,Tableau3[#All],7,FALSE),"Matricule!")</f>
        <v>1</v>
      </c>
      <c r="S231" s="62">
        <f>IFERROR(Tableau242[[#This Row],[Prod. days WK]]-Tableau242[[#This Row],[Prod PXX]],"Matricule")</f>
        <v>0</v>
      </c>
      <c r="T231" s="62">
        <f>IFERROR(Tableau242[[#This Row],[Non prod. days WK]]-Tableau242[[#This Row],[Improd PXX]],"Matricule")</f>
        <v>0</v>
      </c>
      <c r="U231" s="62">
        <f>IFERROR(Tableau242[[#This Row],[Paid leave days WK]]-Tableau242[[#This Row],[Congé PXX]],"Matricule")</f>
        <v>0</v>
      </c>
      <c r="V231" s="63">
        <f>IFERROR(VLOOKUP($B231,#REF!,4,FALSE),0)</f>
        <v>0</v>
      </c>
      <c r="W23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31" s="63">
        <f>IF(AND(Tableau242[[#This Row],[Paid leave days]]&gt;0,Tableau242[[#This Row],[Prod. days]]&lt;0),MIN(Tableau242[[#This Row],[Paid leave days]],-Tableau242[[#This Row],[Prod. days]]),0)</f>
        <v>0</v>
      </c>
      <c r="Z231" s="63">
        <f>IFERROR(_xlfn.XLOOKUP(Tableau242[[#This Row],[Consultant]],Tableau2[Collaborateur/Nom affiché],Tableau2[Montant imputé],0),0)</f>
        <v>0</v>
      </c>
      <c r="AA231" s="64">
        <f t="shared" si="4"/>
        <v>0</v>
      </c>
      <c r="AB231" s="65" t="s">
        <v>154</v>
      </c>
      <c r="AC231" s="66"/>
      <c r="AD231" s="66"/>
      <c r="AE231" s="105"/>
      <c r="AF231" s="90"/>
    </row>
    <row r="232" spans="1:32">
      <c r="A232" s="15">
        <f>Tableau242[[#This Row],[Company number]]+0</f>
        <v>14440</v>
      </c>
      <c r="B232" s="60" t="s">
        <v>594</v>
      </c>
      <c r="C232" s="61" t="s">
        <v>595</v>
      </c>
      <c r="D232" s="61" t="s">
        <v>76</v>
      </c>
      <c r="E232" s="62" t="str">
        <f>IFERROR(VLOOKUP(Tableau242[[#This Row],[Manager ou CDM concerné]],Parametres!B:C,2,FALSE),"")</f>
        <v>Squad D</v>
      </c>
      <c r="F232" s="62" t="str">
        <f>IF(Tableau242[[#This Row],[Consultant]]=Tableau242[[#This Row],[Manager ou CDM concerné]],"Non",IF(IFERROR(VLOOKUP(Tableau242[[#This Row],[Consultant]],Parametres!B:C,2,FALSE),0)=0,"Non","Oui"))</f>
        <v>Non</v>
      </c>
      <c r="G232" s="62">
        <f>IFERROR(VLOOKUP(B232,Tableau5[#All],4,FALSE),"Matricule!")</f>
        <v>14</v>
      </c>
      <c r="H232" s="62" t="str">
        <f>IFERROR(VLOOKUP(Tableau242[[#This Row],[Company number]],#REF!,6,FALSE),"")</f>
        <v/>
      </c>
      <c r="I232" s="62">
        <f>IFERROR(VLOOKUP(B232,Tableau5[#All],5,FALSE),"Matricule!")</f>
        <v>0</v>
      </c>
      <c r="J232" s="62">
        <f>IFERROR(VLOOKUP(B232,Tableau5[#All],6,FALSE),"Matricule!")</f>
        <v>6</v>
      </c>
      <c r="K232" s="62">
        <f>IFERROR(VLOOKUP(B232,Tableau5[#All],7,FALSE),"Matricule!")</f>
        <v>0</v>
      </c>
      <c r="L232" s="62" t="e">
        <f>VLOOKUP(Tableau242[[#This Row],[Company number]],#REF!,25,FALSE)</f>
        <v>#REF!</v>
      </c>
      <c r="M232" s="62" t="str">
        <f>IFERROR(VLOOKUP(Tableau242[[#This Row],[Company number]],#REF!,30,FALSE),"")</f>
        <v/>
      </c>
      <c r="N232" s="62" t="str">
        <f>IFERROR(VLOOKUP(Tableau242[[#This Row],[Company number]],#REF!,31,FALSE),"")</f>
        <v/>
      </c>
      <c r="O232" s="62" t="str">
        <f>IFERROR(VLOOKUP(Tableau242[[#This Row],[Company number]],#REF!,32,FALSE),"")</f>
        <v/>
      </c>
      <c r="P232" s="62">
        <f>IFERROR(VLOOKUP(B232,Tableau3[#All],5,FALSE),"Matricule!")</f>
        <v>14</v>
      </c>
      <c r="Q232" s="62">
        <f>IFERROR(SUM(VLOOKUP(B232,Tableau3[#All],6,FALSE),VLOOKUP(B232,Tableau3[#All],8,FALSE)),"Matricule!")</f>
        <v>0</v>
      </c>
      <c r="R232" s="62">
        <f>IFERROR(VLOOKUP(B232,Tableau3[#All],7,FALSE),"Matricule!")</f>
        <v>6</v>
      </c>
      <c r="S232" s="62">
        <f>IFERROR(Tableau242[[#This Row],[Prod. days WK]]-Tableau242[[#This Row],[Prod PXX]],"Matricule")</f>
        <v>0</v>
      </c>
      <c r="T232" s="62">
        <f>IFERROR(Tableau242[[#This Row],[Non prod. days WK]]-Tableau242[[#This Row],[Improd PXX]],"Matricule")</f>
        <v>0</v>
      </c>
      <c r="U232" s="62">
        <f>IFERROR(Tableau242[[#This Row],[Paid leave days WK]]-Tableau242[[#This Row],[Congé PXX]],"Matricule")</f>
        <v>0</v>
      </c>
      <c r="V232" s="63">
        <f>IFERROR(VLOOKUP($B232,#REF!,4,FALSE),0)</f>
        <v>0</v>
      </c>
      <c r="W23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32" s="63">
        <f>IF(AND(Tableau242[[#This Row],[Paid leave days]]&gt;0,Tableau242[[#This Row],[Prod. days]]&lt;0),MIN(Tableau242[[#This Row],[Paid leave days]],-Tableau242[[#This Row],[Prod. days]]),0)</f>
        <v>0</v>
      </c>
      <c r="Z232" s="63">
        <f>IFERROR(_xlfn.XLOOKUP(Tableau242[[#This Row],[Consultant]],Tableau2[Collaborateur/Nom affiché],Tableau2[Montant imputé],0),0)</f>
        <v>0</v>
      </c>
      <c r="AA232" s="64">
        <f t="shared" si="4"/>
        <v>0</v>
      </c>
      <c r="AB232" s="65"/>
      <c r="AC232" s="67"/>
      <c r="AD232" s="67"/>
      <c r="AE232" s="106"/>
      <c r="AF232" s="92"/>
    </row>
    <row r="233" spans="1:32">
      <c r="A233" s="15">
        <f>Tableau242[[#This Row],[Company number]]+0</f>
        <v>15979</v>
      </c>
      <c r="B233" s="60" t="s">
        <v>596</v>
      </c>
      <c r="C233" s="61" t="s">
        <v>597</v>
      </c>
      <c r="D233" s="61" t="s">
        <v>76</v>
      </c>
      <c r="E233" s="62" t="str">
        <f>IFERROR(VLOOKUP(Tableau242[[#This Row],[Manager ou CDM concerné]],Parametres!B:C,2,FALSE),"")</f>
        <v>Squad D</v>
      </c>
      <c r="F233" s="62" t="str">
        <f>IF(Tableau242[[#This Row],[Consultant]]=Tableau242[[#This Row],[Manager ou CDM concerné]],"Non",IF(IFERROR(VLOOKUP(Tableau242[[#This Row],[Consultant]],Parametres!B:C,2,FALSE),0)=0,"Non","Oui"))</f>
        <v>Non</v>
      </c>
      <c r="G233" s="62">
        <f>IFERROR(VLOOKUP(B233,Tableau5[#All],4,FALSE),"Matricule!")</f>
        <v>10</v>
      </c>
      <c r="H233" s="62" t="str">
        <f>IFERROR(VLOOKUP(Tableau242[[#This Row],[Company number]],#REF!,6,FALSE),"")</f>
        <v/>
      </c>
      <c r="I233" s="62">
        <f>IFERROR(VLOOKUP(B233,Tableau5[#All],5,FALSE),"Matricule!")</f>
        <v>7</v>
      </c>
      <c r="J233" s="62">
        <f>IFERROR(VLOOKUP(B233,Tableau5[#All],6,FALSE),"Matricule!")</f>
        <v>3</v>
      </c>
      <c r="K233" s="62">
        <f>IFERROR(VLOOKUP(B233,Tableau5[#All],7,FALSE),"Matricule!")</f>
        <v>0</v>
      </c>
      <c r="L233" s="62" t="e">
        <f>VLOOKUP(Tableau242[[#This Row],[Company number]],#REF!,25,FALSE)</f>
        <v>#REF!</v>
      </c>
      <c r="M233" s="62" t="str">
        <f>IFERROR(VLOOKUP(Tableau242[[#This Row],[Company number]],#REF!,30,FALSE),"")</f>
        <v/>
      </c>
      <c r="N233" s="62" t="str">
        <f>IFERROR(VLOOKUP(Tableau242[[#This Row],[Company number]],#REF!,31,FALSE),"")</f>
        <v/>
      </c>
      <c r="O233" s="62" t="str">
        <f>IFERROR(VLOOKUP(Tableau242[[#This Row],[Company number]],#REF!,32,FALSE),"")</f>
        <v/>
      </c>
      <c r="P233" s="62">
        <f>IFERROR(VLOOKUP(B233,Tableau3[#All],5,FALSE),"Matricule!")</f>
        <v>13.5</v>
      </c>
      <c r="Q233" s="62">
        <f>IFERROR(SUM(VLOOKUP(B233,Tableau3[#All],6,FALSE),VLOOKUP(B233,Tableau3[#All],8,FALSE)),"Matricule!")</f>
        <v>3.5</v>
      </c>
      <c r="R233" s="62">
        <f>IFERROR(VLOOKUP(B233,Tableau3[#All],7,FALSE),"Matricule!")</f>
        <v>3</v>
      </c>
      <c r="S233" s="62">
        <f>IFERROR(Tableau242[[#This Row],[Prod. days WK]]-Tableau242[[#This Row],[Prod PXX]],"Matricule")</f>
        <v>-3.5</v>
      </c>
      <c r="T233" s="62">
        <f>IFERROR(Tableau242[[#This Row],[Non prod. days WK]]-Tableau242[[#This Row],[Improd PXX]],"Matricule")</f>
        <v>3.5</v>
      </c>
      <c r="U233" s="62">
        <f>IFERROR(Tableau242[[#This Row],[Paid leave days WK]]-Tableau242[[#This Row],[Congé PXX]],"Matricule")</f>
        <v>0</v>
      </c>
      <c r="V233" s="63">
        <f>IFERROR(VLOOKUP($B233,#REF!,4,FALSE),0)</f>
        <v>0</v>
      </c>
      <c r="W23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233" s="63">
        <f>IF(AND(Tableau242[[#This Row],[Paid leave days]]&gt;0,Tableau242[[#This Row],[Prod. days]]&lt;0),MIN(Tableau242[[#This Row],[Paid leave days]],-Tableau242[[#This Row],[Prod. days]]),0)</f>
        <v>0</v>
      </c>
      <c r="Z233" s="63">
        <f>IFERROR(_xlfn.XLOOKUP(Tableau242[[#This Row],[Consultant]],Tableau2[Collaborateur/Nom affiché],Tableau2[Montant imputé],0),0)</f>
        <v>3.5</v>
      </c>
      <c r="AA233" s="64">
        <f t="shared" si="4"/>
        <v>0</v>
      </c>
      <c r="AB233" s="78" t="s">
        <v>590</v>
      </c>
      <c r="AC233" s="67"/>
      <c r="AD233" s="67"/>
      <c r="AE233" s="106"/>
      <c r="AF233" s="92" t="s">
        <v>591</v>
      </c>
    </row>
    <row r="234" spans="1:32">
      <c r="A234" s="15">
        <f>Tableau242[[#This Row],[Company number]]+0</f>
        <v>14556</v>
      </c>
      <c r="B234" s="60" t="s">
        <v>598</v>
      </c>
      <c r="C234" s="61" t="s">
        <v>599</v>
      </c>
      <c r="D234" s="61" t="s">
        <v>76</v>
      </c>
      <c r="E234" s="62" t="str">
        <f>IFERROR(VLOOKUP(Tableau242[[#This Row],[Manager ou CDM concerné]],Parametres!B:C,2,FALSE),"")</f>
        <v>Squad D</v>
      </c>
      <c r="F234" s="62" t="str">
        <f>IF(Tableau242[[#This Row],[Consultant]]=Tableau242[[#This Row],[Manager ou CDM concerné]],"Non",IF(IFERROR(VLOOKUP(Tableau242[[#This Row],[Consultant]],Parametres!B:C,2,FALSE),0)=0,"Non","Oui"))</f>
        <v>Non</v>
      </c>
      <c r="G234" s="62">
        <f>IFERROR(VLOOKUP(B234,Tableau5[#All],4,FALSE),"Matricule!")</f>
        <v>15</v>
      </c>
      <c r="H234" s="62" t="str">
        <f>IFERROR(VLOOKUP(Tableau242[[#This Row],[Company number]],#REF!,6,FALSE),"")</f>
        <v/>
      </c>
      <c r="I234" s="62">
        <f>IFERROR(VLOOKUP(B234,Tableau5[#All],5,FALSE),"Matricule!")</f>
        <v>4</v>
      </c>
      <c r="J234" s="62">
        <f>IFERROR(VLOOKUP(B234,Tableau5[#All],6,FALSE),"Matricule!")</f>
        <v>1</v>
      </c>
      <c r="K234" s="62">
        <f>IFERROR(VLOOKUP(B234,Tableau5[#All],7,FALSE),"Matricule!")</f>
        <v>0</v>
      </c>
      <c r="L234" s="62" t="e">
        <f>VLOOKUP(Tableau242[[#This Row],[Company number]],#REF!,25,FALSE)</f>
        <v>#REF!</v>
      </c>
      <c r="M234" s="62" t="str">
        <f>IFERROR(VLOOKUP(Tableau242[[#This Row],[Company number]],#REF!,30,FALSE),"")</f>
        <v/>
      </c>
      <c r="N234" s="62" t="str">
        <f>IFERROR(VLOOKUP(Tableau242[[#This Row],[Company number]],#REF!,31,FALSE),"")</f>
        <v/>
      </c>
      <c r="O234" s="62" t="str">
        <f>IFERROR(VLOOKUP(Tableau242[[#This Row],[Company number]],#REF!,32,FALSE),"")</f>
        <v/>
      </c>
      <c r="P234" s="62">
        <f>IFERROR(VLOOKUP(B234,Tableau3[#All],5,FALSE),"Matricule!")</f>
        <v>15</v>
      </c>
      <c r="Q234" s="62">
        <f>IFERROR(SUM(VLOOKUP(B234,Tableau3[#All],6,FALSE),VLOOKUP(B234,Tableau3[#All],8,FALSE)),"Matricule!")</f>
        <v>4</v>
      </c>
      <c r="R234" s="62">
        <f>IFERROR(VLOOKUP(B234,Tableau3[#All],7,FALSE),"Matricule!")</f>
        <v>1</v>
      </c>
      <c r="S234" s="62">
        <f>IFERROR(Tableau242[[#This Row],[Prod. days WK]]-Tableau242[[#This Row],[Prod PXX]],"Matricule")</f>
        <v>0</v>
      </c>
      <c r="T234" s="62">
        <f>IFERROR(Tableau242[[#This Row],[Non prod. days WK]]-Tableau242[[#This Row],[Improd PXX]],"Matricule")</f>
        <v>0</v>
      </c>
      <c r="U234" s="62">
        <f>IFERROR(Tableau242[[#This Row],[Paid leave days WK]]-Tableau242[[#This Row],[Congé PXX]],"Matricule")</f>
        <v>0</v>
      </c>
      <c r="V234" s="63">
        <f>IFERROR(VLOOKUP($B234,#REF!,4,FALSE),0)</f>
        <v>0</v>
      </c>
      <c r="W23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34" s="63">
        <f>IF(AND(Tableau242[[#This Row],[Paid leave days]]&gt;0,Tableau242[[#This Row],[Prod. days]]&lt;0),MIN(Tableau242[[#This Row],[Paid leave days]],-Tableau242[[#This Row],[Prod. days]]),0)</f>
        <v>0</v>
      </c>
      <c r="Z234" s="63">
        <f>IFERROR(_xlfn.XLOOKUP(Tableau242[[#This Row],[Consultant]],Tableau2[Collaborateur/Nom affiché],Tableau2[Montant imputé],0),0)</f>
        <v>0</v>
      </c>
      <c r="AA234" s="64">
        <f t="shared" si="4"/>
        <v>0</v>
      </c>
      <c r="AB234" s="70" t="s">
        <v>154</v>
      </c>
      <c r="AC234" s="66"/>
      <c r="AD234" s="66"/>
      <c r="AE234" s="105"/>
      <c r="AF234" s="90"/>
    </row>
    <row r="235" spans="1:32">
      <c r="A235" s="15">
        <f>Tableau242[[#This Row],[Company number]]+0</f>
        <v>12807</v>
      </c>
      <c r="B235" s="60" t="s">
        <v>600</v>
      </c>
      <c r="C235" s="61" t="s">
        <v>601</v>
      </c>
      <c r="D235" s="61" t="s">
        <v>76</v>
      </c>
      <c r="E235" s="62" t="str">
        <f>IFERROR(VLOOKUP(Tableau242[[#This Row],[Manager ou CDM concerné]],Parametres!B:C,2,FALSE),"")</f>
        <v>Squad D</v>
      </c>
      <c r="F235" s="62" t="str">
        <f>IF(Tableau242[[#This Row],[Consultant]]=Tableau242[[#This Row],[Manager ou CDM concerné]],"Non",IF(IFERROR(VLOOKUP(Tableau242[[#This Row],[Consultant]],Parametres!B:C,2,FALSE),0)=0,"Non","Oui"))</f>
        <v>Non</v>
      </c>
      <c r="G235" s="62">
        <f>IFERROR(VLOOKUP(B235,Tableau5[#All],4,FALSE),"Matricule!")</f>
        <v>10</v>
      </c>
      <c r="H235" s="62" t="str">
        <f>IFERROR(VLOOKUP(Tableau242[[#This Row],[Company number]],#REF!,6,FALSE),"")</f>
        <v/>
      </c>
      <c r="I235" s="62">
        <f>IFERROR(VLOOKUP(B235,Tableau5[#All],5,FALSE),"Matricule!")</f>
        <v>6</v>
      </c>
      <c r="J235" s="62">
        <f>IFERROR(VLOOKUP(B235,Tableau5[#All],6,FALSE),"Matricule!")</f>
        <v>4</v>
      </c>
      <c r="K235" s="62">
        <f>IFERROR(VLOOKUP(B235,Tableau5[#All],7,FALSE),"Matricule!")</f>
        <v>0</v>
      </c>
      <c r="L235" s="62" t="e">
        <f>VLOOKUP(Tableau242[[#This Row],[Company number]],#REF!,25,FALSE)</f>
        <v>#REF!</v>
      </c>
      <c r="M235" s="62" t="str">
        <f>IFERROR(VLOOKUP(Tableau242[[#This Row],[Company number]],#REF!,30,FALSE),"")</f>
        <v/>
      </c>
      <c r="N235" s="62" t="str">
        <f>IFERROR(VLOOKUP(Tableau242[[#This Row],[Company number]],#REF!,31,FALSE),"")</f>
        <v/>
      </c>
      <c r="O235" s="62" t="str">
        <f>IFERROR(VLOOKUP(Tableau242[[#This Row],[Company number]],#REF!,32,FALSE),"")</f>
        <v/>
      </c>
      <c r="P235" s="62">
        <f>IFERROR(VLOOKUP(B235,Tableau3[#All],5,FALSE),"Matricule!")</f>
        <v>10</v>
      </c>
      <c r="Q235" s="62">
        <f>IFERROR(SUM(VLOOKUP(B235,Tableau3[#All],6,FALSE),VLOOKUP(B235,Tableau3[#All],8,FALSE)),"Matricule!")</f>
        <v>6</v>
      </c>
      <c r="R235" s="62">
        <f>IFERROR(VLOOKUP(B235,Tableau3[#All],7,FALSE),"Matricule!")</f>
        <v>4</v>
      </c>
      <c r="S235" s="62">
        <f>IFERROR(Tableau242[[#This Row],[Prod. days WK]]-Tableau242[[#This Row],[Prod PXX]],"Matricule")</f>
        <v>0</v>
      </c>
      <c r="T235" s="62">
        <f>IFERROR(Tableau242[[#This Row],[Non prod. days WK]]-Tableau242[[#This Row],[Improd PXX]],"Matricule")</f>
        <v>0</v>
      </c>
      <c r="U235" s="62">
        <f>IFERROR(Tableau242[[#This Row],[Paid leave days WK]]-Tableau242[[#This Row],[Congé PXX]],"Matricule")</f>
        <v>0</v>
      </c>
      <c r="V235" s="63">
        <f>IFERROR(VLOOKUP($B235,#REF!,4,FALSE),0)</f>
        <v>0</v>
      </c>
      <c r="W23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35" s="63">
        <f>IF(AND(Tableau242[[#This Row],[Paid leave days]]&gt;0,Tableau242[[#This Row],[Prod. days]]&lt;0),MIN(Tableau242[[#This Row],[Paid leave days]],-Tableau242[[#This Row],[Prod. days]]),0)</f>
        <v>0</v>
      </c>
      <c r="Z235" s="63">
        <f>IFERROR(_xlfn.XLOOKUP(Tableau242[[#This Row],[Consultant]],Tableau2[Collaborateur/Nom affiché],Tableau2[Montant imputé],0),0)</f>
        <v>0</v>
      </c>
      <c r="AA235" s="64">
        <f t="shared" si="4"/>
        <v>0</v>
      </c>
      <c r="AB235" s="65" t="s">
        <v>154</v>
      </c>
      <c r="AC235" s="66"/>
      <c r="AD235" s="66"/>
      <c r="AE235" s="105"/>
      <c r="AF235" s="90"/>
    </row>
    <row r="236" spans="1:32">
      <c r="A236" s="15">
        <f>Tableau242[[#This Row],[Company number]]+0</f>
        <v>16733</v>
      </c>
      <c r="B236" s="60" t="s">
        <v>602</v>
      </c>
      <c r="C236" s="61" t="s">
        <v>603</v>
      </c>
      <c r="D236" s="61" t="s">
        <v>76</v>
      </c>
      <c r="E236" s="62" t="str">
        <f>IFERROR(VLOOKUP(Tableau242[[#This Row],[Manager ou CDM concerné]],Parametres!B:C,2,FALSE),"")</f>
        <v>Squad D</v>
      </c>
      <c r="F236" s="62" t="str">
        <f>IF(Tableau242[[#This Row],[Consultant]]=Tableau242[[#This Row],[Manager ou CDM concerné]],"Non",IF(IFERROR(VLOOKUP(Tableau242[[#This Row],[Consultant]],Parametres!B:C,2,FALSE),0)=0,"Non","Oui"))</f>
        <v>Non</v>
      </c>
      <c r="G236" s="62">
        <f>IFERROR(VLOOKUP(B236,Tableau5[#All],4,FALSE),"Matricule!")</f>
        <v>0</v>
      </c>
      <c r="H236" s="62" t="str">
        <f>IFERROR(VLOOKUP(Tableau242[[#This Row],[Company number]],#REF!,6,FALSE),"")</f>
        <v/>
      </c>
      <c r="I236" s="62">
        <f>IFERROR(VLOOKUP(B236,Tableau5[#All],5,FALSE),"Matricule!")</f>
        <v>19</v>
      </c>
      <c r="J236" s="62">
        <f>IFERROR(VLOOKUP(B236,Tableau5[#All],6,FALSE),"Matricule!")</f>
        <v>1</v>
      </c>
      <c r="K236" s="62">
        <f>IFERROR(VLOOKUP(B236,Tableau5[#All],7,FALSE),"Matricule!")</f>
        <v>0</v>
      </c>
      <c r="L236" s="62" t="e">
        <f>VLOOKUP(Tableau242[[#This Row],[Company number]],#REF!,25,FALSE)</f>
        <v>#REF!</v>
      </c>
      <c r="M236" s="62" t="str">
        <f>IFERROR(VLOOKUP(Tableau242[[#This Row],[Company number]],#REF!,30,FALSE),"")</f>
        <v/>
      </c>
      <c r="N236" s="62" t="str">
        <f>IFERROR(VLOOKUP(Tableau242[[#This Row],[Company number]],#REF!,31,FALSE),"")</f>
        <v/>
      </c>
      <c r="O236" s="62" t="str">
        <f>IFERROR(VLOOKUP(Tableau242[[#This Row],[Company number]],#REF!,32,FALSE),"")</f>
        <v/>
      </c>
      <c r="P236" s="62">
        <f>IFERROR(VLOOKUP(B236,Tableau3[#All],5,FALSE),"Matricule!")</f>
        <v>0</v>
      </c>
      <c r="Q236" s="62">
        <f>IFERROR(SUM(VLOOKUP(B236,Tableau3[#All],6,FALSE),VLOOKUP(B236,Tableau3[#All],8,FALSE)),"Matricule!")</f>
        <v>19</v>
      </c>
      <c r="R236" s="62">
        <f>IFERROR(VLOOKUP(B236,Tableau3[#All],7,FALSE),"Matricule!")</f>
        <v>1</v>
      </c>
      <c r="S236" s="62">
        <f>IFERROR(Tableau242[[#This Row],[Prod. days WK]]-Tableau242[[#This Row],[Prod PXX]],"Matricule")</f>
        <v>0</v>
      </c>
      <c r="T236" s="62">
        <f>IFERROR(Tableau242[[#This Row],[Non prod. days WK]]-Tableau242[[#This Row],[Improd PXX]],"Matricule")</f>
        <v>0</v>
      </c>
      <c r="U236" s="62">
        <f>IFERROR(Tableau242[[#This Row],[Paid leave days WK]]-Tableau242[[#This Row],[Congé PXX]],"Matricule")</f>
        <v>0</v>
      </c>
      <c r="V236" s="63">
        <f>IFERROR(VLOOKUP($B236,#REF!,4,FALSE),0)</f>
        <v>0</v>
      </c>
      <c r="W23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36" s="63">
        <f>IF(AND(Tableau242[[#This Row],[Paid leave days]]&gt;0,Tableau242[[#This Row],[Prod. days]]&lt;0),MIN(Tableau242[[#This Row],[Paid leave days]],-Tableau242[[#This Row],[Prod. days]]),0)</f>
        <v>0</v>
      </c>
      <c r="Z236" s="63">
        <f>IFERROR(_xlfn.XLOOKUP(Tableau242[[#This Row],[Consultant]],Tableau2[Collaborateur/Nom affiché],Tableau2[Montant imputé],0),0)</f>
        <v>0</v>
      </c>
      <c r="AA236" s="64">
        <f t="shared" si="4"/>
        <v>0</v>
      </c>
      <c r="AB236" s="65" t="s">
        <v>154</v>
      </c>
      <c r="AC236" s="66"/>
      <c r="AD236" s="66"/>
      <c r="AE236" s="105"/>
      <c r="AF236" s="90"/>
    </row>
    <row r="237" spans="1:32">
      <c r="A237" s="15">
        <f>Tableau242[[#This Row],[Company number]]+0</f>
        <v>15648</v>
      </c>
      <c r="B237" s="60" t="s">
        <v>604</v>
      </c>
      <c r="C237" s="61" t="s">
        <v>605</v>
      </c>
      <c r="D237" s="61" t="s">
        <v>76</v>
      </c>
      <c r="E237" s="62" t="str">
        <f>IFERROR(VLOOKUP(Tableau242[[#This Row],[Manager ou CDM concerné]],Parametres!B:C,2,FALSE),"")</f>
        <v>Squad D</v>
      </c>
      <c r="F237" s="62" t="str">
        <f>IF(Tableau242[[#This Row],[Consultant]]=Tableau242[[#This Row],[Manager ou CDM concerné]],"Non",IF(IFERROR(VLOOKUP(Tableau242[[#This Row],[Consultant]],Parametres!B:C,2,FALSE),0)=0,"Non","Oui"))</f>
        <v>Non</v>
      </c>
      <c r="G237" s="62">
        <f>IFERROR(VLOOKUP(B237,Tableau5[#All],4,FALSE),"Matricule!")</f>
        <v>18</v>
      </c>
      <c r="H237" s="62" t="str">
        <f>IFERROR(VLOOKUP(Tableau242[[#This Row],[Company number]],#REF!,6,FALSE),"")</f>
        <v/>
      </c>
      <c r="I237" s="62">
        <f>IFERROR(VLOOKUP(B237,Tableau5[#All],5,FALSE),"Matricule!")</f>
        <v>0</v>
      </c>
      <c r="J237" s="62">
        <f>IFERROR(VLOOKUP(B237,Tableau5[#All],6,FALSE),"Matricule!")</f>
        <v>2</v>
      </c>
      <c r="K237" s="62">
        <f>IFERROR(VLOOKUP(B237,Tableau5[#All],7,FALSE),"Matricule!")</f>
        <v>0</v>
      </c>
      <c r="L237" s="62" t="e">
        <f>VLOOKUP(Tableau242[[#This Row],[Company number]],#REF!,25,FALSE)</f>
        <v>#REF!</v>
      </c>
      <c r="M237" s="62" t="str">
        <f>IFERROR(VLOOKUP(Tableau242[[#This Row],[Company number]],#REF!,30,FALSE),"")</f>
        <v/>
      </c>
      <c r="N237" s="62" t="str">
        <f>IFERROR(VLOOKUP(Tableau242[[#This Row],[Company number]],#REF!,31,FALSE),"")</f>
        <v/>
      </c>
      <c r="O237" s="62" t="str">
        <f>IFERROR(VLOOKUP(Tableau242[[#This Row],[Company number]],#REF!,32,FALSE),"")</f>
        <v/>
      </c>
      <c r="P237" s="62">
        <f>IFERROR(VLOOKUP(B237,Tableau3[#All],5,FALSE),"Matricule!")</f>
        <v>18</v>
      </c>
      <c r="Q237" s="62">
        <f>IFERROR(SUM(VLOOKUP(B237,Tableau3[#All],6,FALSE),VLOOKUP(B237,Tableau3[#All],8,FALSE)),"Matricule!")</f>
        <v>0</v>
      </c>
      <c r="R237" s="62">
        <f>IFERROR(VLOOKUP(B237,Tableau3[#All],7,FALSE),"Matricule!")</f>
        <v>2</v>
      </c>
      <c r="S237" s="62">
        <f>IFERROR(Tableau242[[#This Row],[Prod. days WK]]-Tableau242[[#This Row],[Prod PXX]],"Matricule")</f>
        <v>0</v>
      </c>
      <c r="T237" s="62">
        <f>IFERROR(Tableau242[[#This Row],[Non prod. days WK]]-Tableau242[[#This Row],[Improd PXX]],"Matricule")</f>
        <v>0</v>
      </c>
      <c r="U237" s="62">
        <f>IFERROR(Tableau242[[#This Row],[Paid leave days WK]]-Tableau242[[#This Row],[Congé PXX]],"Matricule")</f>
        <v>0</v>
      </c>
      <c r="V237" s="63">
        <f>IFERROR(VLOOKUP($B237,#REF!,4,FALSE),0)</f>
        <v>0</v>
      </c>
      <c r="W23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37" s="63">
        <f>IF(AND(Tableau242[[#This Row],[Paid leave days]]&gt;0,Tableau242[[#This Row],[Prod. days]]&lt;0),MIN(Tableau242[[#This Row],[Paid leave days]],-Tableau242[[#This Row],[Prod. days]]),0)</f>
        <v>0</v>
      </c>
      <c r="Z237" s="63">
        <f>IFERROR(_xlfn.XLOOKUP(Tableau242[[#This Row],[Consultant]],Tableau2[Collaborateur/Nom affiché],Tableau2[Montant imputé],0),0)</f>
        <v>0</v>
      </c>
      <c r="AA237" s="64">
        <f t="shared" si="4"/>
        <v>0</v>
      </c>
      <c r="AB237" s="65"/>
      <c r="AC237" s="66"/>
      <c r="AD237" s="66"/>
      <c r="AE237" s="105"/>
      <c r="AF237" s="90"/>
    </row>
    <row r="238" spans="1:32" ht="29.1">
      <c r="A238" s="15">
        <f>Tableau242[[#This Row],[Company number]]+0</f>
        <v>15608</v>
      </c>
      <c r="B238" s="60" t="s">
        <v>606</v>
      </c>
      <c r="C238" s="61" t="s">
        <v>607</v>
      </c>
      <c r="D238" s="61" t="s">
        <v>76</v>
      </c>
      <c r="E238" s="62" t="str">
        <f>IFERROR(VLOOKUP(Tableau242[[#This Row],[Manager ou CDM concerné]],Parametres!B:C,2,FALSE),"")</f>
        <v>Squad D</v>
      </c>
      <c r="F238" s="62" t="str">
        <f>IF(Tableau242[[#This Row],[Consultant]]=Tableau242[[#This Row],[Manager ou CDM concerné]],"Non",IF(IFERROR(VLOOKUP(Tableau242[[#This Row],[Consultant]],Parametres!B:C,2,FALSE),0)=0,"Non","Oui"))</f>
        <v>Non</v>
      </c>
      <c r="G238" s="62">
        <f>IFERROR(VLOOKUP(B238,Tableau5[#All],4,FALSE),"Matricule!")</f>
        <v>19.5</v>
      </c>
      <c r="H238" s="62" t="str">
        <f>IFERROR(VLOOKUP(Tableau242[[#This Row],[Company number]],#REF!,6,FALSE),"")</f>
        <v/>
      </c>
      <c r="I238" s="62">
        <f>IFERROR(VLOOKUP(B238,Tableau5[#All],5,FALSE),"Matricule!")</f>
        <v>0</v>
      </c>
      <c r="J238" s="62">
        <f>IFERROR(VLOOKUP(B238,Tableau5[#All],6,FALSE),"Matricule!")</f>
        <v>0.5</v>
      </c>
      <c r="K238" s="62">
        <f>IFERROR(VLOOKUP(B238,Tableau5[#All],7,FALSE),"Matricule!")</f>
        <v>0</v>
      </c>
      <c r="L238" s="62" t="e">
        <f>VLOOKUP(Tableau242[[#This Row],[Company number]],#REF!,25,FALSE)</f>
        <v>#REF!</v>
      </c>
      <c r="M238" s="62" t="str">
        <f>IFERROR(VLOOKUP(Tableau242[[#This Row],[Company number]],#REF!,30,FALSE),"")</f>
        <v/>
      </c>
      <c r="N238" s="62" t="str">
        <f>IFERROR(VLOOKUP(Tableau242[[#This Row],[Company number]],#REF!,31,FALSE),"")</f>
        <v/>
      </c>
      <c r="O238" s="62" t="str">
        <f>IFERROR(VLOOKUP(Tableau242[[#This Row],[Company number]],#REF!,32,FALSE),"")</f>
        <v/>
      </c>
      <c r="P238" s="62">
        <f>IFERROR(VLOOKUP(B238,Tableau3[#All],5,FALSE),"Matricule!")</f>
        <v>19.5</v>
      </c>
      <c r="Q238" s="62">
        <f>IFERROR(SUM(VLOOKUP(B238,Tableau3[#All],6,FALSE),VLOOKUP(B238,Tableau3[#All],8,FALSE)),"Matricule!")</f>
        <v>0</v>
      </c>
      <c r="R238" s="62">
        <f>IFERROR(VLOOKUP(B238,Tableau3[#All],7,FALSE),"Matricule!")</f>
        <v>0.5</v>
      </c>
      <c r="S238" s="62">
        <f>IFERROR(Tableau242[[#This Row],[Prod. days WK]]-Tableau242[[#This Row],[Prod PXX]],"Matricule")</f>
        <v>0</v>
      </c>
      <c r="T238" s="62">
        <f>IFERROR(Tableau242[[#This Row],[Non prod. days WK]]-Tableau242[[#This Row],[Improd PXX]],"Matricule")</f>
        <v>0</v>
      </c>
      <c r="U238" s="62">
        <f>IFERROR(Tableau242[[#This Row],[Paid leave days WK]]-Tableau242[[#This Row],[Congé PXX]],"Matricule")</f>
        <v>0</v>
      </c>
      <c r="V238" s="63">
        <f>IFERROR(VLOOKUP($B238,#REF!,4,FALSE),0)</f>
        <v>0</v>
      </c>
      <c r="W23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38" s="63">
        <f>IF(AND(Tableau242[[#This Row],[Paid leave days]]&gt;0,Tableau242[[#This Row],[Prod. days]]&lt;0),MIN(Tableau242[[#This Row],[Paid leave days]],-Tableau242[[#This Row],[Prod. days]]),0)</f>
        <v>0</v>
      </c>
      <c r="Z238" s="63">
        <f>IFERROR(_xlfn.XLOOKUP(Tableau242[[#This Row],[Consultant]],Tableau2[Collaborateur/Nom affiché],Tableau2[Montant imputé],0),0)</f>
        <v>0</v>
      </c>
      <c r="AA238" s="64">
        <f t="shared" si="4"/>
        <v>0</v>
      </c>
      <c r="AB238" s="65"/>
      <c r="AC238" s="66"/>
      <c r="AD238" s="66"/>
      <c r="AE238" s="105"/>
      <c r="AF238" s="90"/>
    </row>
    <row r="239" spans="1:32">
      <c r="A239" s="15">
        <f>Tableau242[[#This Row],[Company number]]+0</f>
        <v>12325</v>
      </c>
      <c r="B239" s="60" t="s">
        <v>608</v>
      </c>
      <c r="C239" s="61" t="s">
        <v>609</v>
      </c>
      <c r="D239" s="61" t="s">
        <v>76</v>
      </c>
      <c r="E239" s="62" t="str">
        <f>IFERROR(VLOOKUP(Tableau242[[#This Row],[Manager ou CDM concerné]],Parametres!B:C,2,FALSE),"")</f>
        <v>Squad D</v>
      </c>
      <c r="F239" s="62" t="str">
        <f>IF(Tableau242[[#This Row],[Consultant]]=Tableau242[[#This Row],[Manager ou CDM concerné]],"Non",IF(IFERROR(VLOOKUP(Tableau242[[#This Row],[Consultant]],Parametres!B:C,2,FALSE),0)=0,"Non","Oui"))</f>
        <v>Oui</v>
      </c>
      <c r="G239" s="62">
        <f>IFERROR(VLOOKUP(B239,Tableau5[#All],4,FALSE),"Matricule!")</f>
        <v>17</v>
      </c>
      <c r="H239" s="62" t="str">
        <f>IFERROR(VLOOKUP(Tableau242[[#This Row],[Company number]],#REF!,6,FALSE),"")</f>
        <v/>
      </c>
      <c r="I239" s="62">
        <f>IFERROR(VLOOKUP(B239,Tableau5[#All],5,FALSE),"Matricule!")</f>
        <v>2</v>
      </c>
      <c r="J239" s="62">
        <f>IFERROR(VLOOKUP(B239,Tableau5[#All],6,FALSE),"Matricule!")</f>
        <v>1</v>
      </c>
      <c r="K239" s="62">
        <f>IFERROR(VLOOKUP(B239,Tableau5[#All],7,FALSE),"Matricule!")</f>
        <v>0</v>
      </c>
      <c r="L239" s="62" t="e">
        <f>VLOOKUP(Tableau242[[#This Row],[Company number]],#REF!,25,FALSE)</f>
        <v>#REF!</v>
      </c>
      <c r="M239" s="62" t="str">
        <f>IFERROR(VLOOKUP(Tableau242[[#This Row],[Company number]],#REF!,30,FALSE),"")</f>
        <v/>
      </c>
      <c r="N239" s="62" t="str">
        <f>IFERROR(VLOOKUP(Tableau242[[#This Row],[Company number]],#REF!,31,FALSE),"")</f>
        <v/>
      </c>
      <c r="O239" s="62" t="str">
        <f>IFERROR(VLOOKUP(Tableau242[[#This Row],[Company number]],#REF!,32,FALSE),"")</f>
        <v/>
      </c>
      <c r="P239" s="62">
        <f>IFERROR(VLOOKUP(B239,Tableau3[#All],5,FALSE),"Matricule!")</f>
        <v>17</v>
      </c>
      <c r="Q239" s="62">
        <f>IFERROR(SUM(VLOOKUP(B239,Tableau3[#All],6,FALSE),VLOOKUP(B239,Tableau3[#All],8,FALSE)),"Matricule!")</f>
        <v>2</v>
      </c>
      <c r="R239" s="62">
        <f>IFERROR(VLOOKUP(B239,Tableau3[#All],7,FALSE),"Matricule!")</f>
        <v>1</v>
      </c>
      <c r="S239" s="62">
        <f>IFERROR(Tableau242[[#This Row],[Prod. days WK]]-Tableau242[[#This Row],[Prod PXX]],"Matricule")</f>
        <v>0</v>
      </c>
      <c r="T239" s="62">
        <f>IFERROR(Tableau242[[#This Row],[Non prod. days WK]]-Tableau242[[#This Row],[Improd PXX]],"Matricule")</f>
        <v>0</v>
      </c>
      <c r="U239" s="62">
        <f>IFERROR(Tableau242[[#This Row],[Paid leave days WK]]-Tableau242[[#This Row],[Congé PXX]],"Matricule")</f>
        <v>0</v>
      </c>
      <c r="V239" s="63">
        <f>IFERROR(VLOOKUP($B239,#REF!,4,FALSE),0)</f>
        <v>0</v>
      </c>
      <c r="W23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3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39" s="63">
        <f>IF(AND(Tableau242[[#This Row],[Paid leave days]]&gt;0,Tableau242[[#This Row],[Prod. days]]&lt;0),MIN(Tableau242[[#This Row],[Paid leave days]],-Tableau242[[#This Row],[Prod. days]]),0)</f>
        <v>0</v>
      </c>
      <c r="Z239" s="63">
        <f>IFERROR(_xlfn.XLOOKUP(Tableau242[[#This Row],[Consultant]],Tableau2[Collaborateur/Nom affiché],Tableau2[Montant imputé],0),0)</f>
        <v>0</v>
      </c>
      <c r="AA239" s="64">
        <f t="shared" si="4"/>
        <v>0</v>
      </c>
      <c r="AB239" s="65" t="s">
        <v>154</v>
      </c>
      <c r="AC239" s="67"/>
      <c r="AD239" s="66"/>
      <c r="AE239" s="105"/>
      <c r="AF239" s="92"/>
    </row>
    <row r="240" spans="1:32">
      <c r="A240" s="15">
        <f>Tableau242[[#This Row],[Company number]]+0</f>
        <v>14689</v>
      </c>
      <c r="B240" s="60" t="s">
        <v>610</v>
      </c>
      <c r="C240" s="61" t="s">
        <v>611</v>
      </c>
      <c r="D240" s="61" t="s">
        <v>76</v>
      </c>
      <c r="E240" s="62" t="str">
        <f>IFERROR(VLOOKUP(Tableau242[[#This Row],[Manager ou CDM concerné]],Parametres!B:C,2,FALSE),"")</f>
        <v>Squad D</v>
      </c>
      <c r="F240" s="62" t="str">
        <f>IF(Tableau242[[#This Row],[Consultant]]=Tableau242[[#This Row],[Manager ou CDM concerné]],"Non",IF(IFERROR(VLOOKUP(Tableau242[[#This Row],[Consultant]],Parametres!B:C,2,FALSE),0)=0,"Non","Oui"))</f>
        <v>Non</v>
      </c>
      <c r="G240" s="62">
        <f>IFERROR(VLOOKUP(B240,Tableau5[#All],4,FALSE),"Matricule!")</f>
        <v>8.5</v>
      </c>
      <c r="H240" s="62" t="str">
        <f>IFERROR(VLOOKUP(Tableau242[[#This Row],[Company number]],#REF!,6,FALSE),"")</f>
        <v/>
      </c>
      <c r="I240" s="62">
        <f>IFERROR(VLOOKUP(B240,Tableau5[#All],5,FALSE),"Matricule!")</f>
        <v>6.5</v>
      </c>
      <c r="J240" s="62">
        <f>IFERROR(VLOOKUP(B240,Tableau5[#All],6,FALSE),"Matricule!")</f>
        <v>5</v>
      </c>
      <c r="K240" s="62">
        <f>IFERROR(VLOOKUP(B240,Tableau5[#All],7,FALSE),"Matricule!")</f>
        <v>0</v>
      </c>
      <c r="L240" s="62" t="e">
        <f>VLOOKUP(Tableau242[[#This Row],[Company number]],#REF!,25,FALSE)</f>
        <v>#REF!</v>
      </c>
      <c r="M240" s="62" t="str">
        <f>IFERROR(VLOOKUP(Tableau242[[#This Row],[Company number]],#REF!,30,FALSE),"")</f>
        <v/>
      </c>
      <c r="N240" s="62" t="str">
        <f>IFERROR(VLOOKUP(Tableau242[[#This Row],[Company number]],#REF!,31,FALSE),"")</f>
        <v/>
      </c>
      <c r="O240" s="62" t="str">
        <f>IFERROR(VLOOKUP(Tableau242[[#This Row],[Company number]],#REF!,32,FALSE),"")</f>
        <v/>
      </c>
      <c r="P240" s="62">
        <f>IFERROR(VLOOKUP(B240,Tableau3[#All],5,FALSE),"Matricule!")</f>
        <v>8.5</v>
      </c>
      <c r="Q240" s="62">
        <f>IFERROR(SUM(VLOOKUP(B240,Tableau3[#All],6,FALSE),VLOOKUP(B240,Tableau3[#All],8,FALSE)),"Matricule!")</f>
        <v>6.5</v>
      </c>
      <c r="R240" s="62">
        <f>IFERROR(VLOOKUP(B240,Tableau3[#All],7,FALSE),"Matricule!")</f>
        <v>5</v>
      </c>
      <c r="S240" s="62">
        <f>IFERROR(Tableau242[[#This Row],[Prod. days WK]]-Tableau242[[#This Row],[Prod PXX]],"Matricule")</f>
        <v>0</v>
      </c>
      <c r="T240" s="62">
        <f>IFERROR(Tableau242[[#This Row],[Non prod. days WK]]-Tableau242[[#This Row],[Improd PXX]],"Matricule")</f>
        <v>0</v>
      </c>
      <c r="U240" s="62">
        <f>IFERROR(Tableau242[[#This Row],[Paid leave days WK]]-Tableau242[[#This Row],[Congé PXX]],"Matricule")</f>
        <v>0</v>
      </c>
      <c r="V240" s="63">
        <f>IFERROR(VLOOKUP($B240,#REF!,4,FALSE),0)</f>
        <v>0</v>
      </c>
      <c r="W24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40" s="63">
        <f>IF(AND(Tableau242[[#This Row],[Paid leave days]]&gt;0,Tableau242[[#This Row],[Prod. days]]&lt;0),MIN(Tableau242[[#This Row],[Paid leave days]],-Tableau242[[#This Row],[Prod. days]]),0)</f>
        <v>0</v>
      </c>
      <c r="Z240" s="63">
        <f>IFERROR(_xlfn.XLOOKUP(Tableau242[[#This Row],[Consultant]],Tableau2[Collaborateur/Nom affiché],Tableau2[Montant imputé],0),0)</f>
        <v>0</v>
      </c>
      <c r="AA240" s="64">
        <f t="shared" si="4"/>
        <v>0</v>
      </c>
      <c r="AB240" s="65" t="s">
        <v>154</v>
      </c>
      <c r="AC240" s="67"/>
      <c r="AD240" s="66"/>
      <c r="AE240" s="39"/>
      <c r="AF240" s="90"/>
    </row>
    <row r="241" spans="1:32">
      <c r="A241" s="15">
        <f>Tableau242[[#This Row],[Company number]]+0</f>
        <v>13242</v>
      </c>
      <c r="B241" s="60" t="s">
        <v>612</v>
      </c>
      <c r="C241" s="61" t="s">
        <v>613</v>
      </c>
      <c r="D241" s="61" t="s">
        <v>76</v>
      </c>
      <c r="E241" s="62" t="str">
        <f>IFERROR(VLOOKUP(Tableau242[[#This Row],[Manager ou CDM concerné]],Parametres!B:C,2,FALSE),"")</f>
        <v>Squad D</v>
      </c>
      <c r="F241" s="62" t="str">
        <f>IF(Tableau242[[#This Row],[Consultant]]=Tableau242[[#This Row],[Manager ou CDM concerné]],"Non",IF(IFERROR(VLOOKUP(Tableau242[[#This Row],[Consultant]],Parametres!B:C,2,FALSE),0)=0,"Non","Oui"))</f>
        <v>Non</v>
      </c>
      <c r="G241" s="62">
        <f>IFERROR(VLOOKUP(B241,Tableau5[#All],4,FALSE),"Matricule!")</f>
        <v>17</v>
      </c>
      <c r="H241" s="62" t="str">
        <f>IFERROR(VLOOKUP(Tableau242[[#This Row],[Company number]],#REF!,6,FALSE),"")</f>
        <v/>
      </c>
      <c r="I241" s="62">
        <f>IFERROR(VLOOKUP(B241,Tableau5[#All],5,FALSE),"Matricule!")</f>
        <v>0</v>
      </c>
      <c r="J241" s="62">
        <f>IFERROR(VLOOKUP(B241,Tableau5[#All],6,FALSE),"Matricule!")</f>
        <v>3</v>
      </c>
      <c r="K241" s="62">
        <f>IFERROR(VLOOKUP(B241,Tableau5[#All],7,FALSE),"Matricule!")</f>
        <v>0</v>
      </c>
      <c r="L241" s="62" t="e">
        <f>VLOOKUP(Tableau242[[#This Row],[Company number]],#REF!,25,FALSE)</f>
        <v>#REF!</v>
      </c>
      <c r="M241" s="62" t="str">
        <f>IFERROR(VLOOKUP(Tableau242[[#This Row],[Company number]],#REF!,30,FALSE),"")</f>
        <v/>
      </c>
      <c r="N241" s="62" t="str">
        <f>IFERROR(VLOOKUP(Tableau242[[#This Row],[Company number]],#REF!,31,FALSE),"")</f>
        <v/>
      </c>
      <c r="O241" s="62" t="str">
        <f>IFERROR(VLOOKUP(Tableau242[[#This Row],[Company number]],#REF!,32,FALSE),"")</f>
        <v/>
      </c>
      <c r="P241" s="62">
        <f>IFERROR(VLOOKUP(B241,Tableau3[#All],5,FALSE),"Matricule!")</f>
        <v>17</v>
      </c>
      <c r="Q241" s="62">
        <f>IFERROR(SUM(VLOOKUP(B241,Tableau3[#All],6,FALSE),VLOOKUP(B241,Tableau3[#All],8,FALSE)),"Matricule!")</f>
        <v>0</v>
      </c>
      <c r="R241" s="62">
        <f>IFERROR(VLOOKUP(B241,Tableau3[#All],7,FALSE),"Matricule!")</f>
        <v>3</v>
      </c>
      <c r="S241" s="62">
        <f>IFERROR(Tableau242[[#This Row],[Prod. days WK]]-Tableau242[[#This Row],[Prod PXX]],"Matricule")</f>
        <v>0</v>
      </c>
      <c r="T241" s="62">
        <f>IFERROR(Tableau242[[#This Row],[Non prod. days WK]]-Tableau242[[#This Row],[Improd PXX]],"Matricule")</f>
        <v>0</v>
      </c>
      <c r="U241" s="62">
        <f>IFERROR(Tableau242[[#This Row],[Paid leave days WK]]-Tableau242[[#This Row],[Congé PXX]],"Matricule")</f>
        <v>0</v>
      </c>
      <c r="V241" s="63">
        <f>IFERROR(VLOOKUP($B241,#REF!,4,FALSE),0)</f>
        <v>0</v>
      </c>
      <c r="W24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41" s="63">
        <f>IF(AND(Tableau242[[#This Row],[Paid leave days]]&gt;0,Tableau242[[#This Row],[Prod. days]]&lt;0),MIN(Tableau242[[#This Row],[Paid leave days]],-Tableau242[[#This Row],[Prod. days]]),0)</f>
        <v>0</v>
      </c>
      <c r="Z241" s="63">
        <f>IFERROR(_xlfn.XLOOKUP(Tableau242[[#This Row],[Consultant]],Tableau2[Collaborateur/Nom affiché],Tableau2[Montant imputé],0),0)</f>
        <v>0</v>
      </c>
      <c r="AA241" s="64">
        <f t="shared" si="4"/>
        <v>0</v>
      </c>
      <c r="AB241" s="65"/>
      <c r="AC241" s="66"/>
      <c r="AD241" s="66"/>
      <c r="AE241" s="105"/>
      <c r="AF241" s="90"/>
    </row>
    <row r="242" spans="1:32">
      <c r="A242" s="15">
        <f>Tableau242[[#This Row],[Company number]]+0</f>
        <v>7122</v>
      </c>
      <c r="B242" s="60" t="s">
        <v>614</v>
      </c>
      <c r="C242" s="61" t="s">
        <v>615</v>
      </c>
      <c r="D242" s="61" t="s">
        <v>46</v>
      </c>
      <c r="E242" s="62" t="str">
        <f>IFERROR(VLOOKUP(Tableau242[[#This Row],[Manager ou CDM concerné]],Parametres!B:C,2,FALSE),"")</f>
        <v>Squad C</v>
      </c>
      <c r="F242" s="62" t="str">
        <f>IF(Tableau242[[#This Row],[Consultant]]=Tableau242[[#This Row],[Manager ou CDM concerné]],"Non",IF(IFERROR(VLOOKUP(Tableau242[[#This Row],[Consultant]],Parametres!B:C,2,FALSE),0)=0,"Non","Oui"))</f>
        <v>Non</v>
      </c>
      <c r="G242" s="62">
        <f>IFERROR(VLOOKUP(B242,Tableau5[#All],4,FALSE),"Matricule!")</f>
        <v>18</v>
      </c>
      <c r="H242" s="62" t="str">
        <f>IFERROR(VLOOKUP(Tableau242[[#This Row],[Company number]],#REF!,6,FALSE),"")</f>
        <v/>
      </c>
      <c r="I242" s="62">
        <f>IFERROR(VLOOKUP(B242,Tableau5[#All],5,FALSE),"Matricule!")</f>
        <v>2</v>
      </c>
      <c r="J242" s="62">
        <f>IFERROR(VLOOKUP(B242,Tableau5[#All],6,FALSE),"Matricule!")</f>
        <v>0</v>
      </c>
      <c r="K242" s="62">
        <f>IFERROR(VLOOKUP(B242,Tableau5[#All],7,FALSE),"Matricule!")</f>
        <v>0</v>
      </c>
      <c r="L242" s="62" t="e">
        <f>VLOOKUP(Tableau242[[#This Row],[Company number]],#REF!,25,FALSE)</f>
        <v>#REF!</v>
      </c>
      <c r="M242" s="62" t="str">
        <f>IFERROR(VLOOKUP(Tableau242[[#This Row],[Company number]],#REF!,30,FALSE),"")</f>
        <v/>
      </c>
      <c r="N242" s="62" t="str">
        <f>IFERROR(VLOOKUP(Tableau242[[#This Row],[Company number]],#REF!,31,FALSE),"")</f>
        <v/>
      </c>
      <c r="O242" s="62" t="str">
        <f>IFERROR(VLOOKUP(Tableau242[[#This Row],[Company number]],#REF!,32,FALSE),"")</f>
        <v/>
      </c>
      <c r="P242" s="62">
        <f>IFERROR(VLOOKUP(B242,Tableau3[#All],5,FALSE),"Matricule!")</f>
        <v>20</v>
      </c>
      <c r="Q242" s="62">
        <f>IFERROR(SUM(VLOOKUP(B242,Tableau3[#All],6,FALSE),VLOOKUP(B242,Tableau3[#All],8,FALSE)),"Matricule!")</f>
        <v>0</v>
      </c>
      <c r="R242" s="62">
        <f>IFERROR(VLOOKUP(B242,Tableau3[#All],7,FALSE),"Matricule!")</f>
        <v>0</v>
      </c>
      <c r="S242" s="62">
        <f>IFERROR(Tableau242[[#This Row],[Prod. days WK]]-Tableau242[[#This Row],[Prod PXX]],"Matricule")</f>
        <v>-2</v>
      </c>
      <c r="T242" s="62">
        <f>IFERROR(Tableau242[[#This Row],[Non prod. days WK]]-Tableau242[[#This Row],[Improd PXX]],"Matricule")</f>
        <v>2</v>
      </c>
      <c r="U242" s="62">
        <f>IFERROR(Tableau242[[#This Row],[Paid leave days WK]]-Tableau242[[#This Row],[Congé PXX]],"Matricule")</f>
        <v>0</v>
      </c>
      <c r="V242" s="63">
        <f>IFERROR(VLOOKUP($B242,#REF!,4,FALSE),0)</f>
        <v>0</v>
      </c>
      <c r="W24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42" s="63">
        <f>IF(AND(Tableau242[[#This Row],[Paid leave days]]&gt;0,Tableau242[[#This Row],[Prod. days]]&lt;0),MIN(Tableau242[[#This Row],[Paid leave days]],-Tableau242[[#This Row],[Prod. days]]),0)</f>
        <v>0</v>
      </c>
      <c r="Z242" s="63">
        <f>IFERROR(_xlfn.XLOOKUP(Tableau242[[#This Row],[Consultant]],Tableau2[Collaborateur/Nom affiché],Tableau2[Montant imputé],0),0)</f>
        <v>0</v>
      </c>
      <c r="AA242" s="64">
        <f t="shared" si="4"/>
        <v>-2</v>
      </c>
      <c r="AB242" s="65" t="s">
        <v>147</v>
      </c>
      <c r="AC242" s="66"/>
      <c r="AD242" s="66"/>
      <c r="AE242" s="105"/>
      <c r="AF242" s="90"/>
    </row>
    <row r="243" spans="1:32">
      <c r="A243" s="15">
        <f>Tableau242[[#This Row],[Company number]]+0</f>
        <v>15100</v>
      </c>
      <c r="B243" s="60" t="s">
        <v>616</v>
      </c>
      <c r="C243" s="61" t="s">
        <v>617</v>
      </c>
      <c r="D243" s="61" t="s">
        <v>35</v>
      </c>
      <c r="E243" s="62" t="str">
        <f>IFERROR(VLOOKUP(Tableau242[[#This Row],[Manager ou CDM concerné]],Parametres!B:C,2,FALSE),"")</f>
        <v>Squad B</v>
      </c>
      <c r="F243" s="62" t="str">
        <f>IF(Tableau242[[#This Row],[Consultant]]=Tableau242[[#This Row],[Manager ou CDM concerné]],"Non",IF(IFERROR(VLOOKUP(Tableau242[[#This Row],[Consultant]],Parametres!B:C,2,FALSE),0)=0,"Non","Oui"))</f>
        <v>Non</v>
      </c>
      <c r="G243" s="62">
        <f>IFERROR(VLOOKUP(B243,Tableau5[#All],4,FALSE),"Matricule!")</f>
        <v>16</v>
      </c>
      <c r="H243" s="62" t="str">
        <f>IFERROR(VLOOKUP(Tableau242[[#This Row],[Company number]],#REF!,6,FALSE),"")</f>
        <v/>
      </c>
      <c r="I243" s="62">
        <f>IFERROR(VLOOKUP(B243,Tableau5[#All],5,FALSE),"Matricule!")</f>
        <v>2</v>
      </c>
      <c r="J243" s="62">
        <f>IFERROR(VLOOKUP(B243,Tableau5[#All],6,FALSE),"Matricule!")</f>
        <v>2</v>
      </c>
      <c r="K243" s="62">
        <f>IFERROR(VLOOKUP(B243,Tableau5[#All],7,FALSE),"Matricule!")</f>
        <v>0</v>
      </c>
      <c r="L243" s="62" t="e">
        <f>VLOOKUP(Tableau242[[#This Row],[Company number]],#REF!,25,FALSE)</f>
        <v>#REF!</v>
      </c>
      <c r="M243" s="62" t="str">
        <f>IFERROR(VLOOKUP(Tableau242[[#This Row],[Company number]],#REF!,30,FALSE),"")</f>
        <v/>
      </c>
      <c r="N243" s="62" t="str">
        <f>IFERROR(VLOOKUP(Tableau242[[#This Row],[Company number]],#REF!,31,FALSE),"")</f>
        <v/>
      </c>
      <c r="O243" s="62" t="str">
        <f>IFERROR(VLOOKUP(Tableau242[[#This Row],[Company number]],#REF!,32,FALSE),"")</f>
        <v/>
      </c>
      <c r="P243" s="62">
        <f>IFERROR(VLOOKUP(B243,Tableau3[#All],5,FALSE),"Matricule!")</f>
        <v>18</v>
      </c>
      <c r="Q243" s="62">
        <f>IFERROR(SUM(VLOOKUP(B243,Tableau3[#All],6,FALSE),VLOOKUP(B243,Tableau3[#All],8,FALSE)),"Matricule!")</f>
        <v>0</v>
      </c>
      <c r="R243" s="62">
        <f>IFERROR(VLOOKUP(B243,Tableau3[#All],7,FALSE),"Matricule!")</f>
        <v>2</v>
      </c>
      <c r="S243" s="62">
        <f>IFERROR(Tableau242[[#This Row],[Prod. days WK]]-Tableau242[[#This Row],[Prod PXX]],"Matricule")</f>
        <v>-2</v>
      </c>
      <c r="T243" s="62">
        <f>IFERROR(Tableau242[[#This Row],[Non prod. days WK]]-Tableau242[[#This Row],[Improd PXX]],"Matricule")</f>
        <v>2</v>
      </c>
      <c r="U243" s="62">
        <f>IFERROR(Tableau242[[#This Row],[Paid leave days WK]]-Tableau242[[#This Row],[Congé PXX]],"Matricule")</f>
        <v>0</v>
      </c>
      <c r="V243" s="63">
        <f>IFERROR(VLOOKUP($B243,#REF!,4,FALSE),0)</f>
        <v>0</v>
      </c>
      <c r="W24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43" s="63">
        <f>IF(AND(Tableau242[[#This Row],[Paid leave days]]&gt;0,Tableau242[[#This Row],[Prod. days]]&lt;0),MIN(Tableau242[[#This Row],[Paid leave days]],-Tableau242[[#This Row],[Prod. days]]),0)</f>
        <v>0</v>
      </c>
      <c r="Z243" s="63">
        <f>IFERROR(_xlfn.XLOOKUP(Tableau242[[#This Row],[Consultant]],Tableau2[Collaborateur/Nom affiché],Tableau2[Montant imputé],0),0)</f>
        <v>0</v>
      </c>
      <c r="AA243" s="64">
        <f t="shared" si="4"/>
        <v>-2</v>
      </c>
      <c r="AB243" s="65" t="s">
        <v>147</v>
      </c>
      <c r="AC243" s="66"/>
      <c r="AD243" s="66"/>
      <c r="AE243" s="105"/>
      <c r="AF243" s="90"/>
    </row>
    <row r="244" spans="1:32">
      <c r="A244" s="15">
        <f>Tableau242[[#This Row],[Company number]]+0</f>
        <v>20265</v>
      </c>
      <c r="B244" s="60" t="s">
        <v>618</v>
      </c>
      <c r="C244" s="61" t="s">
        <v>619</v>
      </c>
      <c r="D244" s="61" t="s">
        <v>36</v>
      </c>
      <c r="E244" s="62" t="str">
        <f>IFERROR(VLOOKUP(Tableau242[[#This Row],[Manager ou CDM concerné]],Parametres!B:C,2,FALSE),"")</f>
        <v>Squad H</v>
      </c>
      <c r="F244" s="62" t="str">
        <f>IF(Tableau242[[#This Row],[Consultant]]=Tableau242[[#This Row],[Manager ou CDM concerné]],"Non",IF(IFERROR(VLOOKUP(Tableau242[[#This Row],[Consultant]],Parametres!B:C,2,FALSE),0)=0,"Non","Oui"))</f>
        <v>Non</v>
      </c>
      <c r="G244" s="62">
        <f>IFERROR(VLOOKUP(B244,Tableau5[#All],4,FALSE),"Matricule!")</f>
        <v>11</v>
      </c>
      <c r="H244" s="62" t="str">
        <f>IFERROR(VLOOKUP(Tableau242[[#This Row],[Company number]],#REF!,6,FALSE),"")</f>
        <v/>
      </c>
      <c r="I244" s="62">
        <f>IFERROR(VLOOKUP(B244,Tableau5[#All],5,FALSE),"Matricule!")</f>
        <v>2</v>
      </c>
      <c r="J244" s="62">
        <f>IFERROR(VLOOKUP(B244,Tableau5[#All],6,FALSE),"Matricule!")</f>
        <v>7</v>
      </c>
      <c r="K244" s="62">
        <f>IFERROR(VLOOKUP(B244,Tableau5[#All],7,FALSE),"Matricule!")</f>
        <v>0</v>
      </c>
      <c r="L244" s="62" t="e">
        <f>VLOOKUP(Tableau242[[#This Row],[Company number]],#REF!,25,FALSE)</f>
        <v>#REF!</v>
      </c>
      <c r="M244" s="62" t="str">
        <f>IFERROR(VLOOKUP(Tableau242[[#This Row],[Company number]],#REF!,30,FALSE),"")</f>
        <v/>
      </c>
      <c r="N244" s="62" t="str">
        <f>IFERROR(VLOOKUP(Tableau242[[#This Row],[Company number]],#REF!,31,FALSE),"")</f>
        <v/>
      </c>
      <c r="O244" s="62" t="str">
        <f>IFERROR(VLOOKUP(Tableau242[[#This Row],[Company number]],#REF!,32,FALSE),"")</f>
        <v/>
      </c>
      <c r="P244" s="62">
        <f>IFERROR(VLOOKUP(B244,Tableau3[#All],5,FALSE),"Matricule!")</f>
        <v>13</v>
      </c>
      <c r="Q244" s="62">
        <f>IFERROR(SUM(VLOOKUP(B244,Tableau3[#All],6,FALSE),VLOOKUP(B244,Tableau3[#All],8,FALSE)),"Matricule!")</f>
        <v>0</v>
      </c>
      <c r="R244" s="62">
        <f>IFERROR(VLOOKUP(B244,Tableau3[#All],7,FALSE),"Matricule!")</f>
        <v>7</v>
      </c>
      <c r="S244" s="62">
        <f>IFERROR(Tableau242[[#This Row],[Prod. days WK]]-Tableau242[[#This Row],[Prod PXX]],"Matricule")</f>
        <v>-2</v>
      </c>
      <c r="T244" s="62">
        <f>IFERROR(Tableau242[[#This Row],[Non prod. days WK]]-Tableau242[[#This Row],[Improd PXX]],"Matricule")</f>
        <v>2</v>
      </c>
      <c r="U244" s="62">
        <f>IFERROR(Tableau242[[#This Row],[Paid leave days WK]]-Tableau242[[#This Row],[Congé PXX]],"Matricule")</f>
        <v>0</v>
      </c>
      <c r="V244" s="63">
        <f>IFERROR(VLOOKUP($B244,#REF!,4,FALSE),0)</f>
        <v>0</v>
      </c>
      <c r="W24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44" s="63">
        <f>IF(AND(Tableau242[[#This Row],[Paid leave days]]&gt;0,Tableau242[[#This Row],[Prod. days]]&lt;0),MIN(Tableau242[[#This Row],[Paid leave days]],-Tableau242[[#This Row],[Prod. days]]),0)</f>
        <v>0</v>
      </c>
      <c r="Z244" s="63">
        <f>IFERROR(_xlfn.XLOOKUP(Tableau242[[#This Row],[Consultant]],Tableau2[Collaborateur/Nom affiché],Tableau2[Montant imputé],0),0)</f>
        <v>0</v>
      </c>
      <c r="AA244" s="64">
        <f t="shared" si="4"/>
        <v>-2</v>
      </c>
      <c r="AB244" s="65" t="s">
        <v>154</v>
      </c>
      <c r="AC244" s="66"/>
      <c r="AD244" s="66"/>
      <c r="AE244" s="114"/>
      <c r="AF244" s="90"/>
    </row>
    <row r="245" spans="1:32">
      <c r="A245" s="15">
        <f>Tableau242[[#This Row],[Company number]]+0</f>
        <v>22136</v>
      </c>
      <c r="B245" s="60" t="s">
        <v>620</v>
      </c>
      <c r="C245" s="61" t="s">
        <v>621</v>
      </c>
      <c r="D245" s="61" t="s">
        <v>82</v>
      </c>
      <c r="E245" s="62" t="str">
        <f>IFERROR(VLOOKUP(Tableau242[[#This Row],[Manager ou CDM concerné]],Parametres!B:C,2,FALSE),"")</f>
        <v>Squad F</v>
      </c>
      <c r="F245" s="62" t="str">
        <f>IF(Tableau242[[#This Row],[Consultant]]=Tableau242[[#This Row],[Manager ou CDM concerné]],"Non",IF(IFERROR(VLOOKUP(Tableau242[[#This Row],[Consultant]],Parametres!B:C,2,FALSE),0)=0,"Non","Oui"))</f>
        <v>Non</v>
      </c>
      <c r="G245" s="62">
        <f>IFERROR(VLOOKUP(B245,Tableau5[#All],4,FALSE),"Matricule!")</f>
        <v>18.5</v>
      </c>
      <c r="H245" s="62" t="str">
        <f>IFERROR(VLOOKUP(Tableau242[[#This Row],[Company number]],#REF!,6,FALSE),"")</f>
        <v/>
      </c>
      <c r="I245" s="62">
        <f>IFERROR(VLOOKUP(B245,Tableau5[#All],5,FALSE),"Matricule!")</f>
        <v>0</v>
      </c>
      <c r="J245" s="62">
        <f>IFERROR(VLOOKUP(B245,Tableau5[#All],6,FALSE),"Matricule!")</f>
        <v>1.5</v>
      </c>
      <c r="K245" s="62">
        <f>IFERROR(VLOOKUP(B245,Tableau5[#All],7,FALSE),"Matricule!")</f>
        <v>0</v>
      </c>
      <c r="L245" s="62" t="e">
        <f>VLOOKUP(Tableau242[[#This Row],[Company number]],#REF!,25,FALSE)</f>
        <v>#REF!</v>
      </c>
      <c r="M245" s="62" t="str">
        <f>IFERROR(VLOOKUP(Tableau242[[#This Row],[Company number]],#REF!,30,FALSE),"")</f>
        <v/>
      </c>
      <c r="N245" s="62" t="str">
        <f>IFERROR(VLOOKUP(Tableau242[[#This Row],[Company number]],#REF!,31,FALSE),"")</f>
        <v/>
      </c>
      <c r="O245" s="62" t="str">
        <f>IFERROR(VLOOKUP(Tableau242[[#This Row],[Company number]],#REF!,32,FALSE),"")</f>
        <v/>
      </c>
      <c r="P245" s="62">
        <f>IFERROR(VLOOKUP(B245,Tableau3[#All],5,FALSE),"Matricule!")</f>
        <v>18.5</v>
      </c>
      <c r="Q245" s="62">
        <f>IFERROR(SUM(VLOOKUP(B245,Tableau3[#All],6,FALSE),VLOOKUP(B245,Tableau3[#All],8,FALSE)),"Matricule!")</f>
        <v>0</v>
      </c>
      <c r="R245" s="62">
        <f>IFERROR(VLOOKUP(B245,Tableau3[#All],7,FALSE),"Matricule!")</f>
        <v>1.5</v>
      </c>
      <c r="S245" s="62">
        <f>IFERROR(Tableau242[[#This Row],[Prod. days WK]]-Tableau242[[#This Row],[Prod PXX]],"Matricule")</f>
        <v>0</v>
      </c>
      <c r="T245" s="62">
        <f>IFERROR(Tableau242[[#This Row],[Non prod. days WK]]-Tableau242[[#This Row],[Improd PXX]],"Matricule")</f>
        <v>0</v>
      </c>
      <c r="U245" s="62">
        <f>IFERROR(Tableau242[[#This Row],[Paid leave days WK]]-Tableau242[[#This Row],[Congé PXX]],"Matricule")</f>
        <v>0</v>
      </c>
      <c r="V245" s="63">
        <f>IFERROR(VLOOKUP($B245,#REF!,4,FALSE),0)</f>
        <v>0</v>
      </c>
      <c r="W24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45" s="63">
        <f>IF(AND(Tableau242[[#This Row],[Paid leave days]]&gt;0,Tableau242[[#This Row],[Prod. days]]&lt;0),MIN(Tableau242[[#This Row],[Paid leave days]],-Tableau242[[#This Row],[Prod. days]]),0)</f>
        <v>0</v>
      </c>
      <c r="Z245" s="63">
        <f>IFERROR(_xlfn.XLOOKUP(Tableau242[[#This Row],[Consultant]],Tableau2[Collaborateur/Nom affiché],Tableau2[Montant imputé],0),0)</f>
        <v>0</v>
      </c>
      <c r="AA245" s="64">
        <f t="shared" si="4"/>
        <v>0</v>
      </c>
      <c r="AB245" s="65"/>
      <c r="AC245" s="66"/>
      <c r="AD245" s="66"/>
      <c r="AE245" s="105"/>
      <c r="AF245" s="90"/>
    </row>
    <row r="246" spans="1:32" ht="29.1" customHeight="1">
      <c r="A246" s="15">
        <f>Tableau242[[#This Row],[Company number]]+0</f>
        <v>21790</v>
      </c>
      <c r="B246" s="60" t="s">
        <v>622</v>
      </c>
      <c r="C246" s="61" t="s">
        <v>623</v>
      </c>
      <c r="D246" s="61" t="s">
        <v>82</v>
      </c>
      <c r="E246" s="62" t="str">
        <f>IFERROR(VLOOKUP(Tableau242[[#This Row],[Manager ou CDM concerné]],Parametres!B:C,2,FALSE),"")</f>
        <v>Squad F</v>
      </c>
      <c r="F246" s="62" t="str">
        <f>IF(Tableau242[[#This Row],[Consultant]]=Tableau242[[#This Row],[Manager ou CDM concerné]],"Non",IF(IFERROR(VLOOKUP(Tableau242[[#This Row],[Consultant]],Parametres!B:C,2,FALSE),0)=0,"Non","Oui"))</f>
        <v>Non</v>
      </c>
      <c r="G246" s="62">
        <f>IFERROR(VLOOKUP(B246,Tableau5[#All],4,FALSE),"Matricule!")</f>
        <v>20</v>
      </c>
      <c r="H246" s="62" t="str">
        <f>IFERROR(VLOOKUP(Tableau242[[#This Row],[Company number]],#REF!,6,FALSE),"")</f>
        <v/>
      </c>
      <c r="I246" s="62">
        <f>IFERROR(VLOOKUP(B246,Tableau5[#All],5,FALSE),"Matricule!")</f>
        <v>0</v>
      </c>
      <c r="J246" s="62">
        <f>IFERROR(VLOOKUP(B246,Tableau5[#All],6,FALSE),"Matricule!")</f>
        <v>0</v>
      </c>
      <c r="K246" s="62">
        <f>IFERROR(VLOOKUP(B246,Tableau5[#All],7,FALSE),"Matricule!")</f>
        <v>0</v>
      </c>
      <c r="L246" s="62" t="e">
        <f>VLOOKUP(Tableau242[[#This Row],[Company number]],#REF!,25,FALSE)</f>
        <v>#REF!</v>
      </c>
      <c r="M246" s="62" t="str">
        <f>IFERROR(VLOOKUP(Tableau242[[#This Row],[Company number]],#REF!,30,FALSE),"")</f>
        <v/>
      </c>
      <c r="N246" s="62" t="str">
        <f>IFERROR(VLOOKUP(Tableau242[[#This Row],[Company number]],#REF!,31,FALSE),"")</f>
        <v/>
      </c>
      <c r="O246" s="62" t="str">
        <f>IFERROR(VLOOKUP(Tableau242[[#This Row],[Company number]],#REF!,32,FALSE),"")</f>
        <v/>
      </c>
      <c r="P246" s="62">
        <f>IFERROR(VLOOKUP(B246,Tableau3[#All],5,FALSE),"Matricule!")</f>
        <v>20</v>
      </c>
      <c r="Q246" s="62">
        <f>IFERROR(SUM(VLOOKUP(B246,Tableau3[#All],6,FALSE),VLOOKUP(B246,Tableau3[#All],8,FALSE)),"Matricule!")</f>
        <v>0</v>
      </c>
      <c r="R246" s="62">
        <f>IFERROR(VLOOKUP(B246,Tableau3[#All],7,FALSE),"Matricule!")</f>
        <v>0</v>
      </c>
      <c r="S246" s="62">
        <f>IFERROR(Tableau242[[#This Row],[Prod. days WK]]-Tableau242[[#This Row],[Prod PXX]],"Matricule")</f>
        <v>0</v>
      </c>
      <c r="T246" s="62">
        <f>IFERROR(Tableau242[[#This Row],[Non prod. days WK]]-Tableau242[[#This Row],[Improd PXX]],"Matricule")</f>
        <v>0</v>
      </c>
      <c r="U246" s="62">
        <f>IFERROR(Tableau242[[#This Row],[Paid leave days WK]]-Tableau242[[#This Row],[Congé PXX]],"Matricule")</f>
        <v>0</v>
      </c>
      <c r="V246" s="63">
        <f>IFERROR(VLOOKUP($B246,#REF!,4,FALSE),0)</f>
        <v>0</v>
      </c>
      <c r="W24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46" s="63">
        <f>IF(AND(Tableau242[[#This Row],[Paid leave days]]&gt;0,Tableau242[[#This Row],[Prod. days]]&lt;0),MIN(Tableau242[[#This Row],[Paid leave days]],-Tableau242[[#This Row],[Prod. days]]),0)</f>
        <v>0</v>
      </c>
      <c r="Z246" s="63">
        <f>IFERROR(_xlfn.XLOOKUP(Tableau242[[#This Row],[Consultant]],Tableau2[Collaborateur/Nom affiché],Tableau2[Montant imputé],0),0)</f>
        <v>0</v>
      </c>
      <c r="AA246" s="64">
        <f t="shared" si="4"/>
        <v>0</v>
      </c>
      <c r="AB246" s="65"/>
      <c r="AC246" s="66"/>
      <c r="AD246" s="66"/>
      <c r="AE246" s="105"/>
      <c r="AF246" s="90"/>
    </row>
    <row r="247" spans="1:32">
      <c r="A247" s="15">
        <f>Tableau242[[#This Row],[Company number]]+0</f>
        <v>21429</v>
      </c>
      <c r="B247" s="60" t="s">
        <v>624</v>
      </c>
      <c r="C247" s="61" t="s">
        <v>625</v>
      </c>
      <c r="D247" s="61" t="s">
        <v>82</v>
      </c>
      <c r="E247" s="62" t="str">
        <f>IFERROR(VLOOKUP(Tableau242[[#This Row],[Manager ou CDM concerné]],Parametres!B:C,2,FALSE),"")</f>
        <v>Squad F</v>
      </c>
      <c r="F247" s="62" t="str">
        <f>IF(Tableau242[[#This Row],[Consultant]]=Tableau242[[#This Row],[Manager ou CDM concerné]],"Non",IF(IFERROR(VLOOKUP(Tableau242[[#This Row],[Consultant]],Parametres!B:C,2,FALSE),0)=0,"Non","Oui"))</f>
        <v>Non</v>
      </c>
      <c r="G247" s="62">
        <f>IFERROR(VLOOKUP(B247,Tableau5[#All],4,FALSE),"Matricule!")</f>
        <v>14</v>
      </c>
      <c r="H247" s="62" t="str">
        <f>IFERROR(VLOOKUP(Tableau242[[#This Row],[Company number]],#REF!,6,FALSE),"")</f>
        <v/>
      </c>
      <c r="I247" s="62">
        <f>IFERROR(VLOOKUP(B247,Tableau5[#All],5,FALSE),"Matricule!")</f>
        <v>6</v>
      </c>
      <c r="J247" s="62">
        <f>IFERROR(VLOOKUP(B247,Tableau5[#All],6,FALSE),"Matricule!")</f>
        <v>0</v>
      </c>
      <c r="K247" s="62">
        <f>IFERROR(VLOOKUP(B247,Tableau5[#All],7,FALSE),"Matricule!")</f>
        <v>0</v>
      </c>
      <c r="L247" s="62" t="e">
        <f>VLOOKUP(Tableau242[[#This Row],[Company number]],#REF!,25,FALSE)</f>
        <v>#REF!</v>
      </c>
      <c r="M247" s="62" t="str">
        <f>IFERROR(VLOOKUP(Tableau242[[#This Row],[Company number]],#REF!,30,FALSE),"")</f>
        <v/>
      </c>
      <c r="N247" s="62" t="str">
        <f>IFERROR(VLOOKUP(Tableau242[[#This Row],[Company number]],#REF!,31,FALSE),"")</f>
        <v/>
      </c>
      <c r="O247" s="62" t="str">
        <f>IFERROR(VLOOKUP(Tableau242[[#This Row],[Company number]],#REF!,32,FALSE),"")</f>
        <v/>
      </c>
      <c r="P247" s="62">
        <f>IFERROR(VLOOKUP(B247,Tableau3[#All],5,FALSE),"Matricule!")</f>
        <v>14</v>
      </c>
      <c r="Q247" s="62">
        <f>IFERROR(SUM(VLOOKUP(B247,Tableau3[#All],6,FALSE),VLOOKUP(B247,Tableau3[#All],8,FALSE)),"Matricule!")</f>
        <v>6</v>
      </c>
      <c r="R247" s="62">
        <f>IFERROR(VLOOKUP(B247,Tableau3[#All],7,FALSE),"Matricule!")</f>
        <v>0</v>
      </c>
      <c r="S247" s="62">
        <f>IFERROR(Tableau242[[#This Row],[Prod. days WK]]-Tableau242[[#This Row],[Prod PXX]],"Matricule")</f>
        <v>0</v>
      </c>
      <c r="T247" s="62">
        <f>IFERROR(Tableau242[[#This Row],[Non prod. days WK]]-Tableau242[[#This Row],[Improd PXX]],"Matricule")</f>
        <v>0</v>
      </c>
      <c r="U247" s="62">
        <f>IFERROR(Tableau242[[#This Row],[Paid leave days WK]]-Tableau242[[#This Row],[Congé PXX]],"Matricule")</f>
        <v>0</v>
      </c>
      <c r="V247" s="63">
        <f>IFERROR(VLOOKUP($B247,#REF!,4,FALSE),0)</f>
        <v>0</v>
      </c>
      <c r="W24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47" s="63">
        <f>IF(AND(Tableau242[[#This Row],[Paid leave days]]&gt;0,Tableau242[[#This Row],[Prod. days]]&lt;0),MIN(Tableau242[[#This Row],[Paid leave days]],-Tableau242[[#This Row],[Prod. days]]),0)</f>
        <v>0</v>
      </c>
      <c r="Z247" s="63">
        <f>IFERROR(_xlfn.XLOOKUP(Tableau242[[#This Row],[Consultant]],Tableau2[Collaborateur/Nom affiché],Tableau2[Montant imputé],0),0)</f>
        <v>0</v>
      </c>
      <c r="AA247" s="64">
        <f t="shared" si="4"/>
        <v>0</v>
      </c>
      <c r="AB247" s="65"/>
      <c r="AC247" s="66"/>
      <c r="AD247" s="66"/>
      <c r="AE247" s="105"/>
      <c r="AF247" s="90"/>
    </row>
    <row r="248" spans="1:32">
      <c r="A248" s="15">
        <f>Tableau242[[#This Row],[Company number]]+0</f>
        <v>22446</v>
      </c>
      <c r="B248" s="60" t="s">
        <v>626</v>
      </c>
      <c r="C248" s="61" t="s">
        <v>627</v>
      </c>
      <c r="D248" s="61" t="s">
        <v>82</v>
      </c>
      <c r="E248" s="62" t="str">
        <f>IFERROR(VLOOKUP(Tableau242[[#This Row],[Manager ou CDM concerné]],Parametres!B:C,2,FALSE),"")</f>
        <v>Squad F</v>
      </c>
      <c r="F248" s="62" t="str">
        <f>IF(Tableau242[[#This Row],[Consultant]]=Tableau242[[#This Row],[Manager ou CDM concerné]],"Non",IF(IFERROR(VLOOKUP(Tableau242[[#This Row],[Consultant]],Parametres!B:C,2,FALSE),0)=0,"Non","Oui"))</f>
        <v>Non</v>
      </c>
      <c r="G248" s="62">
        <f>IFERROR(VLOOKUP(B248,Tableau5[#All],4,FALSE),"Matricule!")</f>
        <v>0</v>
      </c>
      <c r="H248" s="62" t="str">
        <f>IFERROR(VLOOKUP(Tableau242[[#This Row],[Company number]],#REF!,6,FALSE),"")</f>
        <v/>
      </c>
      <c r="I248" s="62">
        <f>IFERROR(VLOOKUP(B248,Tableau5[#All],5,FALSE),"Matricule!")</f>
        <v>20</v>
      </c>
      <c r="J248" s="62">
        <f>IFERROR(VLOOKUP(B248,Tableau5[#All],6,FALSE),"Matricule!")</f>
        <v>0</v>
      </c>
      <c r="K248" s="62">
        <f>IFERROR(VLOOKUP(B248,Tableau5[#All],7,FALSE),"Matricule!")</f>
        <v>0</v>
      </c>
      <c r="L248" s="62" t="e">
        <f>VLOOKUP(Tableau242[[#This Row],[Company number]],#REF!,25,FALSE)</f>
        <v>#REF!</v>
      </c>
      <c r="M248" s="62" t="str">
        <f>IFERROR(VLOOKUP(Tableau242[[#This Row],[Company number]],#REF!,30,FALSE),"")</f>
        <v/>
      </c>
      <c r="N248" s="62" t="str">
        <f>IFERROR(VLOOKUP(Tableau242[[#This Row],[Company number]],#REF!,31,FALSE),"")</f>
        <v/>
      </c>
      <c r="O248" s="62" t="str">
        <f>IFERROR(VLOOKUP(Tableau242[[#This Row],[Company number]],#REF!,32,FALSE),"")</f>
        <v/>
      </c>
      <c r="P248" s="62">
        <f>IFERROR(VLOOKUP(B248,Tableau3[#All],5,FALSE),"Matricule!")</f>
        <v>0</v>
      </c>
      <c r="Q248" s="62">
        <f>IFERROR(SUM(VLOOKUP(B248,Tableau3[#All],6,FALSE),VLOOKUP(B248,Tableau3[#All],8,FALSE)),"Matricule!")</f>
        <v>20</v>
      </c>
      <c r="R248" s="62">
        <f>IFERROR(VLOOKUP(B248,Tableau3[#All],7,FALSE),"Matricule!")</f>
        <v>0</v>
      </c>
      <c r="S248" s="62">
        <f>IFERROR(Tableau242[[#This Row],[Prod. days WK]]-Tableau242[[#This Row],[Prod PXX]],"Matricule")</f>
        <v>0</v>
      </c>
      <c r="T248" s="62">
        <f>IFERROR(Tableau242[[#This Row],[Non prod. days WK]]-Tableau242[[#This Row],[Improd PXX]],"Matricule")</f>
        <v>0</v>
      </c>
      <c r="U248" s="62">
        <f>IFERROR(Tableau242[[#This Row],[Paid leave days WK]]-Tableau242[[#This Row],[Congé PXX]],"Matricule")</f>
        <v>0</v>
      </c>
      <c r="V248" s="63">
        <f>IFERROR(VLOOKUP($B248,#REF!,4,FALSE),0)</f>
        <v>0</v>
      </c>
      <c r="W24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48" s="63">
        <f>IF(AND(Tableau242[[#This Row],[Paid leave days]]&gt;0,Tableau242[[#This Row],[Prod. days]]&lt;0),MIN(Tableau242[[#This Row],[Paid leave days]],-Tableau242[[#This Row],[Prod. days]]),0)</f>
        <v>0</v>
      </c>
      <c r="Z248" s="63">
        <f>IFERROR(_xlfn.XLOOKUP(Tableau242[[#This Row],[Consultant]],Tableau2[Collaborateur/Nom affiché],Tableau2[Montant imputé],0),0)</f>
        <v>0</v>
      </c>
      <c r="AA248" s="64">
        <f t="shared" si="4"/>
        <v>0</v>
      </c>
      <c r="AB248" s="65"/>
      <c r="AC248" s="66"/>
      <c r="AD248" s="66"/>
      <c r="AE248" s="105"/>
      <c r="AF248" s="90"/>
    </row>
    <row r="249" spans="1:32">
      <c r="A249" s="15">
        <f>Tableau242[[#This Row],[Company number]]+0</f>
        <v>21109</v>
      </c>
      <c r="B249" s="60" t="s">
        <v>628</v>
      </c>
      <c r="C249" s="61" t="s">
        <v>629</v>
      </c>
      <c r="D249" s="61" t="s">
        <v>7</v>
      </c>
      <c r="E249" s="62" t="str">
        <f>IFERROR(VLOOKUP(Tableau242[[#This Row],[Manager ou CDM concerné]],Parametres!B:C,2,FALSE),"")</f>
        <v>Squad F</v>
      </c>
      <c r="F249" s="62" t="str">
        <f>IF(Tableau242[[#This Row],[Consultant]]=Tableau242[[#This Row],[Manager ou CDM concerné]],"Non",IF(IFERROR(VLOOKUP(Tableau242[[#This Row],[Consultant]],Parametres!B:C,2,FALSE),0)=0,"Non","Oui"))</f>
        <v>Non</v>
      </c>
      <c r="G249" s="62">
        <f>IFERROR(VLOOKUP(B249,Tableau5[#All],4,FALSE),"Matricule!")</f>
        <v>13</v>
      </c>
      <c r="H249" s="62" t="str">
        <f>IFERROR(VLOOKUP(Tableau242[[#This Row],[Company number]],#REF!,6,FALSE),"")</f>
        <v/>
      </c>
      <c r="I249" s="62">
        <f>IFERROR(VLOOKUP(B249,Tableau5[#All],5,FALSE),"Matricule!")</f>
        <v>3</v>
      </c>
      <c r="J249" s="62">
        <f>IFERROR(VLOOKUP(B249,Tableau5[#All],6,FALSE),"Matricule!")</f>
        <v>4</v>
      </c>
      <c r="K249" s="62">
        <f>IFERROR(VLOOKUP(B249,Tableau5[#All],7,FALSE),"Matricule!")</f>
        <v>0</v>
      </c>
      <c r="L249" s="62" t="e">
        <f>VLOOKUP(Tableau242[[#This Row],[Company number]],#REF!,25,FALSE)</f>
        <v>#REF!</v>
      </c>
      <c r="M249" s="62" t="str">
        <f>IFERROR(VLOOKUP(Tableau242[[#This Row],[Company number]],#REF!,30,FALSE),"")</f>
        <v/>
      </c>
      <c r="N249" s="62" t="str">
        <f>IFERROR(VLOOKUP(Tableau242[[#This Row],[Company number]],#REF!,31,FALSE),"")</f>
        <v/>
      </c>
      <c r="O249" s="62" t="str">
        <f>IFERROR(VLOOKUP(Tableau242[[#This Row],[Company number]],#REF!,32,FALSE),"")</f>
        <v/>
      </c>
      <c r="P249" s="16">
        <f>IFERROR(VLOOKUP(B249,Tableau3[#All],5,FALSE),"Matricule!")</f>
        <v>13</v>
      </c>
      <c r="Q249" s="62">
        <f>IFERROR(SUM(VLOOKUP(B249,Tableau3[#All],6,FALSE),VLOOKUP(B249,Tableau3[#All],8,FALSE)),"Matricule!")</f>
        <v>3</v>
      </c>
      <c r="R249" s="62">
        <f>IFERROR(VLOOKUP(B249,Tableau3[#All],7,FALSE),"Matricule!")</f>
        <v>4</v>
      </c>
      <c r="S249" s="62">
        <f>IFERROR(Tableau242[[#This Row],[Prod. days WK]]-Tableau242[[#This Row],[Prod PXX]],"Matricule")</f>
        <v>0</v>
      </c>
      <c r="T249" s="62">
        <f>IFERROR(Tableau242[[#This Row],[Non prod. days WK]]-Tableau242[[#This Row],[Improd PXX]],"Matricule")</f>
        <v>0</v>
      </c>
      <c r="U249" s="62">
        <f>IFERROR(Tableau242[[#This Row],[Paid leave days WK]]-Tableau242[[#This Row],[Congé PXX]],"Matricule")</f>
        <v>0</v>
      </c>
      <c r="V249" s="63">
        <f>IFERROR(VLOOKUP($B249,#REF!,4,FALSE),0)</f>
        <v>0</v>
      </c>
      <c r="W24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4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49" s="63">
        <f>IF(AND(Tableau242[[#This Row],[Paid leave days]]&gt;0,Tableau242[[#This Row],[Prod. days]]&lt;0),MIN(Tableau242[[#This Row],[Paid leave days]],-Tableau242[[#This Row],[Prod. days]]),0)</f>
        <v>0</v>
      </c>
      <c r="Z249" s="63">
        <f>IFERROR(_xlfn.XLOOKUP(Tableau242[[#This Row],[Consultant]],Tableau2[Collaborateur/Nom affiché],Tableau2[Montant imputé],0),0)</f>
        <v>0</v>
      </c>
      <c r="AA249" s="64">
        <f t="shared" si="4"/>
        <v>0</v>
      </c>
      <c r="AB249" s="70"/>
      <c r="AC249" s="66"/>
      <c r="AD249" s="66"/>
      <c r="AE249" s="105"/>
      <c r="AF249" s="90"/>
    </row>
    <row r="250" spans="1:32">
      <c r="A250" s="15">
        <f>Tableau242[[#This Row],[Company number]]+0</f>
        <v>21640</v>
      </c>
      <c r="B250" s="60" t="s">
        <v>630</v>
      </c>
      <c r="C250" s="61" t="s">
        <v>631</v>
      </c>
      <c r="D250" s="61" t="s">
        <v>7</v>
      </c>
      <c r="E250" s="62" t="str">
        <f>IFERROR(VLOOKUP(Tableau242[[#This Row],[Manager ou CDM concerné]],Parametres!B:C,2,FALSE),"")</f>
        <v>Squad F</v>
      </c>
      <c r="F250" s="62" t="str">
        <f>IF(Tableau242[[#This Row],[Consultant]]=Tableau242[[#This Row],[Manager ou CDM concerné]],"Non",IF(IFERROR(VLOOKUP(Tableau242[[#This Row],[Consultant]],Parametres!B:C,2,FALSE),0)=0,"Non","Oui"))</f>
        <v>Non</v>
      </c>
      <c r="G250" s="62">
        <f>IFERROR(VLOOKUP(B250,Tableau5[#All],4,FALSE),"Matricule!")</f>
        <v>6</v>
      </c>
      <c r="H250" s="62" t="str">
        <f>IFERROR(VLOOKUP(Tableau242[[#This Row],[Company number]],#REF!,6,FALSE),"")</f>
        <v/>
      </c>
      <c r="I250" s="62">
        <f>IFERROR(VLOOKUP(B250,Tableau5[#All],5,FALSE),"Matricule!")</f>
        <v>14</v>
      </c>
      <c r="J250" s="62">
        <f>IFERROR(VLOOKUP(B250,Tableau5[#All],6,FALSE),"Matricule!")</f>
        <v>0</v>
      </c>
      <c r="K250" s="62">
        <f>IFERROR(VLOOKUP(B250,Tableau5[#All],7,FALSE),"Matricule!")</f>
        <v>0</v>
      </c>
      <c r="L250" s="62" t="e">
        <f>VLOOKUP(Tableau242[[#This Row],[Company number]],#REF!,25,FALSE)</f>
        <v>#REF!</v>
      </c>
      <c r="M250" s="62" t="str">
        <f>IFERROR(VLOOKUP(Tableau242[[#This Row],[Company number]],#REF!,30,FALSE),"")</f>
        <v/>
      </c>
      <c r="N250" s="62" t="str">
        <f>IFERROR(VLOOKUP(Tableau242[[#This Row],[Company number]],#REF!,31,FALSE),"")</f>
        <v/>
      </c>
      <c r="O250" s="62" t="str">
        <f>IFERROR(VLOOKUP(Tableau242[[#This Row],[Company number]],#REF!,32,FALSE),"")</f>
        <v/>
      </c>
      <c r="P250" s="62">
        <f>IFERROR(VLOOKUP(B250,Tableau3[#All],5,FALSE),"Matricule!")</f>
        <v>20</v>
      </c>
      <c r="Q250" s="62">
        <f>IFERROR(SUM(VLOOKUP(B250,Tableau3[#All],6,FALSE),VLOOKUP(B250,Tableau3[#All],8,FALSE)),"Matricule!")</f>
        <v>0</v>
      </c>
      <c r="R250" s="62">
        <f>IFERROR(VLOOKUP(B250,Tableau3[#All],7,FALSE),"Matricule!")</f>
        <v>0</v>
      </c>
      <c r="S250" s="62">
        <f>IFERROR(Tableau242[[#This Row],[Prod. days WK]]-Tableau242[[#This Row],[Prod PXX]],"Matricule")</f>
        <v>-14</v>
      </c>
      <c r="T250" s="62">
        <f>IFERROR(Tableau242[[#This Row],[Non prod. days WK]]-Tableau242[[#This Row],[Improd PXX]],"Matricule")</f>
        <v>14</v>
      </c>
      <c r="U250" s="62">
        <f>IFERROR(Tableau242[[#This Row],[Paid leave days WK]]-Tableau242[[#This Row],[Congé PXX]],"Matricule")</f>
        <v>0</v>
      </c>
      <c r="V250" s="63">
        <f>IFERROR(VLOOKUP($B250,#REF!,4,FALSE),0)</f>
        <v>0</v>
      </c>
      <c r="W25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250" s="63">
        <f>IF(AND(Tableau242[[#This Row],[Paid leave days]]&gt;0,Tableau242[[#This Row],[Prod. days]]&lt;0),MIN(Tableau242[[#This Row],[Paid leave days]],-Tableau242[[#This Row],[Prod. days]]),0)</f>
        <v>0</v>
      </c>
      <c r="Z250" s="63">
        <f>IFERROR(_xlfn.XLOOKUP(Tableau242[[#This Row],[Consultant]],Tableau2[Collaborateur/Nom affiché],Tableau2[Montant imputé],0),0)</f>
        <v>14</v>
      </c>
      <c r="AA250" s="64">
        <f t="shared" si="4"/>
        <v>0</v>
      </c>
      <c r="AB250" s="65"/>
      <c r="AC250" s="66"/>
      <c r="AD250" s="66"/>
      <c r="AE250" s="105"/>
      <c r="AF250" s="90"/>
    </row>
    <row r="251" spans="1:32">
      <c r="A251" s="15">
        <f>Tableau242[[#This Row],[Company number]]+0</f>
        <v>21947</v>
      </c>
      <c r="B251" s="60" t="s">
        <v>632</v>
      </c>
      <c r="C251" s="61" t="s">
        <v>633</v>
      </c>
      <c r="D251" s="61" t="s">
        <v>7</v>
      </c>
      <c r="E251" s="62" t="str">
        <f>IFERROR(VLOOKUP(Tableau242[[#This Row],[Manager ou CDM concerné]],Parametres!B:C,2,FALSE),"")</f>
        <v>Squad F</v>
      </c>
      <c r="F251" s="62" t="str">
        <f>IF(Tableau242[[#This Row],[Consultant]]=Tableau242[[#This Row],[Manager ou CDM concerné]],"Non",IF(IFERROR(VLOOKUP(Tableau242[[#This Row],[Consultant]],Parametres!B:C,2,FALSE),0)=0,"Non","Oui"))</f>
        <v>Non</v>
      </c>
      <c r="G251" s="62">
        <f>IFERROR(VLOOKUP(B251,Tableau5[#All],4,FALSE),"Matricule!")</f>
        <v>0</v>
      </c>
      <c r="H251" s="62" t="str">
        <f>IFERROR(VLOOKUP(Tableau242[[#This Row],[Company number]],#REF!,6,FALSE),"")</f>
        <v/>
      </c>
      <c r="I251" s="62">
        <f>IFERROR(VLOOKUP(B251,Tableau5[#All],5,FALSE),"Matricule!")</f>
        <v>9</v>
      </c>
      <c r="J251" s="62">
        <f>IFERROR(VLOOKUP(B251,Tableau5[#All],6,FALSE),"Matricule!")</f>
        <v>0</v>
      </c>
      <c r="K251" s="62">
        <f>IFERROR(VLOOKUP(B251,Tableau5[#All],7,FALSE),"Matricule!")</f>
        <v>11</v>
      </c>
      <c r="L251" s="62" t="e">
        <f>VLOOKUP(Tableau242[[#This Row],[Company number]],#REF!,25,FALSE)</f>
        <v>#REF!</v>
      </c>
      <c r="M251" s="62" t="str">
        <f>IFERROR(VLOOKUP(Tableau242[[#This Row],[Company number]],#REF!,30,FALSE),"")</f>
        <v/>
      </c>
      <c r="N251" s="62" t="str">
        <f>IFERROR(VLOOKUP(Tableau242[[#This Row],[Company number]],#REF!,31,FALSE),"")</f>
        <v/>
      </c>
      <c r="O251" s="62" t="str">
        <f>IFERROR(VLOOKUP(Tableau242[[#This Row],[Company number]],#REF!,32,FALSE),"")</f>
        <v/>
      </c>
      <c r="P251" s="68">
        <f>IFERROR(VLOOKUP(B251,Tableau3[#All],5,FALSE),"Matricule!")</f>
        <v>0</v>
      </c>
      <c r="Q251" s="68">
        <f>IFERROR(SUM(VLOOKUP(B251,Tableau3[#All],6,FALSE),VLOOKUP(B251,Tableau3[#All],8,FALSE)),"Matricule!")</f>
        <v>9</v>
      </c>
      <c r="R251" s="68">
        <f>IFERROR(VLOOKUP(B251,Tableau3[#All],7,FALSE),"Matricule!")</f>
        <v>0</v>
      </c>
      <c r="S251" s="62">
        <f>IFERROR(Tableau242[[#This Row],[Prod. days WK]]-Tableau242[[#This Row],[Prod PXX]],"Matricule")</f>
        <v>0</v>
      </c>
      <c r="T251" s="62">
        <f>IFERROR(Tableau242[[#This Row],[Non prod. days WK]]-Tableau242[[#This Row],[Improd PXX]],"Matricule")</f>
        <v>0</v>
      </c>
      <c r="U251" s="62">
        <f>IFERROR(Tableau242[[#This Row],[Paid leave days WK]]-Tableau242[[#This Row],[Congé PXX]],"Matricule")</f>
        <v>0</v>
      </c>
      <c r="V251" s="63">
        <f>IFERROR(VLOOKUP($B251,#REF!,4,FALSE),0)</f>
        <v>0</v>
      </c>
      <c r="W25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51" s="63">
        <f>IF(AND(Tableau242[[#This Row],[Paid leave days]]&gt;0,Tableau242[[#This Row],[Prod. days]]&lt;0),MIN(Tableau242[[#This Row],[Paid leave days]],-Tableau242[[#This Row],[Prod. days]]),0)</f>
        <v>0</v>
      </c>
      <c r="Z251" s="63">
        <f>IFERROR(_xlfn.XLOOKUP(Tableau242[[#This Row],[Consultant]],Tableau2[Collaborateur/Nom affiché],Tableau2[Montant imputé],0),0)</f>
        <v>0</v>
      </c>
      <c r="AA251" s="64">
        <f t="shared" si="4"/>
        <v>0</v>
      </c>
      <c r="AB251" s="65"/>
      <c r="AC251" s="66"/>
      <c r="AD251" s="66"/>
      <c r="AE251" s="105"/>
      <c r="AF251" s="90"/>
    </row>
    <row r="252" spans="1:32">
      <c r="A252" s="15">
        <f>Tableau242[[#This Row],[Company number]]+0</f>
        <v>13510</v>
      </c>
      <c r="B252" s="60" t="s">
        <v>634</v>
      </c>
      <c r="C252" s="61" t="s">
        <v>635</v>
      </c>
      <c r="D252" s="61" t="s">
        <v>39</v>
      </c>
      <c r="E252" s="62" t="str">
        <f>IFERROR(VLOOKUP(Tableau242[[#This Row],[Manager ou CDM concerné]],Parametres!B:C,2,FALSE),"")</f>
        <v>Squad F</v>
      </c>
      <c r="F252" s="62" t="str">
        <f>IF(Tableau242[[#This Row],[Consultant]]=Tableau242[[#This Row],[Manager ou CDM concerné]],"Non",IF(IFERROR(VLOOKUP(Tableau242[[#This Row],[Consultant]],Parametres!B:C,2,FALSE),0)=0,"Non","Oui"))</f>
        <v>Non</v>
      </c>
      <c r="G252" s="62">
        <f>IFERROR(VLOOKUP(B252,Tableau5[#All],4,FALSE),"Matricule!")</f>
        <v>20</v>
      </c>
      <c r="H252" s="62" t="str">
        <f>IFERROR(VLOOKUP(Tableau242[[#This Row],[Company number]],#REF!,6,FALSE),"")</f>
        <v/>
      </c>
      <c r="I252" s="62">
        <f>IFERROR(VLOOKUP(B252,Tableau5[#All],5,FALSE),"Matricule!")</f>
        <v>0</v>
      </c>
      <c r="J252" s="62">
        <f>IFERROR(VLOOKUP(B252,Tableau5[#All],6,FALSE),"Matricule!")</f>
        <v>0</v>
      </c>
      <c r="K252" s="62">
        <f>IFERROR(VLOOKUP(B252,Tableau5[#All],7,FALSE),"Matricule!")</f>
        <v>0</v>
      </c>
      <c r="L252" s="62" t="e">
        <f>VLOOKUP(Tableau242[[#This Row],[Company number]],#REF!,25,FALSE)</f>
        <v>#REF!</v>
      </c>
      <c r="M252" s="62" t="str">
        <f>IFERROR(VLOOKUP(Tableau242[[#This Row],[Company number]],#REF!,30,FALSE),"")</f>
        <v/>
      </c>
      <c r="N252" s="62" t="str">
        <f>IFERROR(VLOOKUP(Tableau242[[#This Row],[Company number]],#REF!,31,FALSE),"")</f>
        <v/>
      </c>
      <c r="O252" s="62" t="str">
        <f>IFERROR(VLOOKUP(Tableau242[[#This Row],[Company number]],#REF!,32,FALSE),"")</f>
        <v/>
      </c>
      <c r="P252" s="62">
        <f>IFERROR(VLOOKUP(B252,Tableau3[#All],5,FALSE),"Matricule!")</f>
        <v>20</v>
      </c>
      <c r="Q252" s="62">
        <f>IFERROR(SUM(VLOOKUP(B252,Tableau3[#All],6,FALSE),VLOOKUP(B252,Tableau3[#All],8,FALSE)),"Matricule!")</f>
        <v>0</v>
      </c>
      <c r="R252" s="62">
        <f>IFERROR(VLOOKUP(B252,Tableau3[#All],7,FALSE),"Matricule!")</f>
        <v>0</v>
      </c>
      <c r="S252" s="62">
        <f>IFERROR(Tableau242[[#This Row],[Prod. days WK]]-Tableau242[[#This Row],[Prod PXX]],"Matricule")</f>
        <v>0</v>
      </c>
      <c r="T252" s="62">
        <f>IFERROR(Tableau242[[#This Row],[Non prod. days WK]]-Tableau242[[#This Row],[Improd PXX]],"Matricule")</f>
        <v>0</v>
      </c>
      <c r="U252" s="62">
        <f>IFERROR(Tableau242[[#This Row],[Paid leave days WK]]-Tableau242[[#This Row],[Congé PXX]],"Matricule")</f>
        <v>0</v>
      </c>
      <c r="V252" s="63">
        <f>IFERROR(VLOOKUP($B252,#REF!,4,FALSE),0)</f>
        <v>0</v>
      </c>
      <c r="W25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52" s="63">
        <f>IF(AND(Tableau242[[#This Row],[Paid leave days]]&gt;0,Tableau242[[#This Row],[Prod. days]]&lt;0),MIN(Tableau242[[#This Row],[Paid leave days]],-Tableau242[[#This Row],[Prod. days]]),0)</f>
        <v>0</v>
      </c>
      <c r="Z252" s="63">
        <f>IFERROR(_xlfn.XLOOKUP(Tableau242[[#This Row],[Consultant]],Tableau2[Collaborateur/Nom affiché],Tableau2[Montant imputé],0),0)</f>
        <v>0</v>
      </c>
      <c r="AA252" s="64">
        <f t="shared" si="4"/>
        <v>0</v>
      </c>
      <c r="AB252" s="65"/>
      <c r="AC252" s="66"/>
      <c r="AD252" s="66"/>
      <c r="AE252" s="105"/>
      <c r="AF252" s="90"/>
    </row>
    <row r="253" spans="1:32" ht="29.1">
      <c r="A253" s="15">
        <f>Tableau242[[#This Row],[Company number]]+0</f>
        <v>12782</v>
      </c>
      <c r="B253" s="60" t="s">
        <v>636</v>
      </c>
      <c r="C253" s="61" t="s">
        <v>637</v>
      </c>
      <c r="D253" s="61" t="s">
        <v>39</v>
      </c>
      <c r="E253" s="62" t="str">
        <f>IFERROR(VLOOKUP(Tableau242[[#This Row],[Manager ou CDM concerné]],Parametres!B:C,2,FALSE),"")</f>
        <v>Squad F</v>
      </c>
      <c r="F253" s="62" t="str">
        <f>IF(Tableau242[[#This Row],[Consultant]]=Tableau242[[#This Row],[Manager ou CDM concerné]],"Non",IF(IFERROR(VLOOKUP(Tableau242[[#This Row],[Consultant]],Parametres!B:C,2,FALSE),0)=0,"Non","Oui"))</f>
        <v>Oui</v>
      </c>
      <c r="G253" s="62">
        <f>IFERROR(VLOOKUP(B253,Tableau5[#All],4,FALSE),"Matricule!")</f>
        <v>17</v>
      </c>
      <c r="H253" s="62" t="str">
        <f>IFERROR(VLOOKUP(Tableau242[[#This Row],[Company number]],#REF!,6,FALSE),"")</f>
        <v/>
      </c>
      <c r="I253" s="62">
        <f>IFERROR(VLOOKUP(B253,Tableau5[#All],5,FALSE),"Matricule!")</f>
        <v>1</v>
      </c>
      <c r="J253" s="62">
        <f>IFERROR(VLOOKUP(B253,Tableau5[#All],6,FALSE),"Matricule!")</f>
        <v>2</v>
      </c>
      <c r="K253" s="62">
        <f>IFERROR(VLOOKUP(B253,Tableau5[#All],7,FALSE),"Matricule!")</f>
        <v>0</v>
      </c>
      <c r="L253" s="62" t="e">
        <f>VLOOKUP(Tableau242[[#This Row],[Company number]],#REF!,25,FALSE)</f>
        <v>#REF!</v>
      </c>
      <c r="M253" s="62" t="str">
        <f>IFERROR(VLOOKUP(Tableau242[[#This Row],[Company number]],#REF!,30,FALSE),"")</f>
        <v/>
      </c>
      <c r="N253" s="62" t="str">
        <f>IFERROR(VLOOKUP(Tableau242[[#This Row],[Company number]],#REF!,31,FALSE),"")</f>
        <v/>
      </c>
      <c r="O253" s="62" t="str">
        <f>IFERROR(VLOOKUP(Tableau242[[#This Row],[Company number]],#REF!,32,FALSE),"")</f>
        <v/>
      </c>
      <c r="P253" s="62">
        <f>IFERROR(VLOOKUP(B253,Tableau3[#All],5,FALSE),"Matricule!")</f>
        <v>17</v>
      </c>
      <c r="Q253" s="62">
        <f>IFERROR(SUM(VLOOKUP(B253,Tableau3[#All],6,FALSE),VLOOKUP(B253,Tableau3[#All],8,FALSE)),"Matricule!")</f>
        <v>1</v>
      </c>
      <c r="R253" s="62">
        <f>IFERROR(VLOOKUP(B253,Tableau3[#All],7,FALSE),"Matricule!")</f>
        <v>2</v>
      </c>
      <c r="S253" s="62">
        <f>IFERROR(Tableau242[[#This Row],[Prod. days WK]]-Tableau242[[#This Row],[Prod PXX]],"Matricule")</f>
        <v>0</v>
      </c>
      <c r="T253" s="62">
        <f>IFERROR(Tableau242[[#This Row],[Non prod. days WK]]-Tableau242[[#This Row],[Improd PXX]],"Matricule")</f>
        <v>0</v>
      </c>
      <c r="U253" s="62">
        <f>IFERROR(Tableau242[[#This Row],[Paid leave days WK]]-Tableau242[[#This Row],[Congé PXX]],"Matricule")</f>
        <v>0</v>
      </c>
      <c r="V253" s="63">
        <f>IFERROR(VLOOKUP($B253,#REF!,4,FALSE),0)</f>
        <v>0</v>
      </c>
      <c r="W25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53" s="63">
        <f>IF(AND(Tableau242[[#This Row],[Paid leave days]]&gt;0,Tableau242[[#This Row],[Prod. days]]&lt;0),MIN(Tableau242[[#This Row],[Paid leave days]],-Tableau242[[#This Row],[Prod. days]]),0)</f>
        <v>0</v>
      </c>
      <c r="Z253" s="63">
        <f>IFERROR(_xlfn.XLOOKUP(Tableau242[[#This Row],[Consultant]],Tableau2[Collaborateur/Nom affiché],Tableau2[Montant imputé],0),0)</f>
        <v>0</v>
      </c>
      <c r="AA253" s="64">
        <f t="shared" si="4"/>
        <v>0</v>
      </c>
      <c r="AB253" s="65"/>
      <c r="AC253" s="66"/>
      <c r="AD253" s="66"/>
      <c r="AE253" s="105"/>
      <c r="AF253" s="90"/>
    </row>
    <row r="254" spans="1:32">
      <c r="A254" s="15">
        <f>Tableau242[[#This Row],[Company number]]+0</f>
        <v>22387</v>
      </c>
      <c r="B254" s="60" t="s">
        <v>638</v>
      </c>
      <c r="C254" s="61" t="s">
        <v>639</v>
      </c>
      <c r="D254" s="61" t="s">
        <v>640</v>
      </c>
      <c r="E254" s="62" t="str">
        <f>IFERROR(VLOOKUP(Tableau242[[#This Row],[Manager ou CDM concerné]],Parametres!B:C,2,FALSE),"")</f>
        <v>Squad G</v>
      </c>
      <c r="F254" s="62" t="str">
        <f>IF(Tableau242[[#This Row],[Consultant]]=Tableau242[[#This Row],[Manager ou CDM concerné]],"Non",IF(IFERROR(VLOOKUP(Tableau242[[#This Row],[Consultant]],Parametres!B:C,2,FALSE),0)=0,"Non","Oui"))</f>
        <v>Non</v>
      </c>
      <c r="G254" s="62">
        <f>IFERROR(VLOOKUP(B254,Tableau5[#All],4,FALSE),"Matricule!")</f>
        <v>0</v>
      </c>
      <c r="H254" s="62" t="str">
        <f>IFERROR(VLOOKUP(Tableau242[[#This Row],[Company number]],#REF!,6,FALSE),"")</f>
        <v/>
      </c>
      <c r="I254" s="62">
        <f>IFERROR(VLOOKUP(B254,Tableau5[#All],5,FALSE),"Matricule!")</f>
        <v>20</v>
      </c>
      <c r="J254" s="62">
        <f>IFERROR(VLOOKUP(B254,Tableau5[#All],6,FALSE),"Matricule!")</f>
        <v>0</v>
      </c>
      <c r="K254" s="62">
        <f>IFERROR(VLOOKUP(B254,Tableau5[#All],7,FALSE),"Matricule!")</f>
        <v>0</v>
      </c>
      <c r="L254" s="62" t="e">
        <f>VLOOKUP(Tableau242[[#This Row],[Company number]],#REF!,25,FALSE)</f>
        <v>#REF!</v>
      </c>
      <c r="M254" s="62" t="str">
        <f>IFERROR(VLOOKUP(Tableau242[[#This Row],[Company number]],#REF!,30,FALSE),"")</f>
        <v/>
      </c>
      <c r="N254" s="62" t="str">
        <f>IFERROR(VLOOKUP(Tableau242[[#This Row],[Company number]],#REF!,31,FALSE),"")</f>
        <v/>
      </c>
      <c r="O254" s="62" t="str">
        <f>IFERROR(VLOOKUP(Tableau242[[#This Row],[Company number]],#REF!,32,FALSE),"")</f>
        <v/>
      </c>
      <c r="P254" s="62">
        <f>IFERROR(VLOOKUP(B254,Tableau3[#All],5,FALSE),"Matricule!")</f>
        <v>0</v>
      </c>
      <c r="Q254" s="62">
        <f>IFERROR(SUM(VLOOKUP(B254,Tableau3[#All],6,FALSE),VLOOKUP(B254,Tableau3[#All],8,FALSE)),"Matricule!")</f>
        <v>20</v>
      </c>
      <c r="R254" s="62">
        <f>IFERROR(VLOOKUP(B254,Tableau3[#All],7,FALSE),"Matricule!")</f>
        <v>0</v>
      </c>
      <c r="S254" s="62">
        <f>IFERROR(Tableau242[[#This Row],[Prod. days WK]]-Tableau242[[#This Row],[Prod PXX]],"Matricule")</f>
        <v>0</v>
      </c>
      <c r="T254" s="62">
        <f>IFERROR(Tableau242[[#This Row],[Non prod. days WK]]-Tableau242[[#This Row],[Improd PXX]],"Matricule")</f>
        <v>0</v>
      </c>
      <c r="U254" s="62">
        <f>IFERROR(Tableau242[[#This Row],[Paid leave days WK]]-Tableau242[[#This Row],[Congé PXX]],"Matricule")</f>
        <v>0</v>
      </c>
      <c r="V254" s="63">
        <f>IFERROR(VLOOKUP($B254,#REF!,4,FALSE),0)</f>
        <v>0</v>
      </c>
      <c r="W25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54" s="63">
        <f>IF(AND(Tableau242[[#This Row],[Paid leave days]]&gt;0,Tableau242[[#This Row],[Prod. days]]&lt;0),MIN(Tableau242[[#This Row],[Paid leave days]],-Tableau242[[#This Row],[Prod. days]]),0)</f>
        <v>0</v>
      </c>
      <c r="Z254" s="63">
        <f>IFERROR(_xlfn.XLOOKUP(Tableau242[[#This Row],[Consultant]],Tableau2[Collaborateur/Nom affiché],Tableau2[Montant imputé],0),0)</f>
        <v>0</v>
      </c>
      <c r="AA254" s="64">
        <f t="shared" si="4"/>
        <v>0</v>
      </c>
      <c r="AB254" s="65"/>
      <c r="AC254" s="66"/>
      <c r="AD254" s="66"/>
      <c r="AE254" s="114"/>
      <c r="AF254" s="90"/>
    </row>
    <row r="255" spans="1:32">
      <c r="A255" s="15">
        <f>Tableau242[[#This Row],[Company number]]+0</f>
        <v>20788</v>
      </c>
      <c r="B255" s="60" t="s">
        <v>641</v>
      </c>
      <c r="C255" s="61" t="s">
        <v>642</v>
      </c>
      <c r="D255" s="61" t="s">
        <v>640</v>
      </c>
      <c r="E255" s="62" t="str">
        <f>IFERROR(VLOOKUP(Tableau242[[#This Row],[Manager ou CDM concerné]],Parametres!B:C,2,FALSE),"")</f>
        <v>Squad G</v>
      </c>
      <c r="F255" s="62" t="str">
        <f>IF(Tableau242[[#This Row],[Consultant]]=Tableau242[[#This Row],[Manager ou CDM concerné]],"Non",IF(IFERROR(VLOOKUP(Tableau242[[#This Row],[Consultant]],Parametres!B:C,2,FALSE),0)=0,"Non","Oui"))</f>
        <v>Non</v>
      </c>
      <c r="G255" s="62">
        <f>IFERROR(VLOOKUP(B255,Tableau5[#All],4,FALSE),"Matricule!")</f>
        <v>0</v>
      </c>
      <c r="H255" s="62" t="str">
        <f>IFERROR(VLOOKUP(Tableau242[[#This Row],[Company number]],#REF!,6,FALSE),"")</f>
        <v/>
      </c>
      <c r="I255" s="62">
        <f>IFERROR(VLOOKUP(B255,Tableau5[#All],5,FALSE),"Matricule!")</f>
        <v>16</v>
      </c>
      <c r="J255" s="62">
        <f>IFERROR(VLOOKUP(B255,Tableau5[#All],6,FALSE),"Matricule!")</f>
        <v>4</v>
      </c>
      <c r="K255" s="62">
        <f>IFERROR(VLOOKUP(B255,Tableau5[#All],7,FALSE),"Matricule!")</f>
        <v>0</v>
      </c>
      <c r="L255" s="62" t="e">
        <f>VLOOKUP(Tableau242[[#This Row],[Company number]],#REF!,25,FALSE)</f>
        <v>#REF!</v>
      </c>
      <c r="M255" s="62" t="str">
        <f>IFERROR(VLOOKUP(Tableau242[[#This Row],[Company number]],#REF!,30,FALSE),"")</f>
        <v/>
      </c>
      <c r="N255" s="62" t="str">
        <f>IFERROR(VLOOKUP(Tableau242[[#This Row],[Company number]],#REF!,31,FALSE),"")</f>
        <v/>
      </c>
      <c r="O255" s="62" t="str">
        <f>IFERROR(VLOOKUP(Tableau242[[#This Row],[Company number]],#REF!,32,FALSE),"")</f>
        <v/>
      </c>
      <c r="P255" s="62">
        <f>IFERROR(VLOOKUP(B255,Tableau3[#All],5,FALSE),"Matricule!")</f>
        <v>0</v>
      </c>
      <c r="Q255" s="62">
        <f>IFERROR(SUM(VLOOKUP(B255,Tableau3[#All],6,FALSE),VLOOKUP(B255,Tableau3[#All],8,FALSE)),"Matricule!")</f>
        <v>16</v>
      </c>
      <c r="R255" s="62">
        <f>IFERROR(VLOOKUP(B255,Tableau3[#All],7,FALSE),"Matricule!")</f>
        <v>4</v>
      </c>
      <c r="S255" s="62">
        <f>IFERROR(Tableau242[[#This Row],[Prod. days WK]]-Tableau242[[#This Row],[Prod PXX]],"Matricule")</f>
        <v>0</v>
      </c>
      <c r="T255" s="62">
        <f>IFERROR(Tableau242[[#This Row],[Non prod. days WK]]-Tableau242[[#This Row],[Improd PXX]],"Matricule")</f>
        <v>0</v>
      </c>
      <c r="U255" s="62">
        <f>IFERROR(Tableau242[[#This Row],[Paid leave days WK]]-Tableau242[[#This Row],[Congé PXX]],"Matricule")</f>
        <v>0</v>
      </c>
      <c r="V255" s="63">
        <f>IFERROR(VLOOKUP($B255,#REF!,4,FALSE),0)</f>
        <v>0</v>
      </c>
      <c r="W25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55" s="63">
        <f>IF(AND(Tableau242[[#This Row],[Paid leave days]]&gt;0,Tableau242[[#This Row],[Prod. days]]&lt;0),MIN(Tableau242[[#This Row],[Paid leave days]],-Tableau242[[#This Row],[Prod. days]]),0)</f>
        <v>0</v>
      </c>
      <c r="Z255" s="63">
        <f>IFERROR(_xlfn.XLOOKUP(Tableau242[[#This Row],[Consultant]],Tableau2[Collaborateur/Nom affiché],Tableau2[Montant imputé],0),0)</f>
        <v>0</v>
      </c>
      <c r="AA255" s="64">
        <f t="shared" si="4"/>
        <v>0</v>
      </c>
      <c r="AB255" s="65"/>
      <c r="AC255" s="66"/>
      <c r="AD255" s="66"/>
      <c r="AE255" s="105"/>
      <c r="AF255" s="90"/>
    </row>
    <row r="256" spans="1:32">
      <c r="A256" s="15">
        <f>Tableau242[[#This Row],[Company number]]+0</f>
        <v>11251</v>
      </c>
      <c r="B256" s="60" t="s">
        <v>643</v>
      </c>
      <c r="C256" s="61" t="s">
        <v>19</v>
      </c>
      <c r="D256" s="61" t="s">
        <v>34</v>
      </c>
      <c r="E256" s="62" t="str">
        <f>IFERROR(VLOOKUP(Tableau242[[#This Row],[Manager ou CDM concerné]],Parametres!B:C,2,FALSE),"")</f>
        <v>Squad D</v>
      </c>
      <c r="F256" s="62" t="str">
        <f>IF(Tableau242[[#This Row],[Consultant]]=Tableau242[[#This Row],[Manager ou CDM concerné]],"Non",IF(IFERROR(VLOOKUP(Tableau242[[#This Row],[Consultant]],Parametres!B:C,2,FALSE),0)=0,"Non","Oui"))</f>
        <v>Oui</v>
      </c>
      <c r="G256" s="62">
        <f>IFERROR(VLOOKUP(B256,Tableau5[#All],4,FALSE),"Matricule!")</f>
        <v>9</v>
      </c>
      <c r="H256" s="62" t="str">
        <f>IFERROR(VLOOKUP(Tableau242[[#This Row],[Company number]],#REF!,6,FALSE),"")</f>
        <v/>
      </c>
      <c r="I256" s="62">
        <f>IFERROR(VLOOKUP(B256,Tableau5[#All],5,FALSE),"Matricule!")</f>
        <v>2</v>
      </c>
      <c r="J256" s="62">
        <f>IFERROR(VLOOKUP(B256,Tableau5[#All],6,FALSE),"Matricule!")</f>
        <v>9</v>
      </c>
      <c r="K256" s="62">
        <f>IFERROR(VLOOKUP(B256,Tableau5[#All],7,FALSE),"Matricule!")</f>
        <v>0</v>
      </c>
      <c r="L256" s="62" t="e">
        <f>VLOOKUP(Tableau242[[#This Row],[Company number]],#REF!,25,FALSE)</f>
        <v>#REF!</v>
      </c>
      <c r="M256" s="62" t="str">
        <f>IFERROR(VLOOKUP(Tableau242[[#This Row],[Company number]],#REF!,30,FALSE),"")</f>
        <v/>
      </c>
      <c r="N256" s="62" t="str">
        <f>IFERROR(VLOOKUP(Tableau242[[#This Row],[Company number]],#REF!,31,FALSE),"")</f>
        <v/>
      </c>
      <c r="O256" s="62" t="str">
        <f>IFERROR(VLOOKUP(Tableau242[[#This Row],[Company number]],#REF!,32,FALSE),"")</f>
        <v/>
      </c>
      <c r="P256" s="62">
        <f>IFERROR(VLOOKUP(B256,Tableau3[#All],5,FALSE),"Matricule!")</f>
        <v>11</v>
      </c>
      <c r="Q256" s="62">
        <f>IFERROR(SUM(VLOOKUP(B256,Tableau3[#All],6,FALSE),VLOOKUP(B256,Tableau3[#All],8,FALSE)),"Matricule!")</f>
        <v>0</v>
      </c>
      <c r="R256" s="62">
        <f>IFERROR(VLOOKUP(B256,Tableau3[#All],7,FALSE),"Matricule!")</f>
        <v>9</v>
      </c>
      <c r="S256" s="62">
        <f>IFERROR(Tableau242[[#This Row],[Prod. days WK]]-Tableau242[[#This Row],[Prod PXX]],"Matricule")</f>
        <v>-2</v>
      </c>
      <c r="T256" s="62">
        <f>IFERROR(Tableau242[[#This Row],[Non prod. days WK]]-Tableau242[[#This Row],[Improd PXX]],"Matricule")</f>
        <v>2</v>
      </c>
      <c r="U256" s="62">
        <f>IFERROR(Tableau242[[#This Row],[Paid leave days WK]]-Tableau242[[#This Row],[Congé PXX]],"Matricule")</f>
        <v>0</v>
      </c>
      <c r="V256" s="63">
        <f>IFERROR(VLOOKUP($B256,#REF!,4,FALSE),0)</f>
        <v>0</v>
      </c>
      <c r="W25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56" s="63">
        <f>IF(AND(Tableau242[[#This Row],[Paid leave days]]&gt;0,Tableau242[[#This Row],[Prod. days]]&lt;0),MIN(Tableau242[[#This Row],[Paid leave days]],-Tableau242[[#This Row],[Prod. days]]),0)</f>
        <v>0</v>
      </c>
      <c r="Z256" s="63">
        <f>IFERROR(_xlfn.XLOOKUP(Tableau242[[#This Row],[Consultant]],Tableau2[Collaborateur/Nom affiché],Tableau2[Montant imputé],0),0)</f>
        <v>0</v>
      </c>
      <c r="AA256" s="64">
        <f t="shared" si="4"/>
        <v>-2</v>
      </c>
      <c r="AB256" s="65" t="s">
        <v>147</v>
      </c>
      <c r="AC256" s="66"/>
      <c r="AD256" s="66"/>
      <c r="AE256" s="105"/>
      <c r="AF256" s="90"/>
    </row>
    <row r="257" spans="1:32">
      <c r="A257" s="15">
        <f>Tableau242[[#This Row],[Company number]]+0</f>
        <v>10584</v>
      </c>
      <c r="B257" s="60" t="s">
        <v>644</v>
      </c>
      <c r="C257" s="61" t="s">
        <v>67</v>
      </c>
      <c r="D257" s="61" t="s">
        <v>31</v>
      </c>
      <c r="E257" s="62" t="str">
        <f>IFERROR(VLOOKUP(Tableau242[[#This Row],[Manager ou CDM concerné]],Parametres!B:C,2,FALSE),"")</f>
        <v>Squad C</v>
      </c>
      <c r="F257" s="62" t="str">
        <f>IF(Tableau242[[#This Row],[Consultant]]=Tableau242[[#This Row],[Manager ou CDM concerné]],"Non",IF(IFERROR(VLOOKUP(Tableau242[[#This Row],[Consultant]],Parametres!B:C,2,FALSE),0)=0,"Non","Oui"))</f>
        <v>Oui</v>
      </c>
      <c r="G257" s="62">
        <f>IFERROR(VLOOKUP(B257,Tableau5[#All],4,FALSE),"Matricule!")</f>
        <v>16.5</v>
      </c>
      <c r="H257" s="62" t="str">
        <f>IFERROR(VLOOKUP(Tableau242[[#This Row],[Company number]],#REF!,6,FALSE),"")</f>
        <v/>
      </c>
      <c r="I257" s="62">
        <f>IFERROR(VLOOKUP(B257,Tableau5[#All],5,FALSE),"Matricule!")</f>
        <v>3</v>
      </c>
      <c r="J257" s="62">
        <f>IFERROR(VLOOKUP(B257,Tableau5[#All],6,FALSE),"Matricule!")</f>
        <v>0.5</v>
      </c>
      <c r="K257" s="62">
        <f>IFERROR(VLOOKUP(B257,Tableau5[#All],7,FALSE),"Matricule!")</f>
        <v>0</v>
      </c>
      <c r="L257" s="62" t="e">
        <f>VLOOKUP(Tableau242[[#This Row],[Company number]],#REF!,25,FALSE)</f>
        <v>#REF!</v>
      </c>
      <c r="M257" s="62" t="str">
        <f>IFERROR(VLOOKUP(Tableau242[[#This Row],[Company number]],#REF!,30,FALSE),"")</f>
        <v/>
      </c>
      <c r="N257" s="62" t="str">
        <f>IFERROR(VLOOKUP(Tableau242[[#This Row],[Company number]],#REF!,31,FALSE),"")</f>
        <v/>
      </c>
      <c r="O257" s="62" t="str">
        <f>IFERROR(VLOOKUP(Tableau242[[#This Row],[Company number]],#REF!,32,FALSE),"")</f>
        <v/>
      </c>
      <c r="P257" s="62">
        <f>IFERROR(VLOOKUP(B257,Tableau3[#All],5,FALSE),"Matricule!")</f>
        <v>20</v>
      </c>
      <c r="Q257" s="62">
        <f>IFERROR(SUM(VLOOKUP(B257,Tableau3[#All],6,FALSE),VLOOKUP(B257,Tableau3[#All],8,FALSE)),"Matricule!")</f>
        <v>0</v>
      </c>
      <c r="R257" s="62">
        <f>IFERROR(VLOOKUP(B257,Tableau3[#All],7,FALSE),"Matricule!")</f>
        <v>0</v>
      </c>
      <c r="S257" s="62">
        <f>IFERROR(Tableau242[[#This Row],[Prod. days WK]]-Tableau242[[#This Row],[Prod PXX]],"Matricule")</f>
        <v>-3.5</v>
      </c>
      <c r="T257" s="62">
        <f>IFERROR(Tableau242[[#This Row],[Non prod. days WK]]-Tableau242[[#This Row],[Improd PXX]],"Matricule")</f>
        <v>3</v>
      </c>
      <c r="U257" s="62">
        <f>IFERROR(Tableau242[[#This Row],[Paid leave days WK]]-Tableau242[[#This Row],[Congé PXX]],"Matricule")</f>
        <v>0.5</v>
      </c>
      <c r="V257" s="63">
        <f>IFERROR(VLOOKUP($B257,#REF!,4,FALSE),0)</f>
        <v>0</v>
      </c>
      <c r="W25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7" s="63" t="s">
        <v>235</v>
      </c>
      <c r="Y257" s="63">
        <f>IF(AND(Tableau242[[#This Row],[Paid leave days]]&gt;0,Tableau242[[#This Row],[Prod. days]]&lt;0),MIN(Tableau242[[#This Row],[Paid leave days]],-Tableau242[[#This Row],[Prod. days]]),0)</f>
        <v>0.5</v>
      </c>
      <c r="Z257" s="63">
        <f>IFERROR(_xlfn.XLOOKUP(Tableau242[[#This Row],[Consultant]],Tableau2[Collaborateur/Nom affiché],Tableau2[Montant imputé],0),0)</f>
        <v>0</v>
      </c>
      <c r="AA257" s="64">
        <f t="shared" si="4"/>
        <v>-3.5</v>
      </c>
      <c r="AB257" s="65" t="s">
        <v>154</v>
      </c>
      <c r="AC257" s="66"/>
      <c r="AD257" s="66"/>
      <c r="AE257" s="105"/>
      <c r="AF257" s="90" t="s">
        <v>645</v>
      </c>
    </row>
    <row r="258" spans="1:32">
      <c r="A258" s="15">
        <f>Tableau242[[#This Row],[Company number]]+0</f>
        <v>12796</v>
      </c>
      <c r="B258" s="60" t="s">
        <v>646</v>
      </c>
      <c r="C258" s="61" t="s">
        <v>647</v>
      </c>
      <c r="D258" s="61" t="s">
        <v>31</v>
      </c>
      <c r="E258" s="62" t="str">
        <f>IFERROR(VLOOKUP(Tableau242[[#This Row],[Manager ou CDM concerné]],Parametres!B:C,2,FALSE),"")</f>
        <v>Squad C</v>
      </c>
      <c r="F258" s="62" t="str">
        <f>IF(Tableau242[[#This Row],[Consultant]]=Tableau242[[#This Row],[Manager ou CDM concerné]],"Non",IF(IFERROR(VLOOKUP(Tableau242[[#This Row],[Consultant]],Parametres!B:C,2,FALSE),0)=0,"Non","Oui"))</f>
        <v>Non</v>
      </c>
      <c r="G258" s="62">
        <f>IFERROR(VLOOKUP(B258,Tableau5[#All],4,FALSE),"Matricule!")</f>
        <v>17.5</v>
      </c>
      <c r="H258" s="62" t="str">
        <f>IFERROR(VLOOKUP(Tableau242[[#This Row],[Company number]],#REF!,6,FALSE),"")</f>
        <v/>
      </c>
      <c r="I258" s="62">
        <f>IFERROR(VLOOKUP(B258,Tableau5[#All],5,FALSE),"Matricule!")</f>
        <v>1</v>
      </c>
      <c r="J258" s="62">
        <f>IFERROR(VLOOKUP(B258,Tableau5[#All],6,FALSE),"Matricule!")</f>
        <v>1.5</v>
      </c>
      <c r="K258" s="62">
        <f>IFERROR(VLOOKUP(B258,Tableau5[#All],7,FALSE),"Matricule!")</f>
        <v>0</v>
      </c>
      <c r="L258" s="62" t="e">
        <f>VLOOKUP(Tableau242[[#This Row],[Company number]],#REF!,25,FALSE)</f>
        <v>#REF!</v>
      </c>
      <c r="M258" s="62" t="str">
        <f>IFERROR(VLOOKUP(Tableau242[[#This Row],[Company number]],#REF!,30,FALSE),"")</f>
        <v/>
      </c>
      <c r="N258" s="62" t="str">
        <f>IFERROR(VLOOKUP(Tableau242[[#This Row],[Company number]],#REF!,31,FALSE),"")</f>
        <v/>
      </c>
      <c r="O258" s="62" t="str">
        <f>IFERROR(VLOOKUP(Tableau242[[#This Row],[Company number]],#REF!,32,FALSE),"")</f>
        <v/>
      </c>
      <c r="P258" s="62">
        <f>IFERROR(VLOOKUP(B258,Tableau3[#All],5,FALSE),"Matricule!")</f>
        <v>16.5</v>
      </c>
      <c r="Q258" s="62">
        <f>IFERROR(SUM(VLOOKUP(B258,Tableau3[#All],6,FALSE),VLOOKUP(B258,Tableau3[#All],8,FALSE)),"Matricule!")</f>
        <v>2</v>
      </c>
      <c r="R258" s="62">
        <f>IFERROR(VLOOKUP(B258,Tableau3[#All],7,FALSE),"Matricule!")</f>
        <v>1.5</v>
      </c>
      <c r="S258" s="62">
        <f>IFERROR(Tableau242[[#This Row],[Prod. days WK]]-Tableau242[[#This Row],[Prod PXX]],"Matricule")</f>
        <v>1</v>
      </c>
      <c r="T258" s="62">
        <f>IFERROR(Tableau242[[#This Row],[Non prod. days WK]]-Tableau242[[#This Row],[Improd PXX]],"Matricule")</f>
        <v>-1</v>
      </c>
      <c r="U258" s="62">
        <f>IFERROR(Tableau242[[#This Row],[Paid leave days WK]]-Tableau242[[#This Row],[Congé PXX]],"Matricule")</f>
        <v>0</v>
      </c>
      <c r="V258" s="63">
        <f>IFERROR(VLOOKUP($B258,#REF!,4,FALSE),0)</f>
        <v>0</v>
      </c>
      <c r="W25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58" s="63">
        <f>IF(AND(Tableau242[[#This Row],[Paid leave days]]&gt;0,Tableau242[[#This Row],[Prod. days]]&lt;0),MIN(Tableau242[[#This Row],[Paid leave days]],-Tableau242[[#This Row],[Prod. days]]),0)</f>
        <v>0</v>
      </c>
      <c r="Z258" s="63">
        <f>IFERROR(_xlfn.XLOOKUP(Tableau242[[#This Row],[Consultant]],Tableau2[Collaborateur/Nom affiché],Tableau2[Montant imputé],0),0)</f>
        <v>0</v>
      </c>
      <c r="AA258" s="64">
        <f t="shared" si="4"/>
        <v>1</v>
      </c>
      <c r="AB258" s="65"/>
      <c r="AC258" s="66"/>
      <c r="AD258" s="66"/>
      <c r="AE258" s="105"/>
      <c r="AF258" s="90"/>
    </row>
    <row r="259" spans="1:32">
      <c r="A259" s="15">
        <f>Tableau242[[#This Row],[Company number]]+0</f>
        <v>22525</v>
      </c>
      <c r="B259" s="60" t="s">
        <v>648</v>
      </c>
      <c r="C259" s="61" t="s">
        <v>649</v>
      </c>
      <c r="D259" s="61" t="s">
        <v>37</v>
      </c>
      <c r="E259" s="62" t="str">
        <f>IFERROR(VLOOKUP(Tableau242[[#This Row],[Manager ou CDM concerné]],Parametres!B:C,2,FALSE),"")</f>
        <v>Squad H</v>
      </c>
      <c r="F259" s="62" t="str">
        <f>IF(Tableau242[[#This Row],[Consultant]]=Tableau242[[#This Row],[Manager ou CDM concerné]],"Non",IF(IFERROR(VLOOKUP(Tableau242[[#This Row],[Consultant]],Parametres!B:C,2,FALSE),0)=0,"Non","Oui"))</f>
        <v>Non</v>
      </c>
      <c r="G259" s="62">
        <f>IFERROR(VLOOKUP(B259,Tableau5[#All],4,FALSE),"Matricule!")</f>
        <v>4</v>
      </c>
      <c r="H259" s="62" t="str">
        <f>IFERROR(VLOOKUP(Tableau242[[#This Row],[Company number]],#REF!,6,FALSE),"")</f>
        <v/>
      </c>
      <c r="I259" s="62">
        <f>IFERROR(VLOOKUP(B259,Tableau5[#All],5,FALSE),"Matricule!")</f>
        <v>16</v>
      </c>
      <c r="J259" s="62">
        <f>IFERROR(VLOOKUP(B259,Tableau5[#All],6,FALSE),"Matricule!")</f>
        <v>0</v>
      </c>
      <c r="K259" s="62">
        <f>IFERROR(VLOOKUP(B259,Tableau5[#All],7,FALSE),"Matricule!")</f>
        <v>0</v>
      </c>
      <c r="L259" s="62" t="e">
        <f>VLOOKUP(Tableau242[[#This Row],[Company number]],#REF!,25,FALSE)</f>
        <v>#REF!</v>
      </c>
      <c r="M259" s="62" t="str">
        <f>IFERROR(VLOOKUP(Tableau242[[#This Row],[Company number]],#REF!,30,FALSE),"")</f>
        <v/>
      </c>
      <c r="N259" s="62" t="str">
        <f>IFERROR(VLOOKUP(Tableau242[[#This Row],[Company number]],#REF!,31,FALSE),"")</f>
        <v/>
      </c>
      <c r="O259" s="62" t="str">
        <f>IFERROR(VLOOKUP(Tableau242[[#This Row],[Company number]],#REF!,32,FALSE),"")</f>
        <v/>
      </c>
      <c r="P259" s="62">
        <f>IFERROR(VLOOKUP(B259,Tableau3[#All],5,FALSE),"Matricule!")</f>
        <v>6</v>
      </c>
      <c r="Q259" s="62">
        <f>IFERROR(SUM(VLOOKUP(B259,Tableau3[#All],6,FALSE),VLOOKUP(B259,Tableau3[#All],8,FALSE)),"Matricule!")</f>
        <v>14</v>
      </c>
      <c r="R259" s="62">
        <f>IFERROR(VLOOKUP(B259,Tableau3[#All],7,FALSE),"Matricule!")</f>
        <v>0</v>
      </c>
      <c r="S259" s="62">
        <f>IFERROR(Tableau242[[#This Row],[Prod. days WK]]-Tableau242[[#This Row],[Prod PXX]],"Matricule")</f>
        <v>-2</v>
      </c>
      <c r="T259" s="62">
        <f>IFERROR(Tableau242[[#This Row],[Non prod. days WK]]-Tableau242[[#This Row],[Improd PXX]],"Matricule")</f>
        <v>2</v>
      </c>
      <c r="U259" s="62">
        <f>IFERROR(Tableau242[[#This Row],[Paid leave days WK]]-Tableau242[[#This Row],[Congé PXX]],"Matricule")</f>
        <v>0</v>
      </c>
      <c r="V259" s="63">
        <f>IFERROR(VLOOKUP($B259,#REF!,4,FALSE),0)</f>
        <v>0</v>
      </c>
      <c r="W25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5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59" s="63">
        <f>IF(AND(Tableau242[[#This Row],[Paid leave days]]&gt;0,Tableau242[[#This Row],[Prod. days]]&lt;0),MIN(Tableau242[[#This Row],[Paid leave days]],-Tableau242[[#This Row],[Prod. days]]),0)</f>
        <v>0</v>
      </c>
      <c r="Z259" s="63">
        <f>IFERROR(_xlfn.XLOOKUP(Tableau242[[#This Row],[Consultant]],Tableau2[Collaborateur/Nom affiché],Tableau2[Montant imputé],0),0)</f>
        <v>0</v>
      </c>
      <c r="AA259" s="64">
        <f t="shared" si="4"/>
        <v>-2</v>
      </c>
      <c r="AB259" s="65" t="s">
        <v>147</v>
      </c>
      <c r="AC259" s="66"/>
      <c r="AD259" s="66"/>
      <c r="AE259" s="39"/>
      <c r="AF259" s="90"/>
    </row>
    <row r="260" spans="1:32">
      <c r="A260" s="15">
        <f>Tableau242[[#This Row],[Company number]]+0</f>
        <v>21845</v>
      </c>
      <c r="B260" s="60" t="s">
        <v>650</v>
      </c>
      <c r="C260" s="61" t="s">
        <v>651</v>
      </c>
      <c r="D260" s="61" t="s">
        <v>51</v>
      </c>
      <c r="E260" s="62" t="str">
        <f>IFERROR(VLOOKUP(Tableau242[[#This Row],[Manager ou CDM concerné]],Parametres!B:C,2,FALSE),"")</f>
        <v>Squad C</v>
      </c>
      <c r="F260" s="62" t="str">
        <f>IF(Tableau242[[#This Row],[Consultant]]=Tableau242[[#This Row],[Manager ou CDM concerné]],"Non",IF(IFERROR(VLOOKUP(Tableau242[[#This Row],[Consultant]],Parametres!B:C,2,FALSE),0)=0,"Non","Oui"))</f>
        <v>Non</v>
      </c>
      <c r="G260" s="62">
        <f>IFERROR(VLOOKUP(B260,Tableau5[#All],4,FALSE),"Matricule!")</f>
        <v>18</v>
      </c>
      <c r="H260" s="62" t="str">
        <f>IFERROR(VLOOKUP(Tableau242[[#This Row],[Company number]],#REF!,6,FALSE),"")</f>
        <v/>
      </c>
      <c r="I260" s="62">
        <f>IFERROR(VLOOKUP(B260,Tableau5[#All],5,FALSE),"Matricule!")</f>
        <v>2</v>
      </c>
      <c r="J260" s="62">
        <f>IFERROR(VLOOKUP(B260,Tableau5[#All],6,FALSE),"Matricule!")</f>
        <v>0</v>
      </c>
      <c r="K260" s="62">
        <f>IFERROR(VLOOKUP(B260,Tableau5[#All],7,FALSE),"Matricule!")</f>
        <v>0</v>
      </c>
      <c r="L260" s="62" t="e">
        <f>VLOOKUP(Tableau242[[#This Row],[Company number]],#REF!,25,FALSE)</f>
        <v>#REF!</v>
      </c>
      <c r="M260" s="62" t="str">
        <f>IFERROR(VLOOKUP(Tableau242[[#This Row],[Company number]],#REF!,30,FALSE),"")</f>
        <v/>
      </c>
      <c r="N260" s="62" t="str">
        <f>IFERROR(VLOOKUP(Tableau242[[#This Row],[Company number]],#REF!,31,FALSE),"")</f>
        <v/>
      </c>
      <c r="O260" s="62" t="str">
        <f>IFERROR(VLOOKUP(Tableau242[[#This Row],[Company number]],#REF!,32,FALSE),"")</f>
        <v/>
      </c>
      <c r="P260" s="62">
        <f>IFERROR(VLOOKUP(B260,Tableau3[#All],5,FALSE),"Matricule!")</f>
        <v>20</v>
      </c>
      <c r="Q260" s="62">
        <f>IFERROR(SUM(VLOOKUP(B260,Tableau3[#All],6,FALSE),VLOOKUP(B260,Tableau3[#All],8,FALSE)),"Matricule!")</f>
        <v>0</v>
      </c>
      <c r="R260" s="62">
        <f>IFERROR(VLOOKUP(B260,Tableau3[#All],7,FALSE),"Matricule!")</f>
        <v>0</v>
      </c>
      <c r="S260" s="62">
        <f>IFERROR(Tableau242[[#This Row],[Prod. days WK]]-Tableau242[[#This Row],[Prod PXX]],"Matricule")</f>
        <v>-2</v>
      </c>
      <c r="T260" s="62">
        <f>IFERROR(Tableau242[[#This Row],[Non prod. days WK]]-Tableau242[[#This Row],[Improd PXX]],"Matricule")</f>
        <v>2</v>
      </c>
      <c r="U260" s="62">
        <f>IFERROR(Tableau242[[#This Row],[Paid leave days WK]]-Tableau242[[#This Row],[Congé PXX]],"Matricule")</f>
        <v>0</v>
      </c>
      <c r="V260" s="63">
        <f>IFERROR(VLOOKUP($B260,#REF!,4,FALSE),0)</f>
        <v>0</v>
      </c>
      <c r="W26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60" s="63">
        <f>IF(AND(Tableau242[[#This Row],[Paid leave days]]&gt;0,Tableau242[[#This Row],[Prod. days]]&lt;0),MIN(Tableau242[[#This Row],[Paid leave days]],-Tableau242[[#This Row],[Prod. days]]),0)</f>
        <v>0</v>
      </c>
      <c r="Z260" s="63">
        <f>IFERROR(_xlfn.XLOOKUP(Tableau242[[#This Row],[Consultant]],Tableau2[Collaborateur/Nom affiché],Tableau2[Montant imputé],0),0)</f>
        <v>0</v>
      </c>
      <c r="AA260" s="64">
        <f t="shared" si="4"/>
        <v>-2</v>
      </c>
      <c r="AB260" s="78" t="s">
        <v>154</v>
      </c>
      <c r="AC260" s="67"/>
      <c r="AD260" s="67"/>
      <c r="AE260" s="106"/>
      <c r="AF260" s="92" t="s">
        <v>652</v>
      </c>
    </row>
    <row r="261" spans="1:32">
      <c r="A261" s="15">
        <f>Tableau242[[#This Row],[Company number]]+0</f>
        <v>12098</v>
      </c>
      <c r="B261" s="60" t="s">
        <v>653</v>
      </c>
      <c r="C261" s="61" t="s">
        <v>654</v>
      </c>
      <c r="D261" s="61" t="s">
        <v>31</v>
      </c>
      <c r="E261" s="62" t="str">
        <f>IFERROR(VLOOKUP(Tableau242[[#This Row],[Manager ou CDM concerné]],Parametres!B:C,2,FALSE),"")</f>
        <v>Squad C</v>
      </c>
      <c r="F261" s="62" t="str">
        <f>IF(Tableau242[[#This Row],[Consultant]]=Tableau242[[#This Row],[Manager ou CDM concerné]],"Non",IF(IFERROR(VLOOKUP(Tableau242[[#This Row],[Consultant]],Parametres!B:C,2,FALSE),0)=0,"Non","Oui"))</f>
        <v>Non</v>
      </c>
      <c r="G261" s="62">
        <f>IFERROR(VLOOKUP(B261,Tableau5[#All],4,FALSE),"Matricule!")</f>
        <v>20</v>
      </c>
      <c r="H261" s="62" t="str">
        <f>IFERROR(VLOOKUP(Tableau242[[#This Row],[Company number]],#REF!,6,FALSE),"")</f>
        <v/>
      </c>
      <c r="I261" s="62">
        <f>IFERROR(VLOOKUP(B261,Tableau5[#All],5,FALSE),"Matricule!")</f>
        <v>0</v>
      </c>
      <c r="J261" s="62">
        <f>IFERROR(VLOOKUP(B261,Tableau5[#All],6,FALSE),"Matricule!")</f>
        <v>0</v>
      </c>
      <c r="K261" s="62">
        <f>IFERROR(VLOOKUP(B261,Tableau5[#All],7,FALSE),"Matricule!")</f>
        <v>0</v>
      </c>
      <c r="L261" s="62" t="e">
        <f>VLOOKUP(Tableau242[[#This Row],[Company number]],#REF!,25,FALSE)</f>
        <v>#REF!</v>
      </c>
      <c r="M261" s="62" t="str">
        <f>IFERROR(VLOOKUP(Tableau242[[#This Row],[Company number]],#REF!,30,FALSE),"")</f>
        <v/>
      </c>
      <c r="N261" s="62" t="str">
        <f>IFERROR(VLOOKUP(Tableau242[[#This Row],[Company number]],#REF!,31,FALSE),"")</f>
        <v/>
      </c>
      <c r="O261" s="62" t="str">
        <f>IFERROR(VLOOKUP(Tableau242[[#This Row],[Company number]],#REF!,32,FALSE),"")</f>
        <v/>
      </c>
      <c r="P261" s="68">
        <f>IFERROR(VLOOKUP(B261,Tableau3[#All],5,FALSE),"Matricule!")</f>
        <v>20</v>
      </c>
      <c r="Q261" s="68">
        <f>IFERROR(SUM(VLOOKUP(B261,Tableau3[#All],6,FALSE),VLOOKUP(B261,Tableau3[#All],8,FALSE)),"Matricule!")</f>
        <v>0</v>
      </c>
      <c r="R261" s="68">
        <f>IFERROR(VLOOKUP(B261,Tableau3[#All],7,FALSE),"Matricule!")</f>
        <v>0</v>
      </c>
      <c r="S261" s="62">
        <f>IFERROR(Tableau242[[#This Row],[Prod. days WK]]-Tableau242[[#This Row],[Prod PXX]],"Matricule")</f>
        <v>0</v>
      </c>
      <c r="T261" s="62">
        <f>IFERROR(Tableau242[[#This Row],[Non prod. days WK]]-Tableau242[[#This Row],[Improd PXX]],"Matricule")</f>
        <v>0</v>
      </c>
      <c r="U261" s="62">
        <f>IFERROR(Tableau242[[#This Row],[Paid leave days WK]]-Tableau242[[#This Row],[Congé PXX]],"Matricule")</f>
        <v>0</v>
      </c>
      <c r="V261" s="63">
        <f>IFERROR(VLOOKUP($B261,#REF!,4,FALSE),0)</f>
        <v>0</v>
      </c>
      <c r="W26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61" s="63">
        <f>IF(AND(Tableau242[[#This Row],[Paid leave days]]&gt;0,Tableau242[[#This Row],[Prod. days]]&lt;0),MIN(Tableau242[[#This Row],[Paid leave days]],-Tableau242[[#This Row],[Prod. days]]),0)</f>
        <v>0</v>
      </c>
      <c r="Z261" s="63">
        <f>IFERROR(_xlfn.XLOOKUP(Tableau242[[#This Row],[Consultant]],Tableau2[Collaborateur/Nom affiché],Tableau2[Montant imputé],0),0)</f>
        <v>0</v>
      </c>
      <c r="AA261" s="64">
        <f t="shared" si="4"/>
        <v>0</v>
      </c>
      <c r="AB261" s="65"/>
      <c r="AC261" s="66"/>
      <c r="AD261" s="66"/>
      <c r="AE261" s="105"/>
      <c r="AF261" s="90"/>
    </row>
    <row r="262" spans="1:32">
      <c r="A262" s="15">
        <f>Tableau242[[#This Row],[Company number]]+0</f>
        <v>12797</v>
      </c>
      <c r="B262" s="60" t="s">
        <v>655</v>
      </c>
      <c r="C262" s="61" t="s">
        <v>656</v>
      </c>
      <c r="D262" s="61" t="s">
        <v>31</v>
      </c>
      <c r="E262" s="62" t="str">
        <f>IFERROR(VLOOKUP(Tableau242[[#This Row],[Manager ou CDM concerné]],Parametres!B:C,2,FALSE),"")</f>
        <v>Squad C</v>
      </c>
      <c r="F262" s="62" t="str">
        <f>IF(Tableau242[[#This Row],[Consultant]]=Tableau242[[#This Row],[Manager ou CDM concerné]],"Non",IF(IFERROR(VLOOKUP(Tableau242[[#This Row],[Consultant]],Parametres!B:C,2,FALSE),0)=0,"Non","Oui"))</f>
        <v>Non</v>
      </c>
      <c r="G262" s="62">
        <f>IFERROR(VLOOKUP(B262,Tableau5[#All],4,FALSE),"Matricule!")</f>
        <v>13</v>
      </c>
      <c r="H262" s="62" t="str">
        <f>IFERROR(VLOOKUP(Tableau242[[#This Row],[Company number]],#REF!,6,FALSE),"")</f>
        <v/>
      </c>
      <c r="I262" s="62">
        <f>IFERROR(VLOOKUP(B262,Tableau5[#All],5,FALSE),"Matricule!")</f>
        <v>2</v>
      </c>
      <c r="J262" s="62">
        <f>IFERROR(VLOOKUP(B262,Tableau5[#All],6,FALSE),"Matricule!")</f>
        <v>5</v>
      </c>
      <c r="K262" s="62">
        <f>IFERROR(VLOOKUP(B262,Tableau5[#All],7,FALSE),"Matricule!")</f>
        <v>0</v>
      </c>
      <c r="L262" s="62" t="e">
        <f>VLOOKUP(Tableau242[[#This Row],[Company number]],#REF!,25,FALSE)</f>
        <v>#REF!</v>
      </c>
      <c r="M262" s="62" t="str">
        <f>IFERROR(VLOOKUP(Tableau242[[#This Row],[Company number]],#REF!,30,FALSE),"")</f>
        <v/>
      </c>
      <c r="N262" s="62" t="str">
        <f>IFERROR(VLOOKUP(Tableau242[[#This Row],[Company number]],#REF!,31,FALSE),"")</f>
        <v/>
      </c>
      <c r="O262" s="62" t="str">
        <f>IFERROR(VLOOKUP(Tableau242[[#This Row],[Company number]],#REF!,32,FALSE),"")</f>
        <v/>
      </c>
      <c r="P262" s="62">
        <f>IFERROR(VLOOKUP(B262,Tableau3[#All],5,FALSE),"Matricule!")</f>
        <v>13</v>
      </c>
      <c r="Q262" s="62">
        <f>IFERROR(SUM(VLOOKUP(B262,Tableau3[#All],6,FALSE),VLOOKUP(B262,Tableau3[#All],8,FALSE)),"Matricule!")</f>
        <v>2</v>
      </c>
      <c r="R262" s="62">
        <f>IFERROR(VLOOKUP(B262,Tableau3[#All],7,FALSE),"Matricule!")</f>
        <v>5</v>
      </c>
      <c r="S262" s="62">
        <f>IFERROR(Tableau242[[#This Row],[Prod. days WK]]-Tableau242[[#This Row],[Prod PXX]],"Matricule")</f>
        <v>0</v>
      </c>
      <c r="T262" s="62">
        <f>IFERROR(Tableau242[[#This Row],[Non prod. days WK]]-Tableau242[[#This Row],[Improd PXX]],"Matricule")</f>
        <v>0</v>
      </c>
      <c r="U262" s="62">
        <f>IFERROR(Tableau242[[#This Row],[Paid leave days WK]]-Tableau242[[#This Row],[Congé PXX]],"Matricule")</f>
        <v>0</v>
      </c>
      <c r="V262" s="63">
        <f>IFERROR(VLOOKUP($B262,#REF!,4,FALSE),0)</f>
        <v>0</v>
      </c>
      <c r="W26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62" s="63">
        <f>IF(AND(Tableau242[[#This Row],[Paid leave days]]&gt;0,Tableau242[[#This Row],[Prod. days]]&lt;0),MIN(Tableau242[[#This Row],[Paid leave days]],-Tableau242[[#This Row],[Prod. days]]),0)</f>
        <v>0</v>
      </c>
      <c r="Z262" s="63">
        <f>IFERROR(_xlfn.XLOOKUP(Tableau242[[#This Row],[Consultant]],Tableau2[Collaborateur/Nom affiché],Tableau2[Montant imputé],0),0)</f>
        <v>0</v>
      </c>
      <c r="AA262" s="64">
        <f t="shared" si="4"/>
        <v>0</v>
      </c>
      <c r="AB262" s="65"/>
      <c r="AC262" s="66"/>
      <c r="AD262" s="66"/>
      <c r="AE262" s="105"/>
      <c r="AF262" s="90"/>
    </row>
    <row r="263" spans="1:32">
      <c r="A263" s="15">
        <f>Tableau242[[#This Row],[Company number]]+0</f>
        <v>14705</v>
      </c>
      <c r="B263" s="60" t="s">
        <v>657</v>
      </c>
      <c r="C263" s="61" t="s">
        <v>658</v>
      </c>
      <c r="D263" s="61" t="s">
        <v>18</v>
      </c>
      <c r="E263" s="62" t="str">
        <f>IFERROR(VLOOKUP(Tableau242[[#This Row],[Manager ou CDM concerné]],Parametres!B:C,2,FALSE),"")</f>
        <v>Squad H</v>
      </c>
      <c r="F263" s="62" t="str">
        <f>IF(Tableau242[[#This Row],[Consultant]]=Tableau242[[#This Row],[Manager ou CDM concerné]],"Non",IF(IFERROR(VLOOKUP(Tableau242[[#This Row],[Consultant]],Parametres!B:C,2,FALSE),0)=0,"Non","Oui"))</f>
        <v>Non</v>
      </c>
      <c r="G263" s="62">
        <f>IFERROR(VLOOKUP(B263,Tableau5[#All],4,FALSE),"Matricule!")</f>
        <v>3</v>
      </c>
      <c r="H263" s="62" t="str">
        <f>IFERROR(VLOOKUP(Tableau242[[#This Row],[Company number]],#REF!,6,FALSE),"")</f>
        <v/>
      </c>
      <c r="I263" s="62">
        <f>IFERROR(VLOOKUP(B263,Tableau5[#All],5,FALSE),"Matricule!")</f>
        <v>17</v>
      </c>
      <c r="J263" s="62">
        <f>IFERROR(VLOOKUP(B263,Tableau5[#All],6,FALSE),"Matricule!")</f>
        <v>0</v>
      </c>
      <c r="K263" s="62">
        <f>IFERROR(VLOOKUP(B263,Tableau5[#All],7,FALSE),"Matricule!")</f>
        <v>0</v>
      </c>
      <c r="L263" s="62" t="e">
        <f>VLOOKUP(Tableau242[[#This Row],[Company number]],#REF!,25,FALSE)</f>
        <v>#REF!</v>
      </c>
      <c r="M263" s="62" t="str">
        <f>IFERROR(VLOOKUP(Tableau242[[#This Row],[Company number]],#REF!,30,FALSE),"")</f>
        <v/>
      </c>
      <c r="N263" s="62" t="str">
        <f>IFERROR(VLOOKUP(Tableau242[[#This Row],[Company number]],#REF!,31,FALSE),"")</f>
        <v/>
      </c>
      <c r="O263" s="62" t="str">
        <f>IFERROR(VLOOKUP(Tableau242[[#This Row],[Company number]],#REF!,32,FALSE),"")</f>
        <v/>
      </c>
      <c r="P263" s="62">
        <f>IFERROR(VLOOKUP(B263,Tableau3[#All],5,FALSE),"Matricule!")</f>
        <v>5</v>
      </c>
      <c r="Q263" s="62">
        <f>IFERROR(SUM(VLOOKUP(B263,Tableau3[#All],6,FALSE),VLOOKUP(B263,Tableau3[#All],8,FALSE)),"Matricule!")</f>
        <v>15</v>
      </c>
      <c r="R263" s="62">
        <f>IFERROR(VLOOKUP(B263,Tableau3[#All],7,FALSE),"Matricule!")</f>
        <v>0</v>
      </c>
      <c r="S263" s="62">
        <f>IFERROR(Tableau242[[#This Row],[Prod. days WK]]-Tableau242[[#This Row],[Prod PXX]],"Matricule")</f>
        <v>-2</v>
      </c>
      <c r="T263" s="62">
        <f>IFERROR(Tableau242[[#This Row],[Non prod. days WK]]-Tableau242[[#This Row],[Improd PXX]],"Matricule")</f>
        <v>2</v>
      </c>
      <c r="U263" s="62">
        <f>IFERROR(Tableau242[[#This Row],[Paid leave days WK]]-Tableau242[[#This Row],[Congé PXX]],"Matricule")</f>
        <v>0</v>
      </c>
      <c r="V263" s="63">
        <f>IFERROR(VLOOKUP($B263,#REF!,4,FALSE),0)</f>
        <v>0</v>
      </c>
      <c r="W26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63" s="63">
        <f>IF(AND(Tableau242[[#This Row],[Paid leave days]]&gt;0,Tableau242[[#This Row],[Prod. days]]&lt;0),MIN(Tableau242[[#This Row],[Paid leave days]],-Tableau242[[#This Row],[Prod. days]]),0)</f>
        <v>0</v>
      </c>
      <c r="Z263" s="63">
        <f>IFERROR(_xlfn.XLOOKUP(Tableau242[[#This Row],[Consultant]],Tableau2[Collaborateur/Nom affiché],Tableau2[Montant imputé],0),0)</f>
        <v>0</v>
      </c>
      <c r="AA263" s="64">
        <f t="shared" si="4"/>
        <v>-2</v>
      </c>
      <c r="AB263" s="78" t="s">
        <v>147</v>
      </c>
      <c r="AC263" s="67"/>
      <c r="AD263" s="67"/>
      <c r="AE263" s="39"/>
      <c r="AF263" s="92"/>
    </row>
    <row r="264" spans="1:32">
      <c r="A264" s="15">
        <f>Tableau242[[#This Row],[Company number]]+0</f>
        <v>13991</v>
      </c>
      <c r="B264" s="60" t="s">
        <v>659</v>
      </c>
      <c r="C264" s="61" t="s">
        <v>660</v>
      </c>
      <c r="D264" s="61" t="s">
        <v>86</v>
      </c>
      <c r="E264" s="62" t="str">
        <f>IFERROR(VLOOKUP(Tableau242[[#This Row],[Manager ou CDM concerné]],Parametres!B:C,2,FALSE),"")</f>
        <v>Squad G</v>
      </c>
      <c r="F264" s="62" t="str">
        <f>IF(Tableau242[[#This Row],[Consultant]]=Tableau242[[#This Row],[Manager ou CDM concerné]],"Non",IF(IFERROR(VLOOKUP(Tableau242[[#This Row],[Consultant]],Parametres!B:C,2,FALSE),0)=0,"Non","Oui"))</f>
        <v>Non</v>
      </c>
      <c r="G264" s="62">
        <f>IFERROR(VLOOKUP(B264,Tableau5[#All],4,FALSE),"Matricule!")</f>
        <v>18</v>
      </c>
      <c r="H264" s="62" t="str">
        <f>IFERROR(VLOOKUP(Tableau242[[#This Row],[Company number]],#REF!,6,FALSE),"")</f>
        <v/>
      </c>
      <c r="I264" s="62">
        <f>IFERROR(VLOOKUP(B264,Tableau5[#All],5,FALSE),"Matricule!")</f>
        <v>2</v>
      </c>
      <c r="J264" s="62">
        <f>IFERROR(VLOOKUP(B264,Tableau5[#All],6,FALSE),"Matricule!")</f>
        <v>0</v>
      </c>
      <c r="K264" s="62">
        <f>IFERROR(VLOOKUP(B264,Tableau5[#All],7,FALSE),"Matricule!")</f>
        <v>0</v>
      </c>
      <c r="L264" s="62" t="e">
        <f>VLOOKUP(Tableau242[[#This Row],[Company number]],#REF!,25,FALSE)</f>
        <v>#REF!</v>
      </c>
      <c r="M264" s="62" t="str">
        <f>IFERROR(VLOOKUP(Tableau242[[#This Row],[Company number]],#REF!,30,FALSE),"")</f>
        <v/>
      </c>
      <c r="N264" s="62" t="str">
        <f>IFERROR(VLOOKUP(Tableau242[[#This Row],[Company number]],#REF!,31,FALSE),"")</f>
        <v/>
      </c>
      <c r="O264" s="62" t="str">
        <f>IFERROR(VLOOKUP(Tableau242[[#This Row],[Company number]],#REF!,32,FALSE),"")</f>
        <v/>
      </c>
      <c r="P264" s="68">
        <f>IFERROR(VLOOKUP(B264,Tableau3[#All],5,FALSE),"Matricule!")</f>
        <v>20</v>
      </c>
      <c r="Q264" s="68">
        <f>IFERROR(SUM(VLOOKUP(B264,Tableau3[#All],6,FALSE),VLOOKUP(B264,Tableau3[#All],8,FALSE)),"Matricule!")</f>
        <v>0</v>
      </c>
      <c r="R264" s="68">
        <f>IFERROR(VLOOKUP(B264,Tableau3[#All],7,FALSE),"Matricule!")</f>
        <v>0</v>
      </c>
      <c r="S264" s="62">
        <f>IFERROR(Tableau242[[#This Row],[Prod. days WK]]-Tableau242[[#This Row],[Prod PXX]],"Matricule")</f>
        <v>-2</v>
      </c>
      <c r="T264" s="62">
        <f>IFERROR(Tableau242[[#This Row],[Non prod. days WK]]-Tableau242[[#This Row],[Improd PXX]],"Matricule")</f>
        <v>2</v>
      </c>
      <c r="U264" s="62">
        <f>IFERROR(Tableau242[[#This Row],[Paid leave days WK]]-Tableau242[[#This Row],[Congé PXX]],"Matricule")</f>
        <v>0</v>
      </c>
      <c r="V264" s="63">
        <f>IFERROR(VLOOKUP($B264,#REF!,4,FALSE),0)</f>
        <v>0</v>
      </c>
      <c r="W26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64" s="63">
        <f>IF(AND(Tableau242[[#This Row],[Paid leave days]]&gt;0,Tableau242[[#This Row],[Prod. days]]&lt;0),MIN(Tableau242[[#This Row],[Paid leave days]],-Tableau242[[#This Row],[Prod. days]]),0)</f>
        <v>0</v>
      </c>
      <c r="Z264" s="63">
        <f>IFERROR(_xlfn.XLOOKUP(Tableau242[[#This Row],[Consultant]],Tableau2[Collaborateur/Nom affiché],Tableau2[Montant imputé],0),0)</f>
        <v>0</v>
      </c>
      <c r="AA264" s="64">
        <f t="shared" si="4"/>
        <v>-2</v>
      </c>
      <c r="AB264" s="65" t="s">
        <v>154</v>
      </c>
      <c r="AC264" s="67"/>
      <c r="AD264" s="67"/>
      <c r="AE264" s="106"/>
      <c r="AF264" s="90" t="s">
        <v>661</v>
      </c>
    </row>
    <row r="265" spans="1:32">
      <c r="A265" s="15">
        <f>Tableau242[[#This Row],[Company number]]+0</f>
        <v>3145</v>
      </c>
      <c r="B265" s="60" t="s">
        <v>662</v>
      </c>
      <c r="C265" s="61" t="s">
        <v>663</v>
      </c>
      <c r="D265" s="61" t="s">
        <v>28</v>
      </c>
      <c r="E265" s="62" t="str">
        <f>IFERROR(VLOOKUP(Tableau242[[#This Row],[Manager ou CDM concerné]],Parametres!B:C,2,FALSE),"")</f>
        <v>Squad D</v>
      </c>
      <c r="F265" s="62" t="str">
        <f>IF(Tableau242[[#This Row],[Consultant]]=Tableau242[[#This Row],[Manager ou CDM concerné]],"Non",IF(IFERROR(VLOOKUP(Tableau242[[#This Row],[Consultant]],Parametres!B:C,2,FALSE),0)=0,"Non","Oui"))</f>
        <v>Non</v>
      </c>
      <c r="G265" s="62">
        <f>IFERROR(VLOOKUP(B265,Tableau5[#All],4,FALSE),"Matricule!")</f>
        <v>17</v>
      </c>
      <c r="H265" s="62" t="str">
        <f>IFERROR(VLOOKUP(Tableau242[[#This Row],[Company number]],#REF!,6,FALSE),"")</f>
        <v/>
      </c>
      <c r="I265" s="62">
        <f>IFERROR(VLOOKUP(B265,Tableau5[#All],5,FALSE),"Matricule!")</f>
        <v>3</v>
      </c>
      <c r="J265" s="62">
        <f>IFERROR(VLOOKUP(B265,Tableau5[#All],6,FALSE),"Matricule!")</f>
        <v>0</v>
      </c>
      <c r="K265" s="62">
        <f>IFERROR(VLOOKUP(B265,Tableau5[#All],7,FALSE),"Matricule!")</f>
        <v>0</v>
      </c>
      <c r="L265" s="62" t="e">
        <f>VLOOKUP(Tableau242[[#This Row],[Company number]],#REF!,25,FALSE)</f>
        <v>#REF!</v>
      </c>
      <c r="M265" s="62" t="str">
        <f>IFERROR(VLOOKUP(Tableau242[[#This Row],[Company number]],#REF!,30,FALSE),"")</f>
        <v/>
      </c>
      <c r="N265" s="62" t="str">
        <f>IFERROR(VLOOKUP(Tableau242[[#This Row],[Company number]],#REF!,31,FALSE),"")</f>
        <v/>
      </c>
      <c r="O265" s="62" t="str">
        <f>IFERROR(VLOOKUP(Tableau242[[#This Row],[Company number]],#REF!,32,FALSE),"")</f>
        <v/>
      </c>
      <c r="P265" s="62">
        <f>IFERROR(VLOOKUP(B265,Tableau3[#All],5,FALSE),"Matricule!")</f>
        <v>19</v>
      </c>
      <c r="Q265" s="62">
        <f>IFERROR(SUM(VLOOKUP(B265,Tableau3[#All],6,FALSE),VLOOKUP(B265,Tableau3[#All],8,FALSE)),"Matricule!")</f>
        <v>1</v>
      </c>
      <c r="R265" s="62">
        <f>IFERROR(VLOOKUP(B265,Tableau3[#All],7,FALSE),"Matricule!")</f>
        <v>0</v>
      </c>
      <c r="S265" s="62">
        <f>IFERROR(Tableau242[[#This Row],[Prod. days WK]]-Tableau242[[#This Row],[Prod PXX]],"Matricule")</f>
        <v>-2</v>
      </c>
      <c r="T265" s="62">
        <f>IFERROR(Tableau242[[#This Row],[Non prod. days WK]]-Tableau242[[#This Row],[Improd PXX]],"Matricule")</f>
        <v>2</v>
      </c>
      <c r="U265" s="62">
        <f>IFERROR(Tableau242[[#This Row],[Paid leave days WK]]-Tableau242[[#This Row],[Congé PXX]],"Matricule")</f>
        <v>0</v>
      </c>
      <c r="V265" s="63">
        <f>IFERROR(VLOOKUP($B265,#REF!,4,FALSE),0)</f>
        <v>0</v>
      </c>
      <c r="W26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65" s="63">
        <f>IF(AND(Tableau242[[#This Row],[Paid leave days]]&gt;0,Tableau242[[#This Row],[Prod. days]]&lt;0),MIN(Tableau242[[#This Row],[Paid leave days]],-Tableau242[[#This Row],[Prod. days]]),0)</f>
        <v>0</v>
      </c>
      <c r="Z265" s="63">
        <f>IFERROR(_xlfn.XLOOKUP(Tableau242[[#This Row],[Consultant]],Tableau2[Collaborateur/Nom affiché],Tableau2[Montant imputé],0),0)</f>
        <v>0</v>
      </c>
      <c r="AA265" s="64">
        <f t="shared" si="4"/>
        <v>-2</v>
      </c>
      <c r="AB265" s="65" t="s">
        <v>165</v>
      </c>
      <c r="AC265" s="66">
        <v>1</v>
      </c>
      <c r="AD265" s="66">
        <v>1</v>
      </c>
      <c r="AE265" s="105"/>
      <c r="AF265" s="90" t="s">
        <v>664</v>
      </c>
    </row>
    <row r="266" spans="1:32">
      <c r="A266" s="15">
        <f>Tableau242[[#This Row],[Company number]]+0</f>
        <v>3271</v>
      </c>
      <c r="B266" s="60" t="s">
        <v>665</v>
      </c>
      <c r="C266" s="61" t="s">
        <v>48</v>
      </c>
      <c r="D266" s="61" t="s">
        <v>28</v>
      </c>
      <c r="E266" s="62" t="str">
        <f>IFERROR(VLOOKUP(Tableau242[[#This Row],[Manager ou CDM concerné]],Parametres!B:C,2,FALSE),"")</f>
        <v>Squad D</v>
      </c>
      <c r="F266" s="62" t="str">
        <f>IF(Tableau242[[#This Row],[Consultant]]=Tableau242[[#This Row],[Manager ou CDM concerné]],"Non",IF(IFERROR(VLOOKUP(Tableau242[[#This Row],[Consultant]],Parametres!B:C,2,FALSE),0)=0,"Non","Oui"))</f>
        <v>Oui</v>
      </c>
      <c r="G266" s="62">
        <f>IFERROR(VLOOKUP(B266,Tableau5[#All],4,FALSE),"Matricule!")</f>
        <v>11</v>
      </c>
      <c r="H266" s="62" t="str">
        <f>IFERROR(VLOOKUP(Tableau242[[#This Row],[Company number]],#REF!,6,FALSE),"")</f>
        <v/>
      </c>
      <c r="I266" s="62">
        <f>IFERROR(VLOOKUP(B266,Tableau5[#All],5,FALSE),"Matricule!")</f>
        <v>9</v>
      </c>
      <c r="J266" s="62">
        <f>IFERROR(VLOOKUP(B266,Tableau5[#All],6,FALSE),"Matricule!")</f>
        <v>0</v>
      </c>
      <c r="K266" s="62">
        <f>IFERROR(VLOOKUP(B266,Tableau5[#All],7,FALSE),"Matricule!")</f>
        <v>0</v>
      </c>
      <c r="L266" s="62" t="e">
        <f>VLOOKUP(Tableau242[[#This Row],[Company number]],#REF!,25,FALSE)</f>
        <v>#REF!</v>
      </c>
      <c r="M266" s="62" t="str">
        <f>IFERROR(VLOOKUP(Tableau242[[#This Row],[Company number]],#REF!,30,FALSE),"")</f>
        <v/>
      </c>
      <c r="N266" s="62" t="str">
        <f>IFERROR(VLOOKUP(Tableau242[[#This Row],[Company number]],#REF!,31,FALSE),"")</f>
        <v/>
      </c>
      <c r="O266" s="62" t="str">
        <f>IFERROR(VLOOKUP(Tableau242[[#This Row],[Company number]],#REF!,32,FALSE),"")</f>
        <v/>
      </c>
      <c r="P266" s="62">
        <f>IFERROR(VLOOKUP(B266,Tableau3[#All],5,FALSE),"Matricule!")</f>
        <v>13</v>
      </c>
      <c r="Q266" s="62">
        <f>IFERROR(SUM(VLOOKUP(B266,Tableau3[#All],6,FALSE),VLOOKUP(B266,Tableau3[#All],8,FALSE)),"Matricule!")</f>
        <v>7</v>
      </c>
      <c r="R266" s="62">
        <f>IFERROR(VLOOKUP(B266,Tableau3[#All],7,FALSE),"Matricule!")</f>
        <v>0</v>
      </c>
      <c r="S266" s="62">
        <f>IFERROR(Tableau242[[#This Row],[Prod. days WK]]-Tableau242[[#This Row],[Prod PXX]],"Matricule")</f>
        <v>-2</v>
      </c>
      <c r="T266" s="62">
        <f>IFERROR(Tableau242[[#This Row],[Non prod. days WK]]-Tableau242[[#This Row],[Improd PXX]],"Matricule")</f>
        <v>2</v>
      </c>
      <c r="U266" s="62">
        <f>IFERROR(Tableau242[[#This Row],[Paid leave days WK]]-Tableau242[[#This Row],[Congé PXX]],"Matricule")</f>
        <v>0</v>
      </c>
      <c r="V266" s="63">
        <f>IFERROR(VLOOKUP($B266,#REF!,4,FALSE),0)</f>
        <v>0</v>
      </c>
      <c r="W26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66" s="63">
        <f>IF(AND(Tableau242[[#This Row],[Paid leave days]]&gt;0,Tableau242[[#This Row],[Prod. days]]&lt;0),MIN(Tableau242[[#This Row],[Paid leave days]],-Tableau242[[#This Row],[Prod. days]]),0)</f>
        <v>0</v>
      </c>
      <c r="Z266" s="63">
        <f>IFERROR(_xlfn.XLOOKUP(Tableau242[[#This Row],[Consultant]],Tableau2[Collaborateur/Nom affiché],Tableau2[Montant imputé],0),0)</f>
        <v>0</v>
      </c>
      <c r="AA266" s="64">
        <f t="shared" si="4"/>
        <v>-2</v>
      </c>
      <c r="AB266" s="65" t="s">
        <v>165</v>
      </c>
      <c r="AC266" s="66"/>
      <c r="AD266" s="66">
        <v>1</v>
      </c>
      <c r="AE266" s="105"/>
      <c r="AF266" s="90"/>
    </row>
    <row r="267" spans="1:32">
      <c r="A267" s="15">
        <f>Tableau242[[#This Row],[Company number]]+0</f>
        <v>7371</v>
      </c>
      <c r="B267" s="60" t="s">
        <v>666</v>
      </c>
      <c r="C267" s="61" t="s">
        <v>90</v>
      </c>
      <c r="D267" s="61" t="s">
        <v>97</v>
      </c>
      <c r="E267" s="62" t="str">
        <f>IFERROR(VLOOKUP(Tableau242[[#This Row],[Manager ou CDM concerné]],Parametres!B:C,2,FALSE),"")</f>
        <v>Squad D</v>
      </c>
      <c r="F267" s="62" t="str">
        <f>IF(Tableau242[[#This Row],[Consultant]]=Tableau242[[#This Row],[Manager ou CDM concerné]],"Non",IF(IFERROR(VLOOKUP(Tableau242[[#This Row],[Consultant]],Parametres!B:C,2,FALSE),0)=0,"Non","Oui"))</f>
        <v>Non</v>
      </c>
      <c r="G267" s="62">
        <f>IFERROR(VLOOKUP(B267,Tableau5[#All],4,FALSE),"Matricule!")</f>
        <v>0</v>
      </c>
      <c r="H267" s="62" t="str">
        <f>IFERROR(VLOOKUP(Tableau242[[#This Row],[Company number]],#REF!,6,FALSE),"")</f>
        <v/>
      </c>
      <c r="I267" s="62">
        <f>IFERROR(VLOOKUP(B267,Tableau5[#All],5,FALSE),"Matricule!")</f>
        <v>14.5</v>
      </c>
      <c r="J267" s="62">
        <f>IFERROR(VLOOKUP(B267,Tableau5[#All],6,FALSE),"Matricule!")</f>
        <v>5.5</v>
      </c>
      <c r="K267" s="62">
        <f>IFERROR(VLOOKUP(B267,Tableau5[#All],7,FALSE),"Matricule!")</f>
        <v>0</v>
      </c>
      <c r="L267" s="62" t="e">
        <f>VLOOKUP(Tableau242[[#This Row],[Company number]],#REF!,25,FALSE)</f>
        <v>#REF!</v>
      </c>
      <c r="M267" s="62" t="str">
        <f>IFERROR(VLOOKUP(Tableau242[[#This Row],[Company number]],#REF!,30,FALSE),"")</f>
        <v/>
      </c>
      <c r="N267" s="62" t="str">
        <f>IFERROR(VLOOKUP(Tableau242[[#This Row],[Company number]],#REF!,31,FALSE),"")</f>
        <v/>
      </c>
      <c r="O267" s="62" t="str">
        <f>IFERROR(VLOOKUP(Tableau242[[#This Row],[Company number]],#REF!,32,FALSE),"")</f>
        <v/>
      </c>
      <c r="P267" s="62">
        <f>IFERROR(VLOOKUP(B267,Tableau3[#All],5,FALSE),"Matricule!")</f>
        <v>0</v>
      </c>
      <c r="Q267" s="62">
        <f>IFERROR(SUM(VLOOKUP(B267,Tableau3[#All],6,FALSE),VLOOKUP(B267,Tableau3[#All],8,FALSE)),"Matricule!")</f>
        <v>14.5</v>
      </c>
      <c r="R267" s="62">
        <f>IFERROR(VLOOKUP(B267,Tableau3[#All],7,FALSE),"Matricule!")</f>
        <v>5.5</v>
      </c>
      <c r="S267" s="62">
        <f>IFERROR(Tableau242[[#This Row],[Prod. days WK]]-Tableau242[[#This Row],[Prod PXX]],"Matricule")</f>
        <v>0</v>
      </c>
      <c r="T267" s="62">
        <f>IFERROR(Tableau242[[#This Row],[Non prod. days WK]]-Tableau242[[#This Row],[Improd PXX]],"Matricule")</f>
        <v>0</v>
      </c>
      <c r="U267" s="62">
        <f>IFERROR(Tableau242[[#This Row],[Paid leave days WK]]-Tableau242[[#This Row],[Congé PXX]],"Matricule")</f>
        <v>0</v>
      </c>
      <c r="V267" s="63">
        <f>IFERROR(VLOOKUP($B267,#REF!,4,FALSE),0)</f>
        <v>0</v>
      </c>
      <c r="W26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67" s="63">
        <f>IF(AND(Tableau242[[#This Row],[Paid leave days]]&gt;0,Tableau242[[#This Row],[Prod. days]]&lt;0),MIN(Tableau242[[#This Row],[Paid leave days]],-Tableau242[[#This Row],[Prod. days]]),0)</f>
        <v>0</v>
      </c>
      <c r="Z267" s="63">
        <f>IFERROR(_xlfn.XLOOKUP(Tableau242[[#This Row],[Consultant]],Tableau2[Collaborateur/Nom affiché],Tableau2[Montant imputé],0),0)</f>
        <v>0</v>
      </c>
      <c r="AA267" s="64">
        <f t="shared" ref="AA267:AA330" si="5">IFERROR(S267+Z267,S267)</f>
        <v>0</v>
      </c>
      <c r="AB267" s="78"/>
      <c r="AC267" s="67"/>
      <c r="AD267" s="67"/>
      <c r="AE267" s="106"/>
      <c r="AF267" s="92"/>
    </row>
    <row r="268" spans="1:32">
      <c r="A268" s="15">
        <f>Tableau242[[#This Row],[Company number]]+0</f>
        <v>12392</v>
      </c>
      <c r="B268" s="60" t="s">
        <v>667</v>
      </c>
      <c r="C268" s="61" t="s">
        <v>91</v>
      </c>
      <c r="D268" s="61" t="s">
        <v>39</v>
      </c>
      <c r="E268" s="62" t="str">
        <f>IFERROR(VLOOKUP(Tableau242[[#This Row],[Manager ou CDM concerné]],Parametres!B:C,2,FALSE),"")</f>
        <v>Squad F</v>
      </c>
      <c r="F268" s="62" t="str">
        <f>IF(Tableau242[[#This Row],[Consultant]]=Tableau242[[#This Row],[Manager ou CDM concerné]],"Non",IF(IFERROR(VLOOKUP(Tableau242[[#This Row],[Consultant]],Parametres!B:C,2,FALSE),0)=0,"Non","Oui"))</f>
        <v>Oui</v>
      </c>
      <c r="G268" s="62">
        <f>IFERROR(VLOOKUP(B268,Tableau5[#All],4,FALSE),"Matricule!")</f>
        <v>0</v>
      </c>
      <c r="H268" s="62" t="str">
        <f>IFERROR(VLOOKUP(Tableau242[[#This Row],[Company number]],#REF!,6,FALSE),"")</f>
        <v/>
      </c>
      <c r="I268" s="62">
        <f>IFERROR(VLOOKUP(B268,Tableau5[#All],5,FALSE),"Matricule!")</f>
        <v>20</v>
      </c>
      <c r="J268" s="62">
        <f>IFERROR(VLOOKUP(B268,Tableau5[#All],6,FALSE),"Matricule!")</f>
        <v>0</v>
      </c>
      <c r="K268" s="62">
        <f>IFERROR(VLOOKUP(B268,Tableau5[#All],7,FALSE),"Matricule!")</f>
        <v>0</v>
      </c>
      <c r="L268" s="62" t="e">
        <f>VLOOKUP(Tableau242[[#This Row],[Company number]],#REF!,25,FALSE)</f>
        <v>#REF!</v>
      </c>
      <c r="M268" s="62" t="str">
        <f>IFERROR(VLOOKUP(Tableau242[[#This Row],[Company number]],#REF!,30,FALSE),"")</f>
        <v/>
      </c>
      <c r="N268" s="62" t="str">
        <f>IFERROR(VLOOKUP(Tableau242[[#This Row],[Company number]],#REF!,31,FALSE),"")</f>
        <v/>
      </c>
      <c r="O268" s="62" t="str">
        <f>IFERROR(VLOOKUP(Tableau242[[#This Row],[Company number]],#REF!,32,FALSE),"")</f>
        <v/>
      </c>
      <c r="P268" s="62">
        <f>IFERROR(VLOOKUP(B268,Tableau3[#All],5,FALSE),"Matricule!")</f>
        <v>0</v>
      </c>
      <c r="Q268" s="62">
        <f>IFERROR(SUM(VLOOKUP(B268,Tableau3[#All],6,FALSE),VLOOKUP(B268,Tableau3[#All],8,FALSE)),"Matricule!")</f>
        <v>20</v>
      </c>
      <c r="R268" s="62">
        <f>IFERROR(VLOOKUP(B268,Tableau3[#All],7,FALSE),"Matricule!")</f>
        <v>0</v>
      </c>
      <c r="S268" s="62">
        <f>IFERROR(Tableau242[[#This Row],[Prod. days WK]]-Tableau242[[#This Row],[Prod PXX]],"Matricule")</f>
        <v>0</v>
      </c>
      <c r="T268" s="62">
        <f>IFERROR(Tableau242[[#This Row],[Non prod. days WK]]-Tableau242[[#This Row],[Improd PXX]],"Matricule")</f>
        <v>0</v>
      </c>
      <c r="U268" s="62">
        <f>IFERROR(Tableau242[[#This Row],[Paid leave days WK]]-Tableau242[[#This Row],[Congé PXX]],"Matricule")</f>
        <v>0</v>
      </c>
      <c r="V268" s="63">
        <f>IFERROR(VLOOKUP($B268,#REF!,4,FALSE),0)</f>
        <v>0</v>
      </c>
      <c r="W26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68" s="63">
        <f>IF(AND(Tableau242[[#This Row],[Paid leave days]]&gt;0,Tableau242[[#This Row],[Prod. days]]&lt;0),MIN(Tableau242[[#This Row],[Paid leave days]],-Tableau242[[#This Row],[Prod. days]]),0)</f>
        <v>0</v>
      </c>
      <c r="Z268" s="63">
        <f>IFERROR(_xlfn.XLOOKUP(Tableau242[[#This Row],[Consultant]],Tableau2[Collaborateur/Nom affiché],Tableau2[Montant imputé],0),0)</f>
        <v>0</v>
      </c>
      <c r="AA268" s="64">
        <f t="shared" si="5"/>
        <v>0</v>
      </c>
      <c r="AB268" s="65"/>
      <c r="AC268" s="66"/>
      <c r="AD268" s="66"/>
      <c r="AE268" s="105"/>
      <c r="AF268" s="90"/>
    </row>
    <row r="269" spans="1:32" ht="14.45" customHeight="1">
      <c r="A269" s="15">
        <f>Tableau242[[#This Row],[Company number]]+0</f>
        <v>12487</v>
      </c>
      <c r="B269" s="60" t="s">
        <v>668</v>
      </c>
      <c r="C269" s="61" t="s">
        <v>669</v>
      </c>
      <c r="D269" s="61" t="s">
        <v>39</v>
      </c>
      <c r="E269" s="62" t="str">
        <f>IFERROR(VLOOKUP(Tableau242[[#This Row],[Manager ou CDM concerné]],Parametres!B:C,2,FALSE),"")</f>
        <v>Squad F</v>
      </c>
      <c r="F269" s="62" t="str">
        <f>IF(Tableau242[[#This Row],[Consultant]]=Tableau242[[#This Row],[Manager ou CDM concerné]],"Non",IF(IFERROR(VLOOKUP(Tableau242[[#This Row],[Consultant]],Parametres!B:C,2,FALSE),0)=0,"Non","Oui"))</f>
        <v>Non</v>
      </c>
      <c r="G269" s="62">
        <f>IFERROR(VLOOKUP(B269,Tableau5[#All],4,FALSE),"Matricule!")</f>
        <v>20</v>
      </c>
      <c r="H269" s="62" t="str">
        <f>IFERROR(VLOOKUP(Tableau242[[#This Row],[Company number]],#REF!,6,FALSE),"")</f>
        <v/>
      </c>
      <c r="I269" s="62">
        <f>IFERROR(VLOOKUP(B269,Tableau5[#All],5,FALSE),"Matricule!")</f>
        <v>0</v>
      </c>
      <c r="J269" s="62">
        <f>IFERROR(VLOOKUP(B269,Tableau5[#All],6,FALSE),"Matricule!")</f>
        <v>0</v>
      </c>
      <c r="K269" s="62">
        <f>IFERROR(VLOOKUP(B269,Tableau5[#All],7,FALSE),"Matricule!")</f>
        <v>0</v>
      </c>
      <c r="L269" s="62" t="e">
        <f>VLOOKUP(Tableau242[[#This Row],[Company number]],#REF!,25,FALSE)</f>
        <v>#REF!</v>
      </c>
      <c r="M269" s="62" t="str">
        <f>IFERROR(VLOOKUP(Tableau242[[#This Row],[Company number]],#REF!,30,FALSE),"")</f>
        <v/>
      </c>
      <c r="N269" s="62" t="str">
        <f>IFERROR(VLOOKUP(Tableau242[[#This Row],[Company number]],#REF!,31,FALSE),"")</f>
        <v/>
      </c>
      <c r="O269" s="62" t="str">
        <f>IFERROR(VLOOKUP(Tableau242[[#This Row],[Company number]],#REF!,32,FALSE),"")</f>
        <v/>
      </c>
      <c r="P269" s="62">
        <f>IFERROR(VLOOKUP(B269,Tableau3[#All],5,FALSE),"Matricule!")</f>
        <v>20</v>
      </c>
      <c r="Q269" s="62">
        <f>IFERROR(SUM(VLOOKUP(B269,Tableau3[#All],6,FALSE),VLOOKUP(B269,Tableau3[#All],8,FALSE)),"Matricule!")</f>
        <v>0</v>
      </c>
      <c r="R269" s="62">
        <f>IFERROR(VLOOKUP(B269,Tableau3[#All],7,FALSE),"Matricule!")</f>
        <v>0</v>
      </c>
      <c r="S269" s="62">
        <f>IFERROR(Tableau242[[#This Row],[Prod. days WK]]-Tableau242[[#This Row],[Prod PXX]],"Matricule")</f>
        <v>0</v>
      </c>
      <c r="T269" s="62">
        <f>IFERROR(Tableau242[[#This Row],[Non prod. days WK]]-Tableau242[[#This Row],[Improd PXX]],"Matricule")</f>
        <v>0</v>
      </c>
      <c r="U269" s="62">
        <f>IFERROR(Tableau242[[#This Row],[Paid leave days WK]]-Tableau242[[#This Row],[Congé PXX]],"Matricule")</f>
        <v>0</v>
      </c>
      <c r="V269" s="63">
        <f>IFERROR(VLOOKUP($B269,#REF!,4,FALSE),0)</f>
        <v>0</v>
      </c>
      <c r="W26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6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69" s="63">
        <f>IF(AND(Tableau242[[#This Row],[Paid leave days]]&gt;0,Tableau242[[#This Row],[Prod. days]]&lt;0),MIN(Tableau242[[#This Row],[Paid leave days]],-Tableau242[[#This Row],[Prod. days]]),0)</f>
        <v>0</v>
      </c>
      <c r="Z269" s="63">
        <f>IFERROR(_xlfn.XLOOKUP(Tableau242[[#This Row],[Consultant]],Tableau2[Collaborateur/Nom affiché],Tableau2[Montant imputé],0),0)</f>
        <v>0</v>
      </c>
      <c r="AA269" s="64">
        <f t="shared" si="5"/>
        <v>0</v>
      </c>
      <c r="AB269" s="65"/>
      <c r="AC269" s="66"/>
      <c r="AD269" s="66"/>
      <c r="AE269" s="105"/>
      <c r="AF269" s="90"/>
    </row>
    <row r="270" spans="1:32">
      <c r="A270" s="15">
        <f>Tableau242[[#This Row],[Company number]]+0</f>
        <v>13400</v>
      </c>
      <c r="B270" s="60" t="s">
        <v>670</v>
      </c>
      <c r="C270" s="61" t="s">
        <v>671</v>
      </c>
      <c r="D270" s="61" t="s">
        <v>39</v>
      </c>
      <c r="E270" s="62" t="str">
        <f>IFERROR(VLOOKUP(Tableau242[[#This Row],[Manager ou CDM concerné]],Parametres!B:C,2,FALSE),"")</f>
        <v>Squad F</v>
      </c>
      <c r="F270" s="62" t="str">
        <f>IF(Tableau242[[#This Row],[Consultant]]=Tableau242[[#This Row],[Manager ou CDM concerné]],"Non",IF(IFERROR(VLOOKUP(Tableau242[[#This Row],[Consultant]],Parametres!B:C,2,FALSE),0)=0,"Non","Oui"))</f>
        <v>Non</v>
      </c>
      <c r="G270" s="62">
        <f>IFERROR(VLOOKUP(B270,Tableau5[#All],4,FALSE),"Matricule!")</f>
        <v>17</v>
      </c>
      <c r="H270" s="62" t="str">
        <f>IFERROR(VLOOKUP(Tableau242[[#This Row],[Company number]],#REF!,6,FALSE),"")</f>
        <v/>
      </c>
      <c r="I270" s="62">
        <f>IFERROR(VLOOKUP(B270,Tableau5[#All],5,FALSE),"Matricule!")</f>
        <v>1</v>
      </c>
      <c r="J270" s="62">
        <f>IFERROR(VLOOKUP(B270,Tableau5[#All],6,FALSE),"Matricule!")</f>
        <v>2</v>
      </c>
      <c r="K270" s="62">
        <f>IFERROR(VLOOKUP(B270,Tableau5[#All],7,FALSE),"Matricule!")</f>
        <v>0</v>
      </c>
      <c r="L270" s="62" t="e">
        <f>VLOOKUP(Tableau242[[#This Row],[Company number]],#REF!,25,FALSE)</f>
        <v>#REF!</v>
      </c>
      <c r="M270" s="62" t="str">
        <f>IFERROR(VLOOKUP(Tableau242[[#This Row],[Company number]],#REF!,30,FALSE),"")</f>
        <v/>
      </c>
      <c r="N270" s="62" t="str">
        <f>IFERROR(VLOOKUP(Tableau242[[#This Row],[Company number]],#REF!,31,FALSE),"")</f>
        <v/>
      </c>
      <c r="O270" s="62" t="str">
        <f>IFERROR(VLOOKUP(Tableau242[[#This Row],[Company number]],#REF!,32,FALSE),"")</f>
        <v/>
      </c>
      <c r="P270" s="62">
        <f>IFERROR(VLOOKUP(B270,Tableau3[#All],5,FALSE),"Matricule!")</f>
        <v>17</v>
      </c>
      <c r="Q270" s="62">
        <f>IFERROR(SUM(VLOOKUP(B270,Tableau3[#All],6,FALSE),VLOOKUP(B270,Tableau3[#All],8,FALSE)),"Matricule!")</f>
        <v>1</v>
      </c>
      <c r="R270" s="62">
        <f>IFERROR(VLOOKUP(B270,Tableau3[#All],7,FALSE),"Matricule!")</f>
        <v>2</v>
      </c>
      <c r="S270" s="62">
        <f>IFERROR(Tableau242[[#This Row],[Prod. days WK]]-Tableau242[[#This Row],[Prod PXX]],"Matricule")</f>
        <v>0</v>
      </c>
      <c r="T270" s="62">
        <f>IFERROR(Tableau242[[#This Row],[Non prod. days WK]]-Tableau242[[#This Row],[Improd PXX]],"Matricule")</f>
        <v>0</v>
      </c>
      <c r="U270" s="62">
        <f>IFERROR(Tableau242[[#This Row],[Paid leave days WK]]-Tableau242[[#This Row],[Congé PXX]],"Matricule")</f>
        <v>0</v>
      </c>
      <c r="V270" s="63">
        <f>IFERROR(VLOOKUP($B270,#REF!,4,FALSE),0)</f>
        <v>0</v>
      </c>
      <c r="W27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70" s="63">
        <f>IF(AND(Tableau242[[#This Row],[Paid leave days]]&gt;0,Tableau242[[#This Row],[Prod. days]]&lt;0),MIN(Tableau242[[#This Row],[Paid leave days]],-Tableau242[[#This Row],[Prod. days]]),0)</f>
        <v>0</v>
      </c>
      <c r="Z270" s="63">
        <f>IFERROR(_xlfn.XLOOKUP(Tableau242[[#This Row],[Consultant]],Tableau2[Collaborateur/Nom affiché],Tableau2[Montant imputé],0),0)</f>
        <v>0</v>
      </c>
      <c r="AA270" s="64">
        <f t="shared" si="5"/>
        <v>0</v>
      </c>
      <c r="AB270" s="65"/>
      <c r="AC270" s="74"/>
      <c r="AD270" s="66"/>
      <c r="AE270" s="105"/>
      <c r="AF270" s="90"/>
    </row>
    <row r="271" spans="1:32">
      <c r="A271" s="15">
        <f>Tableau242[[#This Row],[Company number]]+0</f>
        <v>13348</v>
      </c>
      <c r="B271" s="60" t="s">
        <v>672</v>
      </c>
      <c r="C271" s="61" t="s">
        <v>673</v>
      </c>
      <c r="D271" s="61" t="s">
        <v>39</v>
      </c>
      <c r="E271" s="62" t="str">
        <f>IFERROR(VLOOKUP(Tableau242[[#This Row],[Manager ou CDM concerné]],Parametres!B:C,2,FALSE),"")</f>
        <v>Squad F</v>
      </c>
      <c r="F271" s="62" t="str">
        <f>IF(Tableau242[[#This Row],[Consultant]]=Tableau242[[#This Row],[Manager ou CDM concerné]],"Non",IF(IFERROR(VLOOKUP(Tableau242[[#This Row],[Consultant]],Parametres!B:C,2,FALSE),0)=0,"Non","Oui"))</f>
        <v>Non</v>
      </c>
      <c r="G271" s="62">
        <f>IFERROR(VLOOKUP(B271,Tableau5[#All],4,FALSE),"Matricule!")</f>
        <v>17</v>
      </c>
      <c r="H271" s="62" t="str">
        <f>IFERROR(VLOOKUP(Tableau242[[#This Row],[Company number]],#REF!,6,FALSE),"")</f>
        <v/>
      </c>
      <c r="I271" s="62">
        <f>IFERROR(VLOOKUP(B271,Tableau5[#All],5,FALSE),"Matricule!")</f>
        <v>1</v>
      </c>
      <c r="J271" s="62">
        <f>IFERROR(VLOOKUP(B271,Tableau5[#All],6,FALSE),"Matricule!")</f>
        <v>2</v>
      </c>
      <c r="K271" s="62">
        <f>IFERROR(VLOOKUP(B271,Tableau5[#All],7,FALSE),"Matricule!")</f>
        <v>0</v>
      </c>
      <c r="L271" s="62" t="e">
        <f>VLOOKUP(Tableau242[[#This Row],[Company number]],#REF!,25,FALSE)</f>
        <v>#REF!</v>
      </c>
      <c r="M271" s="62" t="str">
        <f>IFERROR(VLOOKUP(Tableau242[[#This Row],[Company number]],#REF!,30,FALSE),"")</f>
        <v/>
      </c>
      <c r="N271" s="62" t="str">
        <f>IFERROR(VLOOKUP(Tableau242[[#This Row],[Company number]],#REF!,31,FALSE),"")</f>
        <v/>
      </c>
      <c r="O271" s="62" t="str">
        <f>IFERROR(VLOOKUP(Tableau242[[#This Row],[Company number]],#REF!,32,FALSE),"")</f>
        <v/>
      </c>
      <c r="P271" s="62">
        <f>IFERROR(VLOOKUP(B271,Tableau3[#All],5,FALSE),"Matricule!")</f>
        <v>17</v>
      </c>
      <c r="Q271" s="62">
        <f>IFERROR(SUM(VLOOKUP(B271,Tableau3[#All],6,FALSE),VLOOKUP(B271,Tableau3[#All],8,FALSE)),"Matricule!")</f>
        <v>1</v>
      </c>
      <c r="R271" s="62">
        <f>IFERROR(VLOOKUP(B271,Tableau3[#All],7,FALSE),"Matricule!")</f>
        <v>2</v>
      </c>
      <c r="S271" s="62">
        <f>IFERROR(Tableau242[[#This Row],[Prod. days WK]]-Tableau242[[#This Row],[Prod PXX]],"Matricule")</f>
        <v>0</v>
      </c>
      <c r="T271" s="62">
        <f>IFERROR(Tableau242[[#This Row],[Non prod. days WK]]-Tableau242[[#This Row],[Improd PXX]],"Matricule")</f>
        <v>0</v>
      </c>
      <c r="U271" s="62">
        <f>IFERROR(Tableau242[[#This Row],[Paid leave days WK]]-Tableau242[[#This Row],[Congé PXX]],"Matricule")</f>
        <v>0</v>
      </c>
      <c r="V271" s="63">
        <f>IFERROR(VLOOKUP($B271,#REF!,4,FALSE),0)</f>
        <v>0</v>
      </c>
      <c r="W27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71" s="63">
        <f>IF(AND(Tableau242[[#This Row],[Paid leave days]]&gt;0,Tableau242[[#This Row],[Prod. days]]&lt;0),MIN(Tableau242[[#This Row],[Paid leave days]],-Tableau242[[#This Row],[Prod. days]]),0)</f>
        <v>0</v>
      </c>
      <c r="Z271" s="63">
        <f>IFERROR(_xlfn.XLOOKUP(Tableau242[[#This Row],[Consultant]],Tableau2[Collaborateur/Nom affiché],Tableau2[Montant imputé],0),0)</f>
        <v>0</v>
      </c>
      <c r="AA271" s="64">
        <f t="shared" si="5"/>
        <v>0</v>
      </c>
      <c r="AB271" s="65"/>
      <c r="AC271" s="66"/>
      <c r="AD271" s="66"/>
      <c r="AE271" s="105"/>
      <c r="AF271" s="90"/>
    </row>
    <row r="272" spans="1:32" ht="29.1">
      <c r="A272" s="15">
        <f>Tableau242[[#This Row],[Company number]]+0</f>
        <v>21035</v>
      </c>
      <c r="B272" s="60" t="s">
        <v>674</v>
      </c>
      <c r="C272" s="61" t="s">
        <v>675</v>
      </c>
      <c r="D272" s="61" t="s">
        <v>41</v>
      </c>
      <c r="E272" s="62" t="str">
        <f>IFERROR(VLOOKUP(Tableau242[[#This Row],[Manager ou CDM concerné]],Parametres!B:C,2,FALSE),"")</f>
        <v>Squad B</v>
      </c>
      <c r="F272" s="62" t="str">
        <f>IF(Tableau242[[#This Row],[Consultant]]=Tableau242[[#This Row],[Manager ou CDM concerné]],"Non",IF(IFERROR(VLOOKUP(Tableau242[[#This Row],[Consultant]],Parametres!B:C,2,FALSE),0)=0,"Non","Oui"))</f>
        <v>Non</v>
      </c>
      <c r="G272" s="62">
        <f>IFERROR(VLOOKUP(B272,Tableau5[#All],4,FALSE),"Matricule!")</f>
        <v>18</v>
      </c>
      <c r="H272" s="62" t="str">
        <f>IFERROR(VLOOKUP(Tableau242[[#This Row],[Company number]],#REF!,6,FALSE),"")</f>
        <v/>
      </c>
      <c r="I272" s="62">
        <f>IFERROR(VLOOKUP(B272,Tableau5[#All],5,FALSE),"Matricule!")</f>
        <v>2</v>
      </c>
      <c r="J272" s="62">
        <f>IFERROR(VLOOKUP(B272,Tableau5[#All],6,FALSE),"Matricule!")</f>
        <v>0</v>
      </c>
      <c r="K272" s="62">
        <f>IFERROR(VLOOKUP(B272,Tableau5[#All],7,FALSE),"Matricule!")</f>
        <v>0</v>
      </c>
      <c r="L272" s="62" t="e">
        <f>VLOOKUP(Tableau242[[#This Row],[Company number]],#REF!,25,FALSE)</f>
        <v>#REF!</v>
      </c>
      <c r="M272" s="62" t="str">
        <f>IFERROR(VLOOKUP(Tableau242[[#This Row],[Company number]],#REF!,30,FALSE),"")</f>
        <v/>
      </c>
      <c r="N272" s="62" t="str">
        <f>IFERROR(VLOOKUP(Tableau242[[#This Row],[Company number]],#REF!,31,FALSE),"")</f>
        <v/>
      </c>
      <c r="O272" s="62" t="str">
        <f>IFERROR(VLOOKUP(Tableau242[[#This Row],[Company number]],#REF!,32,FALSE),"")</f>
        <v/>
      </c>
      <c r="P272" s="62">
        <f>IFERROR(VLOOKUP(B272,Tableau3[#All],5,FALSE),"Matricule!")</f>
        <v>20</v>
      </c>
      <c r="Q272" s="62">
        <f>IFERROR(SUM(VLOOKUP(B272,Tableau3[#All],6,FALSE),VLOOKUP(B272,Tableau3[#All],8,FALSE)),"Matricule!")</f>
        <v>0</v>
      </c>
      <c r="R272" s="62">
        <f>IFERROR(VLOOKUP(B272,Tableau3[#All],7,FALSE),"Matricule!")</f>
        <v>0</v>
      </c>
      <c r="S272" s="62">
        <f>IFERROR(Tableau242[[#This Row],[Prod. days WK]]-Tableau242[[#This Row],[Prod PXX]],"Matricule")</f>
        <v>-2</v>
      </c>
      <c r="T272" s="62">
        <f>IFERROR(Tableau242[[#This Row],[Non prod. days WK]]-Tableau242[[#This Row],[Improd PXX]],"Matricule")</f>
        <v>2</v>
      </c>
      <c r="U272" s="62">
        <f>IFERROR(Tableau242[[#This Row],[Paid leave days WK]]-Tableau242[[#This Row],[Congé PXX]],"Matricule")</f>
        <v>0</v>
      </c>
      <c r="V272" s="63">
        <f>IFERROR(VLOOKUP($B272,#REF!,4,FALSE),0)</f>
        <v>0</v>
      </c>
      <c r="W27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72" s="63">
        <f>IF(AND(Tableau242[[#This Row],[Paid leave days]]&gt;0,Tableau242[[#This Row],[Prod. days]]&lt;0),MIN(Tableau242[[#This Row],[Paid leave days]],-Tableau242[[#This Row],[Prod. days]]),0)</f>
        <v>0</v>
      </c>
      <c r="Z272" s="63">
        <f>IFERROR(_xlfn.XLOOKUP(Tableau242[[#This Row],[Consultant]],Tableau2[Collaborateur/Nom affiché],Tableau2[Montant imputé],0),0)</f>
        <v>0</v>
      </c>
      <c r="AA272" s="64">
        <f t="shared" si="5"/>
        <v>-2</v>
      </c>
      <c r="AB272" s="65" t="s">
        <v>154</v>
      </c>
      <c r="AC272" s="66"/>
      <c r="AD272" s="66"/>
      <c r="AE272" s="105"/>
      <c r="AF272" s="90"/>
    </row>
    <row r="273" spans="1:32">
      <c r="A273" s="15">
        <f>Tableau242[[#This Row],[Company number]]+0</f>
        <v>22226</v>
      </c>
      <c r="B273" s="60" t="s">
        <v>676</v>
      </c>
      <c r="C273" s="61" t="s">
        <v>677</v>
      </c>
      <c r="D273" s="61" t="s">
        <v>637</v>
      </c>
      <c r="E273" s="62" t="str">
        <f>IFERROR(VLOOKUP(Tableau242[[#This Row],[Manager ou CDM concerné]],Parametres!B:C,2,FALSE),"")</f>
        <v>Squad F</v>
      </c>
      <c r="F273" s="62" t="str">
        <f>IF(Tableau242[[#This Row],[Consultant]]=Tableau242[[#This Row],[Manager ou CDM concerné]],"Non",IF(IFERROR(VLOOKUP(Tableau242[[#This Row],[Consultant]],Parametres!B:C,2,FALSE),0)=0,"Non","Oui"))</f>
        <v>Non</v>
      </c>
      <c r="G273" s="62">
        <f>IFERROR(VLOOKUP(B273,Tableau5[#All],4,FALSE),"Matricule!")</f>
        <v>20</v>
      </c>
      <c r="H273" s="62" t="str">
        <f>IFERROR(VLOOKUP(Tableau242[[#This Row],[Company number]],#REF!,6,FALSE),"")</f>
        <v/>
      </c>
      <c r="I273" s="62">
        <f>IFERROR(VLOOKUP(B273,Tableau5[#All],5,FALSE),"Matricule!")</f>
        <v>0</v>
      </c>
      <c r="J273" s="62">
        <f>IFERROR(VLOOKUP(B273,Tableau5[#All],6,FALSE),"Matricule!")</f>
        <v>0</v>
      </c>
      <c r="K273" s="62">
        <f>IFERROR(VLOOKUP(B273,Tableau5[#All],7,FALSE),"Matricule!")</f>
        <v>0</v>
      </c>
      <c r="L273" s="62" t="e">
        <f>VLOOKUP(Tableau242[[#This Row],[Company number]],#REF!,25,FALSE)</f>
        <v>#REF!</v>
      </c>
      <c r="M273" s="62" t="str">
        <f>IFERROR(VLOOKUP(Tableau242[[#This Row],[Company number]],#REF!,30,FALSE),"")</f>
        <v/>
      </c>
      <c r="N273" s="62" t="str">
        <f>IFERROR(VLOOKUP(Tableau242[[#This Row],[Company number]],#REF!,31,FALSE),"")</f>
        <v/>
      </c>
      <c r="O273" s="62" t="str">
        <f>IFERROR(VLOOKUP(Tableau242[[#This Row],[Company number]],#REF!,32,FALSE),"")</f>
        <v/>
      </c>
      <c r="P273" s="62">
        <f>IFERROR(VLOOKUP(B273,Tableau3[#All],5,FALSE),"Matricule!")</f>
        <v>20</v>
      </c>
      <c r="Q273" s="62">
        <f>IFERROR(SUM(VLOOKUP(B273,Tableau3[#All],6,FALSE),VLOOKUP(B273,Tableau3[#All],8,FALSE)),"Matricule!")</f>
        <v>0</v>
      </c>
      <c r="R273" s="62">
        <f>IFERROR(VLOOKUP(B273,Tableau3[#All],7,FALSE),"Matricule!")</f>
        <v>0</v>
      </c>
      <c r="S273" s="62">
        <f>IFERROR(Tableau242[[#This Row],[Prod. days WK]]-Tableau242[[#This Row],[Prod PXX]],"Matricule")</f>
        <v>0</v>
      </c>
      <c r="T273" s="62">
        <f>IFERROR(Tableau242[[#This Row],[Non prod. days WK]]-Tableau242[[#This Row],[Improd PXX]],"Matricule")</f>
        <v>0</v>
      </c>
      <c r="U273" s="62">
        <f>IFERROR(Tableau242[[#This Row],[Paid leave days WK]]-Tableau242[[#This Row],[Congé PXX]],"Matricule")</f>
        <v>0</v>
      </c>
      <c r="V273" s="63">
        <f>IFERROR(VLOOKUP($B273,#REF!,4,FALSE),0)</f>
        <v>0</v>
      </c>
      <c r="W27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73" s="63">
        <f>IF(AND(Tableau242[[#This Row],[Paid leave days]]&gt;0,Tableau242[[#This Row],[Prod. days]]&lt;0),MIN(Tableau242[[#This Row],[Paid leave days]],-Tableau242[[#This Row],[Prod. days]]),0)</f>
        <v>0</v>
      </c>
      <c r="Z273" s="63">
        <f>IFERROR(_xlfn.XLOOKUP(Tableau242[[#This Row],[Consultant]],Tableau2[Collaborateur/Nom affiché],Tableau2[Montant imputé],0),0)</f>
        <v>0</v>
      </c>
      <c r="AA273" s="64">
        <f t="shared" si="5"/>
        <v>0</v>
      </c>
      <c r="AB273" s="65"/>
      <c r="AC273" s="66"/>
      <c r="AD273" s="66"/>
      <c r="AE273" s="105"/>
      <c r="AF273" s="90"/>
    </row>
    <row r="274" spans="1:32">
      <c r="A274" s="15">
        <f>Tableau242[[#This Row],[Company number]]+0</f>
        <v>22365</v>
      </c>
      <c r="B274" s="60" t="s">
        <v>678</v>
      </c>
      <c r="C274" s="61" t="s">
        <v>679</v>
      </c>
      <c r="D274" s="61" t="s">
        <v>637</v>
      </c>
      <c r="E274" s="62" t="str">
        <f>IFERROR(VLOOKUP(Tableau242[[#This Row],[Manager ou CDM concerné]],Parametres!B:C,2,FALSE),"")</f>
        <v>Squad F</v>
      </c>
      <c r="F274" s="62" t="str">
        <f>IF(Tableau242[[#This Row],[Consultant]]=Tableau242[[#This Row],[Manager ou CDM concerné]],"Non",IF(IFERROR(VLOOKUP(Tableau242[[#This Row],[Consultant]],Parametres!B:C,2,FALSE),0)=0,"Non","Oui"))</f>
        <v>Non</v>
      </c>
      <c r="G274" s="62">
        <f>IFERROR(VLOOKUP(B274,Tableau5[#All],4,FALSE),"Matricule!")</f>
        <v>0</v>
      </c>
      <c r="H274" s="62" t="str">
        <f>IFERROR(VLOOKUP(Tableau242[[#This Row],[Company number]],#REF!,6,FALSE),"")</f>
        <v/>
      </c>
      <c r="I274" s="62">
        <f>IFERROR(VLOOKUP(B274,Tableau5[#All],5,FALSE),"Matricule!")</f>
        <v>19.5</v>
      </c>
      <c r="J274" s="62">
        <f>IFERROR(VLOOKUP(B274,Tableau5[#All],6,FALSE),"Matricule!")</f>
        <v>0.5</v>
      </c>
      <c r="K274" s="62">
        <f>IFERROR(VLOOKUP(B274,Tableau5[#All],7,FALSE),"Matricule!")</f>
        <v>0</v>
      </c>
      <c r="L274" s="62" t="e">
        <f>VLOOKUP(Tableau242[[#This Row],[Company number]],#REF!,25,FALSE)</f>
        <v>#REF!</v>
      </c>
      <c r="M274" s="62" t="str">
        <f>IFERROR(VLOOKUP(Tableau242[[#This Row],[Company number]],#REF!,30,FALSE),"")</f>
        <v/>
      </c>
      <c r="N274" s="62" t="str">
        <f>IFERROR(VLOOKUP(Tableau242[[#This Row],[Company number]],#REF!,31,FALSE),"")</f>
        <v/>
      </c>
      <c r="O274" s="62" t="str">
        <f>IFERROR(VLOOKUP(Tableau242[[#This Row],[Company number]],#REF!,32,FALSE),"")</f>
        <v/>
      </c>
      <c r="P274" s="16">
        <f>IFERROR(VLOOKUP(B274,Tableau3[#All],5,FALSE),"Matricule!")</f>
        <v>0</v>
      </c>
      <c r="Q274" s="62">
        <f>IFERROR(SUM(VLOOKUP(B274,Tableau3[#All],6,FALSE),VLOOKUP(B274,Tableau3[#All],8,FALSE)),"Matricule!")</f>
        <v>19.5</v>
      </c>
      <c r="R274" s="62">
        <f>IFERROR(VLOOKUP(B274,Tableau3[#All],7,FALSE),"Matricule!")</f>
        <v>0.5</v>
      </c>
      <c r="S274" s="62">
        <f>IFERROR(Tableau242[[#This Row],[Prod. days WK]]-Tableau242[[#This Row],[Prod PXX]],"Matricule")</f>
        <v>0</v>
      </c>
      <c r="T274" s="62">
        <f>IFERROR(Tableau242[[#This Row],[Non prod. days WK]]-Tableau242[[#This Row],[Improd PXX]],"Matricule")</f>
        <v>0</v>
      </c>
      <c r="U274" s="62">
        <f>IFERROR(Tableau242[[#This Row],[Paid leave days WK]]-Tableau242[[#This Row],[Congé PXX]],"Matricule")</f>
        <v>0</v>
      </c>
      <c r="V274" s="63">
        <f>IFERROR(VLOOKUP($B274,#REF!,4,FALSE),0)</f>
        <v>0</v>
      </c>
      <c r="W27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74" s="63">
        <f>IF(AND(Tableau242[[#This Row],[Paid leave days]]&gt;0,Tableau242[[#This Row],[Prod. days]]&lt;0),MIN(Tableau242[[#This Row],[Paid leave days]],-Tableau242[[#This Row],[Prod. days]]),0)</f>
        <v>0</v>
      </c>
      <c r="Z274" s="63">
        <f>IFERROR(_xlfn.XLOOKUP(Tableau242[[#This Row],[Consultant]],Tableau2[Collaborateur/Nom affiché],Tableau2[Montant imputé],0),0)</f>
        <v>0</v>
      </c>
      <c r="AA274" s="64">
        <f t="shared" si="5"/>
        <v>0</v>
      </c>
      <c r="AB274" s="65"/>
      <c r="AC274" s="66"/>
      <c r="AD274" s="66"/>
      <c r="AE274" s="105"/>
      <c r="AF274" s="90"/>
    </row>
    <row r="275" spans="1:32">
      <c r="A275" s="15">
        <f>Tableau242[[#This Row],[Company number]]+0</f>
        <v>21264</v>
      </c>
      <c r="B275" s="60" t="s">
        <v>680</v>
      </c>
      <c r="C275" s="61" t="s">
        <v>681</v>
      </c>
      <c r="D275" s="61" t="s">
        <v>72</v>
      </c>
      <c r="E275" s="62" t="str">
        <f>IFERROR(VLOOKUP(Tableau242[[#This Row],[Manager ou CDM concerné]],Parametres!B:C,2,FALSE),"")</f>
        <v>Squad F</v>
      </c>
      <c r="F275" s="62" t="str">
        <f>IF(Tableau242[[#This Row],[Consultant]]=Tableau242[[#This Row],[Manager ou CDM concerné]],"Non",IF(IFERROR(VLOOKUP(Tableau242[[#This Row],[Consultant]],Parametres!B:C,2,FALSE),0)=0,"Non","Oui"))</f>
        <v>Non</v>
      </c>
      <c r="G275" s="62">
        <f>IFERROR(VLOOKUP(B275,Tableau5[#All],4,FALSE),"Matricule!")</f>
        <v>0</v>
      </c>
      <c r="H275" s="62" t="str">
        <f>IFERROR(VLOOKUP(Tableau242[[#This Row],[Company number]],#REF!,6,FALSE),"")</f>
        <v/>
      </c>
      <c r="I275" s="62">
        <f>IFERROR(VLOOKUP(B275,Tableau5[#All],5,FALSE),"Matricule!")</f>
        <v>20</v>
      </c>
      <c r="J275" s="62">
        <f>IFERROR(VLOOKUP(B275,Tableau5[#All],6,FALSE),"Matricule!")</f>
        <v>0</v>
      </c>
      <c r="K275" s="62">
        <f>IFERROR(VLOOKUP(B275,Tableau5[#All],7,FALSE),"Matricule!")</f>
        <v>0</v>
      </c>
      <c r="L275" s="62" t="e">
        <f>VLOOKUP(Tableau242[[#This Row],[Company number]],#REF!,25,FALSE)</f>
        <v>#REF!</v>
      </c>
      <c r="M275" s="62" t="str">
        <f>IFERROR(VLOOKUP(Tableau242[[#This Row],[Company number]],#REF!,30,FALSE),"")</f>
        <v/>
      </c>
      <c r="N275" s="62" t="str">
        <f>IFERROR(VLOOKUP(Tableau242[[#This Row],[Company number]],#REF!,31,FALSE),"")</f>
        <v/>
      </c>
      <c r="O275" s="62" t="str">
        <f>IFERROR(VLOOKUP(Tableau242[[#This Row],[Company number]],#REF!,32,FALSE),"")</f>
        <v/>
      </c>
      <c r="P275" s="62">
        <f>IFERROR(VLOOKUP(B275,Tableau3[#All],5,FALSE),"Matricule!")</f>
        <v>0</v>
      </c>
      <c r="Q275" s="62">
        <f>IFERROR(SUM(VLOOKUP(B275,Tableau3[#All],6,FALSE),VLOOKUP(B275,Tableau3[#All],8,FALSE)),"Matricule!")</f>
        <v>20</v>
      </c>
      <c r="R275" s="62">
        <f>IFERROR(VLOOKUP(B275,Tableau3[#All],7,FALSE),"Matricule!")</f>
        <v>0</v>
      </c>
      <c r="S275" s="62">
        <f>IFERROR(Tableau242[[#This Row],[Prod. days WK]]-Tableau242[[#This Row],[Prod PXX]],"Matricule")</f>
        <v>0</v>
      </c>
      <c r="T275" s="62">
        <f>IFERROR(Tableau242[[#This Row],[Non prod. days WK]]-Tableau242[[#This Row],[Improd PXX]],"Matricule")</f>
        <v>0</v>
      </c>
      <c r="U275" s="62">
        <f>IFERROR(Tableau242[[#This Row],[Paid leave days WK]]-Tableau242[[#This Row],[Congé PXX]],"Matricule")</f>
        <v>0</v>
      </c>
      <c r="V275" s="63">
        <f>IFERROR(VLOOKUP($B275,#REF!,4,FALSE),0)</f>
        <v>0</v>
      </c>
      <c r="W27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75" s="63">
        <f>IF(AND(Tableau242[[#This Row],[Paid leave days]]&gt;0,Tableau242[[#This Row],[Prod. days]]&lt;0),MIN(Tableau242[[#This Row],[Paid leave days]],-Tableau242[[#This Row],[Prod. days]]),0)</f>
        <v>0</v>
      </c>
      <c r="Z275" s="63">
        <f>IFERROR(_xlfn.XLOOKUP(Tableau242[[#This Row],[Consultant]],Tableau2[Collaborateur/Nom affiché],Tableau2[Montant imputé],0),0)</f>
        <v>0</v>
      </c>
      <c r="AA275" s="64">
        <f t="shared" si="5"/>
        <v>0</v>
      </c>
      <c r="AB275" s="65"/>
      <c r="AC275" s="66"/>
      <c r="AD275" s="66"/>
      <c r="AE275" s="105"/>
      <c r="AF275" s="90"/>
    </row>
    <row r="276" spans="1:32">
      <c r="A276" s="15">
        <f>Tableau242[[#This Row],[Company number]]+0</f>
        <v>21024</v>
      </c>
      <c r="B276" s="60" t="s">
        <v>682</v>
      </c>
      <c r="C276" s="61" t="s">
        <v>683</v>
      </c>
      <c r="D276" s="61" t="s">
        <v>72</v>
      </c>
      <c r="E276" s="62" t="str">
        <f>IFERROR(VLOOKUP(Tableau242[[#This Row],[Manager ou CDM concerné]],Parametres!B:C,2,FALSE),"")</f>
        <v>Squad F</v>
      </c>
      <c r="F276" s="62" t="str">
        <f>IF(Tableau242[[#This Row],[Consultant]]=Tableau242[[#This Row],[Manager ou CDM concerné]],"Non",IF(IFERROR(VLOOKUP(Tableau242[[#This Row],[Consultant]],Parametres!B:C,2,FALSE),0)=0,"Non","Oui"))</f>
        <v>Non</v>
      </c>
      <c r="G276" s="62">
        <f>IFERROR(VLOOKUP(B276,Tableau5[#All],4,FALSE),"Matricule!")</f>
        <v>17</v>
      </c>
      <c r="H276" s="62" t="str">
        <f>IFERROR(VLOOKUP(Tableau242[[#This Row],[Company number]],#REF!,6,FALSE),"")</f>
        <v/>
      </c>
      <c r="I276" s="62">
        <f>IFERROR(VLOOKUP(B276,Tableau5[#All],5,FALSE),"Matricule!")</f>
        <v>2</v>
      </c>
      <c r="J276" s="62">
        <f>IFERROR(VLOOKUP(B276,Tableau5[#All],6,FALSE),"Matricule!")</f>
        <v>1</v>
      </c>
      <c r="K276" s="62">
        <f>IFERROR(VLOOKUP(B276,Tableau5[#All],7,FALSE),"Matricule!")</f>
        <v>0</v>
      </c>
      <c r="L276" s="62" t="e">
        <f>VLOOKUP(Tableau242[[#This Row],[Company number]],#REF!,25,FALSE)</f>
        <v>#REF!</v>
      </c>
      <c r="M276" s="62" t="str">
        <f>IFERROR(VLOOKUP(Tableau242[[#This Row],[Company number]],#REF!,30,FALSE),"")</f>
        <v/>
      </c>
      <c r="N276" s="62" t="str">
        <f>IFERROR(VLOOKUP(Tableau242[[#This Row],[Company number]],#REF!,31,FALSE),"")</f>
        <v/>
      </c>
      <c r="O276" s="62" t="str">
        <f>IFERROR(VLOOKUP(Tableau242[[#This Row],[Company number]],#REF!,32,FALSE),"")</f>
        <v/>
      </c>
      <c r="P276" s="62">
        <f>IFERROR(VLOOKUP(B276,Tableau3[#All],5,FALSE),"Matricule!")</f>
        <v>17</v>
      </c>
      <c r="Q276" s="62">
        <f>IFERROR(SUM(VLOOKUP(B276,Tableau3[#All],6,FALSE),VLOOKUP(B276,Tableau3[#All],8,FALSE)),"Matricule!")</f>
        <v>2</v>
      </c>
      <c r="R276" s="62">
        <f>IFERROR(VLOOKUP(B276,Tableau3[#All],7,FALSE),"Matricule!")</f>
        <v>1</v>
      </c>
      <c r="S276" s="62">
        <f>IFERROR(Tableau242[[#This Row],[Prod. days WK]]-Tableau242[[#This Row],[Prod PXX]],"Matricule")</f>
        <v>0</v>
      </c>
      <c r="T276" s="62">
        <f>IFERROR(Tableau242[[#This Row],[Non prod. days WK]]-Tableau242[[#This Row],[Improd PXX]],"Matricule")</f>
        <v>0</v>
      </c>
      <c r="U276" s="62">
        <f>IFERROR(Tableau242[[#This Row],[Paid leave days WK]]-Tableau242[[#This Row],[Congé PXX]],"Matricule")</f>
        <v>0</v>
      </c>
      <c r="V276" s="63">
        <f>IFERROR(VLOOKUP($B276,#REF!,4,FALSE),0)</f>
        <v>0</v>
      </c>
      <c r="W27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76" s="63">
        <f>IF(AND(Tableau242[[#This Row],[Paid leave days]]&gt;0,Tableau242[[#This Row],[Prod. days]]&lt;0),MIN(Tableau242[[#This Row],[Paid leave days]],-Tableau242[[#This Row],[Prod. days]]),0)</f>
        <v>0</v>
      </c>
      <c r="Z276" s="63">
        <f>IFERROR(_xlfn.XLOOKUP(Tableau242[[#This Row],[Consultant]],Tableau2[Collaborateur/Nom affiché],Tableau2[Montant imputé],0),0)</f>
        <v>0</v>
      </c>
      <c r="AA276" s="64">
        <f t="shared" si="5"/>
        <v>0</v>
      </c>
      <c r="AB276" s="65"/>
      <c r="AC276" s="66"/>
      <c r="AD276" s="66"/>
      <c r="AE276" s="105"/>
      <c r="AF276" s="90"/>
    </row>
    <row r="277" spans="1:32">
      <c r="A277" s="15">
        <f>Tableau242[[#This Row],[Company number]]+0</f>
        <v>20833</v>
      </c>
      <c r="B277" s="60" t="s">
        <v>684</v>
      </c>
      <c r="C277" s="61" t="s">
        <v>685</v>
      </c>
      <c r="D277" s="61" t="s">
        <v>72</v>
      </c>
      <c r="E277" s="62" t="str">
        <f>IFERROR(VLOOKUP(Tableau242[[#This Row],[Manager ou CDM concerné]],Parametres!B:C,2,FALSE),"")</f>
        <v>Squad F</v>
      </c>
      <c r="F277" s="62" t="str">
        <f>IF(Tableau242[[#This Row],[Consultant]]=Tableau242[[#This Row],[Manager ou CDM concerné]],"Non",IF(IFERROR(VLOOKUP(Tableau242[[#This Row],[Consultant]],Parametres!B:C,2,FALSE),0)=0,"Non","Oui"))</f>
        <v>Non</v>
      </c>
      <c r="G277" s="62">
        <f>IFERROR(VLOOKUP(B277,Tableau5[#All],4,FALSE),"Matricule!")</f>
        <v>0</v>
      </c>
      <c r="H277" s="62" t="str">
        <f>IFERROR(VLOOKUP(Tableau242[[#This Row],[Company number]],#REF!,6,FALSE),"")</f>
        <v/>
      </c>
      <c r="I277" s="62">
        <f>IFERROR(VLOOKUP(B277,Tableau5[#All],5,FALSE),"Matricule!")</f>
        <v>20</v>
      </c>
      <c r="J277" s="62">
        <f>IFERROR(VLOOKUP(B277,Tableau5[#All],6,FALSE),"Matricule!")</f>
        <v>0</v>
      </c>
      <c r="K277" s="62">
        <f>IFERROR(VLOOKUP(B277,Tableau5[#All],7,FALSE),"Matricule!")</f>
        <v>0</v>
      </c>
      <c r="L277" s="62" t="e">
        <f>VLOOKUP(Tableau242[[#This Row],[Company number]],#REF!,25,FALSE)</f>
        <v>#REF!</v>
      </c>
      <c r="M277" s="62" t="str">
        <f>IFERROR(VLOOKUP(Tableau242[[#This Row],[Company number]],#REF!,30,FALSE),"")</f>
        <v/>
      </c>
      <c r="N277" s="62" t="str">
        <f>IFERROR(VLOOKUP(Tableau242[[#This Row],[Company number]],#REF!,31,FALSE),"")</f>
        <v/>
      </c>
      <c r="O277" s="62" t="str">
        <f>IFERROR(VLOOKUP(Tableau242[[#This Row],[Company number]],#REF!,32,FALSE),"")</f>
        <v/>
      </c>
      <c r="P277" s="62">
        <f>IFERROR(VLOOKUP(B277,Tableau3[#All],5,FALSE),"Matricule!")</f>
        <v>0</v>
      </c>
      <c r="Q277" s="62">
        <f>IFERROR(SUM(VLOOKUP(B277,Tableau3[#All],6,FALSE),VLOOKUP(B277,Tableau3[#All],8,FALSE)),"Matricule!")</f>
        <v>20</v>
      </c>
      <c r="R277" s="62">
        <f>IFERROR(VLOOKUP(B277,Tableau3[#All],7,FALSE),"Matricule!")</f>
        <v>0</v>
      </c>
      <c r="S277" s="62">
        <f>IFERROR(Tableau242[[#This Row],[Prod. days WK]]-Tableau242[[#This Row],[Prod PXX]],"Matricule")</f>
        <v>0</v>
      </c>
      <c r="T277" s="62">
        <f>IFERROR(Tableau242[[#This Row],[Non prod. days WK]]-Tableau242[[#This Row],[Improd PXX]],"Matricule")</f>
        <v>0</v>
      </c>
      <c r="U277" s="62">
        <f>IFERROR(Tableau242[[#This Row],[Paid leave days WK]]-Tableau242[[#This Row],[Congé PXX]],"Matricule")</f>
        <v>0</v>
      </c>
      <c r="V277" s="63">
        <f>IFERROR(VLOOKUP($B277,#REF!,4,FALSE),0)</f>
        <v>0</v>
      </c>
      <c r="W27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77" s="63">
        <f>IF(AND(Tableau242[[#This Row],[Paid leave days]]&gt;0,Tableau242[[#This Row],[Prod. days]]&lt;0),MIN(Tableau242[[#This Row],[Paid leave days]],-Tableau242[[#This Row],[Prod. days]]),0)</f>
        <v>0</v>
      </c>
      <c r="Z277" s="63">
        <f>IFERROR(_xlfn.XLOOKUP(Tableau242[[#This Row],[Consultant]],Tableau2[Collaborateur/Nom affiché],Tableau2[Montant imputé],0),0)</f>
        <v>0</v>
      </c>
      <c r="AA277" s="64">
        <f t="shared" si="5"/>
        <v>0</v>
      </c>
      <c r="AB277" s="65"/>
      <c r="AC277" s="66"/>
      <c r="AD277" s="66"/>
      <c r="AE277" s="105"/>
      <c r="AF277" s="90"/>
    </row>
    <row r="278" spans="1:32">
      <c r="A278" s="15">
        <f>Tableau242[[#This Row],[Company number]]+0</f>
        <v>3695</v>
      </c>
      <c r="B278" s="60" t="s">
        <v>686</v>
      </c>
      <c r="C278" s="61" t="s">
        <v>687</v>
      </c>
      <c r="D278" s="61" t="s">
        <v>46</v>
      </c>
      <c r="E278" s="62" t="str">
        <f>IFERROR(VLOOKUP(Tableau242[[#This Row],[Manager ou CDM concerné]],Parametres!B:C,2,FALSE),"")</f>
        <v>Squad C</v>
      </c>
      <c r="F278" s="62" t="str">
        <f>IF(Tableau242[[#This Row],[Consultant]]=Tableau242[[#This Row],[Manager ou CDM concerné]],"Non",IF(IFERROR(VLOOKUP(Tableau242[[#This Row],[Consultant]],Parametres!B:C,2,FALSE),0)=0,"Non","Oui"))</f>
        <v>Non</v>
      </c>
      <c r="G278" s="62">
        <f>IFERROR(VLOOKUP(B278,Tableau5[#All],4,FALSE),"Matricule!")</f>
        <v>20</v>
      </c>
      <c r="H278" s="62" t="str">
        <f>IFERROR(VLOOKUP(Tableau242[[#This Row],[Company number]],#REF!,6,FALSE),"")</f>
        <v/>
      </c>
      <c r="I278" s="62">
        <f>IFERROR(VLOOKUP(B278,Tableau5[#All],5,FALSE),"Matricule!")</f>
        <v>0</v>
      </c>
      <c r="J278" s="62">
        <f>IFERROR(VLOOKUP(B278,Tableau5[#All],6,FALSE),"Matricule!")</f>
        <v>0</v>
      </c>
      <c r="K278" s="62">
        <f>IFERROR(VLOOKUP(B278,Tableau5[#All],7,FALSE),"Matricule!")</f>
        <v>0</v>
      </c>
      <c r="L278" s="62" t="e">
        <f>VLOOKUP(Tableau242[[#This Row],[Company number]],#REF!,25,FALSE)</f>
        <v>#REF!</v>
      </c>
      <c r="M278" s="62" t="str">
        <f>IFERROR(VLOOKUP(Tableau242[[#This Row],[Company number]],#REF!,30,FALSE),"")</f>
        <v/>
      </c>
      <c r="N278" s="62" t="str">
        <f>IFERROR(VLOOKUP(Tableau242[[#This Row],[Company number]],#REF!,31,FALSE),"")</f>
        <v/>
      </c>
      <c r="O278" s="62" t="str">
        <f>IFERROR(VLOOKUP(Tableau242[[#This Row],[Company number]],#REF!,32,FALSE),"")</f>
        <v/>
      </c>
      <c r="P278" s="62">
        <f>IFERROR(VLOOKUP(B278,Tableau3[#All],5,FALSE),"Matricule!")</f>
        <v>20</v>
      </c>
      <c r="Q278" s="62">
        <f>IFERROR(SUM(VLOOKUP(B278,Tableau3[#All],6,FALSE),VLOOKUP(B278,Tableau3[#All],8,FALSE)),"Matricule!")</f>
        <v>0</v>
      </c>
      <c r="R278" s="62">
        <f>IFERROR(VLOOKUP(B278,Tableau3[#All],7,FALSE),"Matricule!")</f>
        <v>0</v>
      </c>
      <c r="S278" s="62">
        <f>IFERROR(Tableau242[[#This Row],[Prod. days WK]]-Tableau242[[#This Row],[Prod PXX]],"Matricule")</f>
        <v>0</v>
      </c>
      <c r="T278" s="62">
        <f>IFERROR(Tableau242[[#This Row],[Non prod. days WK]]-Tableau242[[#This Row],[Improd PXX]],"Matricule")</f>
        <v>0</v>
      </c>
      <c r="U278" s="62">
        <f>IFERROR(Tableau242[[#This Row],[Paid leave days WK]]-Tableau242[[#This Row],[Congé PXX]],"Matricule")</f>
        <v>0</v>
      </c>
      <c r="V278" s="63">
        <f>IFERROR(VLOOKUP($B278,#REF!,4,FALSE),0)</f>
        <v>0</v>
      </c>
      <c r="W27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78" s="63">
        <f>IF(AND(Tableau242[[#This Row],[Paid leave days]]&gt;0,Tableau242[[#This Row],[Prod. days]]&lt;0),MIN(Tableau242[[#This Row],[Paid leave days]],-Tableau242[[#This Row],[Prod. days]]),0)</f>
        <v>0</v>
      </c>
      <c r="Z278" s="63">
        <f>IFERROR(_xlfn.XLOOKUP(Tableau242[[#This Row],[Consultant]],Tableau2[Collaborateur/Nom affiché],Tableau2[Montant imputé],0),0)</f>
        <v>0</v>
      </c>
      <c r="AA278" s="64">
        <f t="shared" si="5"/>
        <v>0</v>
      </c>
      <c r="AB278" s="65"/>
      <c r="AC278" s="66"/>
      <c r="AD278" s="66"/>
      <c r="AE278" s="105"/>
      <c r="AF278" s="90"/>
    </row>
    <row r="279" spans="1:32">
      <c r="A279" s="15">
        <f>Tableau242[[#This Row],[Company number]]+0</f>
        <v>13744</v>
      </c>
      <c r="B279" s="60" t="s">
        <v>688</v>
      </c>
      <c r="C279" s="61" t="s">
        <v>689</v>
      </c>
      <c r="D279" s="61" t="s">
        <v>53</v>
      </c>
      <c r="E279" s="62" t="str">
        <f>IFERROR(VLOOKUP(Tableau242[[#This Row],[Manager ou CDM concerné]],Parametres!B:C,2,FALSE),"")</f>
        <v>Squad E</v>
      </c>
      <c r="F279" s="62" t="str">
        <f>IF(Tableau242[[#This Row],[Consultant]]=Tableau242[[#This Row],[Manager ou CDM concerné]],"Non",IF(IFERROR(VLOOKUP(Tableau242[[#This Row],[Consultant]],Parametres!B:C,2,FALSE),0)=0,"Non","Oui"))</f>
        <v>Non</v>
      </c>
      <c r="G279" s="62">
        <f>IFERROR(VLOOKUP(B279,Tableau5[#All],4,FALSE),"Matricule!")</f>
        <v>18</v>
      </c>
      <c r="H279" s="62" t="str">
        <f>IFERROR(VLOOKUP(Tableau242[[#This Row],[Company number]],#REF!,6,FALSE),"")</f>
        <v/>
      </c>
      <c r="I279" s="62">
        <f>IFERROR(VLOOKUP(B279,Tableau5[#All],5,FALSE),"Matricule!")</f>
        <v>2</v>
      </c>
      <c r="J279" s="62">
        <f>IFERROR(VLOOKUP(B279,Tableau5[#All],6,FALSE),"Matricule!")</f>
        <v>0</v>
      </c>
      <c r="K279" s="62">
        <f>IFERROR(VLOOKUP(B279,Tableau5[#All],7,FALSE),"Matricule!")</f>
        <v>0</v>
      </c>
      <c r="L279" s="62" t="e">
        <f>VLOOKUP(Tableau242[[#This Row],[Company number]],#REF!,25,FALSE)</f>
        <v>#REF!</v>
      </c>
      <c r="M279" s="62" t="str">
        <f>IFERROR(VLOOKUP(Tableau242[[#This Row],[Company number]],#REF!,30,FALSE),"")</f>
        <v/>
      </c>
      <c r="N279" s="62" t="str">
        <f>IFERROR(VLOOKUP(Tableau242[[#This Row],[Company number]],#REF!,31,FALSE),"")</f>
        <v/>
      </c>
      <c r="O279" s="62" t="str">
        <f>IFERROR(VLOOKUP(Tableau242[[#This Row],[Company number]],#REF!,32,FALSE),"")</f>
        <v/>
      </c>
      <c r="P279" s="62">
        <f>IFERROR(VLOOKUP(B279,Tableau3[#All],5,FALSE),"Matricule!")</f>
        <v>20</v>
      </c>
      <c r="Q279" s="62">
        <f>IFERROR(SUM(VLOOKUP(B279,Tableau3[#All],6,FALSE),VLOOKUP(B279,Tableau3[#All],8,FALSE)),"Matricule!")</f>
        <v>0</v>
      </c>
      <c r="R279" s="62">
        <f>IFERROR(VLOOKUP(B279,Tableau3[#All],7,FALSE),"Matricule!")</f>
        <v>0</v>
      </c>
      <c r="S279" s="62">
        <f>IFERROR(Tableau242[[#This Row],[Prod. days WK]]-Tableau242[[#This Row],[Prod PXX]],"Matricule")</f>
        <v>-2</v>
      </c>
      <c r="T279" s="62">
        <f>IFERROR(Tableau242[[#This Row],[Non prod. days WK]]-Tableau242[[#This Row],[Improd PXX]],"Matricule")</f>
        <v>2</v>
      </c>
      <c r="U279" s="62">
        <f>IFERROR(Tableau242[[#This Row],[Paid leave days WK]]-Tableau242[[#This Row],[Congé PXX]],"Matricule")</f>
        <v>0</v>
      </c>
      <c r="V279" s="63">
        <f>IFERROR(VLOOKUP($B279,#REF!,4,FALSE),0)</f>
        <v>0</v>
      </c>
      <c r="W27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7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79" s="63">
        <f>IF(AND(Tableau242[[#This Row],[Paid leave days]]&gt;0,Tableau242[[#This Row],[Prod. days]]&lt;0),MIN(Tableau242[[#This Row],[Paid leave days]],-Tableau242[[#This Row],[Prod. days]]),0)</f>
        <v>0</v>
      </c>
      <c r="Z279" s="63">
        <f>IFERROR(_xlfn.XLOOKUP(Tableau242[[#This Row],[Consultant]],Tableau2[Collaborateur/Nom affiché],Tableau2[Montant imputé],0),0)</f>
        <v>0</v>
      </c>
      <c r="AA279" s="64">
        <f t="shared" si="5"/>
        <v>-2</v>
      </c>
      <c r="AB279" s="65" t="s">
        <v>154</v>
      </c>
      <c r="AC279" s="66"/>
      <c r="AD279" s="66"/>
      <c r="AE279" s="105"/>
      <c r="AF279" s="90"/>
    </row>
    <row r="280" spans="1:32">
      <c r="A280" s="15">
        <f>Tableau242[[#This Row],[Company number]]+0</f>
        <v>3667</v>
      </c>
      <c r="B280" s="60" t="s">
        <v>690</v>
      </c>
      <c r="C280" s="61" t="s">
        <v>691</v>
      </c>
      <c r="D280" s="61" t="s">
        <v>46</v>
      </c>
      <c r="E280" s="62" t="str">
        <f>IFERROR(VLOOKUP(Tableau242[[#This Row],[Manager ou CDM concerné]],Parametres!B:C,2,FALSE),"")</f>
        <v>Squad C</v>
      </c>
      <c r="F280" s="62"/>
      <c r="G280" s="62">
        <f>IFERROR(VLOOKUP(B280,Tableau5[#All],4,FALSE),"Matricule!")</f>
        <v>0</v>
      </c>
      <c r="H280" s="62" t="str">
        <f>IFERROR(VLOOKUP(Tableau242[[#This Row],[Company number]],#REF!,6,FALSE),"")</f>
        <v/>
      </c>
      <c r="I280" s="62">
        <f>IFERROR(VLOOKUP(B280,Tableau5[#All],5,FALSE),"Matricule!")</f>
        <v>20</v>
      </c>
      <c r="J280" s="62">
        <f>IFERROR(VLOOKUP(B280,Tableau5[#All],6,FALSE),"Matricule!")</f>
        <v>0</v>
      </c>
      <c r="K280" s="62">
        <f>IFERROR(VLOOKUP(B280,Tableau5[#All],7,FALSE),"Matricule!")</f>
        <v>0</v>
      </c>
      <c r="L280" s="62" t="e">
        <f>VLOOKUP(Tableau242[[#This Row],[Company number]],#REF!,25,FALSE)</f>
        <v>#REF!</v>
      </c>
      <c r="M280" s="62" t="str">
        <f>IFERROR(VLOOKUP(Tableau242[[#This Row],[Company number]],#REF!,30,FALSE),"")</f>
        <v/>
      </c>
      <c r="N280" s="62" t="str">
        <f>IFERROR(VLOOKUP(Tableau242[[#This Row],[Company number]],#REF!,31,FALSE),"")</f>
        <v/>
      </c>
      <c r="O280" s="62" t="str">
        <f>IFERROR(VLOOKUP(Tableau242[[#This Row],[Company number]],#REF!,32,FALSE),"")</f>
        <v/>
      </c>
      <c r="P280" s="62">
        <f>IFERROR(VLOOKUP(B280,Tableau3[#All],5,FALSE),"Matricule!")</f>
        <v>0</v>
      </c>
      <c r="Q280" s="62">
        <f>IFERROR(SUM(VLOOKUP(B280,Tableau3[#All],6,FALSE),VLOOKUP(B280,Tableau3[#All],8,FALSE)),"Matricule!")</f>
        <v>20</v>
      </c>
      <c r="R280" s="62">
        <f>IFERROR(VLOOKUP(B280,Tableau3[#All],7,FALSE),"Matricule!")</f>
        <v>0</v>
      </c>
      <c r="S280" s="62">
        <f>IFERROR(Tableau242[[#This Row],[Prod. days WK]]-Tableau242[[#This Row],[Prod PXX]],"Matricule")</f>
        <v>0</v>
      </c>
      <c r="T280" s="62">
        <f>IFERROR(Tableau242[[#This Row],[Non prod. days WK]]-Tableau242[[#This Row],[Improd PXX]],"Matricule")</f>
        <v>0</v>
      </c>
      <c r="U280" s="62">
        <f>IFERROR(Tableau242[[#This Row],[Paid leave days WK]]-Tableau242[[#This Row],[Congé PXX]],"Matricule")</f>
        <v>0</v>
      </c>
      <c r="V280" s="63">
        <f>IFERROR(VLOOKUP($B280,#REF!,4,FALSE),0)</f>
        <v>0</v>
      </c>
      <c r="W28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80" s="63">
        <f>IF(AND(Tableau242[[#This Row],[Paid leave days]]&gt;0,Tableau242[[#This Row],[Prod. days]]&lt;0),MIN(Tableau242[[#This Row],[Paid leave days]],-Tableau242[[#This Row],[Prod. days]]),0)</f>
        <v>0</v>
      </c>
      <c r="Z280" s="63">
        <f>IFERROR(_xlfn.XLOOKUP(Tableau242[[#This Row],[Consultant]],Tableau2[Collaborateur/Nom affiché],Tableau2[Montant imputé],0),0)</f>
        <v>0</v>
      </c>
      <c r="AA280" s="64">
        <f t="shared" si="5"/>
        <v>0</v>
      </c>
      <c r="AB280" s="65"/>
      <c r="AC280" s="67"/>
      <c r="AD280" s="67"/>
      <c r="AE280" s="106"/>
      <c r="AF280" s="92"/>
    </row>
    <row r="281" spans="1:32" ht="29.1">
      <c r="A281" s="15">
        <f>Tableau242[[#This Row],[Company number]]+0</f>
        <v>4841</v>
      </c>
      <c r="B281" s="60" t="s">
        <v>692</v>
      </c>
      <c r="C281" s="61" t="s">
        <v>29</v>
      </c>
      <c r="D281" s="61" t="s">
        <v>46</v>
      </c>
      <c r="E281" s="62" t="str">
        <f>IFERROR(VLOOKUP(Tableau242[[#This Row],[Manager ou CDM concerné]],Parametres!B:C,2,FALSE),"")</f>
        <v>Squad C</v>
      </c>
      <c r="F281" s="62" t="str">
        <f>IF(Tableau242[[#This Row],[Consultant]]=Tableau242[[#This Row],[Manager ou CDM concerné]],"Non",IF(IFERROR(VLOOKUP(Tableau242[[#This Row],[Consultant]],Parametres!B:C,2,FALSE),0)=0,"Non","Oui"))</f>
        <v>Oui</v>
      </c>
      <c r="G281" s="62">
        <f>IFERROR(VLOOKUP(B281,Tableau5[#All],4,FALSE),"Matricule!")</f>
        <v>14</v>
      </c>
      <c r="H281" s="62" t="str">
        <f>IFERROR(VLOOKUP(Tableau242[[#This Row],[Company number]],#REF!,6,FALSE),"")</f>
        <v/>
      </c>
      <c r="I281" s="62">
        <f>IFERROR(VLOOKUP(B281,Tableau5[#All],5,FALSE),"Matricule!")</f>
        <v>6</v>
      </c>
      <c r="J281" s="62">
        <f>IFERROR(VLOOKUP(B281,Tableau5[#All],6,FALSE),"Matricule!")</f>
        <v>0</v>
      </c>
      <c r="K281" s="62">
        <f>IFERROR(VLOOKUP(B281,Tableau5[#All],7,FALSE),"Matricule!")</f>
        <v>0</v>
      </c>
      <c r="L281" s="62" t="e">
        <f>VLOOKUP(Tableau242[[#This Row],[Company number]],#REF!,25,FALSE)</f>
        <v>#REF!</v>
      </c>
      <c r="M281" s="62" t="str">
        <f>IFERROR(VLOOKUP(Tableau242[[#This Row],[Company number]],#REF!,30,FALSE),"")</f>
        <v/>
      </c>
      <c r="N281" s="62" t="str">
        <f>IFERROR(VLOOKUP(Tableau242[[#This Row],[Company number]],#REF!,31,FALSE),"")</f>
        <v/>
      </c>
      <c r="O281" s="62" t="str">
        <f>IFERROR(VLOOKUP(Tableau242[[#This Row],[Company number]],#REF!,32,FALSE),"")</f>
        <v/>
      </c>
      <c r="P281" s="62">
        <f>IFERROR(VLOOKUP(B281,Tableau3[#All],5,FALSE),"Matricule!")</f>
        <v>10</v>
      </c>
      <c r="Q281" s="62">
        <f>IFERROR(SUM(VLOOKUP(B281,Tableau3[#All],6,FALSE),VLOOKUP(B281,Tableau3[#All],8,FALSE)),"Matricule!")</f>
        <v>10</v>
      </c>
      <c r="R281" s="62">
        <f>IFERROR(VLOOKUP(B281,Tableau3[#All],7,FALSE),"Matricule!")</f>
        <v>0</v>
      </c>
      <c r="S281" s="62">
        <f>IFERROR(Tableau242[[#This Row],[Prod. days WK]]-Tableau242[[#This Row],[Prod PXX]],"Matricule")</f>
        <v>4</v>
      </c>
      <c r="T281" s="62">
        <f>IFERROR(Tableau242[[#This Row],[Non prod. days WK]]-Tableau242[[#This Row],[Improd PXX]],"Matricule")</f>
        <v>-4</v>
      </c>
      <c r="U281" s="62">
        <f>IFERROR(Tableau242[[#This Row],[Paid leave days WK]]-Tableau242[[#This Row],[Congé PXX]],"Matricule")</f>
        <v>0</v>
      </c>
      <c r="V281" s="63">
        <f>IFERROR(VLOOKUP($B281,#REF!,4,FALSE),0)</f>
        <v>0</v>
      </c>
      <c r="W28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81" s="63">
        <f>IF(AND(Tableau242[[#This Row],[Paid leave days]]&gt;0,Tableau242[[#This Row],[Prod. days]]&lt;0),MIN(Tableau242[[#This Row],[Paid leave days]],-Tableau242[[#This Row],[Prod. days]]),0)</f>
        <v>0</v>
      </c>
      <c r="Z281" s="63">
        <f>IFERROR(_xlfn.XLOOKUP(Tableau242[[#This Row],[Consultant]],Tableau2[Collaborateur/Nom affiché],Tableau2[Montant imputé],0),0)</f>
        <v>0</v>
      </c>
      <c r="AA281" s="64">
        <f t="shared" si="5"/>
        <v>4</v>
      </c>
      <c r="AB281" s="65"/>
      <c r="AC281" s="66"/>
      <c r="AD281" s="66"/>
      <c r="AE281" s="105"/>
      <c r="AF281" s="90"/>
    </row>
    <row r="282" spans="1:32">
      <c r="A282" s="15">
        <f>Tableau242[[#This Row],[Company number]]+0</f>
        <v>3455</v>
      </c>
      <c r="B282" s="60" t="s">
        <v>693</v>
      </c>
      <c r="C282" s="61" t="s">
        <v>694</v>
      </c>
      <c r="D282" s="61" t="s">
        <v>46</v>
      </c>
      <c r="E282" s="62" t="str">
        <f>IFERROR(VLOOKUP(Tableau242[[#This Row],[Manager ou CDM concerné]],Parametres!B:C,2,FALSE),"")</f>
        <v>Squad C</v>
      </c>
      <c r="F282" s="62" t="str">
        <f>IF(Tableau242[[#This Row],[Consultant]]=Tableau242[[#This Row],[Manager ou CDM concerné]],"Non",IF(IFERROR(VLOOKUP(Tableau242[[#This Row],[Consultant]],Parametres!B:C,2,FALSE),0)=0,"Non","Oui"))</f>
        <v>Non</v>
      </c>
      <c r="G282" s="62">
        <f>IFERROR(VLOOKUP(B282,Tableau5[#All],4,FALSE),"Matricule!")</f>
        <v>0</v>
      </c>
      <c r="H282" s="62" t="str">
        <f>IFERROR(VLOOKUP(Tableau242[[#This Row],[Company number]],#REF!,6,FALSE),"")</f>
        <v/>
      </c>
      <c r="I282" s="62">
        <f>IFERROR(VLOOKUP(B282,Tableau5[#All],5,FALSE),"Matricule!")</f>
        <v>14</v>
      </c>
      <c r="J282" s="62">
        <f>IFERROR(VLOOKUP(B282,Tableau5[#All],6,FALSE),"Matricule!")</f>
        <v>0</v>
      </c>
      <c r="K282" s="62">
        <f>IFERROR(VLOOKUP(B282,Tableau5[#All],7,FALSE),"Matricule!")</f>
        <v>6</v>
      </c>
      <c r="L282" s="62" t="e">
        <f>VLOOKUP(Tableau242[[#This Row],[Company number]],#REF!,25,FALSE)</f>
        <v>#REF!</v>
      </c>
      <c r="M282" s="62" t="str">
        <f>IFERROR(VLOOKUP(Tableau242[[#This Row],[Company number]],#REF!,30,FALSE),"")</f>
        <v/>
      </c>
      <c r="N282" s="62" t="str">
        <f>IFERROR(VLOOKUP(Tableau242[[#This Row],[Company number]],#REF!,31,FALSE),"")</f>
        <v/>
      </c>
      <c r="O282" s="62" t="str">
        <f>IFERROR(VLOOKUP(Tableau242[[#This Row],[Company number]],#REF!,32,FALSE),"")</f>
        <v/>
      </c>
      <c r="P282" s="62">
        <f>IFERROR(VLOOKUP(B282,Tableau3[#All],5,FALSE),"Matricule!")</f>
        <v>0</v>
      </c>
      <c r="Q282" s="62">
        <f>IFERROR(SUM(VLOOKUP(B282,Tableau3[#All],6,FALSE),VLOOKUP(B282,Tableau3[#All],8,FALSE)),"Matricule!")</f>
        <v>14</v>
      </c>
      <c r="R282" s="62">
        <f>IFERROR(VLOOKUP(B282,Tableau3[#All],7,FALSE),"Matricule!")</f>
        <v>0</v>
      </c>
      <c r="S282" s="62">
        <f>IFERROR(Tableau242[[#This Row],[Prod. days WK]]-Tableau242[[#This Row],[Prod PXX]],"Matricule")</f>
        <v>0</v>
      </c>
      <c r="T282" s="62">
        <f>IFERROR(Tableau242[[#This Row],[Non prod. days WK]]-Tableau242[[#This Row],[Improd PXX]],"Matricule")</f>
        <v>0</v>
      </c>
      <c r="U282" s="62">
        <f>IFERROR(Tableau242[[#This Row],[Paid leave days WK]]-Tableau242[[#This Row],[Congé PXX]],"Matricule")</f>
        <v>0</v>
      </c>
      <c r="V282" s="63">
        <f>IFERROR(VLOOKUP($B282,#REF!,4,FALSE),0)</f>
        <v>0</v>
      </c>
      <c r="W28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82" s="63">
        <f>IF(AND(Tableau242[[#This Row],[Paid leave days]]&gt;0,Tableau242[[#This Row],[Prod. days]]&lt;0),MIN(Tableau242[[#This Row],[Paid leave days]],-Tableau242[[#This Row],[Prod. days]]),0)</f>
        <v>0</v>
      </c>
      <c r="Z282" s="63">
        <f>IFERROR(_xlfn.XLOOKUP(Tableau242[[#This Row],[Consultant]],Tableau2[Collaborateur/Nom affiché],Tableau2[Montant imputé],0),0)</f>
        <v>0</v>
      </c>
      <c r="AA282" s="64">
        <f t="shared" si="5"/>
        <v>0</v>
      </c>
      <c r="AB282" s="65"/>
      <c r="AC282" s="67"/>
      <c r="AD282" s="66"/>
      <c r="AE282" s="105"/>
      <c r="AF282" s="90"/>
    </row>
    <row r="283" spans="1:32">
      <c r="A283" s="15">
        <f>Tableau242[[#This Row],[Company number]]+0</f>
        <v>3277</v>
      </c>
      <c r="B283" s="60" t="s">
        <v>695</v>
      </c>
      <c r="C283" s="61" t="s">
        <v>34</v>
      </c>
      <c r="D283" s="61" t="s">
        <v>46</v>
      </c>
      <c r="E283" s="62" t="str">
        <f>IFERROR(VLOOKUP(Tableau242[[#This Row],[Manager ou CDM concerné]],Parametres!B:C,2,FALSE),"")</f>
        <v>Squad C</v>
      </c>
      <c r="F283" s="62" t="str">
        <f>IF(Tableau242[[#This Row],[Consultant]]=Tableau242[[#This Row],[Manager ou CDM concerné]],"Non",IF(IFERROR(VLOOKUP(Tableau242[[#This Row],[Consultant]],Parametres!B:C,2,FALSE),0)=0,"Non","Oui"))</f>
        <v>Oui</v>
      </c>
      <c r="G283" s="62">
        <f>IFERROR(VLOOKUP(B283,Tableau5[#All],4,FALSE),"Matricule!")</f>
        <v>6</v>
      </c>
      <c r="H283" s="62" t="str">
        <f>IFERROR(VLOOKUP(Tableau242[[#This Row],[Company number]],#REF!,6,FALSE),"")</f>
        <v/>
      </c>
      <c r="I283" s="62">
        <f>IFERROR(VLOOKUP(B283,Tableau5[#All],5,FALSE),"Matricule!")</f>
        <v>14</v>
      </c>
      <c r="J283" s="62">
        <f>IFERROR(VLOOKUP(B283,Tableau5[#All],6,FALSE),"Matricule!")</f>
        <v>0</v>
      </c>
      <c r="K283" s="62">
        <f>IFERROR(VLOOKUP(B283,Tableau5[#All],7,FALSE),"Matricule!")</f>
        <v>0</v>
      </c>
      <c r="L283" s="62" t="e">
        <f>VLOOKUP(Tableau242[[#This Row],[Company number]],#REF!,25,FALSE)</f>
        <v>#REF!</v>
      </c>
      <c r="M283" s="62" t="str">
        <f>IFERROR(VLOOKUP(Tableau242[[#This Row],[Company number]],#REF!,30,FALSE),"")</f>
        <v/>
      </c>
      <c r="N283" s="62" t="str">
        <f>IFERROR(VLOOKUP(Tableau242[[#This Row],[Company number]],#REF!,31,FALSE),"")</f>
        <v/>
      </c>
      <c r="O283" s="62" t="str">
        <f>IFERROR(VLOOKUP(Tableau242[[#This Row],[Company number]],#REF!,32,FALSE),"")</f>
        <v/>
      </c>
      <c r="P283" s="62">
        <f>IFERROR(VLOOKUP(B283,Tableau3[#All],5,FALSE),"Matricule!")</f>
        <v>6</v>
      </c>
      <c r="Q283" s="62">
        <f>IFERROR(SUM(VLOOKUP(B283,Tableau3[#All],6,FALSE),VLOOKUP(B283,Tableau3[#All],8,FALSE)),"Matricule!")</f>
        <v>14</v>
      </c>
      <c r="R283" s="62">
        <f>IFERROR(VLOOKUP(B283,Tableau3[#All],7,FALSE),"Matricule!")</f>
        <v>0</v>
      </c>
      <c r="S283" s="62">
        <f>IFERROR(Tableau242[[#This Row],[Prod. days WK]]-Tableau242[[#This Row],[Prod PXX]],"Matricule")</f>
        <v>0</v>
      </c>
      <c r="T283" s="62">
        <f>IFERROR(Tableau242[[#This Row],[Non prod. days WK]]-Tableau242[[#This Row],[Improd PXX]],"Matricule")</f>
        <v>0</v>
      </c>
      <c r="U283" s="62">
        <f>IFERROR(Tableau242[[#This Row],[Paid leave days WK]]-Tableau242[[#This Row],[Congé PXX]],"Matricule")</f>
        <v>0</v>
      </c>
      <c r="V283" s="63">
        <f>IFERROR(VLOOKUP($B283,#REF!,4,FALSE),0)</f>
        <v>0</v>
      </c>
      <c r="W28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83" s="63">
        <f>IF(AND(Tableau242[[#This Row],[Paid leave days]]&gt;0,Tableau242[[#This Row],[Prod. days]]&lt;0),MIN(Tableau242[[#This Row],[Paid leave days]],-Tableau242[[#This Row],[Prod. days]]),0)</f>
        <v>0</v>
      </c>
      <c r="Z283" s="63">
        <f>IFERROR(_xlfn.XLOOKUP(Tableau242[[#This Row],[Consultant]],Tableau2[Collaborateur/Nom affiché],Tableau2[Montant imputé],0),0)</f>
        <v>0</v>
      </c>
      <c r="AA283" s="64">
        <f t="shared" si="5"/>
        <v>0</v>
      </c>
      <c r="AB283" s="65"/>
      <c r="AC283" s="66"/>
      <c r="AD283" s="66"/>
      <c r="AE283" s="105"/>
      <c r="AF283" s="90"/>
    </row>
    <row r="284" spans="1:32">
      <c r="A284" s="15">
        <f>Tableau242[[#This Row],[Company number]]+0</f>
        <v>3079</v>
      </c>
      <c r="B284" s="60" t="s">
        <v>696</v>
      </c>
      <c r="C284" s="61" t="s">
        <v>697</v>
      </c>
      <c r="D284" s="61" t="s">
        <v>46</v>
      </c>
      <c r="E284" s="62" t="str">
        <f>IFERROR(VLOOKUP(Tableau242[[#This Row],[Manager ou CDM concerné]],Parametres!B:C,2,FALSE),"")</f>
        <v>Squad C</v>
      </c>
      <c r="F284" s="62" t="str">
        <f>IF(Tableau242[[#This Row],[Consultant]]=Tableau242[[#This Row],[Manager ou CDM concerné]],"Non",IF(IFERROR(VLOOKUP(Tableau242[[#This Row],[Consultant]],Parametres!B:C,2,FALSE),0)=0,"Non","Oui"))</f>
        <v>Non</v>
      </c>
      <c r="G284" s="62">
        <f>IFERROR(VLOOKUP(B284,Tableau5[#All],4,FALSE),"Matricule!")</f>
        <v>20</v>
      </c>
      <c r="H284" s="62" t="str">
        <f>IFERROR(VLOOKUP(Tableau242[[#This Row],[Company number]],#REF!,6,FALSE),"")</f>
        <v/>
      </c>
      <c r="I284" s="62">
        <f>IFERROR(VLOOKUP(B284,Tableau5[#All],5,FALSE),"Matricule!")</f>
        <v>0</v>
      </c>
      <c r="J284" s="62">
        <f>IFERROR(VLOOKUP(B284,Tableau5[#All],6,FALSE),"Matricule!")</f>
        <v>0</v>
      </c>
      <c r="K284" s="62">
        <f>IFERROR(VLOOKUP(B284,Tableau5[#All],7,FALSE),"Matricule!")</f>
        <v>0</v>
      </c>
      <c r="L284" s="62" t="e">
        <f>VLOOKUP(Tableau242[[#This Row],[Company number]],#REF!,25,FALSE)</f>
        <v>#REF!</v>
      </c>
      <c r="M284" s="62" t="str">
        <f>IFERROR(VLOOKUP(Tableau242[[#This Row],[Company number]],#REF!,30,FALSE),"")</f>
        <v/>
      </c>
      <c r="N284" s="62" t="str">
        <f>IFERROR(VLOOKUP(Tableau242[[#This Row],[Company number]],#REF!,31,FALSE),"")</f>
        <v/>
      </c>
      <c r="O284" s="62" t="str">
        <f>IFERROR(VLOOKUP(Tableau242[[#This Row],[Company number]],#REF!,32,FALSE),"")</f>
        <v/>
      </c>
      <c r="P284" s="62">
        <f>IFERROR(VLOOKUP(B284,Tableau3[#All],5,FALSE),"Matricule!")</f>
        <v>20</v>
      </c>
      <c r="Q284" s="62">
        <f>IFERROR(SUM(VLOOKUP(B284,Tableau3[#All],6,FALSE),VLOOKUP(B284,Tableau3[#All],8,FALSE)),"Matricule!")</f>
        <v>0</v>
      </c>
      <c r="R284" s="62">
        <f>IFERROR(VLOOKUP(B284,Tableau3[#All],7,FALSE),"Matricule!")</f>
        <v>0</v>
      </c>
      <c r="S284" s="62">
        <f>IFERROR(Tableau242[[#This Row],[Prod. days WK]]-Tableau242[[#This Row],[Prod PXX]],"Matricule")</f>
        <v>0</v>
      </c>
      <c r="T284" s="62">
        <f>IFERROR(Tableau242[[#This Row],[Non prod. days WK]]-Tableau242[[#This Row],[Improd PXX]],"Matricule")</f>
        <v>0</v>
      </c>
      <c r="U284" s="62">
        <f>IFERROR(Tableau242[[#This Row],[Paid leave days WK]]-Tableau242[[#This Row],[Congé PXX]],"Matricule")</f>
        <v>0</v>
      </c>
      <c r="V284" s="63">
        <f>IFERROR(VLOOKUP($B284,#REF!,4,FALSE),0)</f>
        <v>0</v>
      </c>
      <c r="W28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84" s="63">
        <f>IF(AND(Tableau242[[#This Row],[Paid leave days]]&gt;0,Tableau242[[#This Row],[Prod. days]]&lt;0),MIN(Tableau242[[#This Row],[Paid leave days]],-Tableau242[[#This Row],[Prod. days]]),0)</f>
        <v>0</v>
      </c>
      <c r="Z284" s="63">
        <f>IFERROR(_xlfn.XLOOKUP(Tableau242[[#This Row],[Consultant]],Tableau2[Collaborateur/Nom affiché],Tableau2[Montant imputé],0),0)</f>
        <v>0</v>
      </c>
      <c r="AA284" s="64">
        <f t="shared" si="5"/>
        <v>0</v>
      </c>
      <c r="AB284" s="65"/>
      <c r="AC284" s="66"/>
      <c r="AD284" s="66"/>
      <c r="AE284" s="105"/>
      <c r="AF284" s="90"/>
    </row>
    <row r="285" spans="1:32">
      <c r="A285" s="15">
        <f>Tableau242[[#This Row],[Company number]]+0</f>
        <v>21374</v>
      </c>
      <c r="B285" s="60" t="s">
        <v>698</v>
      </c>
      <c r="C285" s="61" t="s">
        <v>699</v>
      </c>
      <c r="D285" s="61" t="s">
        <v>26</v>
      </c>
      <c r="E285" s="62" t="str">
        <f>IFERROR(VLOOKUP(Tableau242[[#This Row],[Manager ou CDM concerné]],Parametres!B:C,2,FALSE),"")</f>
        <v>Squad D</v>
      </c>
      <c r="F285" s="62" t="str">
        <f>IF(Tableau242[[#This Row],[Consultant]]=Tableau242[[#This Row],[Manager ou CDM concerné]],"Non",IF(IFERROR(VLOOKUP(Tableau242[[#This Row],[Consultant]],Parametres!B:C,2,FALSE),0)=0,"Non","Oui"))</f>
        <v>Non</v>
      </c>
      <c r="G285" s="62">
        <f>IFERROR(VLOOKUP(B285,Tableau5[#All],4,FALSE),"Matricule!")</f>
        <v>1</v>
      </c>
      <c r="H285" s="62" t="str">
        <f>IFERROR(VLOOKUP(Tableau242[[#This Row],[Company number]],#REF!,6,FALSE),"")</f>
        <v/>
      </c>
      <c r="I285" s="62">
        <f>IFERROR(VLOOKUP(B285,Tableau5[#All],5,FALSE),"Matricule!")</f>
        <v>17</v>
      </c>
      <c r="J285" s="62">
        <f>IFERROR(VLOOKUP(B285,Tableau5[#All],6,FALSE),"Matricule!")</f>
        <v>2</v>
      </c>
      <c r="K285" s="62">
        <f>IFERROR(VLOOKUP(B285,Tableau5[#All],7,FALSE),"Matricule!")</f>
        <v>0</v>
      </c>
      <c r="L285" s="62" t="e">
        <f>VLOOKUP(Tableau242[[#This Row],[Company number]],#REF!,25,FALSE)</f>
        <v>#REF!</v>
      </c>
      <c r="M285" s="62" t="str">
        <f>IFERROR(VLOOKUP(Tableau242[[#This Row],[Company number]],#REF!,30,FALSE),"")</f>
        <v/>
      </c>
      <c r="N285" s="62" t="str">
        <f>IFERROR(VLOOKUP(Tableau242[[#This Row],[Company number]],#REF!,31,FALSE),"")</f>
        <v/>
      </c>
      <c r="O285" s="62" t="str">
        <f>IFERROR(VLOOKUP(Tableau242[[#This Row],[Company number]],#REF!,32,FALSE),"")</f>
        <v/>
      </c>
      <c r="P285" s="62">
        <f>IFERROR(VLOOKUP(B285,Tableau3[#All],5,FALSE),"Matricule!")</f>
        <v>3</v>
      </c>
      <c r="Q285" s="62">
        <f>IFERROR(SUM(VLOOKUP(B285,Tableau3[#All],6,FALSE),VLOOKUP(B285,Tableau3[#All],8,FALSE)),"Matricule!")</f>
        <v>15</v>
      </c>
      <c r="R285" s="62">
        <f>IFERROR(VLOOKUP(B285,Tableau3[#All],7,FALSE),"Matricule!")</f>
        <v>2</v>
      </c>
      <c r="S285" s="62">
        <f>IFERROR(Tableau242[[#This Row],[Prod. days WK]]-Tableau242[[#This Row],[Prod PXX]],"Matricule")</f>
        <v>-2</v>
      </c>
      <c r="T285" s="62">
        <f>IFERROR(Tableau242[[#This Row],[Non prod. days WK]]-Tableau242[[#This Row],[Improd PXX]],"Matricule")</f>
        <v>2</v>
      </c>
      <c r="U285" s="62">
        <f>IFERROR(Tableau242[[#This Row],[Paid leave days WK]]-Tableau242[[#This Row],[Congé PXX]],"Matricule")</f>
        <v>0</v>
      </c>
      <c r="V285" s="63">
        <f>IFERROR(VLOOKUP($B285,#REF!,4,FALSE),0)</f>
        <v>0</v>
      </c>
      <c r="W28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85" s="63">
        <f>IF(AND(Tableau242[[#This Row],[Paid leave days]]&gt;0,Tableau242[[#This Row],[Prod. days]]&lt;0),MIN(Tableau242[[#This Row],[Paid leave days]],-Tableau242[[#This Row],[Prod. days]]),0)</f>
        <v>0</v>
      </c>
      <c r="Z285" s="63">
        <f>IFERROR(_xlfn.XLOOKUP(Tableau242[[#This Row],[Consultant]],Tableau2[Collaborateur/Nom affiché],Tableau2[Montant imputé],0),0)</f>
        <v>0</v>
      </c>
      <c r="AA285" s="64">
        <f t="shared" si="5"/>
        <v>-2</v>
      </c>
      <c r="AB285" s="65" t="s">
        <v>154</v>
      </c>
      <c r="AC285" s="66"/>
      <c r="AD285" s="66"/>
      <c r="AE285" s="105"/>
      <c r="AF285" s="90" t="s">
        <v>700</v>
      </c>
    </row>
    <row r="286" spans="1:32">
      <c r="A286" s="15">
        <f>Tableau242[[#This Row],[Company number]]+0</f>
        <v>15505</v>
      </c>
      <c r="B286" s="60" t="s">
        <v>701</v>
      </c>
      <c r="C286" s="61" t="s">
        <v>18</v>
      </c>
      <c r="D286" s="61" t="s">
        <v>46</v>
      </c>
      <c r="E286" s="62" t="str">
        <f>IFERROR(VLOOKUP(Tableau242[[#This Row],[Manager ou CDM concerné]],Parametres!B:C,2,FALSE),"")</f>
        <v>Squad C</v>
      </c>
      <c r="F286" s="62" t="str">
        <f>IF(Tableau242[[#This Row],[Consultant]]=Tableau242[[#This Row],[Manager ou CDM concerné]],"Non",IF(IFERROR(VLOOKUP(Tableau242[[#This Row],[Consultant]],Parametres!B:C,2,FALSE),0)=0,"Non","Oui"))</f>
        <v>Oui</v>
      </c>
      <c r="G286" s="62">
        <f>IFERROR(VLOOKUP(B286,Tableau5[#All],4,FALSE),"Matricule!")</f>
        <v>0</v>
      </c>
      <c r="H286" s="62" t="str">
        <f>IFERROR(VLOOKUP(Tableau242[[#This Row],[Company number]],#REF!,6,FALSE),"")</f>
        <v/>
      </c>
      <c r="I286" s="62">
        <f>IFERROR(VLOOKUP(B286,Tableau5[#All],5,FALSE),"Matricule!")</f>
        <v>20</v>
      </c>
      <c r="J286" s="62">
        <f>IFERROR(VLOOKUP(B286,Tableau5[#All],6,FALSE),"Matricule!")</f>
        <v>0</v>
      </c>
      <c r="K286" s="62">
        <f>IFERROR(VLOOKUP(B286,Tableau5[#All],7,FALSE),"Matricule!")</f>
        <v>0</v>
      </c>
      <c r="L286" s="62" t="e">
        <f>VLOOKUP(Tableau242[[#This Row],[Company number]],#REF!,25,FALSE)</f>
        <v>#REF!</v>
      </c>
      <c r="M286" s="62" t="str">
        <f>IFERROR(VLOOKUP(Tableau242[[#This Row],[Company number]],#REF!,30,FALSE),"")</f>
        <v/>
      </c>
      <c r="N286" s="62" t="str">
        <f>IFERROR(VLOOKUP(Tableau242[[#This Row],[Company number]],#REF!,31,FALSE),"")</f>
        <v/>
      </c>
      <c r="O286" s="62" t="str">
        <f>IFERROR(VLOOKUP(Tableau242[[#This Row],[Company number]],#REF!,32,FALSE),"")</f>
        <v/>
      </c>
      <c r="P286" s="68">
        <f>IFERROR(VLOOKUP(B286,Tableau3[#All],5,FALSE),"Matricule!")</f>
        <v>0</v>
      </c>
      <c r="Q286" s="68">
        <f>IFERROR(SUM(VLOOKUP(B286,Tableau3[#All],6,FALSE),VLOOKUP(B286,Tableau3[#All],8,FALSE)),"Matricule!")</f>
        <v>20</v>
      </c>
      <c r="R286" s="68">
        <f>IFERROR(VLOOKUP(B286,Tableau3[#All],7,FALSE),"Matricule!")</f>
        <v>0</v>
      </c>
      <c r="S286" s="62">
        <f>IFERROR(Tableau242[[#This Row],[Prod. days WK]]-Tableau242[[#This Row],[Prod PXX]],"Matricule")</f>
        <v>0</v>
      </c>
      <c r="T286" s="62">
        <f>IFERROR(Tableau242[[#This Row],[Non prod. days WK]]-Tableau242[[#This Row],[Improd PXX]],"Matricule")</f>
        <v>0</v>
      </c>
      <c r="U286" s="62">
        <f>IFERROR(Tableau242[[#This Row],[Paid leave days WK]]-Tableau242[[#This Row],[Congé PXX]],"Matricule")</f>
        <v>0</v>
      </c>
      <c r="V286" s="63">
        <f>IFERROR(VLOOKUP($B286,#REF!,4,FALSE),0)</f>
        <v>0</v>
      </c>
      <c r="W28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86" s="63">
        <f>IF(AND(Tableau242[[#This Row],[Paid leave days]]&gt;0,Tableau242[[#This Row],[Prod. days]]&lt;0),MIN(Tableau242[[#This Row],[Paid leave days]],-Tableau242[[#This Row],[Prod. days]]),0)</f>
        <v>0</v>
      </c>
      <c r="Z286" s="63">
        <f>IFERROR(_xlfn.XLOOKUP(Tableau242[[#This Row],[Consultant]],Tableau2[Collaborateur/Nom affiché],Tableau2[Montant imputé],0),0)</f>
        <v>0</v>
      </c>
      <c r="AA286" s="64">
        <f t="shared" si="5"/>
        <v>0</v>
      </c>
      <c r="AB286" s="78"/>
      <c r="AC286" s="67"/>
      <c r="AD286" s="67"/>
      <c r="AE286" s="106"/>
      <c r="AF286" s="92"/>
    </row>
    <row r="287" spans="1:32">
      <c r="A287" s="15">
        <f>Tableau242[[#This Row],[Company number]]+0</f>
        <v>5850</v>
      </c>
      <c r="B287" s="60" t="s">
        <v>702</v>
      </c>
      <c r="C287" s="61" t="s">
        <v>80</v>
      </c>
      <c r="D287" s="61" t="s">
        <v>46</v>
      </c>
      <c r="E287" s="62" t="str">
        <f>IFERROR(VLOOKUP(Tableau242[[#This Row],[Manager ou CDM concerné]],Parametres!B:C,2,FALSE),"")</f>
        <v>Squad C</v>
      </c>
      <c r="F287" s="62" t="str">
        <f>IF(Tableau242[[#This Row],[Consultant]]=Tableau242[[#This Row],[Manager ou CDM concerné]],"Non",IF(IFERROR(VLOOKUP(Tableau242[[#This Row],[Consultant]],Parametres!B:C,2,FALSE),0)=0,"Non","Oui"))</f>
        <v>Oui</v>
      </c>
      <c r="G287" s="62">
        <f>IFERROR(VLOOKUP(B287,Tableau5[#All],4,FALSE),"Matricule!")</f>
        <v>4</v>
      </c>
      <c r="H287" s="62" t="str">
        <f>IFERROR(VLOOKUP(Tableau242[[#This Row],[Company number]],#REF!,6,FALSE),"")</f>
        <v/>
      </c>
      <c r="I287" s="62">
        <f>IFERROR(VLOOKUP(B287,Tableau5[#All],5,FALSE),"Matricule!")</f>
        <v>16</v>
      </c>
      <c r="J287" s="62">
        <f>IFERROR(VLOOKUP(B287,Tableau5[#All],6,FALSE),"Matricule!")</f>
        <v>0</v>
      </c>
      <c r="K287" s="62">
        <f>IFERROR(VLOOKUP(B287,Tableau5[#All],7,FALSE),"Matricule!")</f>
        <v>0</v>
      </c>
      <c r="L287" s="62" t="e">
        <f>VLOOKUP(Tableau242[[#This Row],[Company number]],#REF!,25,FALSE)</f>
        <v>#REF!</v>
      </c>
      <c r="M287" s="62" t="str">
        <f>IFERROR(VLOOKUP(Tableau242[[#This Row],[Company number]],#REF!,30,FALSE),"")</f>
        <v/>
      </c>
      <c r="N287" s="62" t="str">
        <f>IFERROR(VLOOKUP(Tableau242[[#This Row],[Company number]],#REF!,31,FALSE),"")</f>
        <v/>
      </c>
      <c r="O287" s="62" t="str">
        <f>IFERROR(VLOOKUP(Tableau242[[#This Row],[Company number]],#REF!,32,FALSE),"")</f>
        <v/>
      </c>
      <c r="P287" s="62">
        <f>IFERROR(VLOOKUP(B287,Tableau3[#All],5,FALSE),"Matricule!")</f>
        <v>13</v>
      </c>
      <c r="Q287" s="62">
        <f>IFERROR(SUM(VLOOKUP(B287,Tableau3[#All],6,FALSE),VLOOKUP(B287,Tableau3[#All],8,FALSE)),"Matricule!")</f>
        <v>7</v>
      </c>
      <c r="R287" s="62">
        <f>IFERROR(VLOOKUP(B287,Tableau3[#All],7,FALSE),"Matricule!")</f>
        <v>0</v>
      </c>
      <c r="S287" s="62">
        <f>IFERROR(Tableau242[[#This Row],[Prod. days WK]]-Tableau242[[#This Row],[Prod PXX]],"Matricule")</f>
        <v>-9</v>
      </c>
      <c r="T287" s="62">
        <f>IFERROR(Tableau242[[#This Row],[Non prod. days WK]]-Tableau242[[#This Row],[Improd PXX]],"Matricule")</f>
        <v>9</v>
      </c>
      <c r="U287" s="62">
        <f>IFERROR(Tableau242[[#This Row],[Paid leave days WK]]-Tableau242[[#This Row],[Congé PXX]],"Matricule")</f>
        <v>0</v>
      </c>
      <c r="V287" s="63">
        <f>IFERROR(VLOOKUP($B287,#REF!,4,FALSE),0)</f>
        <v>0</v>
      </c>
      <c r="W28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287" s="63">
        <f>IF(AND(Tableau242[[#This Row],[Paid leave days]]&gt;0,Tableau242[[#This Row],[Prod. days]]&lt;0),MIN(Tableau242[[#This Row],[Paid leave days]],-Tableau242[[#This Row],[Prod. days]]),0)</f>
        <v>0</v>
      </c>
      <c r="Z287" s="63">
        <f>IFERROR(_xlfn.XLOOKUP(Tableau242[[#This Row],[Consultant]],Tableau2[Collaborateur/Nom affiché],Tableau2[Montant imputé],0),0)</f>
        <v>10</v>
      </c>
      <c r="AA287" s="64">
        <f t="shared" si="5"/>
        <v>1</v>
      </c>
      <c r="AB287" s="65"/>
      <c r="AC287" s="66"/>
      <c r="AD287" s="66"/>
      <c r="AE287" s="105"/>
      <c r="AF287" s="90"/>
    </row>
    <row r="288" spans="1:32">
      <c r="A288" s="15">
        <f>Tableau242[[#This Row],[Company number]]+0</f>
        <v>20502</v>
      </c>
      <c r="B288" s="60" t="s">
        <v>703</v>
      </c>
      <c r="C288" s="61" t="s">
        <v>704</v>
      </c>
      <c r="D288" s="61" t="s">
        <v>75</v>
      </c>
      <c r="E288" s="62" t="str">
        <f>IFERROR(VLOOKUP(Tableau242[[#This Row],[Manager ou CDM concerné]],Parametres!B:C,2,FALSE),"")</f>
        <v>Squad A</v>
      </c>
      <c r="F288" s="62" t="str">
        <f>IF(Tableau242[[#This Row],[Consultant]]=Tableau242[[#This Row],[Manager ou CDM concerné]],"Non",IF(IFERROR(VLOOKUP(Tableau242[[#This Row],[Consultant]],Parametres!B:C,2,FALSE),0)=0,"Non","Oui"))</f>
        <v>Non</v>
      </c>
      <c r="G288" s="62">
        <f>IFERROR(VLOOKUP(B288,Tableau5[#All],4,FALSE),"Matricule!")</f>
        <v>20</v>
      </c>
      <c r="H288" s="62" t="str">
        <f>IFERROR(VLOOKUP(Tableau242[[#This Row],[Company number]],#REF!,6,FALSE),"")</f>
        <v/>
      </c>
      <c r="I288" s="62">
        <f>IFERROR(VLOOKUP(B288,Tableau5[#All],5,FALSE),"Matricule!")</f>
        <v>0</v>
      </c>
      <c r="J288" s="62">
        <f>IFERROR(VLOOKUP(B288,Tableau5[#All],6,FALSE),"Matricule!")</f>
        <v>0</v>
      </c>
      <c r="K288" s="62">
        <f>IFERROR(VLOOKUP(B288,Tableau5[#All],7,FALSE),"Matricule!")</f>
        <v>0</v>
      </c>
      <c r="L288" s="62" t="e">
        <f>VLOOKUP(Tableau242[[#This Row],[Company number]],#REF!,25,FALSE)</f>
        <v>#REF!</v>
      </c>
      <c r="M288" s="62" t="str">
        <f>IFERROR(VLOOKUP(Tableau242[[#This Row],[Company number]],#REF!,30,FALSE),"")</f>
        <v/>
      </c>
      <c r="N288" s="62" t="str">
        <f>IFERROR(VLOOKUP(Tableau242[[#This Row],[Company number]],#REF!,31,FALSE),"")</f>
        <v/>
      </c>
      <c r="O288" s="62" t="str">
        <f>IFERROR(VLOOKUP(Tableau242[[#This Row],[Company number]],#REF!,32,FALSE),"")</f>
        <v/>
      </c>
      <c r="P288" s="62">
        <f>IFERROR(VLOOKUP(B288,Tableau3[#All],5,FALSE),"Matricule!")</f>
        <v>20</v>
      </c>
      <c r="Q288" s="62">
        <f>IFERROR(SUM(VLOOKUP(B288,Tableau3[#All],6,FALSE),VLOOKUP(B288,Tableau3[#All],8,FALSE)),"Matricule!")</f>
        <v>0</v>
      </c>
      <c r="R288" s="62">
        <f>IFERROR(VLOOKUP(B288,Tableau3[#All],7,FALSE),"Matricule!")</f>
        <v>0</v>
      </c>
      <c r="S288" s="62">
        <f>IFERROR(Tableau242[[#This Row],[Prod. days WK]]-Tableau242[[#This Row],[Prod PXX]],"Matricule")</f>
        <v>0</v>
      </c>
      <c r="T288" s="62">
        <f>IFERROR(Tableau242[[#This Row],[Non prod. days WK]]-Tableau242[[#This Row],[Improd PXX]],"Matricule")</f>
        <v>0</v>
      </c>
      <c r="U288" s="62">
        <f>IFERROR(Tableau242[[#This Row],[Paid leave days WK]]-Tableau242[[#This Row],[Congé PXX]],"Matricule")</f>
        <v>0</v>
      </c>
      <c r="V288" s="63">
        <f>IFERROR(VLOOKUP($B288,#REF!,4,FALSE),0)</f>
        <v>0</v>
      </c>
      <c r="W28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88" s="63">
        <f>IF(AND(Tableau242[[#This Row],[Paid leave days]]&gt;0,Tableau242[[#This Row],[Prod. days]]&lt;0),MIN(Tableau242[[#This Row],[Paid leave days]],-Tableau242[[#This Row],[Prod. days]]),0)</f>
        <v>0</v>
      </c>
      <c r="Z288" s="63">
        <f>IFERROR(_xlfn.XLOOKUP(Tableau242[[#This Row],[Consultant]],Tableau2[Collaborateur/Nom affiché],Tableau2[Montant imputé],0),0)</f>
        <v>0</v>
      </c>
      <c r="AA288" s="64">
        <f t="shared" si="5"/>
        <v>0</v>
      </c>
      <c r="AB288" s="65" t="s">
        <v>154</v>
      </c>
      <c r="AC288" s="67"/>
      <c r="AD288" s="66"/>
      <c r="AE288" s="39"/>
      <c r="AF288" s="93"/>
    </row>
    <row r="289" spans="1:32" ht="14.45" customHeight="1">
      <c r="A289" s="15">
        <f>Tableau242[[#This Row],[Company number]]+0</f>
        <v>17879</v>
      </c>
      <c r="B289" s="60" t="s">
        <v>705</v>
      </c>
      <c r="C289" s="61" t="s">
        <v>706</v>
      </c>
      <c r="D289" s="61" t="s">
        <v>26</v>
      </c>
      <c r="E289" s="62" t="str">
        <f>IFERROR(VLOOKUP(Tableau242[[#This Row],[Manager ou CDM concerné]],Parametres!B:C,2,FALSE),"")</f>
        <v>Squad D</v>
      </c>
      <c r="F289" s="62" t="str">
        <f>IF(Tableau242[[#This Row],[Consultant]]=Tableau242[[#This Row],[Manager ou CDM concerné]],"Non",IF(IFERROR(VLOOKUP(Tableau242[[#This Row],[Consultant]],Parametres!B:C,2,FALSE),0)=0,"Non","Oui"))</f>
        <v>Non</v>
      </c>
      <c r="G289" s="62">
        <f>IFERROR(VLOOKUP(B289,Tableau5[#All],4,FALSE),"Matricule!")</f>
        <v>6.5</v>
      </c>
      <c r="H289" s="62" t="str">
        <f>IFERROR(VLOOKUP(Tableau242[[#This Row],[Company number]],#REF!,6,FALSE),"")</f>
        <v/>
      </c>
      <c r="I289" s="62">
        <f>IFERROR(VLOOKUP(B289,Tableau5[#All],5,FALSE),"Matricule!")</f>
        <v>4.5</v>
      </c>
      <c r="J289" s="62">
        <f>IFERROR(VLOOKUP(B289,Tableau5[#All],6,FALSE),"Matricule!")</f>
        <v>9</v>
      </c>
      <c r="K289" s="62">
        <f>IFERROR(VLOOKUP(B289,Tableau5[#All],7,FALSE),"Matricule!")</f>
        <v>0</v>
      </c>
      <c r="L289" s="62" t="e">
        <f>VLOOKUP(Tableau242[[#This Row],[Company number]],#REF!,25,FALSE)</f>
        <v>#REF!</v>
      </c>
      <c r="M289" s="62" t="str">
        <f>IFERROR(VLOOKUP(Tableau242[[#This Row],[Company number]],#REF!,30,FALSE),"")</f>
        <v/>
      </c>
      <c r="N289" s="62" t="str">
        <f>IFERROR(VLOOKUP(Tableau242[[#This Row],[Company number]],#REF!,31,FALSE),"")</f>
        <v/>
      </c>
      <c r="O289" s="62" t="str">
        <f>IFERROR(VLOOKUP(Tableau242[[#This Row],[Company number]],#REF!,32,FALSE),"")</f>
        <v/>
      </c>
      <c r="P289" s="68">
        <f>IFERROR(VLOOKUP(B289,Tableau3[#All],5,FALSE),"Matricule!")</f>
        <v>8.5</v>
      </c>
      <c r="Q289" s="68">
        <f>IFERROR(SUM(VLOOKUP(B289,Tableau3[#All],6,FALSE),VLOOKUP(B289,Tableau3[#All],8,FALSE)),"Matricule!")</f>
        <v>2.5</v>
      </c>
      <c r="R289" s="68">
        <f>IFERROR(VLOOKUP(B289,Tableau3[#All],7,FALSE),"Matricule!")</f>
        <v>9</v>
      </c>
      <c r="S289" s="62">
        <f>IFERROR(Tableau242[[#This Row],[Prod. days WK]]-Tableau242[[#This Row],[Prod PXX]],"Matricule")</f>
        <v>-2</v>
      </c>
      <c r="T289" s="62">
        <f>IFERROR(Tableau242[[#This Row],[Non prod. days WK]]-Tableau242[[#This Row],[Improd PXX]],"Matricule")</f>
        <v>2</v>
      </c>
      <c r="U289" s="62">
        <f>IFERROR(Tableau242[[#This Row],[Paid leave days WK]]-Tableau242[[#This Row],[Congé PXX]],"Matricule")</f>
        <v>0</v>
      </c>
      <c r="V289" s="63">
        <f>IFERROR(VLOOKUP($B289,#REF!,4,FALSE),0)</f>
        <v>0</v>
      </c>
      <c r="W28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8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289" s="63">
        <f>IF(AND(Tableau242[[#This Row],[Paid leave days]]&gt;0,Tableau242[[#This Row],[Prod. days]]&lt;0),MIN(Tableau242[[#This Row],[Paid leave days]],-Tableau242[[#This Row],[Prod. days]]),0)</f>
        <v>0</v>
      </c>
      <c r="Z289" s="63">
        <f>IFERROR(_xlfn.XLOOKUP(Tableau242[[#This Row],[Consultant]],Tableau2[Collaborateur/Nom affiché],Tableau2[Montant imputé],0),0)</f>
        <v>0</v>
      </c>
      <c r="AA289" s="64">
        <f t="shared" si="5"/>
        <v>-2</v>
      </c>
      <c r="AB289" s="65" t="s">
        <v>154</v>
      </c>
      <c r="AC289" s="66"/>
      <c r="AD289" s="66"/>
      <c r="AE289" s="105"/>
      <c r="AF289" s="90" t="s">
        <v>707</v>
      </c>
    </row>
    <row r="290" spans="1:32">
      <c r="A290" s="15">
        <f>Tableau242[[#This Row],[Company number]]+0</f>
        <v>22500</v>
      </c>
      <c r="B290" s="60" t="s">
        <v>708</v>
      </c>
      <c r="C290" s="61" t="s">
        <v>709</v>
      </c>
      <c r="D290" s="61" t="s">
        <v>75</v>
      </c>
      <c r="E290" s="62" t="str">
        <f>IFERROR(VLOOKUP(Tableau242[[#This Row],[Manager ou CDM concerné]],Parametres!B:C,2,FALSE),"")</f>
        <v>Squad A</v>
      </c>
      <c r="F290" s="62" t="str">
        <f>IF(Tableau242[[#This Row],[Consultant]]=Tableau242[[#This Row],[Manager ou CDM concerné]],"Non",IF(IFERROR(VLOOKUP(Tableau242[[#This Row],[Consultant]],Parametres!B:C,2,FALSE),0)=0,"Non","Oui"))</f>
        <v>Non</v>
      </c>
      <c r="G290" s="62">
        <f>IFERROR(VLOOKUP(B290,Tableau5[#All],4,FALSE),"Matricule!")</f>
        <v>0</v>
      </c>
      <c r="H290" s="62" t="str">
        <f>IFERROR(VLOOKUP(Tableau242[[#This Row],[Company number]],#REF!,6,FALSE),"")</f>
        <v/>
      </c>
      <c r="I290" s="62">
        <f>IFERROR(VLOOKUP(B290,Tableau5[#All],5,FALSE),"Matricule!")</f>
        <v>20</v>
      </c>
      <c r="J290" s="62">
        <f>IFERROR(VLOOKUP(B290,Tableau5[#All],6,FALSE),"Matricule!")</f>
        <v>0</v>
      </c>
      <c r="K290" s="62">
        <f>IFERROR(VLOOKUP(B290,Tableau5[#All],7,FALSE),"Matricule!")</f>
        <v>0</v>
      </c>
      <c r="L290" s="62" t="e">
        <f>VLOOKUP(Tableau242[[#This Row],[Company number]],#REF!,25,FALSE)</f>
        <v>#REF!</v>
      </c>
      <c r="M290" s="62" t="str">
        <f>IFERROR(VLOOKUP(Tableau242[[#This Row],[Company number]],#REF!,30,FALSE),"")</f>
        <v/>
      </c>
      <c r="N290" s="62" t="str">
        <f>IFERROR(VLOOKUP(Tableau242[[#This Row],[Company number]],#REF!,31,FALSE),"")</f>
        <v/>
      </c>
      <c r="O290" s="62" t="str">
        <f>IFERROR(VLOOKUP(Tableau242[[#This Row],[Company number]],#REF!,32,FALSE),"")</f>
        <v/>
      </c>
      <c r="P290" s="62">
        <f>IFERROR(VLOOKUP(B290,Tableau3[#All],5,FALSE),"Matricule!")</f>
        <v>0</v>
      </c>
      <c r="Q290" s="62">
        <f>IFERROR(SUM(VLOOKUP(B290,Tableau3[#All],6,FALSE),VLOOKUP(B290,Tableau3[#All],8,FALSE)),"Matricule!")</f>
        <v>20</v>
      </c>
      <c r="R290" s="62">
        <f>IFERROR(VLOOKUP(B290,Tableau3[#All],7,FALSE),"Matricule!")</f>
        <v>0</v>
      </c>
      <c r="S290" s="62">
        <f>IFERROR(Tableau242[[#This Row],[Prod. days WK]]-Tableau242[[#This Row],[Prod PXX]],"Matricule")</f>
        <v>0</v>
      </c>
      <c r="T290" s="62">
        <f>IFERROR(Tableau242[[#This Row],[Non prod. days WK]]-Tableau242[[#This Row],[Improd PXX]],"Matricule")</f>
        <v>0</v>
      </c>
      <c r="U290" s="62">
        <f>IFERROR(Tableau242[[#This Row],[Paid leave days WK]]-Tableau242[[#This Row],[Congé PXX]],"Matricule")</f>
        <v>0</v>
      </c>
      <c r="V290" s="63">
        <f>IFERROR(VLOOKUP($B290,#REF!,4,FALSE),0)</f>
        <v>0</v>
      </c>
      <c r="W29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90" s="63">
        <f>IF(AND(Tableau242[[#This Row],[Paid leave days]]&gt;0,Tableau242[[#This Row],[Prod. days]]&lt;0),MIN(Tableau242[[#This Row],[Paid leave days]],-Tableau242[[#This Row],[Prod. days]]),0)</f>
        <v>0</v>
      </c>
      <c r="Z290" s="63">
        <f>IFERROR(_xlfn.XLOOKUP(Tableau242[[#This Row],[Consultant]],Tableau2[Collaborateur/Nom affiché],Tableau2[Montant imputé],0),0)</f>
        <v>0</v>
      </c>
      <c r="AA290" s="64">
        <f t="shared" si="5"/>
        <v>0</v>
      </c>
      <c r="AB290" s="65" t="s">
        <v>154</v>
      </c>
      <c r="AC290" s="66"/>
      <c r="AD290" s="66"/>
      <c r="AE290" s="105"/>
      <c r="AF290" s="90"/>
    </row>
    <row r="291" spans="1:32">
      <c r="A291" s="15">
        <f>Tableau242[[#This Row],[Company number]]+0</f>
        <v>22103</v>
      </c>
      <c r="B291" s="60" t="s">
        <v>710</v>
      </c>
      <c r="C291" s="61" t="s">
        <v>711</v>
      </c>
      <c r="D291" s="61" t="s">
        <v>75</v>
      </c>
      <c r="E291" s="62" t="str">
        <f>IFERROR(VLOOKUP(Tableau242[[#This Row],[Manager ou CDM concerné]],Parametres!B:C,2,FALSE),"")</f>
        <v>Squad A</v>
      </c>
      <c r="F291" s="62" t="str">
        <f>IF(Tableau242[[#This Row],[Consultant]]=Tableau242[[#This Row],[Manager ou CDM concerné]],"Non",IF(IFERROR(VLOOKUP(Tableau242[[#This Row],[Consultant]],Parametres!B:C,2,FALSE),0)=0,"Non","Oui"))</f>
        <v>Non</v>
      </c>
      <c r="G291" s="62">
        <f>IFERROR(VLOOKUP(B291,Tableau5[#All],4,FALSE),"Matricule!")</f>
        <v>0</v>
      </c>
      <c r="H291" s="62" t="str">
        <f>IFERROR(VLOOKUP(Tableau242[[#This Row],[Company number]],#REF!,6,FALSE),"")</f>
        <v/>
      </c>
      <c r="I291" s="62">
        <f>IFERROR(VLOOKUP(B291,Tableau5[#All],5,FALSE),"Matricule!")</f>
        <v>20</v>
      </c>
      <c r="J291" s="62">
        <f>IFERROR(VLOOKUP(B291,Tableau5[#All],6,FALSE),"Matricule!")</f>
        <v>0</v>
      </c>
      <c r="K291" s="62">
        <f>IFERROR(VLOOKUP(B291,Tableau5[#All],7,FALSE),"Matricule!")</f>
        <v>0</v>
      </c>
      <c r="L291" s="62" t="e">
        <f>VLOOKUP(Tableau242[[#This Row],[Company number]],#REF!,25,FALSE)</f>
        <v>#REF!</v>
      </c>
      <c r="M291" s="62" t="str">
        <f>IFERROR(VLOOKUP(Tableau242[[#This Row],[Company number]],#REF!,30,FALSE),"")</f>
        <v/>
      </c>
      <c r="N291" s="62" t="str">
        <f>IFERROR(VLOOKUP(Tableau242[[#This Row],[Company number]],#REF!,31,FALSE),"")</f>
        <v/>
      </c>
      <c r="O291" s="62" t="str">
        <f>IFERROR(VLOOKUP(Tableau242[[#This Row],[Company number]],#REF!,32,FALSE),"")</f>
        <v/>
      </c>
      <c r="P291" s="62">
        <f>IFERROR(VLOOKUP(B291,Tableau3[#All],5,FALSE),"Matricule!")</f>
        <v>0</v>
      </c>
      <c r="Q291" s="62">
        <f>IFERROR(SUM(VLOOKUP(B291,Tableau3[#All],6,FALSE),VLOOKUP(B291,Tableau3[#All],8,FALSE)),"Matricule!")</f>
        <v>20</v>
      </c>
      <c r="R291" s="62">
        <f>IFERROR(VLOOKUP(B291,Tableau3[#All],7,FALSE),"Matricule!")</f>
        <v>0</v>
      </c>
      <c r="S291" s="62">
        <f>IFERROR(Tableau242[[#This Row],[Prod. days WK]]-Tableau242[[#This Row],[Prod PXX]],"Matricule")</f>
        <v>0</v>
      </c>
      <c r="T291" s="62">
        <f>IFERROR(Tableau242[[#This Row],[Non prod. days WK]]-Tableau242[[#This Row],[Improd PXX]],"Matricule")</f>
        <v>0</v>
      </c>
      <c r="U291" s="62">
        <f>IFERROR(Tableau242[[#This Row],[Paid leave days WK]]-Tableau242[[#This Row],[Congé PXX]],"Matricule")</f>
        <v>0</v>
      </c>
      <c r="V291" s="63">
        <f>IFERROR(VLOOKUP($B291,#REF!,4,FALSE),0)</f>
        <v>0</v>
      </c>
      <c r="W29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91" s="63">
        <f>IF(AND(Tableau242[[#This Row],[Paid leave days]]&gt;0,Tableau242[[#This Row],[Prod. days]]&lt;0),MIN(Tableau242[[#This Row],[Paid leave days]],-Tableau242[[#This Row],[Prod. days]]),0)</f>
        <v>0</v>
      </c>
      <c r="Z291" s="63">
        <f>IFERROR(_xlfn.XLOOKUP(Tableau242[[#This Row],[Consultant]],Tableau2[Collaborateur/Nom affiché],Tableau2[Montant imputé],0),0)</f>
        <v>0</v>
      </c>
      <c r="AA291" s="64">
        <f t="shared" si="5"/>
        <v>0</v>
      </c>
      <c r="AB291" s="65" t="s">
        <v>154</v>
      </c>
      <c r="AC291" s="66"/>
      <c r="AD291" s="66"/>
      <c r="AE291" s="105"/>
      <c r="AF291" s="90"/>
    </row>
    <row r="292" spans="1:32">
      <c r="A292" s="15">
        <f>Tableau242[[#This Row],[Company number]]+0</f>
        <v>14538</v>
      </c>
      <c r="B292" s="60" t="s">
        <v>712</v>
      </c>
      <c r="C292" s="61" t="s">
        <v>713</v>
      </c>
      <c r="D292" s="61" t="s">
        <v>75</v>
      </c>
      <c r="E292" s="62" t="str">
        <f>IFERROR(VLOOKUP(Tableau242[[#This Row],[Manager ou CDM concerné]],Parametres!B:C,2,FALSE),"")</f>
        <v>Squad A</v>
      </c>
      <c r="F292" s="62" t="str">
        <f>IF(Tableau242[[#This Row],[Consultant]]=Tableau242[[#This Row],[Manager ou CDM concerné]],"Non",IF(IFERROR(VLOOKUP(Tableau242[[#This Row],[Consultant]],Parametres!B:C,2,FALSE),0)=0,"Non","Oui"))</f>
        <v>Non</v>
      </c>
      <c r="G292" s="62">
        <f>IFERROR(VLOOKUP(B292,Tableau5[#All],4,FALSE),"Matricule!")</f>
        <v>19.5</v>
      </c>
      <c r="H292" s="62" t="str">
        <f>IFERROR(VLOOKUP(Tableau242[[#This Row],[Company number]],#REF!,6,FALSE),"")</f>
        <v/>
      </c>
      <c r="I292" s="62">
        <f>IFERROR(VLOOKUP(B292,Tableau5[#All],5,FALSE),"Matricule!")</f>
        <v>0</v>
      </c>
      <c r="J292" s="62">
        <f>IFERROR(VLOOKUP(B292,Tableau5[#All],6,FALSE),"Matricule!")</f>
        <v>0.5</v>
      </c>
      <c r="K292" s="62">
        <f>IFERROR(VLOOKUP(B292,Tableau5[#All],7,FALSE),"Matricule!")</f>
        <v>0</v>
      </c>
      <c r="L292" s="62" t="e">
        <f>VLOOKUP(Tableau242[[#This Row],[Company number]],#REF!,25,FALSE)</f>
        <v>#REF!</v>
      </c>
      <c r="M292" s="62" t="str">
        <f>IFERROR(VLOOKUP(Tableau242[[#This Row],[Company number]],#REF!,30,FALSE),"")</f>
        <v/>
      </c>
      <c r="N292" s="62" t="str">
        <f>IFERROR(VLOOKUP(Tableau242[[#This Row],[Company number]],#REF!,31,FALSE),"")</f>
        <v/>
      </c>
      <c r="O292" s="62" t="str">
        <f>IFERROR(VLOOKUP(Tableau242[[#This Row],[Company number]],#REF!,32,FALSE),"")</f>
        <v/>
      </c>
      <c r="P292" s="62">
        <f>IFERROR(VLOOKUP(B292,Tableau3[#All],5,FALSE),"Matricule!")</f>
        <v>19.5</v>
      </c>
      <c r="Q292" s="62">
        <f>IFERROR(SUM(VLOOKUP(B292,Tableau3[#All],6,FALSE),VLOOKUP(B292,Tableau3[#All],8,FALSE)),"Matricule!")</f>
        <v>0</v>
      </c>
      <c r="R292" s="62">
        <f>IFERROR(VLOOKUP(B292,Tableau3[#All],7,FALSE),"Matricule!")</f>
        <v>0.5</v>
      </c>
      <c r="S292" s="62">
        <f>IFERROR(Tableau242[[#This Row],[Prod. days WK]]-Tableau242[[#This Row],[Prod PXX]],"Matricule")</f>
        <v>0</v>
      </c>
      <c r="T292" s="62">
        <f>IFERROR(Tableau242[[#This Row],[Non prod. days WK]]-Tableau242[[#This Row],[Improd PXX]],"Matricule")</f>
        <v>0</v>
      </c>
      <c r="U292" s="62">
        <f>IFERROR(Tableau242[[#This Row],[Paid leave days WK]]-Tableau242[[#This Row],[Congé PXX]],"Matricule")</f>
        <v>0</v>
      </c>
      <c r="V292" s="63">
        <f>IFERROR(VLOOKUP($B292,#REF!,4,FALSE),0)</f>
        <v>0</v>
      </c>
      <c r="W29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92" s="63">
        <f>IF(AND(Tableau242[[#This Row],[Paid leave days]]&gt;0,Tableau242[[#This Row],[Prod. days]]&lt;0),MIN(Tableau242[[#This Row],[Paid leave days]],-Tableau242[[#This Row],[Prod. days]]),0)</f>
        <v>0</v>
      </c>
      <c r="Z292" s="63">
        <f>IFERROR(_xlfn.XLOOKUP(Tableau242[[#This Row],[Consultant]],Tableau2[Collaborateur/Nom affiché],Tableau2[Montant imputé],0),0)</f>
        <v>0</v>
      </c>
      <c r="AA292" s="64">
        <f t="shared" si="5"/>
        <v>0</v>
      </c>
      <c r="AB292" s="65" t="s">
        <v>154</v>
      </c>
      <c r="AC292" s="66"/>
      <c r="AD292" s="66"/>
      <c r="AE292" s="105"/>
      <c r="AF292" s="90"/>
    </row>
    <row r="293" spans="1:32">
      <c r="A293" s="15">
        <f>Tableau242[[#This Row],[Company number]]+0</f>
        <v>17925</v>
      </c>
      <c r="B293" s="60" t="s">
        <v>714</v>
      </c>
      <c r="C293" s="61" t="s">
        <v>715</v>
      </c>
      <c r="D293" s="61" t="s">
        <v>75</v>
      </c>
      <c r="E293" s="62" t="str">
        <f>IFERROR(VLOOKUP(Tableau242[[#This Row],[Manager ou CDM concerné]],Parametres!B:C,2,FALSE),"")</f>
        <v>Squad A</v>
      </c>
      <c r="F293" s="62" t="str">
        <f>IF(Tableau242[[#This Row],[Consultant]]=Tableau242[[#This Row],[Manager ou CDM concerné]],"Non",IF(IFERROR(VLOOKUP(Tableau242[[#This Row],[Consultant]],Parametres!B:C,2,FALSE),0)=0,"Non","Oui"))</f>
        <v>Non</v>
      </c>
      <c r="G293" s="62">
        <f>IFERROR(VLOOKUP(B293,Tableau5[#All],4,FALSE),"Matricule!")</f>
        <v>20</v>
      </c>
      <c r="H293" s="62" t="str">
        <f>IFERROR(VLOOKUP(Tableau242[[#This Row],[Company number]],#REF!,6,FALSE),"")</f>
        <v/>
      </c>
      <c r="I293" s="62">
        <f>IFERROR(VLOOKUP(B293,Tableau5[#All],5,FALSE),"Matricule!")</f>
        <v>0</v>
      </c>
      <c r="J293" s="62">
        <f>IFERROR(VLOOKUP(B293,Tableau5[#All],6,FALSE),"Matricule!")</f>
        <v>0</v>
      </c>
      <c r="K293" s="62">
        <f>IFERROR(VLOOKUP(B293,Tableau5[#All],7,FALSE),"Matricule!")</f>
        <v>0</v>
      </c>
      <c r="L293" s="62" t="e">
        <f>VLOOKUP(Tableau242[[#This Row],[Company number]],#REF!,25,FALSE)</f>
        <v>#REF!</v>
      </c>
      <c r="M293" s="62" t="str">
        <f>IFERROR(VLOOKUP(Tableau242[[#This Row],[Company number]],#REF!,30,FALSE),"")</f>
        <v/>
      </c>
      <c r="N293" s="62" t="str">
        <f>IFERROR(VLOOKUP(Tableau242[[#This Row],[Company number]],#REF!,31,FALSE),"")</f>
        <v/>
      </c>
      <c r="O293" s="62" t="str">
        <f>IFERROR(VLOOKUP(Tableau242[[#This Row],[Company number]],#REF!,32,FALSE),"")</f>
        <v/>
      </c>
      <c r="P293" s="62">
        <f>IFERROR(VLOOKUP(B293,Tableau3[#All],5,FALSE),"Matricule!")</f>
        <v>20</v>
      </c>
      <c r="Q293" s="62">
        <f>IFERROR(SUM(VLOOKUP(B293,Tableau3[#All],6,FALSE),VLOOKUP(B293,Tableau3[#All],8,FALSE)),"Matricule!")</f>
        <v>0</v>
      </c>
      <c r="R293" s="62">
        <f>IFERROR(VLOOKUP(B293,Tableau3[#All],7,FALSE),"Matricule!")</f>
        <v>0</v>
      </c>
      <c r="S293" s="62">
        <f>IFERROR(Tableau242[[#This Row],[Prod. days WK]]-Tableau242[[#This Row],[Prod PXX]],"Matricule")</f>
        <v>0</v>
      </c>
      <c r="T293" s="62">
        <f>IFERROR(Tableau242[[#This Row],[Non prod. days WK]]-Tableau242[[#This Row],[Improd PXX]],"Matricule")</f>
        <v>0</v>
      </c>
      <c r="U293" s="62">
        <f>IFERROR(Tableau242[[#This Row],[Paid leave days WK]]-Tableau242[[#This Row],[Congé PXX]],"Matricule")</f>
        <v>0</v>
      </c>
      <c r="V293" s="63">
        <f>IFERROR(VLOOKUP($B293,#REF!,4,FALSE),0)</f>
        <v>0</v>
      </c>
      <c r="W29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93" s="63">
        <f>IF(AND(Tableau242[[#This Row],[Paid leave days]]&gt;0,Tableau242[[#This Row],[Prod. days]]&lt;0),MIN(Tableau242[[#This Row],[Paid leave days]],-Tableau242[[#This Row],[Prod. days]]),0)</f>
        <v>0</v>
      </c>
      <c r="Z293" s="63">
        <f>IFERROR(_xlfn.XLOOKUP(Tableau242[[#This Row],[Consultant]],Tableau2[Collaborateur/Nom affiché],Tableau2[Montant imputé],0),0)</f>
        <v>0</v>
      </c>
      <c r="AA293" s="64">
        <f t="shared" si="5"/>
        <v>0</v>
      </c>
      <c r="AB293" s="65" t="s">
        <v>154</v>
      </c>
      <c r="AC293" s="66"/>
      <c r="AD293" s="66"/>
      <c r="AE293" s="105"/>
      <c r="AF293" s="90"/>
    </row>
    <row r="294" spans="1:32">
      <c r="A294" s="15">
        <f>Tableau242[[#This Row],[Company number]]+0</f>
        <v>17948</v>
      </c>
      <c r="B294" s="60" t="s">
        <v>716</v>
      </c>
      <c r="C294" s="61" t="s">
        <v>717</v>
      </c>
      <c r="D294" s="61" t="s">
        <v>75</v>
      </c>
      <c r="E294" s="62" t="str">
        <f>IFERROR(VLOOKUP(Tableau242[[#This Row],[Manager ou CDM concerné]],Parametres!B:C,2,FALSE),"")</f>
        <v>Squad A</v>
      </c>
      <c r="F294" s="62" t="str">
        <f>IF(Tableau242[[#This Row],[Consultant]]=Tableau242[[#This Row],[Manager ou CDM concerné]],"Non",IF(IFERROR(VLOOKUP(Tableau242[[#This Row],[Consultant]],Parametres!B:C,2,FALSE),0)=0,"Non","Oui"))</f>
        <v>Non</v>
      </c>
      <c r="G294" s="62">
        <f>IFERROR(VLOOKUP(B294,Tableau5[#All],4,FALSE),"Matricule!")</f>
        <v>0</v>
      </c>
      <c r="H294" s="62" t="str">
        <f>IFERROR(VLOOKUP(Tableau242[[#This Row],[Company number]],#REF!,6,FALSE),"")</f>
        <v/>
      </c>
      <c r="I294" s="62">
        <f>IFERROR(VLOOKUP(B294,Tableau5[#All],5,FALSE),"Matricule!")</f>
        <v>17</v>
      </c>
      <c r="J294" s="62">
        <f>IFERROR(VLOOKUP(B294,Tableau5[#All],6,FALSE),"Matricule!")</f>
        <v>3</v>
      </c>
      <c r="K294" s="62">
        <f>IFERROR(VLOOKUP(B294,Tableau5[#All],7,FALSE),"Matricule!")</f>
        <v>0</v>
      </c>
      <c r="L294" s="62" t="e">
        <f>VLOOKUP(Tableau242[[#This Row],[Company number]],#REF!,25,FALSE)</f>
        <v>#REF!</v>
      </c>
      <c r="M294" s="62" t="str">
        <f>IFERROR(VLOOKUP(Tableau242[[#This Row],[Company number]],#REF!,30,FALSE),"")</f>
        <v/>
      </c>
      <c r="N294" s="62" t="str">
        <f>IFERROR(VLOOKUP(Tableau242[[#This Row],[Company number]],#REF!,31,FALSE),"")</f>
        <v/>
      </c>
      <c r="O294" s="62" t="str">
        <f>IFERROR(VLOOKUP(Tableau242[[#This Row],[Company number]],#REF!,32,FALSE),"")</f>
        <v/>
      </c>
      <c r="P294" s="68">
        <f>IFERROR(VLOOKUP(B294,Tableau3[#All],5,FALSE),"Matricule!")</f>
        <v>0</v>
      </c>
      <c r="Q294" s="68">
        <f>IFERROR(SUM(VLOOKUP(B294,Tableau3[#All],6,FALSE),VLOOKUP(B294,Tableau3[#All],8,FALSE)),"Matricule!")</f>
        <v>17</v>
      </c>
      <c r="R294" s="68">
        <f>IFERROR(VLOOKUP(B294,Tableau3[#All],7,FALSE),"Matricule!")</f>
        <v>3</v>
      </c>
      <c r="S294" s="62">
        <f>IFERROR(Tableau242[[#This Row],[Prod. days WK]]-Tableau242[[#This Row],[Prod PXX]],"Matricule")</f>
        <v>0</v>
      </c>
      <c r="T294" s="62">
        <f>IFERROR(Tableau242[[#This Row],[Non prod. days WK]]-Tableau242[[#This Row],[Improd PXX]],"Matricule")</f>
        <v>0</v>
      </c>
      <c r="U294" s="62">
        <f>IFERROR(Tableau242[[#This Row],[Paid leave days WK]]-Tableau242[[#This Row],[Congé PXX]],"Matricule")</f>
        <v>0</v>
      </c>
      <c r="V294" s="63">
        <f>IFERROR(VLOOKUP($B294,#REF!,4,FALSE),0)</f>
        <v>0</v>
      </c>
      <c r="W29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94" s="63">
        <f>IF(AND(Tableau242[[#This Row],[Paid leave days]]&gt;0,Tableau242[[#This Row],[Prod. days]]&lt;0),MIN(Tableau242[[#This Row],[Paid leave days]],-Tableau242[[#This Row],[Prod. days]]),0)</f>
        <v>0</v>
      </c>
      <c r="Z294" s="63">
        <f>IFERROR(_xlfn.XLOOKUP(Tableau242[[#This Row],[Consultant]],Tableau2[Collaborateur/Nom affiché],Tableau2[Montant imputé],0),0)</f>
        <v>0</v>
      </c>
      <c r="AA294" s="64">
        <f t="shared" si="5"/>
        <v>0</v>
      </c>
      <c r="AB294" s="65" t="s">
        <v>154</v>
      </c>
      <c r="AC294" s="66"/>
      <c r="AD294" s="66"/>
      <c r="AE294" s="105"/>
      <c r="AF294" s="90"/>
    </row>
    <row r="295" spans="1:32">
      <c r="A295" s="15">
        <f>Tableau242[[#This Row],[Company number]]+0</f>
        <v>9536</v>
      </c>
      <c r="B295" s="60" t="s">
        <v>718</v>
      </c>
      <c r="C295" s="61" t="s">
        <v>719</v>
      </c>
      <c r="D295" s="61" t="s">
        <v>74</v>
      </c>
      <c r="E295" s="62" t="str">
        <f>IFERROR(VLOOKUP(Tableau242[[#This Row],[Manager ou CDM concerné]],Parametres!B:C,2,FALSE),"")</f>
        <v/>
      </c>
      <c r="F295" s="62" t="str">
        <f>IF(Tableau242[[#This Row],[Consultant]]=Tableau242[[#This Row],[Manager ou CDM concerné]],"Non",IF(IFERROR(VLOOKUP(Tableau242[[#This Row],[Consultant]],Parametres!B:C,2,FALSE),0)=0,"Non","Oui"))</f>
        <v>Non</v>
      </c>
      <c r="G295" s="62">
        <f>IFERROR(VLOOKUP(B295,Tableau5[#All],4,FALSE),"Matricule!")</f>
        <v>0</v>
      </c>
      <c r="H295" s="62" t="str">
        <f>IFERROR(VLOOKUP(Tableau242[[#This Row],[Company number]],#REF!,6,FALSE),"")</f>
        <v/>
      </c>
      <c r="I295" s="62">
        <f>IFERROR(VLOOKUP(B295,Tableau5[#All],5,FALSE),"Matricule!")</f>
        <v>14</v>
      </c>
      <c r="J295" s="62">
        <f>IFERROR(VLOOKUP(B295,Tableau5[#All],6,FALSE),"Matricule!")</f>
        <v>6</v>
      </c>
      <c r="K295" s="62">
        <f>IFERROR(VLOOKUP(B295,Tableau5[#All],7,FALSE),"Matricule!")</f>
        <v>0</v>
      </c>
      <c r="L295" s="62" t="e">
        <f>VLOOKUP(Tableau242[[#This Row],[Company number]],#REF!,25,FALSE)</f>
        <v>#REF!</v>
      </c>
      <c r="M295" s="62" t="str">
        <f>IFERROR(VLOOKUP(Tableau242[[#This Row],[Company number]],#REF!,30,FALSE),"")</f>
        <v/>
      </c>
      <c r="N295" s="62" t="str">
        <f>IFERROR(VLOOKUP(Tableau242[[#This Row],[Company number]],#REF!,31,FALSE),"")</f>
        <v/>
      </c>
      <c r="O295" s="62" t="str">
        <f>IFERROR(VLOOKUP(Tableau242[[#This Row],[Company number]],#REF!,32,FALSE),"")</f>
        <v/>
      </c>
      <c r="P295" s="62">
        <f>IFERROR(VLOOKUP(B295,Tableau3[#All],5,FALSE),"Matricule!")</f>
        <v>0</v>
      </c>
      <c r="Q295" s="62">
        <f>IFERROR(SUM(VLOOKUP(B295,Tableau3[#All],6,FALSE),VLOOKUP(B295,Tableau3[#All],8,FALSE)),"Matricule!")</f>
        <v>14</v>
      </c>
      <c r="R295" s="62">
        <f>IFERROR(VLOOKUP(B295,Tableau3[#All],7,FALSE),"Matricule!")</f>
        <v>6</v>
      </c>
      <c r="S295" s="62">
        <f>IFERROR(Tableau242[[#This Row],[Prod. days WK]]-Tableau242[[#This Row],[Prod PXX]],"Matricule")</f>
        <v>0</v>
      </c>
      <c r="T295" s="62">
        <f>IFERROR(Tableau242[[#This Row],[Non prod. days WK]]-Tableau242[[#This Row],[Improd PXX]],"Matricule")</f>
        <v>0</v>
      </c>
      <c r="U295" s="62">
        <f>IFERROR(Tableau242[[#This Row],[Paid leave days WK]]-Tableau242[[#This Row],[Congé PXX]],"Matricule")</f>
        <v>0</v>
      </c>
      <c r="V295" s="63">
        <f>IFERROR(VLOOKUP($B295,#REF!,4,FALSE),0)</f>
        <v>0</v>
      </c>
      <c r="W29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95" s="63">
        <f>IF(AND(Tableau242[[#This Row],[Paid leave days]]&gt;0,Tableau242[[#This Row],[Prod. days]]&lt;0),MIN(Tableau242[[#This Row],[Paid leave days]],-Tableau242[[#This Row],[Prod. days]]),0)</f>
        <v>0</v>
      </c>
      <c r="Z295" s="63">
        <f>IFERROR(_xlfn.XLOOKUP(Tableau242[[#This Row],[Consultant]],Tableau2[Collaborateur/Nom affiché],Tableau2[Montant imputé],0),0)</f>
        <v>0</v>
      </c>
      <c r="AA295" s="64">
        <f t="shared" si="5"/>
        <v>0</v>
      </c>
      <c r="AB295" s="65"/>
      <c r="AC295" s="66"/>
      <c r="AD295" s="66"/>
      <c r="AE295" s="39"/>
      <c r="AF295" s="90"/>
    </row>
    <row r="296" spans="1:32">
      <c r="A296" s="15">
        <f>Tableau242[[#This Row],[Company number]]+0</f>
        <v>20848</v>
      </c>
      <c r="B296" s="60" t="s">
        <v>720</v>
      </c>
      <c r="C296" s="61" t="s">
        <v>721</v>
      </c>
      <c r="D296" s="61" t="s">
        <v>25</v>
      </c>
      <c r="E296" s="62" t="str">
        <f>IFERROR(VLOOKUP(Tableau242[[#This Row],[Manager ou CDM concerné]],Parametres!B:C,2,FALSE),"")</f>
        <v>Squad E</v>
      </c>
      <c r="F296" s="62" t="str">
        <f>IF(Tableau242[[#This Row],[Consultant]]=Tableau242[[#This Row],[Manager ou CDM concerné]],"Non",IF(IFERROR(VLOOKUP(Tableau242[[#This Row],[Consultant]],Parametres!B:C,2,FALSE),0)=0,"Non","Oui"))</f>
        <v>Non</v>
      </c>
      <c r="G296" s="62">
        <f>IFERROR(VLOOKUP(B296,Tableau5[#All],4,FALSE),"Matricule!")</f>
        <v>20</v>
      </c>
      <c r="H296" s="62" t="str">
        <f>IFERROR(VLOOKUP(Tableau242[[#This Row],[Company number]],#REF!,6,FALSE),"")</f>
        <v/>
      </c>
      <c r="I296" s="62">
        <f>IFERROR(VLOOKUP(B296,Tableau5[#All],5,FALSE),"Matricule!")</f>
        <v>0</v>
      </c>
      <c r="J296" s="62">
        <f>IFERROR(VLOOKUP(B296,Tableau5[#All],6,FALSE),"Matricule!")</f>
        <v>0</v>
      </c>
      <c r="K296" s="62">
        <f>IFERROR(VLOOKUP(B296,Tableau5[#All],7,FALSE),"Matricule!")</f>
        <v>0</v>
      </c>
      <c r="L296" s="62" t="e">
        <f>VLOOKUP(Tableau242[[#This Row],[Company number]],#REF!,25,FALSE)</f>
        <v>#REF!</v>
      </c>
      <c r="M296" s="62" t="str">
        <f>IFERROR(VLOOKUP(Tableau242[[#This Row],[Company number]],#REF!,30,FALSE),"")</f>
        <v/>
      </c>
      <c r="N296" s="62" t="str">
        <f>IFERROR(VLOOKUP(Tableau242[[#This Row],[Company number]],#REF!,31,FALSE),"")</f>
        <v/>
      </c>
      <c r="O296" s="62" t="str">
        <f>IFERROR(VLOOKUP(Tableau242[[#This Row],[Company number]],#REF!,32,FALSE),"")</f>
        <v/>
      </c>
      <c r="P296" s="62">
        <f>IFERROR(VLOOKUP(B296,Tableau3[#All],5,FALSE),"Matricule!")</f>
        <v>20</v>
      </c>
      <c r="Q296" s="62">
        <f>IFERROR(SUM(VLOOKUP(B296,Tableau3[#All],6,FALSE),VLOOKUP(B296,Tableau3[#All],8,FALSE)),"Matricule!")</f>
        <v>0</v>
      </c>
      <c r="R296" s="62">
        <f>IFERROR(VLOOKUP(B296,Tableau3[#All],7,FALSE),"Matricule!")</f>
        <v>0</v>
      </c>
      <c r="S296" s="62">
        <f>IFERROR(Tableau242[[#This Row],[Prod. days WK]]-Tableau242[[#This Row],[Prod PXX]],"Matricule")</f>
        <v>0</v>
      </c>
      <c r="T296" s="62">
        <f>IFERROR(Tableau242[[#This Row],[Non prod. days WK]]-Tableau242[[#This Row],[Improd PXX]],"Matricule")</f>
        <v>0</v>
      </c>
      <c r="U296" s="62">
        <f>IFERROR(Tableau242[[#This Row],[Paid leave days WK]]-Tableau242[[#This Row],[Congé PXX]],"Matricule")</f>
        <v>0</v>
      </c>
      <c r="V296" s="63">
        <f>IFERROR(VLOOKUP($B296,#REF!,4,FALSE),0)</f>
        <v>0</v>
      </c>
      <c r="W29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96" s="63">
        <f>IF(AND(Tableau242[[#This Row],[Paid leave days]]&gt;0,Tableau242[[#This Row],[Prod. days]]&lt;0),MIN(Tableau242[[#This Row],[Paid leave days]],-Tableau242[[#This Row],[Prod. days]]),0)</f>
        <v>0</v>
      </c>
      <c r="Z296" s="63">
        <f>IFERROR(_xlfn.XLOOKUP(Tableau242[[#This Row],[Consultant]],Tableau2[Collaborateur/Nom affiché],Tableau2[Montant imputé],0),0)</f>
        <v>0</v>
      </c>
      <c r="AA296" s="64">
        <f t="shared" si="5"/>
        <v>0</v>
      </c>
      <c r="AB296" s="65"/>
      <c r="AC296" s="66"/>
      <c r="AD296" s="66"/>
      <c r="AE296" s="39"/>
      <c r="AF296" s="90"/>
    </row>
    <row r="297" spans="1:32" ht="14.45" customHeight="1">
      <c r="A297" s="15">
        <f>Tableau242[[#This Row],[Company number]]+0</f>
        <v>22001</v>
      </c>
      <c r="B297" s="60" t="s">
        <v>722</v>
      </c>
      <c r="C297" s="61" t="s">
        <v>723</v>
      </c>
      <c r="D297" s="61" t="s">
        <v>25</v>
      </c>
      <c r="E297" s="62" t="str">
        <f>IFERROR(VLOOKUP(Tableau242[[#This Row],[Manager ou CDM concerné]],Parametres!B:C,2,FALSE),"")</f>
        <v>Squad E</v>
      </c>
      <c r="F297" s="62" t="str">
        <f>IF(Tableau242[[#This Row],[Consultant]]=Tableau242[[#This Row],[Manager ou CDM concerné]],"Non",IF(IFERROR(VLOOKUP(Tableau242[[#This Row],[Consultant]],Parametres!B:C,2,FALSE),0)=0,"Non","Oui"))</f>
        <v>Non</v>
      </c>
      <c r="G297" s="62">
        <f>IFERROR(VLOOKUP(B297,Tableau5[#All],4,FALSE),"Matricule!")</f>
        <v>20</v>
      </c>
      <c r="H297" s="62" t="str">
        <f>IFERROR(VLOOKUP(Tableau242[[#This Row],[Company number]],#REF!,6,FALSE),"")</f>
        <v/>
      </c>
      <c r="I297" s="62">
        <f>IFERROR(VLOOKUP(B297,Tableau5[#All],5,FALSE),"Matricule!")</f>
        <v>0</v>
      </c>
      <c r="J297" s="62">
        <f>IFERROR(VLOOKUP(B297,Tableau5[#All],6,FALSE),"Matricule!")</f>
        <v>0</v>
      </c>
      <c r="K297" s="62">
        <f>IFERROR(VLOOKUP(B297,Tableau5[#All],7,FALSE),"Matricule!")</f>
        <v>0</v>
      </c>
      <c r="L297" s="62" t="e">
        <f>VLOOKUP(Tableau242[[#This Row],[Company number]],#REF!,25,FALSE)</f>
        <v>#REF!</v>
      </c>
      <c r="M297" s="62" t="str">
        <f>IFERROR(VLOOKUP(Tableau242[[#This Row],[Company number]],#REF!,30,FALSE),"")</f>
        <v/>
      </c>
      <c r="N297" s="62" t="str">
        <f>IFERROR(VLOOKUP(Tableau242[[#This Row],[Company number]],#REF!,31,FALSE),"")</f>
        <v/>
      </c>
      <c r="O297" s="62" t="str">
        <f>IFERROR(VLOOKUP(Tableau242[[#This Row],[Company number]],#REF!,32,FALSE),"")</f>
        <v/>
      </c>
      <c r="P297" s="62">
        <f>IFERROR(VLOOKUP(B297,Tableau3[#All],5,FALSE),"Matricule!")</f>
        <v>20</v>
      </c>
      <c r="Q297" s="62">
        <f>IFERROR(SUM(VLOOKUP(B297,Tableau3[#All],6,FALSE),VLOOKUP(B297,Tableau3[#All],8,FALSE)),"Matricule!")</f>
        <v>0</v>
      </c>
      <c r="R297" s="62">
        <f>IFERROR(VLOOKUP(B297,Tableau3[#All],7,FALSE),"Matricule!")</f>
        <v>0</v>
      </c>
      <c r="S297" s="62">
        <f>IFERROR(Tableau242[[#This Row],[Prod. days WK]]-Tableau242[[#This Row],[Prod PXX]],"Matricule")</f>
        <v>0</v>
      </c>
      <c r="T297" s="62">
        <f>IFERROR(Tableau242[[#This Row],[Non prod. days WK]]-Tableau242[[#This Row],[Improd PXX]],"Matricule")</f>
        <v>0</v>
      </c>
      <c r="U297" s="62">
        <f>IFERROR(Tableau242[[#This Row],[Paid leave days WK]]-Tableau242[[#This Row],[Congé PXX]],"Matricule")</f>
        <v>0</v>
      </c>
      <c r="V297" s="63">
        <f>IFERROR(VLOOKUP($B297,#REF!,4,FALSE),0)</f>
        <v>0</v>
      </c>
      <c r="W29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97" s="63">
        <f>IF(AND(Tableau242[[#This Row],[Paid leave days]]&gt;0,Tableau242[[#This Row],[Prod. days]]&lt;0),MIN(Tableau242[[#This Row],[Paid leave days]],-Tableau242[[#This Row],[Prod. days]]),0)</f>
        <v>0</v>
      </c>
      <c r="Z297" s="63">
        <f>IFERROR(_xlfn.XLOOKUP(Tableau242[[#This Row],[Consultant]],Tableau2[Collaborateur/Nom affiché],Tableau2[Montant imputé],0),0)</f>
        <v>0</v>
      </c>
      <c r="AA297" s="64">
        <f t="shared" si="5"/>
        <v>0</v>
      </c>
      <c r="AB297" s="65"/>
      <c r="AC297" s="67"/>
      <c r="AD297" s="66"/>
      <c r="AE297" s="105"/>
      <c r="AF297" s="93"/>
    </row>
    <row r="298" spans="1:32">
      <c r="A298" s="15">
        <f>Tableau242[[#This Row],[Company number]]+0</f>
        <v>21154</v>
      </c>
      <c r="B298" s="60" t="s">
        <v>724</v>
      </c>
      <c r="C298" s="61" t="s">
        <v>725</v>
      </c>
      <c r="D298" s="61" t="s">
        <v>25</v>
      </c>
      <c r="E298" s="62" t="str">
        <f>IFERROR(VLOOKUP(Tableau242[[#This Row],[Manager ou CDM concerné]],Parametres!B:C,2,FALSE),"")</f>
        <v>Squad E</v>
      </c>
      <c r="F298" s="62" t="str">
        <f>IF(Tableau242[[#This Row],[Consultant]]=Tableau242[[#This Row],[Manager ou CDM concerné]],"Non",IF(IFERROR(VLOOKUP(Tableau242[[#This Row],[Consultant]],Parametres!B:C,2,FALSE),0)=0,"Non","Oui"))</f>
        <v>Non</v>
      </c>
      <c r="G298" s="62">
        <f>IFERROR(VLOOKUP(B298,Tableau5[#All],4,FALSE),"Matricule!")</f>
        <v>5</v>
      </c>
      <c r="H298" s="62" t="str">
        <f>IFERROR(VLOOKUP(Tableau242[[#This Row],[Company number]],#REF!,6,FALSE),"")</f>
        <v/>
      </c>
      <c r="I298" s="62">
        <f>IFERROR(VLOOKUP(B298,Tableau5[#All],5,FALSE),"Matricule!")</f>
        <v>14</v>
      </c>
      <c r="J298" s="62">
        <f>IFERROR(VLOOKUP(B298,Tableau5[#All],6,FALSE),"Matricule!")</f>
        <v>0</v>
      </c>
      <c r="K298" s="62">
        <f>IFERROR(VLOOKUP(B298,Tableau5[#All],7,FALSE),"Matricule!")</f>
        <v>1</v>
      </c>
      <c r="L298" s="62" t="e">
        <f>VLOOKUP(Tableau242[[#This Row],[Company number]],#REF!,25,FALSE)</f>
        <v>#REF!</v>
      </c>
      <c r="M298" s="62" t="str">
        <f>IFERROR(VLOOKUP(Tableau242[[#This Row],[Company number]],#REF!,30,FALSE),"")</f>
        <v/>
      </c>
      <c r="N298" s="62" t="str">
        <f>IFERROR(VLOOKUP(Tableau242[[#This Row],[Company number]],#REF!,31,FALSE),"")</f>
        <v/>
      </c>
      <c r="O298" s="62" t="str">
        <f>IFERROR(VLOOKUP(Tableau242[[#This Row],[Company number]],#REF!,32,FALSE),"")</f>
        <v/>
      </c>
      <c r="P298" s="62">
        <f>IFERROR(VLOOKUP(B298,Tableau3[#All],5,FALSE),"Matricule!")</f>
        <v>5</v>
      </c>
      <c r="Q298" s="62">
        <f>IFERROR(SUM(VLOOKUP(B298,Tableau3[#All],6,FALSE),VLOOKUP(B298,Tableau3[#All],8,FALSE)),"Matricule!")</f>
        <v>14</v>
      </c>
      <c r="R298" s="62">
        <f>IFERROR(VLOOKUP(B298,Tableau3[#All],7,FALSE),"Matricule!")</f>
        <v>0</v>
      </c>
      <c r="S298" s="62">
        <f>IFERROR(Tableau242[[#This Row],[Prod. days WK]]-Tableau242[[#This Row],[Prod PXX]],"Matricule")</f>
        <v>0</v>
      </c>
      <c r="T298" s="62">
        <f>IFERROR(Tableau242[[#This Row],[Non prod. days WK]]-Tableau242[[#This Row],[Improd PXX]],"Matricule")</f>
        <v>0</v>
      </c>
      <c r="U298" s="62">
        <f>IFERROR(Tableau242[[#This Row],[Paid leave days WK]]-Tableau242[[#This Row],[Congé PXX]],"Matricule")</f>
        <v>0</v>
      </c>
      <c r="V298" s="63">
        <f>IFERROR(VLOOKUP($B298,#REF!,4,FALSE),0)</f>
        <v>0</v>
      </c>
      <c r="W29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298" s="63">
        <f>IF(AND(Tableau242[[#This Row],[Paid leave days]]&gt;0,Tableau242[[#This Row],[Prod. days]]&lt;0),MIN(Tableau242[[#This Row],[Paid leave days]],-Tableau242[[#This Row],[Prod. days]]),0)</f>
        <v>0</v>
      </c>
      <c r="Z298" s="63">
        <f>IFERROR(_xlfn.XLOOKUP(Tableau242[[#This Row],[Consultant]],Tableau2[Collaborateur/Nom affiché],Tableau2[Montant imputé],0),0)</f>
        <v>0</v>
      </c>
      <c r="AA298" s="64">
        <f t="shared" si="5"/>
        <v>0</v>
      </c>
      <c r="AB298" s="65"/>
      <c r="AC298" s="66"/>
      <c r="AD298" s="66"/>
      <c r="AE298" s="105"/>
      <c r="AF298" s="90"/>
    </row>
    <row r="299" spans="1:32">
      <c r="A299" s="15">
        <f>Tableau242[[#This Row],[Company number]]+0</f>
        <v>16988</v>
      </c>
      <c r="B299" s="60" t="s">
        <v>726</v>
      </c>
      <c r="C299" s="61" t="s">
        <v>727</v>
      </c>
      <c r="D299" s="61" t="s">
        <v>25</v>
      </c>
      <c r="E299" s="62" t="str">
        <f>IFERROR(VLOOKUP(Tableau242[[#This Row],[Manager ou CDM concerné]],Parametres!B:C,2,FALSE),"")</f>
        <v>Squad E</v>
      </c>
      <c r="F299" s="62" t="str">
        <f>IF(Tableau242[[#This Row],[Consultant]]=Tableau242[[#This Row],[Manager ou CDM concerné]],"Non",IF(IFERROR(VLOOKUP(Tableau242[[#This Row],[Consultant]],Parametres!B:C,2,FALSE),0)=0,"Non","Oui"))</f>
        <v>Non</v>
      </c>
      <c r="G299" s="62">
        <f>IFERROR(VLOOKUP(B299,Tableau5[#All],4,FALSE),"Matricule!")</f>
        <v>20</v>
      </c>
      <c r="H299" s="62" t="str">
        <f>IFERROR(VLOOKUP(Tableau242[[#This Row],[Company number]],#REF!,6,FALSE),"")</f>
        <v/>
      </c>
      <c r="I299" s="62">
        <f>IFERROR(VLOOKUP(B299,Tableau5[#All],5,FALSE),"Matricule!")</f>
        <v>0</v>
      </c>
      <c r="J299" s="62">
        <f>IFERROR(VLOOKUP(B299,Tableau5[#All],6,FALSE),"Matricule!")</f>
        <v>0</v>
      </c>
      <c r="K299" s="62">
        <f>IFERROR(VLOOKUP(B299,Tableau5[#All],7,FALSE),"Matricule!")</f>
        <v>0</v>
      </c>
      <c r="L299" s="62" t="e">
        <f>VLOOKUP(Tableau242[[#This Row],[Company number]],#REF!,25,FALSE)</f>
        <v>#REF!</v>
      </c>
      <c r="M299" s="62" t="str">
        <f>IFERROR(VLOOKUP(Tableau242[[#This Row],[Company number]],#REF!,30,FALSE),"")</f>
        <v/>
      </c>
      <c r="N299" s="62" t="str">
        <f>IFERROR(VLOOKUP(Tableau242[[#This Row],[Company number]],#REF!,31,FALSE),"")</f>
        <v/>
      </c>
      <c r="O299" s="62" t="str">
        <f>IFERROR(VLOOKUP(Tableau242[[#This Row],[Company number]],#REF!,32,FALSE),"")</f>
        <v/>
      </c>
      <c r="P299" s="62">
        <f>IFERROR(VLOOKUP(B299,Tableau3[#All],5,FALSE),"Matricule!")</f>
        <v>20</v>
      </c>
      <c r="Q299" s="62">
        <f>IFERROR(SUM(VLOOKUP(B299,Tableau3[#All],6,FALSE),VLOOKUP(B299,Tableau3[#All],8,FALSE)),"Matricule!")</f>
        <v>0</v>
      </c>
      <c r="R299" s="62">
        <f>IFERROR(VLOOKUP(B299,Tableau3[#All],7,FALSE),"Matricule!")</f>
        <v>0</v>
      </c>
      <c r="S299" s="62">
        <f>IFERROR(Tableau242[[#This Row],[Prod. days WK]]-Tableau242[[#This Row],[Prod PXX]],"Matricule")</f>
        <v>0</v>
      </c>
      <c r="T299" s="62">
        <f>IFERROR(Tableau242[[#This Row],[Non prod. days WK]]-Tableau242[[#This Row],[Improd PXX]],"Matricule")</f>
        <v>0</v>
      </c>
      <c r="U299" s="62">
        <f>IFERROR(Tableau242[[#This Row],[Paid leave days WK]]-Tableau242[[#This Row],[Congé PXX]],"Matricule")</f>
        <v>0</v>
      </c>
      <c r="V299" s="63">
        <f>IFERROR(VLOOKUP($B299,#REF!,4,FALSE),0)</f>
        <v>0</v>
      </c>
      <c r="W29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29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299" s="63">
        <f>IF(AND(Tableau242[[#This Row],[Paid leave days]]&gt;0,Tableau242[[#This Row],[Prod. days]]&lt;0),MIN(Tableau242[[#This Row],[Paid leave days]],-Tableau242[[#This Row],[Prod. days]]),0)</f>
        <v>0</v>
      </c>
      <c r="Z299" s="63">
        <f>IFERROR(_xlfn.XLOOKUP(Tableau242[[#This Row],[Consultant]],Tableau2[Collaborateur/Nom affiché],Tableau2[Montant imputé],0),0)</f>
        <v>0</v>
      </c>
      <c r="AA299" s="64">
        <f t="shared" si="5"/>
        <v>0</v>
      </c>
      <c r="AB299" s="65"/>
      <c r="AC299" s="66"/>
      <c r="AD299" s="66"/>
      <c r="AE299" s="105"/>
      <c r="AF299" s="90"/>
    </row>
    <row r="300" spans="1:32">
      <c r="A300" s="15">
        <f>Tableau242[[#This Row],[Company number]]+0</f>
        <v>17809</v>
      </c>
      <c r="B300" s="60" t="s">
        <v>728</v>
      </c>
      <c r="C300" s="61" t="s">
        <v>729</v>
      </c>
      <c r="D300" s="61" t="s">
        <v>25</v>
      </c>
      <c r="E300" s="62" t="str">
        <f>IFERROR(VLOOKUP(Tableau242[[#This Row],[Manager ou CDM concerné]],Parametres!B:C,2,FALSE),"")</f>
        <v>Squad E</v>
      </c>
      <c r="F300" s="62" t="str">
        <f>IF(Tableau242[[#This Row],[Consultant]]=Tableau242[[#This Row],[Manager ou CDM concerné]],"Non",IF(IFERROR(VLOOKUP(Tableau242[[#This Row],[Consultant]],Parametres!B:C,2,FALSE),0)=0,"Non","Oui"))</f>
        <v>Non</v>
      </c>
      <c r="G300" s="62">
        <f>IFERROR(VLOOKUP(B300,Tableau5[#All],4,FALSE),"Matricule!")</f>
        <v>18</v>
      </c>
      <c r="H300" s="62" t="str">
        <f>IFERROR(VLOOKUP(Tableau242[[#This Row],[Company number]],#REF!,6,FALSE),"")</f>
        <v/>
      </c>
      <c r="I300" s="62">
        <f>IFERROR(VLOOKUP(B300,Tableau5[#All],5,FALSE),"Matricule!")</f>
        <v>0</v>
      </c>
      <c r="J300" s="62">
        <f>IFERROR(VLOOKUP(B300,Tableau5[#All],6,FALSE),"Matricule!")</f>
        <v>2</v>
      </c>
      <c r="K300" s="62">
        <f>IFERROR(VLOOKUP(B300,Tableau5[#All],7,FALSE),"Matricule!")</f>
        <v>0</v>
      </c>
      <c r="L300" s="62" t="e">
        <f>VLOOKUP(Tableau242[[#This Row],[Company number]],#REF!,25,FALSE)</f>
        <v>#REF!</v>
      </c>
      <c r="M300" s="62" t="str">
        <f>IFERROR(VLOOKUP(Tableau242[[#This Row],[Company number]],#REF!,30,FALSE),"")</f>
        <v/>
      </c>
      <c r="N300" s="62" t="str">
        <f>IFERROR(VLOOKUP(Tableau242[[#This Row],[Company number]],#REF!,31,FALSE),"")</f>
        <v/>
      </c>
      <c r="O300" s="62" t="str">
        <f>IFERROR(VLOOKUP(Tableau242[[#This Row],[Company number]],#REF!,32,FALSE),"")</f>
        <v/>
      </c>
      <c r="P300" s="62">
        <f>IFERROR(VLOOKUP(B300,Tableau3[#All],5,FALSE),"Matricule!")</f>
        <v>20</v>
      </c>
      <c r="Q300" s="62">
        <f>IFERROR(SUM(VLOOKUP(B300,Tableau3[#All],6,FALSE),VLOOKUP(B300,Tableau3[#All],8,FALSE)),"Matricule!")</f>
        <v>0</v>
      </c>
      <c r="R300" s="62">
        <f>IFERROR(VLOOKUP(B300,Tableau3[#All],7,FALSE),"Matricule!")</f>
        <v>0</v>
      </c>
      <c r="S300" s="62">
        <f>IFERROR(Tableau242[[#This Row],[Prod. days WK]]-Tableau242[[#This Row],[Prod PXX]],"Matricule")</f>
        <v>-2</v>
      </c>
      <c r="T300" s="62">
        <f>IFERROR(Tableau242[[#This Row],[Non prod. days WK]]-Tableau242[[#This Row],[Improd PXX]],"Matricule")</f>
        <v>0</v>
      </c>
      <c r="U300" s="62">
        <f>IFERROR(Tableau242[[#This Row],[Paid leave days WK]]-Tableau242[[#This Row],[Congé PXX]],"Matricule")</f>
        <v>2</v>
      </c>
      <c r="V300" s="63">
        <f>IFERROR(VLOOKUP($B300,#REF!,4,FALSE),0)</f>
        <v>0</v>
      </c>
      <c r="W30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00" s="63">
        <f>IF(AND(Tableau242[[#This Row],[Paid leave days]]&gt;0,Tableau242[[#This Row],[Prod. days]]&lt;0),MIN(Tableau242[[#This Row],[Paid leave days]],-Tableau242[[#This Row],[Prod. days]]),0)</f>
        <v>2</v>
      </c>
      <c r="Z300" s="63">
        <f>IFERROR(_xlfn.XLOOKUP(Tableau242[[#This Row],[Consultant]],Tableau2[Collaborateur/Nom affiché],Tableau2[Montant imputé],0),0)</f>
        <v>0</v>
      </c>
      <c r="AA300" s="64">
        <f t="shared" si="5"/>
        <v>-2</v>
      </c>
      <c r="AB300" s="117"/>
      <c r="AC300" s="67"/>
      <c r="AD300" s="66"/>
      <c r="AE300" s="105"/>
      <c r="AF300" s="93"/>
    </row>
    <row r="301" spans="1:32">
      <c r="A301" s="15">
        <f>Tableau242[[#This Row],[Company number]]+0</f>
        <v>17607</v>
      </c>
      <c r="B301" s="60" t="s">
        <v>730</v>
      </c>
      <c r="C301" s="61" t="s">
        <v>731</v>
      </c>
      <c r="D301" s="61" t="s">
        <v>25</v>
      </c>
      <c r="E301" s="62" t="str">
        <f>IFERROR(VLOOKUP(Tableau242[[#This Row],[Manager ou CDM concerné]],Parametres!B:C,2,FALSE),"")</f>
        <v>Squad E</v>
      </c>
      <c r="F301" s="62" t="str">
        <f>IF(Tableau242[[#This Row],[Consultant]]=Tableau242[[#This Row],[Manager ou CDM concerné]],"Non",IF(IFERROR(VLOOKUP(Tableau242[[#This Row],[Consultant]],Parametres!B:C,2,FALSE),0)=0,"Non","Oui"))</f>
        <v>Non</v>
      </c>
      <c r="G301" s="62">
        <f>IFERROR(VLOOKUP(B301,Tableau5[#All],4,FALSE),"Matricule!")</f>
        <v>10</v>
      </c>
      <c r="H301" s="62" t="str">
        <f>IFERROR(VLOOKUP(Tableau242[[#This Row],[Company number]],#REF!,6,FALSE),"")</f>
        <v/>
      </c>
      <c r="I301" s="62">
        <f>IFERROR(VLOOKUP(B301,Tableau5[#All],5,FALSE),"Matricule!")</f>
        <v>10</v>
      </c>
      <c r="J301" s="62">
        <f>IFERROR(VLOOKUP(B301,Tableau5[#All],6,FALSE),"Matricule!")</f>
        <v>0</v>
      </c>
      <c r="K301" s="62">
        <f>IFERROR(VLOOKUP(B301,Tableau5[#All],7,FALSE),"Matricule!")</f>
        <v>0</v>
      </c>
      <c r="L301" s="62" t="e">
        <f>VLOOKUP(Tableau242[[#This Row],[Company number]],#REF!,25,FALSE)</f>
        <v>#REF!</v>
      </c>
      <c r="M301" s="62" t="str">
        <f>IFERROR(VLOOKUP(Tableau242[[#This Row],[Company number]],#REF!,30,FALSE),"")</f>
        <v/>
      </c>
      <c r="N301" s="62" t="str">
        <f>IFERROR(VLOOKUP(Tableau242[[#This Row],[Company number]],#REF!,31,FALSE),"")</f>
        <v/>
      </c>
      <c r="O301" s="62" t="str">
        <f>IFERROR(VLOOKUP(Tableau242[[#This Row],[Company number]],#REF!,32,FALSE),"")</f>
        <v/>
      </c>
      <c r="P301" s="62">
        <f>IFERROR(VLOOKUP(B301,Tableau3[#All],5,FALSE),"Matricule!")</f>
        <v>10</v>
      </c>
      <c r="Q301" s="62">
        <f>IFERROR(SUM(VLOOKUP(B301,Tableau3[#All],6,FALSE),VLOOKUP(B301,Tableau3[#All],8,FALSE)),"Matricule!")</f>
        <v>10</v>
      </c>
      <c r="R301" s="62">
        <f>IFERROR(VLOOKUP(B301,Tableau3[#All],7,FALSE),"Matricule!")</f>
        <v>0</v>
      </c>
      <c r="S301" s="62">
        <f>IFERROR(Tableau242[[#This Row],[Prod. days WK]]-Tableau242[[#This Row],[Prod PXX]],"Matricule")</f>
        <v>0</v>
      </c>
      <c r="T301" s="62">
        <f>IFERROR(Tableau242[[#This Row],[Non prod. days WK]]-Tableau242[[#This Row],[Improd PXX]],"Matricule")</f>
        <v>0</v>
      </c>
      <c r="U301" s="62">
        <f>IFERROR(Tableau242[[#This Row],[Paid leave days WK]]-Tableau242[[#This Row],[Congé PXX]],"Matricule")</f>
        <v>0</v>
      </c>
      <c r="V301" s="63">
        <f>IFERROR(VLOOKUP($B301,#REF!,4,FALSE),0)</f>
        <v>0</v>
      </c>
      <c r="W30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01" s="63">
        <f>IF(AND(Tableau242[[#This Row],[Paid leave days]]&gt;0,Tableau242[[#This Row],[Prod. days]]&lt;0),MIN(Tableau242[[#This Row],[Paid leave days]],-Tableau242[[#This Row],[Prod. days]]),0)</f>
        <v>0</v>
      </c>
      <c r="Z301" s="63">
        <f>IFERROR(_xlfn.XLOOKUP(Tableau242[[#This Row],[Consultant]],Tableau2[Collaborateur/Nom affiché],Tableau2[Montant imputé],0),0)</f>
        <v>0</v>
      </c>
      <c r="AA301" s="64">
        <f t="shared" si="5"/>
        <v>0</v>
      </c>
      <c r="AB301" s="65"/>
      <c r="AC301" s="66"/>
      <c r="AD301" s="66"/>
      <c r="AE301" s="105"/>
      <c r="AF301" s="90"/>
    </row>
    <row r="302" spans="1:32">
      <c r="A302" s="15">
        <f>Tableau242[[#This Row],[Company number]]+0</f>
        <v>20509</v>
      </c>
      <c r="B302" s="60" t="s">
        <v>732</v>
      </c>
      <c r="C302" s="61" t="s">
        <v>733</v>
      </c>
      <c r="D302" s="61" t="s">
        <v>25</v>
      </c>
      <c r="E302" s="62" t="str">
        <f>IFERROR(VLOOKUP(Tableau242[[#This Row],[Manager ou CDM concerné]],Parametres!B:C,2,FALSE),"")</f>
        <v>Squad E</v>
      </c>
      <c r="F302" s="62" t="str">
        <f>IF(Tableau242[[#This Row],[Consultant]]=Tableau242[[#This Row],[Manager ou CDM concerné]],"Non",IF(IFERROR(VLOOKUP(Tableau242[[#This Row],[Consultant]],Parametres!B:C,2,FALSE),0)=0,"Non","Oui"))</f>
        <v>Non</v>
      </c>
      <c r="G302" s="62">
        <f>IFERROR(VLOOKUP(B302,Tableau5[#All],4,FALSE),"Matricule!")</f>
        <v>18</v>
      </c>
      <c r="H302" s="62" t="str">
        <f>IFERROR(VLOOKUP(Tableau242[[#This Row],[Company number]],#REF!,6,FALSE),"")</f>
        <v/>
      </c>
      <c r="I302" s="62">
        <f>IFERROR(VLOOKUP(B302,Tableau5[#All],5,FALSE),"Matricule!")</f>
        <v>0</v>
      </c>
      <c r="J302" s="62">
        <f>IFERROR(VLOOKUP(B302,Tableau5[#All],6,FALSE),"Matricule!")</f>
        <v>2</v>
      </c>
      <c r="K302" s="62">
        <f>IFERROR(VLOOKUP(B302,Tableau5[#All],7,FALSE),"Matricule!")</f>
        <v>0</v>
      </c>
      <c r="L302" s="62" t="e">
        <f>VLOOKUP(Tableau242[[#This Row],[Company number]],#REF!,25,FALSE)</f>
        <v>#REF!</v>
      </c>
      <c r="M302" s="62" t="str">
        <f>IFERROR(VLOOKUP(Tableau242[[#This Row],[Company number]],#REF!,30,FALSE),"")</f>
        <v/>
      </c>
      <c r="N302" s="62" t="str">
        <f>IFERROR(VLOOKUP(Tableau242[[#This Row],[Company number]],#REF!,31,FALSE),"")</f>
        <v/>
      </c>
      <c r="O302" s="62" t="str">
        <f>IFERROR(VLOOKUP(Tableau242[[#This Row],[Company number]],#REF!,32,FALSE),"")</f>
        <v/>
      </c>
      <c r="P302" s="62">
        <f>IFERROR(VLOOKUP(B302,Tableau3[#All],5,FALSE),"Matricule!")</f>
        <v>9</v>
      </c>
      <c r="Q302" s="62">
        <f>IFERROR(SUM(VLOOKUP(B302,Tableau3[#All],6,FALSE),VLOOKUP(B302,Tableau3[#All],8,FALSE)),"Matricule!")</f>
        <v>9</v>
      </c>
      <c r="R302" s="62">
        <f>IFERROR(VLOOKUP(B302,Tableau3[#All],7,FALSE),"Matricule!")</f>
        <v>2</v>
      </c>
      <c r="S302" s="62">
        <f>IFERROR(Tableau242[[#This Row],[Prod. days WK]]-Tableau242[[#This Row],[Prod PXX]],"Matricule")</f>
        <v>9</v>
      </c>
      <c r="T302" s="62">
        <f>IFERROR(Tableau242[[#This Row],[Non prod. days WK]]-Tableau242[[#This Row],[Improd PXX]],"Matricule")</f>
        <v>-9</v>
      </c>
      <c r="U302" s="62">
        <f>IFERROR(Tableau242[[#This Row],[Paid leave days WK]]-Tableau242[[#This Row],[Congé PXX]],"Matricule")</f>
        <v>0</v>
      </c>
      <c r="V302" s="63">
        <f>IFERROR(VLOOKUP($B302,#REF!,4,FALSE),0)</f>
        <v>0</v>
      </c>
      <c r="W30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02" s="63">
        <f>IF(AND(Tableau242[[#This Row],[Paid leave days]]&gt;0,Tableau242[[#This Row],[Prod. days]]&lt;0),MIN(Tableau242[[#This Row],[Paid leave days]],-Tableau242[[#This Row],[Prod. days]]),0)</f>
        <v>0</v>
      </c>
      <c r="Z302" s="63">
        <f>IFERROR(_xlfn.XLOOKUP(Tableau242[[#This Row],[Consultant]],Tableau2[Collaborateur/Nom affiché],Tableau2[Montant imputé],0),0)</f>
        <v>0</v>
      </c>
      <c r="AA302" s="64">
        <f t="shared" si="5"/>
        <v>9</v>
      </c>
      <c r="AB302" s="65"/>
      <c r="AC302" s="66"/>
      <c r="AD302" s="66"/>
      <c r="AE302" s="114"/>
      <c r="AF302" s="90"/>
    </row>
    <row r="303" spans="1:32">
      <c r="A303" s="15">
        <f>Tableau242[[#This Row],[Company number]]+0</f>
        <v>18136</v>
      </c>
      <c r="B303" s="60" t="s">
        <v>734</v>
      </c>
      <c r="C303" s="61" t="s">
        <v>735</v>
      </c>
      <c r="D303" s="61" t="s">
        <v>25</v>
      </c>
      <c r="E303" s="62" t="str">
        <f>IFERROR(VLOOKUP(Tableau242[[#This Row],[Manager ou CDM concerné]],Parametres!B:C,2,FALSE),"")</f>
        <v>Squad E</v>
      </c>
      <c r="F303" s="62" t="str">
        <f>IF(Tableau242[[#This Row],[Consultant]]=Tableau242[[#This Row],[Manager ou CDM concerné]],"Non",IF(IFERROR(VLOOKUP(Tableau242[[#This Row],[Consultant]],Parametres!B:C,2,FALSE),0)=0,"Non","Oui"))</f>
        <v>Non</v>
      </c>
      <c r="G303" s="62">
        <f>IFERROR(VLOOKUP(B303,Tableau5[#All],4,FALSE),"Matricule!")</f>
        <v>17</v>
      </c>
      <c r="H303" s="62" t="str">
        <f>IFERROR(VLOOKUP(Tableau242[[#This Row],[Company number]],#REF!,6,FALSE),"")</f>
        <v/>
      </c>
      <c r="I303" s="62">
        <f>IFERROR(VLOOKUP(B303,Tableau5[#All],5,FALSE),"Matricule!")</f>
        <v>3</v>
      </c>
      <c r="J303" s="62">
        <f>IFERROR(VLOOKUP(B303,Tableau5[#All],6,FALSE),"Matricule!")</f>
        <v>0</v>
      </c>
      <c r="K303" s="62">
        <f>IFERROR(VLOOKUP(B303,Tableau5[#All],7,FALSE),"Matricule!")</f>
        <v>0</v>
      </c>
      <c r="L303" s="62" t="e">
        <f>VLOOKUP(Tableau242[[#This Row],[Company number]],#REF!,25,FALSE)</f>
        <v>#REF!</v>
      </c>
      <c r="M303" s="62" t="str">
        <f>IFERROR(VLOOKUP(Tableau242[[#This Row],[Company number]],#REF!,30,FALSE),"")</f>
        <v/>
      </c>
      <c r="N303" s="62" t="str">
        <f>IFERROR(VLOOKUP(Tableau242[[#This Row],[Company number]],#REF!,31,FALSE),"")</f>
        <v/>
      </c>
      <c r="O303" s="62" t="str">
        <f>IFERROR(VLOOKUP(Tableau242[[#This Row],[Company number]],#REF!,32,FALSE),"")</f>
        <v/>
      </c>
      <c r="P303" s="62">
        <f>IFERROR(VLOOKUP(B303,Tableau3[#All],5,FALSE),"Matricule!")</f>
        <v>17</v>
      </c>
      <c r="Q303" s="62">
        <f>IFERROR(SUM(VLOOKUP(B303,Tableau3[#All],6,FALSE),VLOOKUP(B303,Tableau3[#All],8,FALSE)),"Matricule!")</f>
        <v>3</v>
      </c>
      <c r="R303" s="62">
        <f>IFERROR(VLOOKUP(B303,Tableau3[#All],7,FALSE),"Matricule!")</f>
        <v>0</v>
      </c>
      <c r="S303" s="62">
        <f>IFERROR(Tableau242[[#This Row],[Prod. days WK]]-Tableau242[[#This Row],[Prod PXX]],"Matricule")</f>
        <v>0</v>
      </c>
      <c r="T303" s="62">
        <f>IFERROR(Tableau242[[#This Row],[Non prod. days WK]]-Tableau242[[#This Row],[Improd PXX]],"Matricule")</f>
        <v>0</v>
      </c>
      <c r="U303" s="62">
        <f>IFERROR(Tableau242[[#This Row],[Paid leave days WK]]-Tableau242[[#This Row],[Congé PXX]],"Matricule")</f>
        <v>0</v>
      </c>
      <c r="V303" s="63">
        <f>IFERROR(VLOOKUP($B303,#REF!,4,FALSE),0)</f>
        <v>0</v>
      </c>
      <c r="W30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03" s="63">
        <f>IF(AND(Tableau242[[#This Row],[Paid leave days]]&gt;0,Tableau242[[#This Row],[Prod. days]]&lt;0),MIN(Tableau242[[#This Row],[Paid leave days]],-Tableau242[[#This Row],[Prod. days]]),0)</f>
        <v>0</v>
      </c>
      <c r="Z303" s="63">
        <f>IFERROR(_xlfn.XLOOKUP(Tableau242[[#This Row],[Consultant]],Tableau2[Collaborateur/Nom affiché],Tableau2[Montant imputé],0),0)</f>
        <v>0</v>
      </c>
      <c r="AA303" s="64">
        <f t="shared" si="5"/>
        <v>0</v>
      </c>
      <c r="AB303" s="65"/>
      <c r="AC303" s="66"/>
      <c r="AD303" s="66"/>
      <c r="AE303" s="39"/>
      <c r="AF303" s="90"/>
    </row>
    <row r="304" spans="1:32">
      <c r="A304" s="15">
        <f>Tableau242[[#This Row],[Company number]]+0</f>
        <v>21863</v>
      </c>
      <c r="B304" s="60" t="s">
        <v>736</v>
      </c>
      <c r="C304" s="61" t="s">
        <v>737</v>
      </c>
      <c r="D304" s="61" t="s">
        <v>72</v>
      </c>
      <c r="E304" s="62" t="str">
        <f>IFERROR(VLOOKUP(Tableau242[[#This Row],[Manager ou CDM concerné]],Parametres!B:C,2,FALSE),"")</f>
        <v>Squad F</v>
      </c>
      <c r="F304" s="62" t="str">
        <f>IF(Tableau242[[#This Row],[Consultant]]=Tableau242[[#This Row],[Manager ou CDM concerné]],"Non",IF(IFERROR(VLOOKUP(Tableau242[[#This Row],[Consultant]],Parametres!B:C,2,FALSE),0)=0,"Non","Oui"))</f>
        <v>Non</v>
      </c>
      <c r="G304" s="62">
        <f>IFERROR(VLOOKUP(B304,Tableau5[#All],4,FALSE),"Matricule!")</f>
        <v>18</v>
      </c>
      <c r="H304" s="62" t="str">
        <f>IFERROR(VLOOKUP(Tableau242[[#This Row],[Company number]],#REF!,6,FALSE),"")</f>
        <v/>
      </c>
      <c r="I304" s="62">
        <f>IFERROR(VLOOKUP(B304,Tableau5[#All],5,FALSE),"Matricule!")</f>
        <v>0</v>
      </c>
      <c r="J304" s="62">
        <f>IFERROR(VLOOKUP(B304,Tableau5[#All],6,FALSE),"Matricule!")</f>
        <v>2</v>
      </c>
      <c r="K304" s="62">
        <f>IFERROR(VLOOKUP(B304,Tableau5[#All],7,FALSE),"Matricule!")</f>
        <v>0</v>
      </c>
      <c r="L304" s="62" t="e">
        <f>VLOOKUP(Tableau242[[#This Row],[Company number]],#REF!,25,FALSE)</f>
        <v>#REF!</v>
      </c>
      <c r="M304" s="62" t="str">
        <f>IFERROR(VLOOKUP(Tableau242[[#This Row],[Company number]],#REF!,30,FALSE),"")</f>
        <v/>
      </c>
      <c r="N304" s="62" t="str">
        <f>IFERROR(VLOOKUP(Tableau242[[#This Row],[Company number]],#REF!,31,FALSE),"")</f>
        <v/>
      </c>
      <c r="O304" s="62" t="str">
        <f>IFERROR(VLOOKUP(Tableau242[[#This Row],[Company number]],#REF!,32,FALSE),"")</f>
        <v/>
      </c>
      <c r="P304" s="62">
        <f>IFERROR(VLOOKUP(B304,Tableau3[#All],5,FALSE),"Matricule!")</f>
        <v>18</v>
      </c>
      <c r="Q304" s="62">
        <f>IFERROR(SUM(VLOOKUP(B304,Tableau3[#All],6,FALSE),VLOOKUP(B304,Tableau3[#All],8,FALSE)),"Matricule!")</f>
        <v>0</v>
      </c>
      <c r="R304" s="62">
        <f>IFERROR(VLOOKUP(B304,Tableau3[#All],7,FALSE),"Matricule!")</f>
        <v>2</v>
      </c>
      <c r="S304" s="62">
        <f>IFERROR(Tableau242[[#This Row],[Prod. days WK]]-Tableau242[[#This Row],[Prod PXX]],"Matricule")</f>
        <v>0</v>
      </c>
      <c r="T304" s="62">
        <f>IFERROR(Tableau242[[#This Row],[Non prod. days WK]]-Tableau242[[#This Row],[Improd PXX]],"Matricule")</f>
        <v>0</v>
      </c>
      <c r="U304" s="62">
        <f>IFERROR(Tableau242[[#This Row],[Paid leave days WK]]-Tableau242[[#This Row],[Congé PXX]],"Matricule")</f>
        <v>0</v>
      </c>
      <c r="V304" s="63">
        <f>IFERROR(VLOOKUP($B304,#REF!,4,FALSE),0)</f>
        <v>0</v>
      </c>
      <c r="W30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04" s="63">
        <f>IF(AND(Tableau242[[#This Row],[Paid leave days]]&gt;0,Tableau242[[#This Row],[Prod. days]]&lt;0),MIN(Tableau242[[#This Row],[Paid leave days]],-Tableau242[[#This Row],[Prod. days]]),0)</f>
        <v>0</v>
      </c>
      <c r="Z304" s="63">
        <f>IFERROR(_xlfn.XLOOKUP(Tableau242[[#This Row],[Consultant]],Tableau2[Collaborateur/Nom affiché],Tableau2[Montant imputé],0),0)</f>
        <v>0</v>
      </c>
      <c r="AA304" s="64">
        <f t="shared" si="5"/>
        <v>0</v>
      </c>
      <c r="AB304" s="65"/>
      <c r="AC304" s="66"/>
      <c r="AD304" s="66"/>
      <c r="AE304" s="105"/>
      <c r="AF304" s="90"/>
    </row>
    <row r="305" spans="1:32">
      <c r="A305" s="15">
        <f>Tableau242[[#This Row],[Company number]]+0</f>
        <v>17502</v>
      </c>
      <c r="B305" s="60" t="s">
        <v>738</v>
      </c>
      <c r="C305" s="61" t="s">
        <v>739</v>
      </c>
      <c r="D305" s="61" t="s">
        <v>72</v>
      </c>
      <c r="E305" s="62" t="str">
        <f>IFERROR(VLOOKUP(Tableau242[[#This Row],[Manager ou CDM concerné]],Parametres!B:C,2,FALSE),"")</f>
        <v>Squad F</v>
      </c>
      <c r="F305" s="62" t="str">
        <f>IF(Tableau242[[#This Row],[Consultant]]=Tableau242[[#This Row],[Manager ou CDM concerné]],"Non",IF(IFERROR(VLOOKUP(Tableau242[[#This Row],[Consultant]],Parametres!B:C,2,FALSE),0)=0,"Non","Oui"))</f>
        <v>Non</v>
      </c>
      <c r="G305" s="62">
        <f>IFERROR(VLOOKUP(B305,Tableau5[#All],4,FALSE),"Matricule!")</f>
        <v>0</v>
      </c>
      <c r="H305" s="62" t="str">
        <f>IFERROR(VLOOKUP(Tableau242[[#This Row],[Company number]],#REF!,6,FALSE),"")</f>
        <v/>
      </c>
      <c r="I305" s="62">
        <f>IFERROR(VLOOKUP(B305,Tableau5[#All],5,FALSE),"Matricule!")</f>
        <v>20</v>
      </c>
      <c r="J305" s="62">
        <f>IFERROR(VLOOKUP(B305,Tableau5[#All],6,FALSE),"Matricule!")</f>
        <v>0</v>
      </c>
      <c r="K305" s="62">
        <f>IFERROR(VLOOKUP(B305,Tableau5[#All],7,FALSE),"Matricule!")</f>
        <v>0</v>
      </c>
      <c r="L305" s="62" t="e">
        <f>VLOOKUP(Tableau242[[#This Row],[Company number]],#REF!,25,FALSE)</f>
        <v>#REF!</v>
      </c>
      <c r="M305" s="62" t="str">
        <f>IFERROR(VLOOKUP(Tableau242[[#This Row],[Company number]],#REF!,30,FALSE),"")</f>
        <v/>
      </c>
      <c r="N305" s="62" t="str">
        <f>IFERROR(VLOOKUP(Tableau242[[#This Row],[Company number]],#REF!,31,FALSE),"")</f>
        <v/>
      </c>
      <c r="O305" s="62" t="str">
        <f>IFERROR(VLOOKUP(Tableau242[[#This Row],[Company number]],#REF!,32,FALSE),"")</f>
        <v/>
      </c>
      <c r="P305" s="62">
        <f>IFERROR(VLOOKUP(B305,Tableau3[#All],5,FALSE),"Matricule!")</f>
        <v>0</v>
      </c>
      <c r="Q305" s="62">
        <f>IFERROR(SUM(VLOOKUP(B305,Tableau3[#All],6,FALSE),VLOOKUP(B305,Tableau3[#All],8,FALSE)),"Matricule!")</f>
        <v>20</v>
      </c>
      <c r="R305" s="62">
        <f>IFERROR(VLOOKUP(B305,Tableau3[#All],7,FALSE),"Matricule!")</f>
        <v>0</v>
      </c>
      <c r="S305" s="62">
        <f>IFERROR(Tableau242[[#This Row],[Prod. days WK]]-Tableau242[[#This Row],[Prod PXX]],"Matricule")</f>
        <v>0</v>
      </c>
      <c r="T305" s="62">
        <f>IFERROR(Tableau242[[#This Row],[Non prod. days WK]]-Tableau242[[#This Row],[Improd PXX]],"Matricule")</f>
        <v>0</v>
      </c>
      <c r="U305" s="62">
        <f>IFERROR(Tableau242[[#This Row],[Paid leave days WK]]-Tableau242[[#This Row],[Congé PXX]],"Matricule")</f>
        <v>0</v>
      </c>
      <c r="V305" s="63">
        <f>IFERROR(VLOOKUP($B305,#REF!,4,FALSE),0)</f>
        <v>0</v>
      </c>
      <c r="W30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05" s="63">
        <f>IF(AND(Tableau242[[#This Row],[Paid leave days]]&gt;0,Tableau242[[#This Row],[Prod. days]]&lt;0),MIN(Tableau242[[#This Row],[Paid leave days]],-Tableau242[[#This Row],[Prod. days]]),0)</f>
        <v>0</v>
      </c>
      <c r="Z305" s="63">
        <f>IFERROR(_xlfn.XLOOKUP(Tableau242[[#This Row],[Consultant]],Tableau2[Collaborateur/Nom affiché],Tableau2[Montant imputé],0),0)</f>
        <v>0</v>
      </c>
      <c r="AA305" s="64">
        <f t="shared" si="5"/>
        <v>0</v>
      </c>
      <c r="AB305" s="65"/>
      <c r="AC305" s="66"/>
      <c r="AD305" s="66"/>
      <c r="AE305" s="105"/>
      <c r="AF305" s="90"/>
    </row>
    <row r="306" spans="1:32">
      <c r="A306" s="15">
        <f>Tableau242[[#This Row],[Company number]]+0</f>
        <v>17858</v>
      </c>
      <c r="B306" s="60" t="s">
        <v>740</v>
      </c>
      <c r="C306" s="61" t="s">
        <v>741</v>
      </c>
      <c r="D306" s="61" t="s">
        <v>91</v>
      </c>
      <c r="E306" s="62" t="str">
        <f>IFERROR(VLOOKUP(Tableau242[[#This Row],[Manager ou CDM concerné]],Parametres!B:C,2,FALSE),"")</f>
        <v>Squad F</v>
      </c>
      <c r="F306" s="62" t="str">
        <f>IF(Tableau242[[#This Row],[Consultant]]=Tableau242[[#This Row],[Manager ou CDM concerné]],"Non",IF(IFERROR(VLOOKUP(Tableau242[[#This Row],[Consultant]],Parametres!B:C,2,FALSE),0)=0,"Non","Oui"))</f>
        <v>Non</v>
      </c>
      <c r="G306" s="62">
        <f>IFERROR(VLOOKUP(B306,Tableau5[#All],4,FALSE),"Matricule!")</f>
        <v>15.5</v>
      </c>
      <c r="H306" s="62" t="str">
        <f>IFERROR(VLOOKUP(Tableau242[[#This Row],[Company number]],#REF!,6,FALSE),"")</f>
        <v/>
      </c>
      <c r="I306" s="62">
        <f>IFERROR(VLOOKUP(B306,Tableau5[#All],5,FALSE),"Matricule!")</f>
        <v>0</v>
      </c>
      <c r="J306" s="62">
        <f>IFERROR(VLOOKUP(B306,Tableau5[#All],6,FALSE),"Matricule!")</f>
        <v>4.5</v>
      </c>
      <c r="K306" s="62">
        <f>IFERROR(VLOOKUP(B306,Tableau5[#All],7,FALSE),"Matricule!")</f>
        <v>0</v>
      </c>
      <c r="L306" s="62" t="e">
        <f>VLOOKUP(Tableau242[[#This Row],[Company number]],#REF!,25,FALSE)</f>
        <v>#REF!</v>
      </c>
      <c r="M306" s="62" t="str">
        <f>IFERROR(VLOOKUP(Tableau242[[#This Row],[Company number]],#REF!,30,FALSE),"")</f>
        <v/>
      </c>
      <c r="N306" s="62" t="str">
        <f>IFERROR(VLOOKUP(Tableau242[[#This Row],[Company number]],#REF!,31,FALSE),"")</f>
        <v/>
      </c>
      <c r="O306" s="62" t="str">
        <f>IFERROR(VLOOKUP(Tableau242[[#This Row],[Company number]],#REF!,32,FALSE),"")</f>
        <v/>
      </c>
      <c r="P306" s="62">
        <f>IFERROR(VLOOKUP(B306,Tableau3[#All],5,FALSE),"Matricule!")</f>
        <v>15.5</v>
      </c>
      <c r="Q306" s="62">
        <f>IFERROR(SUM(VLOOKUP(B306,Tableau3[#All],6,FALSE),VLOOKUP(B306,Tableau3[#All],8,FALSE)),"Matricule!")</f>
        <v>0</v>
      </c>
      <c r="R306" s="62">
        <f>IFERROR(VLOOKUP(B306,Tableau3[#All],7,FALSE),"Matricule!")</f>
        <v>4.5</v>
      </c>
      <c r="S306" s="62">
        <f>IFERROR(Tableau242[[#This Row],[Prod. days WK]]-Tableau242[[#This Row],[Prod PXX]],"Matricule")</f>
        <v>0</v>
      </c>
      <c r="T306" s="62">
        <f>IFERROR(Tableau242[[#This Row],[Non prod. days WK]]-Tableau242[[#This Row],[Improd PXX]],"Matricule")</f>
        <v>0</v>
      </c>
      <c r="U306" s="62">
        <f>IFERROR(Tableau242[[#This Row],[Paid leave days WK]]-Tableau242[[#This Row],[Congé PXX]],"Matricule")</f>
        <v>0</v>
      </c>
      <c r="V306" s="63">
        <f>IFERROR(VLOOKUP($B306,#REF!,4,FALSE),0)</f>
        <v>0</v>
      </c>
      <c r="W30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06" s="63">
        <f>IF(AND(Tableau242[[#This Row],[Paid leave days]]&gt;0,Tableau242[[#This Row],[Prod. days]]&lt;0),MIN(Tableau242[[#This Row],[Paid leave days]],-Tableau242[[#This Row],[Prod. days]]),0)</f>
        <v>0</v>
      </c>
      <c r="Z306" s="63">
        <f>IFERROR(_xlfn.XLOOKUP(Tableau242[[#This Row],[Consultant]],Tableau2[Collaborateur/Nom affiché],Tableau2[Montant imputé],0),0)</f>
        <v>0</v>
      </c>
      <c r="AA306" s="64">
        <f t="shared" si="5"/>
        <v>0</v>
      </c>
      <c r="AB306" s="65"/>
      <c r="AC306" s="66"/>
      <c r="AD306" s="66"/>
      <c r="AE306" s="105"/>
      <c r="AF306" s="90"/>
    </row>
    <row r="307" spans="1:32">
      <c r="A307" s="15">
        <f>Tableau242[[#This Row],[Company number]]+0</f>
        <v>21468</v>
      </c>
      <c r="B307" s="60" t="s">
        <v>742</v>
      </c>
      <c r="C307" s="61" t="s">
        <v>743</v>
      </c>
      <c r="D307" s="61" t="s">
        <v>91</v>
      </c>
      <c r="E307" s="62" t="str">
        <f>IFERROR(VLOOKUP(Tableau242[[#This Row],[Manager ou CDM concerné]],Parametres!B:C,2,FALSE),"")</f>
        <v>Squad F</v>
      </c>
      <c r="F307" s="62" t="str">
        <f>IF(Tableau242[[#This Row],[Consultant]]=Tableau242[[#This Row],[Manager ou CDM concerné]],"Non",IF(IFERROR(VLOOKUP(Tableau242[[#This Row],[Consultant]],Parametres!B:C,2,FALSE),0)=0,"Non","Oui"))</f>
        <v>Non</v>
      </c>
      <c r="G307" s="62">
        <f>IFERROR(VLOOKUP(B307,Tableau5[#All],4,FALSE),"Matricule!")</f>
        <v>20</v>
      </c>
      <c r="H307" s="62" t="str">
        <f>IFERROR(VLOOKUP(Tableau242[[#This Row],[Company number]],#REF!,6,FALSE),"")</f>
        <v/>
      </c>
      <c r="I307" s="62">
        <f>IFERROR(VLOOKUP(B307,Tableau5[#All],5,FALSE),"Matricule!")</f>
        <v>0</v>
      </c>
      <c r="J307" s="62">
        <f>IFERROR(VLOOKUP(B307,Tableau5[#All],6,FALSE),"Matricule!")</f>
        <v>0</v>
      </c>
      <c r="K307" s="62">
        <f>IFERROR(VLOOKUP(B307,Tableau5[#All],7,FALSE),"Matricule!")</f>
        <v>0</v>
      </c>
      <c r="L307" s="62" t="e">
        <f>VLOOKUP(Tableau242[[#This Row],[Company number]],#REF!,25,FALSE)</f>
        <v>#REF!</v>
      </c>
      <c r="M307" s="62" t="str">
        <f>IFERROR(VLOOKUP(Tableau242[[#This Row],[Company number]],#REF!,30,FALSE),"")</f>
        <v/>
      </c>
      <c r="N307" s="62" t="str">
        <f>IFERROR(VLOOKUP(Tableau242[[#This Row],[Company number]],#REF!,31,FALSE),"")</f>
        <v/>
      </c>
      <c r="O307" s="62" t="str">
        <f>IFERROR(VLOOKUP(Tableau242[[#This Row],[Company number]],#REF!,32,FALSE),"")</f>
        <v/>
      </c>
      <c r="P307" s="62">
        <f>IFERROR(VLOOKUP(B307,Tableau3[#All],5,FALSE),"Matricule!")</f>
        <v>20</v>
      </c>
      <c r="Q307" s="62">
        <f>IFERROR(SUM(VLOOKUP(B307,Tableau3[#All],6,FALSE),VLOOKUP(B307,Tableau3[#All],8,FALSE)),"Matricule!")</f>
        <v>0</v>
      </c>
      <c r="R307" s="62">
        <f>IFERROR(VLOOKUP(B307,Tableau3[#All],7,FALSE),"Matricule!")</f>
        <v>0</v>
      </c>
      <c r="S307" s="62">
        <f>IFERROR(Tableau242[[#This Row],[Prod. days WK]]-Tableau242[[#This Row],[Prod PXX]],"Matricule")</f>
        <v>0</v>
      </c>
      <c r="T307" s="62">
        <f>IFERROR(Tableau242[[#This Row],[Non prod. days WK]]-Tableau242[[#This Row],[Improd PXX]],"Matricule")</f>
        <v>0</v>
      </c>
      <c r="U307" s="62">
        <f>IFERROR(Tableau242[[#This Row],[Paid leave days WK]]-Tableau242[[#This Row],[Congé PXX]],"Matricule")</f>
        <v>0</v>
      </c>
      <c r="V307" s="63">
        <f>IFERROR(VLOOKUP($B307,#REF!,4,FALSE),0)</f>
        <v>0</v>
      </c>
      <c r="W30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07" s="63">
        <f>IF(AND(Tableau242[[#This Row],[Paid leave days]]&gt;0,Tableau242[[#This Row],[Prod. days]]&lt;0),MIN(Tableau242[[#This Row],[Paid leave days]],-Tableau242[[#This Row],[Prod. days]]),0)</f>
        <v>0</v>
      </c>
      <c r="Z307" s="63">
        <f>IFERROR(_xlfn.XLOOKUP(Tableau242[[#This Row],[Consultant]],Tableau2[Collaborateur/Nom affiché],Tableau2[Montant imputé],0),0)</f>
        <v>0</v>
      </c>
      <c r="AA307" s="64">
        <f t="shared" si="5"/>
        <v>0</v>
      </c>
      <c r="AB307" s="65"/>
      <c r="AC307" s="66"/>
      <c r="AD307" s="66"/>
      <c r="AE307" s="105"/>
      <c r="AF307" s="90"/>
    </row>
    <row r="308" spans="1:32">
      <c r="A308" s="15">
        <f>Tableau242[[#This Row],[Company number]]+0</f>
        <v>21663</v>
      </c>
      <c r="B308" s="60" t="s">
        <v>744</v>
      </c>
      <c r="C308" s="61" t="s">
        <v>745</v>
      </c>
      <c r="D308" s="61" t="s">
        <v>91</v>
      </c>
      <c r="E308" s="62" t="str">
        <f>IFERROR(VLOOKUP(Tableau242[[#This Row],[Manager ou CDM concerné]],Parametres!B:C,2,FALSE),"")</f>
        <v>Squad F</v>
      </c>
      <c r="F308" s="62" t="str">
        <f>IF(Tableau242[[#This Row],[Consultant]]=Tableau242[[#This Row],[Manager ou CDM concerné]],"Non",IF(IFERROR(VLOOKUP(Tableau242[[#This Row],[Consultant]],Parametres!B:C,2,FALSE),0)=0,"Non","Oui"))</f>
        <v>Non</v>
      </c>
      <c r="G308" s="62">
        <f>IFERROR(VLOOKUP(B308,Tableau5[#All],4,FALSE),"Matricule!")</f>
        <v>20</v>
      </c>
      <c r="H308" s="62" t="str">
        <f>IFERROR(VLOOKUP(Tableau242[[#This Row],[Company number]],#REF!,6,FALSE),"")</f>
        <v/>
      </c>
      <c r="I308" s="62">
        <f>IFERROR(VLOOKUP(B308,Tableau5[#All],5,FALSE),"Matricule!")</f>
        <v>0</v>
      </c>
      <c r="J308" s="62">
        <f>IFERROR(VLOOKUP(B308,Tableau5[#All],6,FALSE),"Matricule!")</f>
        <v>0</v>
      </c>
      <c r="K308" s="62">
        <f>IFERROR(VLOOKUP(B308,Tableau5[#All],7,FALSE),"Matricule!")</f>
        <v>0</v>
      </c>
      <c r="L308" s="62" t="e">
        <f>VLOOKUP(Tableau242[[#This Row],[Company number]],#REF!,25,FALSE)</f>
        <v>#REF!</v>
      </c>
      <c r="M308" s="62" t="str">
        <f>IFERROR(VLOOKUP(Tableau242[[#This Row],[Company number]],#REF!,30,FALSE),"")</f>
        <v/>
      </c>
      <c r="N308" s="62" t="str">
        <f>IFERROR(VLOOKUP(Tableau242[[#This Row],[Company number]],#REF!,31,FALSE),"")</f>
        <v/>
      </c>
      <c r="O308" s="62" t="str">
        <f>IFERROR(VLOOKUP(Tableau242[[#This Row],[Company number]],#REF!,32,FALSE),"")</f>
        <v/>
      </c>
      <c r="P308" s="62">
        <f>IFERROR(VLOOKUP(B308,Tableau3[#All],5,FALSE),"Matricule!")</f>
        <v>20</v>
      </c>
      <c r="Q308" s="62">
        <f>IFERROR(SUM(VLOOKUP(B308,Tableau3[#All],6,FALSE),VLOOKUP(B308,Tableau3[#All],8,FALSE)),"Matricule!")</f>
        <v>0</v>
      </c>
      <c r="R308" s="62">
        <f>IFERROR(VLOOKUP(B308,Tableau3[#All],7,FALSE),"Matricule!")</f>
        <v>0</v>
      </c>
      <c r="S308" s="62">
        <f>IFERROR(Tableau242[[#This Row],[Prod. days WK]]-Tableau242[[#This Row],[Prod PXX]],"Matricule")</f>
        <v>0</v>
      </c>
      <c r="T308" s="62">
        <f>IFERROR(Tableau242[[#This Row],[Non prod. days WK]]-Tableau242[[#This Row],[Improd PXX]],"Matricule")</f>
        <v>0</v>
      </c>
      <c r="U308" s="62">
        <f>IFERROR(Tableau242[[#This Row],[Paid leave days WK]]-Tableau242[[#This Row],[Congé PXX]],"Matricule")</f>
        <v>0</v>
      </c>
      <c r="V308" s="63">
        <f>IFERROR(VLOOKUP($B308,#REF!,4,FALSE),0)</f>
        <v>0</v>
      </c>
      <c r="W30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08" s="63">
        <f>IF(AND(Tableau242[[#This Row],[Paid leave days]]&gt;0,Tableau242[[#This Row],[Prod. days]]&lt;0),MIN(Tableau242[[#This Row],[Paid leave days]],-Tableau242[[#This Row],[Prod. days]]),0)</f>
        <v>0</v>
      </c>
      <c r="Z308" s="63">
        <f>IFERROR(_xlfn.XLOOKUP(Tableau242[[#This Row],[Consultant]],Tableau2[Collaborateur/Nom affiché],Tableau2[Montant imputé],0),0)</f>
        <v>0</v>
      </c>
      <c r="AA308" s="64">
        <f t="shared" si="5"/>
        <v>0</v>
      </c>
      <c r="AB308" s="65"/>
      <c r="AC308" s="66"/>
      <c r="AD308" s="66"/>
      <c r="AE308" s="105"/>
      <c r="AF308" s="90"/>
    </row>
    <row r="309" spans="1:32">
      <c r="A309" s="15">
        <f>Tableau242[[#This Row],[Company number]]+0</f>
        <v>20642</v>
      </c>
      <c r="B309" s="60" t="s">
        <v>746</v>
      </c>
      <c r="C309" s="61" t="s">
        <v>747</v>
      </c>
      <c r="D309" s="61" t="s">
        <v>91</v>
      </c>
      <c r="E309" s="62" t="str">
        <f>IFERROR(VLOOKUP(Tableau242[[#This Row],[Manager ou CDM concerné]],Parametres!B:C,2,FALSE),"")</f>
        <v>Squad F</v>
      </c>
      <c r="F309" s="62" t="str">
        <f>IF(Tableau242[[#This Row],[Consultant]]=Tableau242[[#This Row],[Manager ou CDM concerné]],"Non",IF(IFERROR(VLOOKUP(Tableau242[[#This Row],[Consultant]],Parametres!B:C,2,FALSE),0)=0,"Non","Oui"))</f>
        <v>Non</v>
      </c>
      <c r="G309" s="62">
        <f>IFERROR(VLOOKUP(B309,Tableau5[#All],4,FALSE),"Matricule!")</f>
        <v>0</v>
      </c>
      <c r="H309" s="62" t="str">
        <f>IFERROR(VLOOKUP(Tableau242[[#This Row],[Company number]],#REF!,6,FALSE),"")</f>
        <v/>
      </c>
      <c r="I309" s="62">
        <f>IFERROR(VLOOKUP(B309,Tableau5[#All],5,FALSE),"Matricule!")</f>
        <v>18</v>
      </c>
      <c r="J309" s="62">
        <f>IFERROR(VLOOKUP(B309,Tableau5[#All],6,FALSE),"Matricule!")</f>
        <v>1</v>
      </c>
      <c r="K309" s="62">
        <f>IFERROR(VLOOKUP(B309,Tableau5[#All],7,FALSE),"Matricule!")</f>
        <v>1</v>
      </c>
      <c r="L309" s="62" t="e">
        <f>VLOOKUP(Tableau242[[#This Row],[Company number]],#REF!,25,FALSE)</f>
        <v>#REF!</v>
      </c>
      <c r="M309" s="62" t="str">
        <f>IFERROR(VLOOKUP(Tableau242[[#This Row],[Company number]],#REF!,30,FALSE),"")</f>
        <v/>
      </c>
      <c r="N309" s="62" t="str">
        <f>IFERROR(VLOOKUP(Tableau242[[#This Row],[Company number]],#REF!,31,FALSE),"")</f>
        <v/>
      </c>
      <c r="O309" s="62" t="str">
        <f>IFERROR(VLOOKUP(Tableau242[[#This Row],[Company number]],#REF!,32,FALSE),"")</f>
        <v/>
      </c>
      <c r="P309" s="68">
        <f>IFERROR(VLOOKUP(B309,Tableau3[#All],5,FALSE),"Matricule!")</f>
        <v>0</v>
      </c>
      <c r="Q309" s="68">
        <f>IFERROR(SUM(VLOOKUP(B309,Tableau3[#All],6,FALSE),VLOOKUP(B309,Tableau3[#All],8,FALSE)),"Matricule!")</f>
        <v>18</v>
      </c>
      <c r="R309" s="68">
        <f>IFERROR(VLOOKUP(B309,Tableau3[#All],7,FALSE),"Matricule!")</f>
        <v>1</v>
      </c>
      <c r="S309" s="62">
        <f>IFERROR(Tableau242[[#This Row],[Prod. days WK]]-Tableau242[[#This Row],[Prod PXX]],"Matricule")</f>
        <v>0</v>
      </c>
      <c r="T309" s="62">
        <f>IFERROR(Tableau242[[#This Row],[Non prod. days WK]]-Tableau242[[#This Row],[Improd PXX]],"Matricule")</f>
        <v>0</v>
      </c>
      <c r="U309" s="62">
        <f>IFERROR(Tableau242[[#This Row],[Paid leave days WK]]-Tableau242[[#This Row],[Congé PXX]],"Matricule")</f>
        <v>0</v>
      </c>
      <c r="V309" s="63">
        <f>IFERROR(VLOOKUP($B309,#REF!,4,FALSE),0)</f>
        <v>0</v>
      </c>
      <c r="W30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0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09" s="63">
        <f>IF(AND(Tableau242[[#This Row],[Paid leave days]]&gt;0,Tableau242[[#This Row],[Prod. days]]&lt;0),MIN(Tableau242[[#This Row],[Paid leave days]],-Tableau242[[#This Row],[Prod. days]]),0)</f>
        <v>0</v>
      </c>
      <c r="Z309" s="63">
        <f>IFERROR(_xlfn.XLOOKUP(Tableau242[[#This Row],[Consultant]],Tableau2[Collaborateur/Nom affiché],Tableau2[Montant imputé],0),0)</f>
        <v>0</v>
      </c>
      <c r="AA309" s="64">
        <f t="shared" si="5"/>
        <v>0</v>
      </c>
      <c r="AB309" s="78" t="s">
        <v>154</v>
      </c>
      <c r="AC309" s="67"/>
      <c r="AD309" s="67"/>
      <c r="AE309" s="106"/>
      <c r="AF309" s="92"/>
    </row>
    <row r="310" spans="1:32">
      <c r="A310" s="15">
        <f>Tableau242[[#This Row],[Company number]]+0</f>
        <v>21400</v>
      </c>
      <c r="B310" s="60" t="s">
        <v>748</v>
      </c>
      <c r="C310" s="61" t="s">
        <v>749</v>
      </c>
      <c r="D310" s="61" t="s">
        <v>91</v>
      </c>
      <c r="E310" s="62" t="str">
        <f>IFERROR(VLOOKUP(Tableau242[[#This Row],[Manager ou CDM concerné]],Parametres!B:C,2,FALSE),"")</f>
        <v>Squad F</v>
      </c>
      <c r="F310" s="62" t="str">
        <f>IF(Tableau242[[#This Row],[Consultant]]=Tableau242[[#This Row],[Manager ou CDM concerné]],"Non",IF(IFERROR(VLOOKUP(Tableau242[[#This Row],[Consultant]],Parametres!B:C,2,FALSE),0)=0,"Non","Oui"))</f>
        <v>Non</v>
      </c>
      <c r="G310" s="62">
        <f>IFERROR(VLOOKUP(B310,Tableau5[#All],4,FALSE),"Matricule!")</f>
        <v>18</v>
      </c>
      <c r="H310" s="62" t="str">
        <f>IFERROR(VLOOKUP(Tableau242[[#This Row],[Company number]],#REF!,6,FALSE),"")</f>
        <v/>
      </c>
      <c r="I310" s="62">
        <f>IFERROR(VLOOKUP(B310,Tableau5[#All],5,FALSE),"Matricule!")</f>
        <v>2</v>
      </c>
      <c r="J310" s="62">
        <f>IFERROR(VLOOKUP(B310,Tableau5[#All],6,FALSE),"Matricule!")</f>
        <v>0</v>
      </c>
      <c r="K310" s="62">
        <f>IFERROR(VLOOKUP(B310,Tableau5[#All],7,FALSE),"Matricule!")</f>
        <v>0</v>
      </c>
      <c r="L310" s="62" t="e">
        <f>VLOOKUP(Tableau242[[#This Row],[Company number]],#REF!,25,FALSE)</f>
        <v>#REF!</v>
      </c>
      <c r="M310" s="62" t="str">
        <f>IFERROR(VLOOKUP(Tableau242[[#This Row],[Company number]],#REF!,30,FALSE),"")</f>
        <v/>
      </c>
      <c r="N310" s="62" t="str">
        <f>IFERROR(VLOOKUP(Tableau242[[#This Row],[Company number]],#REF!,31,FALSE),"")</f>
        <v/>
      </c>
      <c r="O310" s="62" t="str">
        <f>IFERROR(VLOOKUP(Tableau242[[#This Row],[Company number]],#REF!,32,FALSE),"")</f>
        <v/>
      </c>
      <c r="P310" s="62">
        <f>IFERROR(VLOOKUP(B310,Tableau3[#All],5,FALSE),"Matricule!")</f>
        <v>18</v>
      </c>
      <c r="Q310" s="62">
        <f>IFERROR(SUM(VLOOKUP(B310,Tableau3[#All],6,FALSE),VLOOKUP(B310,Tableau3[#All],8,FALSE)),"Matricule!")</f>
        <v>2</v>
      </c>
      <c r="R310" s="62">
        <f>IFERROR(VLOOKUP(B310,Tableau3[#All],7,FALSE),"Matricule!")</f>
        <v>0</v>
      </c>
      <c r="S310" s="62">
        <f>IFERROR(Tableau242[[#This Row],[Prod. days WK]]-Tableau242[[#This Row],[Prod PXX]],"Matricule")</f>
        <v>0</v>
      </c>
      <c r="T310" s="62">
        <f>IFERROR(Tableau242[[#This Row],[Non prod. days WK]]-Tableau242[[#This Row],[Improd PXX]],"Matricule")</f>
        <v>0</v>
      </c>
      <c r="U310" s="62">
        <f>IFERROR(Tableau242[[#This Row],[Paid leave days WK]]-Tableau242[[#This Row],[Congé PXX]],"Matricule")</f>
        <v>0</v>
      </c>
      <c r="V310" s="63">
        <f>IFERROR(VLOOKUP($B310,#REF!,4,FALSE),0)</f>
        <v>0</v>
      </c>
      <c r="W31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10" s="63">
        <f>IF(AND(Tableau242[[#This Row],[Paid leave days]]&gt;0,Tableau242[[#This Row],[Prod. days]]&lt;0),MIN(Tableau242[[#This Row],[Paid leave days]],-Tableau242[[#This Row],[Prod. days]]),0)</f>
        <v>0</v>
      </c>
      <c r="Z310" s="63">
        <f>IFERROR(_xlfn.XLOOKUP(Tableau242[[#This Row],[Consultant]],Tableau2[Collaborateur/Nom affiché],Tableau2[Montant imputé],0),0)</f>
        <v>0</v>
      </c>
      <c r="AA310" s="64">
        <f t="shared" si="5"/>
        <v>0</v>
      </c>
      <c r="AB310" s="65" t="s">
        <v>154</v>
      </c>
      <c r="AC310" s="66"/>
      <c r="AD310" s="66"/>
      <c r="AE310" s="39"/>
      <c r="AF310" s="90"/>
    </row>
    <row r="311" spans="1:32">
      <c r="A311" s="15">
        <f>Tableau242[[#This Row],[Company number]]+0</f>
        <v>20801</v>
      </c>
      <c r="B311" s="60" t="s">
        <v>750</v>
      </c>
      <c r="C311" s="61" t="s">
        <v>751</v>
      </c>
      <c r="D311" s="61" t="s">
        <v>91</v>
      </c>
      <c r="E311" s="62" t="str">
        <f>IFERROR(VLOOKUP(Tableau242[[#This Row],[Manager ou CDM concerné]],Parametres!B:C,2,FALSE),"")</f>
        <v>Squad F</v>
      </c>
      <c r="F311" s="62" t="str">
        <f>IF(Tableau242[[#This Row],[Consultant]]=Tableau242[[#This Row],[Manager ou CDM concerné]],"Non",IF(IFERROR(VLOOKUP(Tableau242[[#This Row],[Consultant]],Parametres!B:C,2,FALSE),0)=0,"Non","Oui"))</f>
        <v>Non</v>
      </c>
      <c r="G311" s="62">
        <f>IFERROR(VLOOKUP(B311,Tableau5[#All],4,FALSE),"Matricule!")</f>
        <v>20</v>
      </c>
      <c r="H311" s="62" t="str">
        <f>IFERROR(VLOOKUP(Tableau242[[#This Row],[Company number]],#REF!,6,FALSE),"")</f>
        <v/>
      </c>
      <c r="I311" s="62">
        <f>IFERROR(VLOOKUP(B311,Tableau5[#All],5,FALSE),"Matricule!")</f>
        <v>0</v>
      </c>
      <c r="J311" s="62">
        <f>IFERROR(VLOOKUP(B311,Tableau5[#All],6,FALSE),"Matricule!")</f>
        <v>0</v>
      </c>
      <c r="K311" s="62">
        <f>IFERROR(VLOOKUP(B311,Tableau5[#All],7,FALSE),"Matricule!")</f>
        <v>0</v>
      </c>
      <c r="L311" s="62" t="e">
        <f>VLOOKUP(Tableau242[[#This Row],[Company number]],#REF!,25,FALSE)</f>
        <v>#REF!</v>
      </c>
      <c r="M311" s="62" t="str">
        <f>IFERROR(VLOOKUP(Tableau242[[#This Row],[Company number]],#REF!,30,FALSE),"")</f>
        <v/>
      </c>
      <c r="N311" s="62" t="str">
        <f>IFERROR(VLOOKUP(Tableau242[[#This Row],[Company number]],#REF!,31,FALSE),"")</f>
        <v/>
      </c>
      <c r="O311" s="62" t="str">
        <f>IFERROR(VLOOKUP(Tableau242[[#This Row],[Company number]],#REF!,32,FALSE),"")</f>
        <v/>
      </c>
      <c r="P311" s="62">
        <f>IFERROR(VLOOKUP(B311,Tableau3[#All],5,FALSE),"Matricule!")</f>
        <v>20</v>
      </c>
      <c r="Q311" s="62">
        <f>IFERROR(SUM(VLOOKUP(B311,Tableau3[#All],6,FALSE),VLOOKUP(B311,Tableau3[#All],8,FALSE)),"Matricule!")</f>
        <v>0</v>
      </c>
      <c r="R311" s="62">
        <f>IFERROR(VLOOKUP(B311,Tableau3[#All],7,FALSE),"Matricule!")</f>
        <v>0</v>
      </c>
      <c r="S311" s="62">
        <f>IFERROR(Tableau242[[#This Row],[Prod. days WK]]-Tableau242[[#This Row],[Prod PXX]],"Matricule")</f>
        <v>0</v>
      </c>
      <c r="T311" s="62">
        <f>IFERROR(Tableau242[[#This Row],[Non prod. days WK]]-Tableau242[[#This Row],[Improd PXX]],"Matricule")</f>
        <v>0</v>
      </c>
      <c r="U311" s="62">
        <f>IFERROR(Tableau242[[#This Row],[Paid leave days WK]]-Tableau242[[#This Row],[Congé PXX]],"Matricule")</f>
        <v>0</v>
      </c>
      <c r="V311" s="63">
        <f>IFERROR(VLOOKUP($B311,#REF!,4,FALSE),0)</f>
        <v>0</v>
      </c>
      <c r="W31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11" s="63">
        <f>IF(AND(Tableau242[[#This Row],[Paid leave days]]&gt;0,Tableau242[[#This Row],[Prod. days]]&lt;0),MIN(Tableau242[[#This Row],[Paid leave days]],-Tableau242[[#This Row],[Prod. days]]),0)</f>
        <v>0</v>
      </c>
      <c r="Z311" s="63">
        <f>IFERROR(_xlfn.XLOOKUP(Tableau242[[#This Row],[Consultant]],Tableau2[Collaborateur/Nom affiché],Tableau2[Montant imputé],0),0)</f>
        <v>0</v>
      </c>
      <c r="AA311" s="64">
        <f t="shared" si="5"/>
        <v>0</v>
      </c>
      <c r="AB311" s="65"/>
      <c r="AC311" s="66"/>
      <c r="AD311" s="66"/>
      <c r="AE311" s="105"/>
      <c r="AF311" s="90"/>
    </row>
    <row r="312" spans="1:32">
      <c r="A312" s="15">
        <f>Tableau242[[#This Row],[Company number]]+0</f>
        <v>20839</v>
      </c>
      <c r="B312" s="60" t="s">
        <v>752</v>
      </c>
      <c r="C312" s="61" t="s">
        <v>753</v>
      </c>
      <c r="D312" s="61" t="s">
        <v>91</v>
      </c>
      <c r="E312" s="62" t="str">
        <f>IFERROR(VLOOKUP(Tableau242[[#This Row],[Manager ou CDM concerné]],Parametres!B:C,2,FALSE),"")</f>
        <v>Squad F</v>
      </c>
      <c r="F312" s="62" t="str">
        <f>IF(Tableau242[[#This Row],[Consultant]]=Tableau242[[#This Row],[Manager ou CDM concerné]],"Non",IF(IFERROR(VLOOKUP(Tableau242[[#This Row],[Consultant]],Parametres!B:C,2,FALSE),0)=0,"Non","Oui"))</f>
        <v>Non</v>
      </c>
      <c r="G312" s="62">
        <f>IFERROR(VLOOKUP(B312,Tableau5[#All],4,FALSE),"Matricule!")</f>
        <v>6</v>
      </c>
      <c r="H312" s="62" t="str">
        <f>IFERROR(VLOOKUP(Tableau242[[#This Row],[Company number]],#REF!,6,FALSE),"")</f>
        <v/>
      </c>
      <c r="I312" s="62">
        <f>IFERROR(VLOOKUP(B312,Tableau5[#All],5,FALSE),"Matricule!")</f>
        <v>13</v>
      </c>
      <c r="J312" s="62">
        <f>IFERROR(VLOOKUP(B312,Tableau5[#All],6,FALSE),"Matricule!")</f>
        <v>1</v>
      </c>
      <c r="K312" s="62">
        <f>IFERROR(VLOOKUP(B312,Tableau5[#All],7,FALSE),"Matricule!")</f>
        <v>0</v>
      </c>
      <c r="L312" s="62" t="e">
        <f>VLOOKUP(Tableau242[[#This Row],[Company number]],#REF!,25,FALSE)</f>
        <v>#REF!</v>
      </c>
      <c r="M312" s="62" t="str">
        <f>IFERROR(VLOOKUP(Tableau242[[#This Row],[Company number]],#REF!,30,FALSE),"")</f>
        <v/>
      </c>
      <c r="N312" s="62" t="str">
        <f>IFERROR(VLOOKUP(Tableau242[[#This Row],[Company number]],#REF!,31,FALSE),"")</f>
        <v/>
      </c>
      <c r="O312" s="62" t="str">
        <f>IFERROR(VLOOKUP(Tableau242[[#This Row],[Company number]],#REF!,32,FALSE),"")</f>
        <v/>
      </c>
      <c r="P312" s="68">
        <f>IFERROR(VLOOKUP(B312,Tableau3[#All],5,FALSE),"Matricule!")</f>
        <v>6</v>
      </c>
      <c r="Q312" s="68">
        <f>IFERROR(SUM(VLOOKUP(B312,Tableau3[#All],6,FALSE),VLOOKUP(B312,Tableau3[#All],8,FALSE)),"Matricule!")</f>
        <v>13</v>
      </c>
      <c r="R312" s="68">
        <f>IFERROR(VLOOKUP(B312,Tableau3[#All],7,FALSE),"Matricule!")</f>
        <v>1</v>
      </c>
      <c r="S312" s="62">
        <f>IFERROR(Tableau242[[#This Row],[Prod. days WK]]-Tableau242[[#This Row],[Prod PXX]],"Matricule")</f>
        <v>0</v>
      </c>
      <c r="T312" s="62">
        <f>IFERROR(Tableau242[[#This Row],[Non prod. days WK]]-Tableau242[[#This Row],[Improd PXX]],"Matricule")</f>
        <v>0</v>
      </c>
      <c r="U312" s="62">
        <f>IFERROR(Tableau242[[#This Row],[Paid leave days WK]]-Tableau242[[#This Row],[Congé PXX]],"Matricule")</f>
        <v>0</v>
      </c>
      <c r="V312" s="63">
        <f>IFERROR(VLOOKUP($B312,#REF!,4,FALSE),0)</f>
        <v>0</v>
      </c>
      <c r="W31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12" s="63">
        <f>IF(AND(Tableau242[[#This Row],[Paid leave days]]&gt;0,Tableau242[[#This Row],[Prod. days]]&lt;0),MIN(Tableau242[[#This Row],[Paid leave days]],-Tableau242[[#This Row],[Prod. days]]),0)</f>
        <v>0</v>
      </c>
      <c r="Z312" s="63">
        <f>IFERROR(_xlfn.XLOOKUP(Tableau242[[#This Row],[Consultant]],Tableau2[Collaborateur/Nom affiché],Tableau2[Montant imputé],0),0)</f>
        <v>0</v>
      </c>
      <c r="AA312" s="64">
        <f t="shared" si="5"/>
        <v>0</v>
      </c>
      <c r="AB312" s="65" t="s">
        <v>154</v>
      </c>
      <c r="AC312" s="66"/>
      <c r="AD312" s="66"/>
      <c r="AE312" s="105"/>
      <c r="AF312" s="90"/>
    </row>
    <row r="313" spans="1:32" ht="14.45" customHeight="1">
      <c r="A313" s="15">
        <f>Tableau242[[#This Row],[Company number]]+0</f>
        <v>21653</v>
      </c>
      <c r="B313" s="60" t="s">
        <v>754</v>
      </c>
      <c r="C313" s="61" t="s">
        <v>755</v>
      </c>
      <c r="D313" s="61" t="s">
        <v>91</v>
      </c>
      <c r="E313" s="62" t="str">
        <f>IFERROR(VLOOKUP(Tableau242[[#This Row],[Manager ou CDM concerné]],Parametres!B:C,2,FALSE),"")</f>
        <v>Squad F</v>
      </c>
      <c r="F313" s="62" t="str">
        <f>IF(Tableau242[[#This Row],[Consultant]]=Tableau242[[#This Row],[Manager ou CDM concerné]],"Non",IF(IFERROR(VLOOKUP(Tableau242[[#This Row],[Consultant]],Parametres!B:C,2,FALSE),0)=0,"Non","Oui"))</f>
        <v>Non</v>
      </c>
      <c r="G313" s="62">
        <f>IFERROR(VLOOKUP(B313,Tableau5[#All],4,FALSE),"Matricule!")</f>
        <v>11</v>
      </c>
      <c r="H313" s="62" t="str">
        <f>IFERROR(VLOOKUP(Tableau242[[#This Row],[Company number]],#REF!,6,FALSE),"")</f>
        <v/>
      </c>
      <c r="I313" s="62">
        <f>IFERROR(VLOOKUP(B313,Tableau5[#All],5,FALSE),"Matricule!")</f>
        <v>9</v>
      </c>
      <c r="J313" s="62">
        <f>IFERROR(VLOOKUP(B313,Tableau5[#All],6,FALSE),"Matricule!")</f>
        <v>0</v>
      </c>
      <c r="K313" s="62">
        <f>IFERROR(VLOOKUP(B313,Tableau5[#All],7,FALSE),"Matricule!")</f>
        <v>0</v>
      </c>
      <c r="L313" s="62" t="e">
        <f>VLOOKUP(Tableau242[[#This Row],[Company number]],#REF!,25,FALSE)</f>
        <v>#REF!</v>
      </c>
      <c r="M313" s="62" t="str">
        <f>IFERROR(VLOOKUP(Tableau242[[#This Row],[Company number]],#REF!,30,FALSE),"")</f>
        <v/>
      </c>
      <c r="N313" s="62" t="str">
        <f>IFERROR(VLOOKUP(Tableau242[[#This Row],[Company number]],#REF!,31,FALSE),"")</f>
        <v/>
      </c>
      <c r="O313" s="62" t="str">
        <f>IFERROR(VLOOKUP(Tableau242[[#This Row],[Company number]],#REF!,32,FALSE),"")</f>
        <v/>
      </c>
      <c r="P313" s="62">
        <f>IFERROR(VLOOKUP(B313,Tableau3[#All],5,FALSE),"Matricule!")</f>
        <v>11</v>
      </c>
      <c r="Q313" s="62">
        <f>IFERROR(SUM(VLOOKUP(B313,Tableau3[#All],6,FALSE),VLOOKUP(B313,Tableau3[#All],8,FALSE)),"Matricule!")</f>
        <v>9</v>
      </c>
      <c r="R313" s="62">
        <f>IFERROR(VLOOKUP(B313,Tableau3[#All],7,FALSE),"Matricule!")</f>
        <v>0</v>
      </c>
      <c r="S313" s="62">
        <f>IFERROR(Tableau242[[#This Row],[Prod. days WK]]-Tableau242[[#This Row],[Prod PXX]],"Matricule")</f>
        <v>0</v>
      </c>
      <c r="T313" s="62">
        <f>IFERROR(Tableau242[[#This Row],[Non prod. days WK]]-Tableau242[[#This Row],[Improd PXX]],"Matricule")</f>
        <v>0</v>
      </c>
      <c r="U313" s="62">
        <f>IFERROR(Tableau242[[#This Row],[Paid leave days WK]]-Tableau242[[#This Row],[Congé PXX]],"Matricule")</f>
        <v>0</v>
      </c>
      <c r="V313" s="63">
        <f>IFERROR(VLOOKUP($B313,#REF!,4,FALSE),0)</f>
        <v>0</v>
      </c>
      <c r="W31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13" s="63">
        <f>IF(AND(Tableau242[[#This Row],[Paid leave days]]&gt;0,Tableau242[[#This Row],[Prod. days]]&lt;0),MIN(Tableau242[[#This Row],[Paid leave days]],-Tableau242[[#This Row],[Prod. days]]),0)</f>
        <v>0</v>
      </c>
      <c r="Z313" s="63">
        <f>IFERROR(_xlfn.XLOOKUP(Tableau242[[#This Row],[Consultant]],Tableau2[Collaborateur/Nom affiché],Tableau2[Montant imputé],0),0)</f>
        <v>0</v>
      </c>
      <c r="AA313" s="64">
        <f t="shared" si="5"/>
        <v>0</v>
      </c>
      <c r="AB313" s="65" t="s">
        <v>154</v>
      </c>
      <c r="AC313" s="66"/>
      <c r="AD313" s="66"/>
      <c r="AE313" s="105"/>
      <c r="AF313" s="90"/>
    </row>
    <row r="314" spans="1:32">
      <c r="A314" s="15">
        <f>Tableau242[[#This Row],[Company number]]+0</f>
        <v>14443</v>
      </c>
      <c r="B314" s="60" t="s">
        <v>756</v>
      </c>
      <c r="C314" s="61" t="s">
        <v>757</v>
      </c>
      <c r="D314" s="61" t="s">
        <v>56</v>
      </c>
      <c r="E314" s="62" t="str">
        <f>IFERROR(VLOOKUP(Tableau242[[#This Row],[Manager ou CDM concerné]],Parametres!B:C,2,FALSE),"")</f>
        <v>Squad G</v>
      </c>
      <c r="F314" s="62" t="str">
        <f>IF(Tableau242[[#This Row],[Consultant]]=Tableau242[[#This Row],[Manager ou CDM concerné]],"Non",IF(IFERROR(VLOOKUP(Tableau242[[#This Row],[Consultant]],Parametres!B:C,2,FALSE),0)=0,"Non","Oui"))</f>
        <v>Non</v>
      </c>
      <c r="G314" s="62">
        <f>IFERROR(VLOOKUP(B314,Tableau5[#All],4,FALSE),"Matricule!")</f>
        <v>20</v>
      </c>
      <c r="H314" s="62" t="str">
        <f>IFERROR(VLOOKUP(Tableau242[[#This Row],[Company number]],#REF!,6,FALSE),"")</f>
        <v/>
      </c>
      <c r="I314" s="62">
        <f>IFERROR(VLOOKUP(B314,Tableau5[#All],5,FALSE),"Matricule!")</f>
        <v>0</v>
      </c>
      <c r="J314" s="62">
        <f>IFERROR(VLOOKUP(B314,Tableau5[#All],6,FALSE),"Matricule!")</f>
        <v>0</v>
      </c>
      <c r="K314" s="62">
        <f>IFERROR(VLOOKUP(B314,Tableau5[#All],7,FALSE),"Matricule!")</f>
        <v>0</v>
      </c>
      <c r="L314" s="62" t="e">
        <f>VLOOKUP(Tableau242[[#This Row],[Company number]],#REF!,25,FALSE)</f>
        <v>#REF!</v>
      </c>
      <c r="M314" s="62" t="str">
        <f>IFERROR(VLOOKUP(Tableau242[[#This Row],[Company number]],#REF!,30,FALSE),"")</f>
        <v/>
      </c>
      <c r="N314" s="62" t="str">
        <f>IFERROR(VLOOKUP(Tableau242[[#This Row],[Company number]],#REF!,31,FALSE),"")</f>
        <v/>
      </c>
      <c r="O314" s="62" t="str">
        <f>IFERROR(VLOOKUP(Tableau242[[#This Row],[Company number]],#REF!,32,FALSE),"")</f>
        <v/>
      </c>
      <c r="P314" s="62">
        <f>IFERROR(VLOOKUP(B314,Tableau3[#All],5,FALSE),"Matricule!")</f>
        <v>20</v>
      </c>
      <c r="Q314" s="62">
        <f>IFERROR(SUM(VLOOKUP(B314,Tableau3[#All],6,FALSE),VLOOKUP(B314,Tableau3[#All],8,FALSE)),"Matricule!")</f>
        <v>0</v>
      </c>
      <c r="R314" s="62">
        <f>IFERROR(VLOOKUP(B314,Tableau3[#All],7,FALSE),"Matricule!")</f>
        <v>0</v>
      </c>
      <c r="S314" s="62">
        <f>IFERROR(Tableau242[[#This Row],[Prod. days WK]]-Tableau242[[#This Row],[Prod PXX]],"Matricule")</f>
        <v>0</v>
      </c>
      <c r="T314" s="62">
        <f>IFERROR(Tableau242[[#This Row],[Non prod. days WK]]-Tableau242[[#This Row],[Improd PXX]],"Matricule")</f>
        <v>0</v>
      </c>
      <c r="U314" s="62">
        <f>IFERROR(Tableau242[[#This Row],[Paid leave days WK]]-Tableau242[[#This Row],[Congé PXX]],"Matricule")</f>
        <v>0</v>
      </c>
      <c r="V314" s="63">
        <f>IFERROR(VLOOKUP($B314,#REF!,4,FALSE),0)</f>
        <v>0</v>
      </c>
      <c r="W31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14" s="63">
        <f>IF(AND(Tableau242[[#This Row],[Paid leave days]]&gt;0,Tableau242[[#This Row],[Prod. days]]&lt;0),MIN(Tableau242[[#This Row],[Paid leave days]],-Tableau242[[#This Row],[Prod. days]]),0)</f>
        <v>0</v>
      </c>
      <c r="Z314" s="63">
        <f>IFERROR(_xlfn.XLOOKUP(Tableau242[[#This Row],[Consultant]],Tableau2[Collaborateur/Nom affiché],Tableau2[Montant imputé],0),0)</f>
        <v>0</v>
      </c>
      <c r="AA314" s="64">
        <f t="shared" si="5"/>
        <v>0</v>
      </c>
      <c r="AB314" s="65" t="s">
        <v>154</v>
      </c>
      <c r="AC314" s="66"/>
      <c r="AD314" s="66"/>
      <c r="AE314" s="105"/>
      <c r="AF314" s="105" t="s">
        <v>758</v>
      </c>
    </row>
    <row r="315" spans="1:32">
      <c r="A315" s="15">
        <f>Tableau242[[#This Row],[Company number]]+0</f>
        <v>1605</v>
      </c>
      <c r="B315" s="60" t="s">
        <v>759</v>
      </c>
      <c r="C315" s="61" t="s">
        <v>760</v>
      </c>
      <c r="D315" s="61" t="s">
        <v>56</v>
      </c>
      <c r="E315" s="62" t="str">
        <f>IFERROR(VLOOKUP(Tableau242[[#This Row],[Manager ou CDM concerné]],Parametres!B:C,2,FALSE),"")</f>
        <v>Squad G</v>
      </c>
      <c r="F315" s="62" t="str">
        <f>IF(Tableau242[[#This Row],[Consultant]]=Tableau242[[#This Row],[Manager ou CDM concerné]],"Non",IF(IFERROR(VLOOKUP(Tableau242[[#This Row],[Consultant]],Parametres!B:C,2,FALSE),0)=0,"Non","Oui"))</f>
        <v>Non</v>
      </c>
      <c r="G315" s="62">
        <f>IFERROR(VLOOKUP(B315,Tableau5[#All],4,FALSE),"Matricule!")</f>
        <v>0</v>
      </c>
      <c r="H315" s="62" t="str">
        <f>IFERROR(VLOOKUP(Tableau242[[#This Row],[Company number]],#REF!,6,FALSE),"")</f>
        <v/>
      </c>
      <c r="I315" s="62">
        <f>IFERROR(VLOOKUP(B315,Tableau5[#All],5,FALSE),"Matricule!")</f>
        <v>14</v>
      </c>
      <c r="J315" s="62">
        <f>IFERROR(VLOOKUP(B315,Tableau5[#All],6,FALSE),"Matricule!")</f>
        <v>6</v>
      </c>
      <c r="K315" s="62">
        <f>IFERROR(VLOOKUP(B315,Tableau5[#All],7,FALSE),"Matricule!")</f>
        <v>0</v>
      </c>
      <c r="L315" s="62" t="e">
        <f>VLOOKUP(Tableau242[[#This Row],[Company number]],#REF!,25,FALSE)</f>
        <v>#REF!</v>
      </c>
      <c r="M315" s="62" t="str">
        <f>IFERROR(VLOOKUP(Tableau242[[#This Row],[Company number]],#REF!,30,FALSE),"")</f>
        <v/>
      </c>
      <c r="N315" s="62" t="str">
        <f>IFERROR(VLOOKUP(Tableau242[[#This Row],[Company number]],#REF!,31,FALSE),"")</f>
        <v/>
      </c>
      <c r="O315" s="62" t="str">
        <f>IFERROR(VLOOKUP(Tableau242[[#This Row],[Company number]],#REF!,32,FALSE),"")</f>
        <v/>
      </c>
      <c r="P315" s="68">
        <f>IFERROR(VLOOKUP(B315,Tableau3[#All],5,FALSE),"Matricule!")</f>
        <v>0</v>
      </c>
      <c r="Q315" s="68">
        <f>IFERROR(SUM(VLOOKUP(B315,Tableau3[#All],6,FALSE),VLOOKUP(B315,Tableau3[#All],8,FALSE)),"Matricule!")</f>
        <v>14</v>
      </c>
      <c r="R315" s="68">
        <f>IFERROR(VLOOKUP(B315,Tableau3[#All],7,FALSE),"Matricule!")</f>
        <v>6</v>
      </c>
      <c r="S315" s="62">
        <f>IFERROR(Tableau242[[#This Row],[Prod. days WK]]-Tableau242[[#This Row],[Prod PXX]],"Matricule")</f>
        <v>0</v>
      </c>
      <c r="T315" s="62">
        <f>IFERROR(Tableau242[[#This Row],[Non prod. days WK]]-Tableau242[[#This Row],[Improd PXX]],"Matricule")</f>
        <v>0</v>
      </c>
      <c r="U315" s="62">
        <f>IFERROR(Tableau242[[#This Row],[Paid leave days WK]]-Tableau242[[#This Row],[Congé PXX]],"Matricule")</f>
        <v>0</v>
      </c>
      <c r="V315" s="63">
        <f>IFERROR(VLOOKUP($B315,#REF!,4,FALSE),0)</f>
        <v>0</v>
      </c>
      <c r="W31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15" s="63">
        <f>IF(AND(Tableau242[[#This Row],[Paid leave days]]&gt;0,Tableau242[[#This Row],[Prod. days]]&lt;0),MIN(Tableau242[[#This Row],[Paid leave days]],-Tableau242[[#This Row],[Prod. days]]),0)</f>
        <v>0</v>
      </c>
      <c r="Z315" s="63">
        <f>IFERROR(_xlfn.XLOOKUP(Tableau242[[#This Row],[Consultant]],Tableau2[Collaborateur/Nom affiché],Tableau2[Montant imputé],0),0)</f>
        <v>0</v>
      </c>
      <c r="AA315" s="64">
        <f t="shared" si="5"/>
        <v>0</v>
      </c>
      <c r="AB315" s="78" t="s">
        <v>154</v>
      </c>
      <c r="AC315" s="67"/>
      <c r="AD315" s="67"/>
      <c r="AE315" s="106"/>
      <c r="AF315" s="92" t="s">
        <v>761</v>
      </c>
    </row>
    <row r="316" spans="1:32">
      <c r="A316" s="15">
        <f>Tableau242[[#This Row],[Company number]]+0</f>
        <v>13272</v>
      </c>
      <c r="B316" s="60" t="s">
        <v>762</v>
      </c>
      <c r="C316" s="61" t="s">
        <v>640</v>
      </c>
      <c r="D316" s="61" t="s">
        <v>56</v>
      </c>
      <c r="E316" s="62" t="str">
        <f>IFERROR(VLOOKUP(Tableau242[[#This Row],[Manager ou CDM concerné]],Parametres!B:C,2,FALSE),"")</f>
        <v>Squad G</v>
      </c>
      <c r="F316" s="62" t="str">
        <f>IF(Tableau242[[#This Row],[Consultant]]=Tableau242[[#This Row],[Manager ou CDM concerné]],"Non",IF(IFERROR(VLOOKUP(Tableau242[[#This Row],[Consultant]],Parametres!B:C,2,FALSE),0)=0,"Non","Oui"))</f>
        <v>Oui</v>
      </c>
      <c r="G316" s="62">
        <f>IFERROR(VLOOKUP(B316,Tableau5[#All],4,FALSE),"Matricule!")</f>
        <v>17.5</v>
      </c>
      <c r="H316" s="62" t="str">
        <f>IFERROR(VLOOKUP(Tableau242[[#This Row],[Company number]],#REF!,6,FALSE),"")</f>
        <v/>
      </c>
      <c r="I316" s="62">
        <f>IFERROR(VLOOKUP(B316,Tableau5[#All],5,FALSE),"Matricule!")</f>
        <v>2</v>
      </c>
      <c r="J316" s="62">
        <f>IFERROR(VLOOKUP(B316,Tableau5[#All],6,FALSE),"Matricule!")</f>
        <v>0.5</v>
      </c>
      <c r="K316" s="62">
        <f>IFERROR(VLOOKUP(B316,Tableau5[#All],7,FALSE),"Matricule!")</f>
        <v>0</v>
      </c>
      <c r="L316" s="62" t="e">
        <f>VLOOKUP(Tableau242[[#This Row],[Company number]],#REF!,25,FALSE)</f>
        <v>#REF!</v>
      </c>
      <c r="M316" s="62" t="str">
        <f>IFERROR(VLOOKUP(Tableau242[[#This Row],[Company number]],#REF!,30,FALSE),"")</f>
        <v/>
      </c>
      <c r="N316" s="62" t="str">
        <f>IFERROR(VLOOKUP(Tableau242[[#This Row],[Company number]],#REF!,31,FALSE),"")</f>
        <v/>
      </c>
      <c r="O316" s="62" t="str">
        <f>IFERROR(VLOOKUP(Tableau242[[#This Row],[Company number]],#REF!,32,FALSE),"")</f>
        <v/>
      </c>
      <c r="P316" s="62">
        <f>IFERROR(VLOOKUP(B316,Tableau3[#All],5,FALSE),"Matricule!")</f>
        <v>17.5</v>
      </c>
      <c r="Q316" s="62">
        <f>IFERROR(SUM(VLOOKUP(B316,Tableau3[#All],6,FALSE),VLOOKUP(B316,Tableau3[#All],8,FALSE)),"Matricule!")</f>
        <v>2</v>
      </c>
      <c r="R316" s="62">
        <f>IFERROR(VLOOKUP(B316,Tableau3[#All],7,FALSE),"Matricule!")</f>
        <v>0.5</v>
      </c>
      <c r="S316" s="62">
        <f>IFERROR(Tableau242[[#This Row],[Prod. days WK]]-Tableau242[[#This Row],[Prod PXX]],"Matricule")</f>
        <v>0</v>
      </c>
      <c r="T316" s="62">
        <f>IFERROR(Tableau242[[#This Row],[Non prod. days WK]]-Tableau242[[#This Row],[Improd PXX]],"Matricule")</f>
        <v>0</v>
      </c>
      <c r="U316" s="62">
        <f>IFERROR(Tableau242[[#This Row],[Paid leave days WK]]-Tableau242[[#This Row],[Congé PXX]],"Matricule")</f>
        <v>0</v>
      </c>
      <c r="V316" s="63">
        <f>IFERROR(VLOOKUP($B316,#REF!,4,FALSE),0)</f>
        <v>0</v>
      </c>
      <c r="W31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16" s="63">
        <f>IF(AND(Tableau242[[#This Row],[Paid leave days]]&gt;0,Tableau242[[#This Row],[Prod. days]]&lt;0),MIN(Tableau242[[#This Row],[Paid leave days]],-Tableau242[[#This Row],[Prod. days]]),0)</f>
        <v>0</v>
      </c>
      <c r="Z316" s="63">
        <f>IFERROR(_xlfn.XLOOKUP(Tableau242[[#This Row],[Consultant]],Tableau2[Collaborateur/Nom affiché],Tableau2[Montant imputé],0),0)</f>
        <v>0</v>
      </c>
      <c r="AA316" s="64">
        <f t="shared" si="5"/>
        <v>0</v>
      </c>
      <c r="AB316" s="65" t="s">
        <v>154</v>
      </c>
      <c r="AC316" s="66"/>
      <c r="AD316" s="66"/>
      <c r="AE316" s="105"/>
      <c r="AF316" s="90" t="s">
        <v>763</v>
      </c>
    </row>
    <row r="317" spans="1:32" ht="29.1">
      <c r="A317" s="15">
        <f>Tableau242[[#This Row],[Company number]]+0</f>
        <v>14359</v>
      </c>
      <c r="B317" s="60" t="s">
        <v>764</v>
      </c>
      <c r="C317" s="61" t="s">
        <v>765</v>
      </c>
      <c r="D317" s="61" t="s">
        <v>56</v>
      </c>
      <c r="E317" s="62" t="str">
        <f>IFERROR(VLOOKUP(Tableau242[[#This Row],[Manager ou CDM concerné]],Parametres!B:C,2,FALSE),"")</f>
        <v>Squad G</v>
      </c>
      <c r="F317" s="62" t="str">
        <f>IF(Tableau242[[#This Row],[Consultant]]=Tableau242[[#This Row],[Manager ou CDM concerné]],"Non",IF(IFERROR(VLOOKUP(Tableau242[[#This Row],[Consultant]],Parametres!B:C,2,FALSE),0)=0,"Non","Oui"))</f>
        <v>Non</v>
      </c>
      <c r="G317" s="62">
        <f>IFERROR(VLOOKUP(B317,Tableau5[#All],4,FALSE),"Matricule!")</f>
        <v>19</v>
      </c>
      <c r="H317" s="62" t="str">
        <f>IFERROR(VLOOKUP(Tableau242[[#This Row],[Company number]],#REF!,6,FALSE),"")</f>
        <v/>
      </c>
      <c r="I317" s="62">
        <f>IFERROR(VLOOKUP(B317,Tableau5[#All],5,FALSE),"Matricule!")</f>
        <v>0</v>
      </c>
      <c r="J317" s="62">
        <f>IFERROR(VLOOKUP(B317,Tableau5[#All],6,FALSE),"Matricule!")</f>
        <v>1</v>
      </c>
      <c r="K317" s="62">
        <f>IFERROR(VLOOKUP(B317,Tableau5[#All],7,FALSE),"Matricule!")</f>
        <v>0</v>
      </c>
      <c r="L317" s="62" t="e">
        <f>VLOOKUP(Tableau242[[#This Row],[Company number]],#REF!,25,FALSE)</f>
        <v>#REF!</v>
      </c>
      <c r="M317" s="62" t="str">
        <f>IFERROR(VLOOKUP(Tableau242[[#This Row],[Company number]],#REF!,30,FALSE),"")</f>
        <v/>
      </c>
      <c r="N317" s="62" t="str">
        <f>IFERROR(VLOOKUP(Tableau242[[#This Row],[Company number]],#REF!,31,FALSE),"")</f>
        <v/>
      </c>
      <c r="O317" s="62" t="str">
        <f>IFERROR(VLOOKUP(Tableau242[[#This Row],[Company number]],#REF!,32,FALSE),"")</f>
        <v/>
      </c>
      <c r="P317" s="62">
        <f>IFERROR(VLOOKUP(B317,Tableau3[#All],5,FALSE),"Matricule!")</f>
        <v>19</v>
      </c>
      <c r="Q317" s="62">
        <f>IFERROR(SUM(VLOOKUP(B317,Tableau3[#All],6,FALSE),VLOOKUP(B317,Tableau3[#All],8,FALSE)),"Matricule!")</f>
        <v>0</v>
      </c>
      <c r="R317" s="62">
        <f>IFERROR(VLOOKUP(B317,Tableau3[#All],7,FALSE),"Matricule!")</f>
        <v>1</v>
      </c>
      <c r="S317" s="62">
        <f>IFERROR(Tableau242[[#This Row],[Prod. days WK]]-Tableau242[[#This Row],[Prod PXX]],"Matricule")</f>
        <v>0</v>
      </c>
      <c r="T317" s="62">
        <f>IFERROR(Tableau242[[#This Row],[Non prod. days WK]]-Tableau242[[#This Row],[Improd PXX]],"Matricule")</f>
        <v>0</v>
      </c>
      <c r="U317" s="62">
        <f>IFERROR(Tableau242[[#This Row],[Paid leave days WK]]-Tableau242[[#This Row],[Congé PXX]],"Matricule")</f>
        <v>0</v>
      </c>
      <c r="V317" s="63">
        <f>IFERROR(VLOOKUP($B317,#REF!,4,FALSE),0)</f>
        <v>0</v>
      </c>
      <c r="W31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17" s="63">
        <f>IF(AND(Tableau242[[#This Row],[Paid leave days]]&gt;0,Tableau242[[#This Row],[Prod. days]]&lt;0),MIN(Tableau242[[#This Row],[Paid leave days]],-Tableau242[[#This Row],[Prod. days]]),0)</f>
        <v>0</v>
      </c>
      <c r="Z317" s="63">
        <f>IFERROR(_xlfn.XLOOKUP(Tableau242[[#This Row],[Consultant]],Tableau2[Collaborateur/Nom affiché],Tableau2[Montant imputé],0),0)</f>
        <v>0</v>
      </c>
      <c r="AA317" s="64">
        <f t="shared" si="5"/>
        <v>0</v>
      </c>
      <c r="AB317" s="65" t="s">
        <v>154</v>
      </c>
      <c r="AC317" s="66"/>
      <c r="AD317" s="66"/>
      <c r="AE317" s="105"/>
      <c r="AF317" s="105" t="s">
        <v>758</v>
      </c>
    </row>
    <row r="318" spans="1:32">
      <c r="A318" s="15">
        <f>Tableau242[[#This Row],[Company number]]+0</f>
        <v>11283</v>
      </c>
      <c r="B318" s="60" t="s">
        <v>766</v>
      </c>
      <c r="C318" s="61" t="s">
        <v>96</v>
      </c>
      <c r="D318" s="61" t="s">
        <v>56</v>
      </c>
      <c r="E318" s="62" t="str">
        <f>IFERROR(VLOOKUP(Tableau242[[#This Row],[Manager ou CDM concerné]],Parametres!B:C,2,FALSE),"")</f>
        <v>Squad G</v>
      </c>
      <c r="F318" s="62" t="str">
        <f>IF(Tableau242[[#This Row],[Consultant]]=Tableau242[[#This Row],[Manager ou CDM concerné]],"Non",IF(IFERROR(VLOOKUP(Tableau242[[#This Row],[Consultant]],Parametres!B:C,2,FALSE),0)=0,"Non","Oui"))</f>
        <v>Oui</v>
      </c>
      <c r="G318" s="62">
        <f>IFERROR(VLOOKUP(B318,Tableau5[#All],4,FALSE),"Matricule!")</f>
        <v>12</v>
      </c>
      <c r="H318" s="62" t="str">
        <f>IFERROR(VLOOKUP(Tableau242[[#This Row],[Company number]],#REF!,6,FALSE),"")</f>
        <v/>
      </c>
      <c r="I318" s="62">
        <f>IFERROR(VLOOKUP(B318,Tableau5[#All],5,FALSE),"Matricule!")</f>
        <v>2</v>
      </c>
      <c r="J318" s="62">
        <f>IFERROR(VLOOKUP(B318,Tableau5[#All],6,FALSE),"Matricule!")</f>
        <v>6</v>
      </c>
      <c r="K318" s="62">
        <f>IFERROR(VLOOKUP(B318,Tableau5[#All],7,FALSE),"Matricule!")</f>
        <v>0</v>
      </c>
      <c r="L318" s="62" t="e">
        <f>VLOOKUP(Tableau242[[#This Row],[Company number]],#REF!,25,FALSE)</f>
        <v>#REF!</v>
      </c>
      <c r="M318" s="62" t="str">
        <f>IFERROR(VLOOKUP(Tableau242[[#This Row],[Company number]],#REF!,30,FALSE),"")</f>
        <v/>
      </c>
      <c r="N318" s="62" t="str">
        <f>IFERROR(VLOOKUP(Tableau242[[#This Row],[Company number]],#REF!,31,FALSE),"")</f>
        <v/>
      </c>
      <c r="O318" s="62" t="str">
        <f>IFERROR(VLOOKUP(Tableau242[[#This Row],[Company number]],#REF!,32,FALSE),"")</f>
        <v/>
      </c>
      <c r="P318" s="62">
        <f>IFERROR(VLOOKUP(B318,Tableau3[#All],5,FALSE),"Matricule!")</f>
        <v>12</v>
      </c>
      <c r="Q318" s="62">
        <f>IFERROR(SUM(VLOOKUP(B318,Tableau3[#All],6,FALSE),VLOOKUP(B318,Tableau3[#All],8,FALSE)),"Matricule!")</f>
        <v>2</v>
      </c>
      <c r="R318" s="62">
        <f>IFERROR(VLOOKUP(B318,Tableau3[#All],7,FALSE),"Matricule!")</f>
        <v>6</v>
      </c>
      <c r="S318" s="62">
        <f>IFERROR(Tableau242[[#This Row],[Prod. days WK]]-Tableau242[[#This Row],[Prod PXX]],"Matricule")</f>
        <v>0</v>
      </c>
      <c r="T318" s="62">
        <f>IFERROR(Tableau242[[#This Row],[Non prod. days WK]]-Tableau242[[#This Row],[Improd PXX]],"Matricule")</f>
        <v>0</v>
      </c>
      <c r="U318" s="62">
        <f>IFERROR(Tableau242[[#This Row],[Paid leave days WK]]-Tableau242[[#This Row],[Congé PXX]],"Matricule")</f>
        <v>0</v>
      </c>
      <c r="V318" s="63">
        <f>IFERROR(VLOOKUP($B318,#REF!,4,FALSE),0)</f>
        <v>0</v>
      </c>
      <c r="W31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18" s="63">
        <f>IF(AND(Tableau242[[#This Row],[Paid leave days]]&gt;0,Tableau242[[#This Row],[Prod. days]]&lt;0),MIN(Tableau242[[#This Row],[Paid leave days]],-Tableau242[[#This Row],[Prod. days]]),0)</f>
        <v>0</v>
      </c>
      <c r="Z318" s="63">
        <f>IFERROR(_xlfn.XLOOKUP(Tableau242[[#This Row],[Consultant]],Tableau2[Collaborateur/Nom affiché],Tableau2[Montant imputé],0),0)</f>
        <v>0</v>
      </c>
      <c r="AA318" s="64">
        <f t="shared" si="5"/>
        <v>0</v>
      </c>
      <c r="AB318" s="65" t="s">
        <v>154</v>
      </c>
      <c r="AC318" s="66"/>
      <c r="AD318" s="66"/>
      <c r="AE318" s="105"/>
      <c r="AF318" s="90" t="s">
        <v>763</v>
      </c>
    </row>
    <row r="319" spans="1:32">
      <c r="A319" s="15">
        <f>Tableau242[[#This Row],[Company number]]+0</f>
        <v>13960</v>
      </c>
      <c r="B319" s="60" t="s">
        <v>767</v>
      </c>
      <c r="C319" s="61" t="s">
        <v>768</v>
      </c>
      <c r="D319" s="61" t="s">
        <v>56</v>
      </c>
      <c r="E319" s="62" t="str">
        <f>IFERROR(VLOOKUP(Tableau242[[#This Row],[Manager ou CDM concerné]],Parametres!B:C,2,FALSE),"")</f>
        <v>Squad G</v>
      </c>
      <c r="F319" s="62" t="str">
        <f>IF(Tableau242[[#This Row],[Consultant]]=Tableau242[[#This Row],[Manager ou CDM concerné]],"Non",IF(IFERROR(VLOOKUP(Tableau242[[#This Row],[Consultant]],Parametres!B:C,2,FALSE),0)=0,"Non","Oui"))</f>
        <v>Non</v>
      </c>
      <c r="G319" s="62">
        <f>IFERROR(VLOOKUP(B319,Tableau5[#All],4,FALSE),"Matricule!")</f>
        <v>20</v>
      </c>
      <c r="H319" s="62" t="str">
        <f>IFERROR(VLOOKUP(Tableau242[[#This Row],[Company number]],#REF!,6,FALSE),"")</f>
        <v/>
      </c>
      <c r="I319" s="62">
        <f>IFERROR(VLOOKUP(B319,Tableau5[#All],5,FALSE),"Matricule!")</f>
        <v>0</v>
      </c>
      <c r="J319" s="62">
        <f>IFERROR(VLOOKUP(B319,Tableau5[#All],6,FALSE),"Matricule!")</f>
        <v>0</v>
      </c>
      <c r="K319" s="62">
        <f>IFERROR(VLOOKUP(B319,Tableau5[#All],7,FALSE),"Matricule!")</f>
        <v>0</v>
      </c>
      <c r="L319" s="62" t="e">
        <f>VLOOKUP(Tableau242[[#This Row],[Company number]],#REF!,25,FALSE)</f>
        <v>#REF!</v>
      </c>
      <c r="M319" s="62" t="str">
        <f>IFERROR(VLOOKUP(Tableau242[[#This Row],[Company number]],#REF!,30,FALSE),"")</f>
        <v/>
      </c>
      <c r="N319" s="62" t="str">
        <f>IFERROR(VLOOKUP(Tableau242[[#This Row],[Company number]],#REF!,31,FALSE),"")</f>
        <v/>
      </c>
      <c r="O319" s="62" t="str">
        <f>IFERROR(VLOOKUP(Tableau242[[#This Row],[Company number]],#REF!,32,FALSE),"")</f>
        <v/>
      </c>
      <c r="P319" s="62">
        <f>IFERROR(VLOOKUP(B319,Tableau3[#All],5,FALSE),"Matricule!")</f>
        <v>20</v>
      </c>
      <c r="Q319" s="62">
        <f>IFERROR(SUM(VLOOKUP(B319,Tableau3[#All],6,FALSE),VLOOKUP(B319,Tableau3[#All],8,FALSE)),"Matricule!")</f>
        <v>0</v>
      </c>
      <c r="R319" s="62">
        <f>IFERROR(VLOOKUP(B319,Tableau3[#All],7,FALSE),"Matricule!")</f>
        <v>0</v>
      </c>
      <c r="S319" s="62">
        <f>IFERROR(Tableau242[[#This Row],[Prod. days WK]]-Tableau242[[#This Row],[Prod PXX]],"Matricule")</f>
        <v>0</v>
      </c>
      <c r="T319" s="62">
        <f>IFERROR(Tableau242[[#This Row],[Non prod. days WK]]-Tableau242[[#This Row],[Improd PXX]],"Matricule")</f>
        <v>0</v>
      </c>
      <c r="U319" s="62">
        <f>IFERROR(Tableau242[[#This Row],[Paid leave days WK]]-Tableau242[[#This Row],[Congé PXX]],"Matricule")</f>
        <v>0</v>
      </c>
      <c r="V319" s="63">
        <f>IFERROR(VLOOKUP($B319,#REF!,4,FALSE),0)</f>
        <v>0</v>
      </c>
      <c r="W31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1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19" s="63">
        <f>IF(AND(Tableau242[[#This Row],[Paid leave days]]&gt;0,Tableau242[[#This Row],[Prod. days]]&lt;0),MIN(Tableau242[[#This Row],[Paid leave days]],-Tableau242[[#This Row],[Prod. days]]),0)</f>
        <v>0</v>
      </c>
      <c r="Z319" s="63">
        <f>IFERROR(_xlfn.XLOOKUP(Tableau242[[#This Row],[Consultant]],Tableau2[Collaborateur/Nom affiché],Tableau2[Montant imputé],0),0)</f>
        <v>0</v>
      </c>
      <c r="AA319" s="64">
        <f t="shared" si="5"/>
        <v>0</v>
      </c>
      <c r="AB319" s="65" t="s">
        <v>154</v>
      </c>
      <c r="AC319" s="67"/>
      <c r="AD319" s="67"/>
      <c r="AE319" s="114"/>
      <c r="AF319" s="105" t="s">
        <v>758</v>
      </c>
    </row>
    <row r="320" spans="1:32">
      <c r="A320" s="15">
        <f>Tableau242[[#This Row],[Company number]]+0</f>
        <v>10406</v>
      </c>
      <c r="B320" s="60" t="s">
        <v>769</v>
      </c>
      <c r="C320" s="61" t="s">
        <v>27</v>
      </c>
      <c r="D320" s="61" t="s">
        <v>8</v>
      </c>
      <c r="E320" s="62" t="str">
        <f>IFERROR(VLOOKUP(Tableau242[[#This Row],[Manager ou CDM concerné]],Parametres!B:C,2,FALSE),"")</f>
        <v>Squad B</v>
      </c>
      <c r="F320" s="62" t="str">
        <f>IF(Tableau242[[#This Row],[Consultant]]=Tableau242[[#This Row],[Manager ou CDM concerné]],"Non",IF(IFERROR(VLOOKUP(Tableau242[[#This Row],[Consultant]],Parametres!B:C,2,FALSE),0)=0,"Non","Oui"))</f>
        <v>Oui</v>
      </c>
      <c r="G320" s="62">
        <f>IFERROR(VLOOKUP(B320,Tableau5[#All],4,FALSE),"Matricule!")</f>
        <v>16</v>
      </c>
      <c r="H320" s="62" t="str">
        <f>IFERROR(VLOOKUP(Tableau242[[#This Row],[Company number]],#REF!,6,FALSE),"")</f>
        <v/>
      </c>
      <c r="I320" s="62">
        <f>IFERROR(VLOOKUP(B320,Tableau5[#All],5,FALSE),"Matricule!")</f>
        <v>4</v>
      </c>
      <c r="J320" s="62">
        <f>IFERROR(VLOOKUP(B320,Tableau5[#All],6,FALSE),"Matricule!")</f>
        <v>0</v>
      </c>
      <c r="K320" s="62">
        <f>IFERROR(VLOOKUP(B320,Tableau5[#All],7,FALSE),"Matricule!")</f>
        <v>0</v>
      </c>
      <c r="L320" s="62" t="e">
        <f>VLOOKUP(Tableau242[[#This Row],[Company number]],#REF!,25,FALSE)</f>
        <v>#REF!</v>
      </c>
      <c r="M320" s="62" t="str">
        <f>IFERROR(VLOOKUP(Tableau242[[#This Row],[Company number]],#REF!,30,FALSE),"")</f>
        <v/>
      </c>
      <c r="N320" s="62" t="str">
        <f>IFERROR(VLOOKUP(Tableau242[[#This Row],[Company number]],#REF!,31,FALSE),"")</f>
        <v/>
      </c>
      <c r="O320" s="62" t="str">
        <f>IFERROR(VLOOKUP(Tableau242[[#This Row],[Company number]],#REF!,32,FALSE),"")</f>
        <v/>
      </c>
      <c r="P320" s="62">
        <f>IFERROR(VLOOKUP(B320,Tableau3[#All],5,FALSE),"Matricule!")</f>
        <v>18</v>
      </c>
      <c r="Q320" s="62">
        <f>IFERROR(SUM(VLOOKUP(B320,Tableau3[#All],6,FALSE),VLOOKUP(B320,Tableau3[#All],8,FALSE)),"Matricule!")</f>
        <v>2</v>
      </c>
      <c r="R320" s="62">
        <f>IFERROR(VLOOKUP(B320,Tableau3[#All],7,FALSE),"Matricule!")</f>
        <v>0</v>
      </c>
      <c r="S320" s="62">
        <f>IFERROR(Tableau242[[#This Row],[Prod. days WK]]-Tableau242[[#This Row],[Prod PXX]],"Matricule")</f>
        <v>-2</v>
      </c>
      <c r="T320" s="62">
        <f>IFERROR(Tableau242[[#This Row],[Non prod. days WK]]-Tableau242[[#This Row],[Improd PXX]],"Matricule")</f>
        <v>2</v>
      </c>
      <c r="U320" s="62">
        <f>IFERROR(Tableau242[[#This Row],[Paid leave days WK]]-Tableau242[[#This Row],[Congé PXX]],"Matricule")</f>
        <v>0</v>
      </c>
      <c r="V320" s="63">
        <f>IFERROR(VLOOKUP($B320,#REF!,4,FALSE),0)</f>
        <v>0</v>
      </c>
      <c r="W32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20" s="63">
        <f>IF(AND(Tableau242[[#This Row],[Paid leave days]]&gt;0,Tableau242[[#This Row],[Prod. days]]&lt;0),MIN(Tableau242[[#This Row],[Paid leave days]],-Tableau242[[#This Row],[Prod. days]]),0)</f>
        <v>0</v>
      </c>
      <c r="Z320" s="63">
        <f>IFERROR(_xlfn.XLOOKUP(Tableau242[[#This Row],[Consultant]],Tableau2[Collaborateur/Nom affiché],Tableau2[Montant imputé],0),0)</f>
        <v>0</v>
      </c>
      <c r="AA320" s="64">
        <f t="shared" si="5"/>
        <v>-2</v>
      </c>
      <c r="AB320" s="78" t="s">
        <v>770</v>
      </c>
      <c r="AC320" s="67"/>
      <c r="AD320" s="67"/>
      <c r="AE320" s="114"/>
      <c r="AF320" s="92"/>
    </row>
    <row r="321" spans="1:32">
      <c r="A321" s="15">
        <f>Tableau242[[#This Row],[Company number]]+0</f>
        <v>13407</v>
      </c>
      <c r="B321" s="60" t="s">
        <v>771</v>
      </c>
      <c r="C321" s="61" t="s">
        <v>772</v>
      </c>
      <c r="D321" s="61" t="s">
        <v>56</v>
      </c>
      <c r="E321" s="62" t="str">
        <f>IFERROR(VLOOKUP(Tableau242[[#This Row],[Manager ou CDM concerné]],Parametres!B:C,2,FALSE),"")</f>
        <v>Squad G</v>
      </c>
      <c r="F321" s="62" t="str">
        <f>IF(Tableau242[[#This Row],[Consultant]]=Tableau242[[#This Row],[Manager ou CDM concerné]],"Non",IF(IFERROR(VLOOKUP(Tableau242[[#This Row],[Consultant]],Parametres!B:C,2,FALSE),0)=0,"Non","Oui"))</f>
        <v>Non</v>
      </c>
      <c r="G321" s="62">
        <f>IFERROR(VLOOKUP(B321,Tableau5[#All],4,FALSE),"Matricule!")</f>
        <v>20</v>
      </c>
      <c r="H321" s="62" t="str">
        <f>IFERROR(VLOOKUP(Tableau242[[#This Row],[Company number]],#REF!,6,FALSE),"")</f>
        <v/>
      </c>
      <c r="I321" s="62">
        <f>IFERROR(VLOOKUP(B321,Tableau5[#All],5,FALSE),"Matricule!")</f>
        <v>0</v>
      </c>
      <c r="J321" s="62">
        <f>IFERROR(VLOOKUP(B321,Tableau5[#All],6,FALSE),"Matricule!")</f>
        <v>0</v>
      </c>
      <c r="K321" s="62">
        <f>IFERROR(VLOOKUP(B321,Tableau5[#All],7,FALSE),"Matricule!")</f>
        <v>0</v>
      </c>
      <c r="L321" s="62" t="e">
        <f>VLOOKUP(Tableau242[[#This Row],[Company number]],#REF!,25,FALSE)</f>
        <v>#REF!</v>
      </c>
      <c r="M321" s="62" t="str">
        <f>IFERROR(VLOOKUP(Tableau242[[#This Row],[Company number]],#REF!,30,FALSE),"")</f>
        <v/>
      </c>
      <c r="N321" s="62" t="str">
        <f>IFERROR(VLOOKUP(Tableau242[[#This Row],[Company number]],#REF!,31,FALSE),"")</f>
        <v/>
      </c>
      <c r="O321" s="62" t="str">
        <f>IFERROR(VLOOKUP(Tableau242[[#This Row],[Company number]],#REF!,32,FALSE),"")</f>
        <v/>
      </c>
      <c r="P321" s="62">
        <f>IFERROR(VLOOKUP(B321,Tableau3[#All],5,FALSE),"Matricule!")</f>
        <v>20</v>
      </c>
      <c r="Q321" s="62">
        <f>IFERROR(SUM(VLOOKUP(B321,Tableau3[#All],6,FALSE),VLOOKUP(B321,Tableau3[#All],8,FALSE)),"Matricule!")</f>
        <v>0</v>
      </c>
      <c r="R321" s="62">
        <f>IFERROR(VLOOKUP(B321,Tableau3[#All],7,FALSE),"Matricule!")</f>
        <v>0</v>
      </c>
      <c r="S321" s="62">
        <f>IFERROR(Tableau242[[#This Row],[Prod. days WK]]-Tableau242[[#This Row],[Prod PXX]],"Matricule")</f>
        <v>0</v>
      </c>
      <c r="T321" s="62">
        <f>IFERROR(Tableau242[[#This Row],[Non prod. days WK]]-Tableau242[[#This Row],[Improd PXX]],"Matricule")</f>
        <v>0</v>
      </c>
      <c r="U321" s="62">
        <f>IFERROR(Tableau242[[#This Row],[Paid leave days WK]]-Tableau242[[#This Row],[Congé PXX]],"Matricule")</f>
        <v>0</v>
      </c>
      <c r="V321" s="63">
        <f>IFERROR(VLOOKUP($B321,#REF!,4,FALSE),0)</f>
        <v>0</v>
      </c>
      <c r="W32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21" s="63">
        <f>IF(AND(Tableau242[[#This Row],[Paid leave days]]&gt;0,Tableau242[[#This Row],[Prod. days]]&lt;0),MIN(Tableau242[[#This Row],[Paid leave days]],-Tableau242[[#This Row],[Prod. days]]),0)</f>
        <v>0</v>
      </c>
      <c r="Z321" s="63">
        <f>IFERROR(_xlfn.XLOOKUP(Tableau242[[#This Row],[Consultant]],Tableau2[Collaborateur/Nom affiché],Tableau2[Montant imputé],0),0)</f>
        <v>0</v>
      </c>
      <c r="AA321" s="64">
        <f t="shared" si="5"/>
        <v>0</v>
      </c>
      <c r="AB321" s="65" t="s">
        <v>154</v>
      </c>
      <c r="AC321" s="66"/>
      <c r="AD321" s="66"/>
      <c r="AE321" s="105"/>
      <c r="AF321" s="105" t="s">
        <v>758</v>
      </c>
    </row>
    <row r="322" spans="1:32">
      <c r="A322" s="15">
        <f>Tableau242[[#This Row],[Company number]]+0</f>
        <v>13393</v>
      </c>
      <c r="B322" s="60" t="s">
        <v>773</v>
      </c>
      <c r="C322" s="61" t="s">
        <v>78</v>
      </c>
      <c r="D322" s="61" t="s">
        <v>56</v>
      </c>
      <c r="E322" s="62" t="str">
        <f>IFERROR(VLOOKUP(Tableau242[[#This Row],[Manager ou CDM concerné]],Parametres!B:C,2,FALSE),"")</f>
        <v>Squad G</v>
      </c>
      <c r="F322" s="62" t="str">
        <f>IF(Tableau242[[#This Row],[Consultant]]=Tableau242[[#This Row],[Manager ou CDM concerné]],"Non",IF(IFERROR(VLOOKUP(Tableau242[[#This Row],[Consultant]],Parametres!B:C,2,FALSE),0)=0,"Non","Oui"))</f>
        <v>Oui</v>
      </c>
      <c r="G322" s="62">
        <f>IFERROR(VLOOKUP(B322,Tableau5[#All],4,FALSE),"Matricule!")</f>
        <v>19</v>
      </c>
      <c r="H322" s="62" t="str">
        <f>IFERROR(VLOOKUP(Tableau242[[#This Row],[Company number]],#REF!,6,FALSE),"")</f>
        <v/>
      </c>
      <c r="I322" s="62">
        <f>IFERROR(VLOOKUP(B322,Tableau5[#All],5,FALSE),"Matricule!")</f>
        <v>1</v>
      </c>
      <c r="J322" s="62">
        <f>IFERROR(VLOOKUP(B322,Tableau5[#All],6,FALSE),"Matricule!")</f>
        <v>0</v>
      </c>
      <c r="K322" s="62">
        <f>IFERROR(VLOOKUP(B322,Tableau5[#All],7,FALSE),"Matricule!")</f>
        <v>0</v>
      </c>
      <c r="L322" s="62" t="e">
        <f>VLOOKUP(Tableau242[[#This Row],[Company number]],#REF!,25,FALSE)</f>
        <v>#REF!</v>
      </c>
      <c r="M322" s="62" t="str">
        <f>IFERROR(VLOOKUP(Tableau242[[#This Row],[Company number]],#REF!,30,FALSE),"")</f>
        <v/>
      </c>
      <c r="N322" s="62" t="str">
        <f>IFERROR(VLOOKUP(Tableau242[[#This Row],[Company number]],#REF!,31,FALSE),"")</f>
        <v/>
      </c>
      <c r="O322" s="62" t="str">
        <f>IFERROR(VLOOKUP(Tableau242[[#This Row],[Company number]],#REF!,32,FALSE),"")</f>
        <v/>
      </c>
      <c r="P322" s="62">
        <f>IFERROR(VLOOKUP(B322,Tableau3[#All],5,FALSE),"Matricule!")</f>
        <v>18</v>
      </c>
      <c r="Q322" s="62">
        <f>IFERROR(SUM(VLOOKUP(B322,Tableau3[#All],6,FALSE),VLOOKUP(B322,Tableau3[#All],8,FALSE)),"Matricule!")</f>
        <v>2</v>
      </c>
      <c r="R322" s="62">
        <f>IFERROR(VLOOKUP(B322,Tableau3[#All],7,FALSE),"Matricule!")</f>
        <v>0</v>
      </c>
      <c r="S322" s="62">
        <f>IFERROR(Tableau242[[#This Row],[Prod. days WK]]-Tableau242[[#This Row],[Prod PXX]],"Matricule")</f>
        <v>1</v>
      </c>
      <c r="T322" s="62">
        <f>IFERROR(Tableau242[[#This Row],[Non prod. days WK]]-Tableau242[[#This Row],[Improd PXX]],"Matricule")</f>
        <v>-1</v>
      </c>
      <c r="U322" s="62">
        <f>IFERROR(Tableau242[[#This Row],[Paid leave days WK]]-Tableau242[[#This Row],[Congé PXX]],"Matricule")</f>
        <v>0</v>
      </c>
      <c r="V322" s="63">
        <f>IFERROR(VLOOKUP($B322,#REF!,4,FALSE),0)</f>
        <v>0</v>
      </c>
      <c r="W32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22" s="63">
        <f>IF(AND(Tableau242[[#This Row],[Paid leave days]]&gt;0,Tableau242[[#This Row],[Prod. days]]&lt;0),MIN(Tableau242[[#This Row],[Paid leave days]],-Tableau242[[#This Row],[Prod. days]]),0)</f>
        <v>0</v>
      </c>
      <c r="Z322" s="63">
        <f>IFERROR(_xlfn.XLOOKUP(Tableau242[[#This Row],[Consultant]],Tableau2[Collaborateur/Nom affiché],Tableau2[Montant imputé],0),0)</f>
        <v>0</v>
      </c>
      <c r="AA322" s="64">
        <f t="shared" si="5"/>
        <v>1</v>
      </c>
      <c r="AB322" s="65" t="s">
        <v>147</v>
      </c>
      <c r="AC322" s="66">
        <v>1</v>
      </c>
      <c r="AD322" s="66"/>
      <c r="AE322" s="105"/>
      <c r="AF322" s="90"/>
    </row>
    <row r="323" spans="1:32" ht="14.45" customHeight="1">
      <c r="A323" s="15">
        <f>Tableau242[[#This Row],[Company number]]+0</f>
        <v>12169</v>
      </c>
      <c r="B323" s="60" t="s">
        <v>774</v>
      </c>
      <c r="C323" s="61" t="s">
        <v>85</v>
      </c>
      <c r="D323" s="61" t="s">
        <v>56</v>
      </c>
      <c r="E323" s="62" t="str">
        <f>IFERROR(VLOOKUP(Tableau242[[#This Row],[Manager ou CDM concerné]],Parametres!B:C,2,FALSE),"")</f>
        <v>Squad G</v>
      </c>
      <c r="F323" s="62" t="str">
        <f>IF(Tableau242[[#This Row],[Consultant]]=Tableau242[[#This Row],[Manager ou CDM concerné]],"Non",IF(IFERROR(VLOOKUP(Tableau242[[#This Row],[Consultant]],Parametres!B:C,2,FALSE),0)=0,"Non","Oui"))</f>
        <v>Oui</v>
      </c>
      <c r="G323" s="62">
        <f>IFERROR(VLOOKUP(B323,Tableau5[#All],4,FALSE),"Matricule!")</f>
        <v>13.5</v>
      </c>
      <c r="H323" s="62" t="str">
        <f>IFERROR(VLOOKUP(Tableau242[[#This Row],[Company number]],#REF!,6,FALSE),"")</f>
        <v/>
      </c>
      <c r="I323" s="62">
        <f>IFERROR(VLOOKUP(B323,Tableau5[#All],5,FALSE),"Matricule!")</f>
        <v>0</v>
      </c>
      <c r="J323" s="62">
        <f>IFERROR(VLOOKUP(B323,Tableau5[#All],6,FALSE),"Matricule!")</f>
        <v>6.5</v>
      </c>
      <c r="K323" s="62">
        <f>IFERROR(VLOOKUP(B323,Tableau5[#All],7,FALSE),"Matricule!")</f>
        <v>0</v>
      </c>
      <c r="L323" s="62" t="e">
        <f>VLOOKUP(Tableau242[[#This Row],[Company number]],#REF!,25,FALSE)</f>
        <v>#REF!</v>
      </c>
      <c r="M323" s="62" t="str">
        <f>IFERROR(VLOOKUP(Tableau242[[#This Row],[Company number]],#REF!,30,FALSE),"")</f>
        <v/>
      </c>
      <c r="N323" s="62" t="str">
        <f>IFERROR(VLOOKUP(Tableau242[[#This Row],[Company number]],#REF!,31,FALSE),"")</f>
        <v/>
      </c>
      <c r="O323" s="62" t="str">
        <f>IFERROR(VLOOKUP(Tableau242[[#This Row],[Company number]],#REF!,32,FALSE),"")</f>
        <v/>
      </c>
      <c r="P323" s="68">
        <f>IFERROR(VLOOKUP(B323,Tableau3[#All],5,FALSE),"Matricule!")</f>
        <v>13.5</v>
      </c>
      <c r="Q323" s="68">
        <f>IFERROR(SUM(VLOOKUP(B323,Tableau3[#All],6,FALSE),VLOOKUP(B323,Tableau3[#All],8,FALSE)),"Matricule!")</f>
        <v>0</v>
      </c>
      <c r="R323" s="68">
        <f>IFERROR(VLOOKUP(B323,Tableau3[#All],7,FALSE),"Matricule!")</f>
        <v>6.5</v>
      </c>
      <c r="S323" s="62">
        <f>IFERROR(Tableau242[[#This Row],[Prod. days WK]]-Tableau242[[#This Row],[Prod PXX]],"Matricule")</f>
        <v>0</v>
      </c>
      <c r="T323" s="62">
        <f>IFERROR(Tableau242[[#This Row],[Non prod. days WK]]-Tableau242[[#This Row],[Improd PXX]],"Matricule")</f>
        <v>0</v>
      </c>
      <c r="U323" s="62">
        <f>IFERROR(Tableau242[[#This Row],[Paid leave days WK]]-Tableau242[[#This Row],[Congé PXX]],"Matricule")</f>
        <v>0</v>
      </c>
      <c r="V323" s="63">
        <f>IFERROR(VLOOKUP($B323,#REF!,4,FALSE),0)</f>
        <v>0</v>
      </c>
      <c r="W32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23" s="63">
        <f>IF(AND(Tableau242[[#This Row],[Paid leave days]]&gt;0,Tableau242[[#This Row],[Prod. days]]&lt;0),MIN(Tableau242[[#This Row],[Paid leave days]],-Tableau242[[#This Row],[Prod. days]]),0)</f>
        <v>0</v>
      </c>
      <c r="Z323" s="63">
        <f>IFERROR(_xlfn.XLOOKUP(Tableau242[[#This Row],[Consultant]],Tableau2[Collaborateur/Nom affiché],Tableau2[Montant imputé],0),0)</f>
        <v>0</v>
      </c>
      <c r="AA323" s="64">
        <f t="shared" si="5"/>
        <v>0</v>
      </c>
      <c r="AB323" s="65" t="s">
        <v>154</v>
      </c>
      <c r="AC323" s="66"/>
      <c r="AD323" s="66"/>
      <c r="AE323" s="105"/>
      <c r="AF323" s="105" t="s">
        <v>758</v>
      </c>
    </row>
    <row r="324" spans="1:32">
      <c r="A324" s="15">
        <f>Tableau242[[#This Row],[Company number]]+0</f>
        <v>21595</v>
      </c>
      <c r="B324" s="60" t="s">
        <v>775</v>
      </c>
      <c r="C324" s="61" t="s">
        <v>776</v>
      </c>
      <c r="D324" s="61" t="s">
        <v>69</v>
      </c>
      <c r="E324" s="62" t="str">
        <f>IFERROR(VLOOKUP(Tableau242[[#This Row],[Manager ou CDM concerné]],Parametres!B:C,2,FALSE),"")</f>
        <v>Squad H</v>
      </c>
      <c r="F324" s="62" t="str">
        <f>IF(Tableau242[[#This Row],[Consultant]]=Tableau242[[#This Row],[Manager ou CDM concerné]],"Non",IF(IFERROR(VLOOKUP(Tableau242[[#This Row],[Consultant]],Parametres!B:C,2,FALSE),0)=0,"Non","Oui"))</f>
        <v>Non</v>
      </c>
      <c r="G324" s="62">
        <f>IFERROR(VLOOKUP(B324,Tableau5[#All],4,FALSE),"Matricule!")</f>
        <v>17</v>
      </c>
      <c r="H324" s="62" t="str">
        <f>IFERROR(VLOOKUP(Tableau242[[#This Row],[Company number]],#REF!,6,FALSE),"")</f>
        <v/>
      </c>
      <c r="I324" s="62">
        <f>IFERROR(VLOOKUP(B324,Tableau5[#All],5,FALSE),"Matricule!")</f>
        <v>2.5</v>
      </c>
      <c r="J324" s="62">
        <f>IFERROR(VLOOKUP(B324,Tableau5[#All],6,FALSE),"Matricule!")</f>
        <v>0.5</v>
      </c>
      <c r="K324" s="62">
        <f>IFERROR(VLOOKUP(B324,Tableau5[#All],7,FALSE),"Matricule!")</f>
        <v>0</v>
      </c>
      <c r="L324" s="62" t="e">
        <f>VLOOKUP(Tableau242[[#This Row],[Company number]],#REF!,25,FALSE)</f>
        <v>#REF!</v>
      </c>
      <c r="M324" s="62" t="str">
        <f>IFERROR(VLOOKUP(Tableau242[[#This Row],[Company number]],#REF!,30,FALSE),"")</f>
        <v/>
      </c>
      <c r="N324" s="62" t="str">
        <f>IFERROR(VLOOKUP(Tableau242[[#This Row],[Company number]],#REF!,31,FALSE),"")</f>
        <v/>
      </c>
      <c r="O324" s="62" t="str">
        <f>IFERROR(VLOOKUP(Tableau242[[#This Row],[Company number]],#REF!,32,FALSE),"")</f>
        <v/>
      </c>
      <c r="P324" s="62">
        <f>IFERROR(VLOOKUP(B324,Tableau3[#All],5,FALSE),"Matricule!")</f>
        <v>18.5</v>
      </c>
      <c r="Q324" s="62">
        <f>IFERROR(SUM(VLOOKUP(B324,Tableau3[#All],6,FALSE),VLOOKUP(B324,Tableau3[#All],8,FALSE)),"Matricule!")</f>
        <v>1</v>
      </c>
      <c r="R324" s="62">
        <f>IFERROR(VLOOKUP(B324,Tableau3[#All],7,FALSE),"Matricule!")</f>
        <v>0.5</v>
      </c>
      <c r="S324" s="62">
        <f>IFERROR(Tableau242[[#This Row],[Prod. days WK]]-Tableau242[[#This Row],[Prod PXX]],"Matricule")</f>
        <v>-1.5</v>
      </c>
      <c r="T324" s="62">
        <f>IFERROR(Tableau242[[#This Row],[Non prod. days WK]]-Tableau242[[#This Row],[Improd PXX]],"Matricule")</f>
        <v>1.5</v>
      </c>
      <c r="U324" s="62">
        <f>IFERROR(Tableau242[[#This Row],[Paid leave days WK]]-Tableau242[[#This Row],[Congé PXX]],"Matricule")</f>
        <v>0</v>
      </c>
      <c r="V324" s="63">
        <f>IFERROR(VLOOKUP($B324,#REF!,4,FALSE),0)</f>
        <v>0</v>
      </c>
      <c r="W32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24" s="63">
        <f>IF(AND(Tableau242[[#This Row],[Paid leave days]]&gt;0,Tableau242[[#This Row],[Prod. days]]&lt;0),MIN(Tableau242[[#This Row],[Paid leave days]],-Tableau242[[#This Row],[Prod. days]]),0)</f>
        <v>0</v>
      </c>
      <c r="Z324" s="63">
        <f>IFERROR(_xlfn.XLOOKUP(Tableau242[[#This Row],[Consultant]],Tableau2[Collaborateur/Nom affiché],Tableau2[Montant imputé],0),0)</f>
        <v>0</v>
      </c>
      <c r="AA324" s="64">
        <f t="shared" si="5"/>
        <v>-1.5</v>
      </c>
      <c r="AB324" s="65" t="s">
        <v>154</v>
      </c>
      <c r="AC324" s="66"/>
      <c r="AD324" s="66"/>
      <c r="AE324" s="105"/>
      <c r="AF324" s="90" t="s">
        <v>777</v>
      </c>
    </row>
    <row r="325" spans="1:32">
      <c r="A325" s="15">
        <f>Tableau242[[#This Row],[Company number]]+0</f>
        <v>15669</v>
      </c>
      <c r="B325" s="60" t="s">
        <v>778</v>
      </c>
      <c r="C325" s="61" t="s">
        <v>779</v>
      </c>
      <c r="D325" s="61" t="s">
        <v>35</v>
      </c>
      <c r="E325" s="62" t="str">
        <f>IFERROR(VLOOKUP(Tableau242[[#This Row],[Manager ou CDM concerné]],Parametres!B:C,2,FALSE),"")</f>
        <v>Squad B</v>
      </c>
      <c r="F325" s="62" t="str">
        <f>IF(Tableau242[[#This Row],[Consultant]]=Tableau242[[#This Row],[Manager ou CDM concerné]],"Non",IF(IFERROR(VLOOKUP(Tableau242[[#This Row],[Consultant]],Parametres!B:C,2,FALSE),0)=0,"Non","Oui"))</f>
        <v>Non</v>
      </c>
      <c r="G325" s="62">
        <f>IFERROR(VLOOKUP(B325,Tableau5[#All],4,FALSE),"Matricule!")</f>
        <v>20</v>
      </c>
      <c r="H325" s="62" t="str">
        <f>IFERROR(VLOOKUP(Tableau242[[#This Row],[Company number]],#REF!,6,FALSE),"")</f>
        <v/>
      </c>
      <c r="I325" s="62">
        <f>IFERROR(VLOOKUP(B325,Tableau5[#All],5,FALSE),"Matricule!")</f>
        <v>0</v>
      </c>
      <c r="J325" s="62">
        <f>IFERROR(VLOOKUP(B325,Tableau5[#All],6,FALSE),"Matricule!")</f>
        <v>0</v>
      </c>
      <c r="K325" s="62">
        <f>IFERROR(VLOOKUP(B325,Tableau5[#All],7,FALSE),"Matricule!")</f>
        <v>0</v>
      </c>
      <c r="L325" s="62" t="e">
        <f>VLOOKUP(Tableau242[[#This Row],[Company number]],#REF!,25,FALSE)</f>
        <v>#REF!</v>
      </c>
      <c r="M325" s="62" t="str">
        <f>IFERROR(VLOOKUP(Tableau242[[#This Row],[Company number]],#REF!,30,FALSE),"")</f>
        <v/>
      </c>
      <c r="N325" s="62" t="str">
        <f>IFERROR(VLOOKUP(Tableau242[[#This Row],[Company number]],#REF!,31,FALSE),"")</f>
        <v/>
      </c>
      <c r="O325" s="62" t="str">
        <f>IFERROR(VLOOKUP(Tableau242[[#This Row],[Company number]],#REF!,32,FALSE),"")</f>
        <v/>
      </c>
      <c r="P325" s="62">
        <f>IFERROR(VLOOKUP(B325,Tableau3[#All],5,FALSE),"Matricule!")</f>
        <v>20</v>
      </c>
      <c r="Q325" s="62">
        <f>IFERROR(SUM(VLOOKUP(B325,Tableau3[#All],6,FALSE),VLOOKUP(B325,Tableau3[#All],8,FALSE)),"Matricule!")</f>
        <v>0</v>
      </c>
      <c r="R325" s="62">
        <f>IFERROR(VLOOKUP(B325,Tableau3[#All],7,FALSE),"Matricule!")</f>
        <v>0</v>
      </c>
      <c r="S325" s="62">
        <f>IFERROR(Tableau242[[#This Row],[Prod. days WK]]-Tableau242[[#This Row],[Prod PXX]],"Matricule")</f>
        <v>0</v>
      </c>
      <c r="T325" s="62">
        <f>IFERROR(Tableau242[[#This Row],[Non prod. days WK]]-Tableau242[[#This Row],[Improd PXX]],"Matricule")</f>
        <v>0</v>
      </c>
      <c r="U325" s="62">
        <f>IFERROR(Tableau242[[#This Row],[Paid leave days WK]]-Tableau242[[#This Row],[Congé PXX]],"Matricule")</f>
        <v>0</v>
      </c>
      <c r="V325" s="63">
        <f>IFERROR(VLOOKUP($B325,#REF!,4,FALSE),0)</f>
        <v>0</v>
      </c>
      <c r="W32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25" s="63">
        <f>IF(AND(Tableau242[[#This Row],[Paid leave days]]&gt;0,Tableau242[[#This Row],[Prod. days]]&lt;0),MIN(Tableau242[[#This Row],[Paid leave days]],-Tableau242[[#This Row],[Prod. days]]),0)</f>
        <v>0</v>
      </c>
      <c r="Z325" s="63">
        <f>IFERROR(_xlfn.XLOOKUP(Tableau242[[#This Row],[Consultant]],Tableau2[Collaborateur/Nom affiché],Tableau2[Montant imputé],0),0)</f>
        <v>0</v>
      </c>
      <c r="AA325" s="64">
        <f t="shared" si="5"/>
        <v>0</v>
      </c>
      <c r="AB325" s="65"/>
      <c r="AC325" s="74"/>
      <c r="AD325" s="66"/>
      <c r="AE325" s="39"/>
      <c r="AF325" s="90"/>
    </row>
    <row r="326" spans="1:32">
      <c r="A326" s="15">
        <f>Tableau242[[#This Row],[Company number]]+0</f>
        <v>15447</v>
      </c>
      <c r="B326" s="60" t="s">
        <v>780</v>
      </c>
      <c r="C326" s="61" t="s">
        <v>781</v>
      </c>
      <c r="D326" s="61" t="s">
        <v>35</v>
      </c>
      <c r="E326" s="62" t="str">
        <f>IFERROR(VLOOKUP(Tableau242[[#This Row],[Manager ou CDM concerné]],Parametres!B:C,2,FALSE),"")</f>
        <v>Squad B</v>
      </c>
      <c r="F326" s="62" t="str">
        <f>IF(Tableau242[[#This Row],[Consultant]]=Tableau242[[#This Row],[Manager ou CDM concerné]],"Non",IF(IFERROR(VLOOKUP(Tableau242[[#This Row],[Consultant]],Parametres!B:C,2,FALSE),0)=0,"Non","Oui"))</f>
        <v>Non</v>
      </c>
      <c r="G326" s="62">
        <f>IFERROR(VLOOKUP(B326,Tableau5[#All],4,FALSE),"Matricule!")</f>
        <v>9</v>
      </c>
      <c r="H326" s="62" t="str">
        <f>IFERROR(VLOOKUP(Tableau242[[#This Row],[Company number]],#REF!,6,FALSE),"")</f>
        <v/>
      </c>
      <c r="I326" s="62">
        <f>IFERROR(VLOOKUP(B326,Tableau5[#All],5,FALSE),"Matricule!")</f>
        <v>0</v>
      </c>
      <c r="J326" s="62">
        <f>IFERROR(VLOOKUP(B326,Tableau5[#All],6,FALSE),"Matricule!")</f>
        <v>11</v>
      </c>
      <c r="K326" s="62">
        <f>IFERROR(VLOOKUP(B326,Tableau5[#All],7,FALSE),"Matricule!")</f>
        <v>0</v>
      </c>
      <c r="L326" s="62" t="e">
        <f>VLOOKUP(Tableau242[[#This Row],[Company number]],#REF!,25,FALSE)</f>
        <v>#REF!</v>
      </c>
      <c r="M326" s="62" t="str">
        <f>IFERROR(VLOOKUP(Tableau242[[#This Row],[Company number]],#REF!,30,FALSE),"")</f>
        <v/>
      </c>
      <c r="N326" s="62" t="str">
        <f>IFERROR(VLOOKUP(Tableau242[[#This Row],[Company number]],#REF!,31,FALSE),"")</f>
        <v/>
      </c>
      <c r="O326" s="62" t="str">
        <f>IFERROR(VLOOKUP(Tableau242[[#This Row],[Company number]],#REF!,32,FALSE),"")</f>
        <v/>
      </c>
      <c r="P326" s="62">
        <f>IFERROR(VLOOKUP(B326,Tableau3[#All],5,FALSE),"Matricule!")</f>
        <v>9</v>
      </c>
      <c r="Q326" s="62">
        <f>IFERROR(SUM(VLOOKUP(B326,Tableau3[#All],6,FALSE),VLOOKUP(B326,Tableau3[#All],8,FALSE)),"Matricule!")</f>
        <v>0</v>
      </c>
      <c r="R326" s="62">
        <f>IFERROR(VLOOKUP(B326,Tableau3[#All],7,FALSE),"Matricule!")</f>
        <v>11</v>
      </c>
      <c r="S326" s="62">
        <f>IFERROR(Tableau242[[#This Row],[Prod. days WK]]-Tableau242[[#This Row],[Prod PXX]],"Matricule")</f>
        <v>0</v>
      </c>
      <c r="T326" s="62">
        <f>IFERROR(Tableau242[[#This Row],[Non prod. days WK]]-Tableau242[[#This Row],[Improd PXX]],"Matricule")</f>
        <v>0</v>
      </c>
      <c r="U326" s="62">
        <f>IFERROR(Tableau242[[#This Row],[Paid leave days WK]]-Tableau242[[#This Row],[Congé PXX]],"Matricule")</f>
        <v>0</v>
      </c>
      <c r="V326" s="63">
        <f>IFERROR(VLOOKUP($B326,#REF!,4,FALSE),0)</f>
        <v>0</v>
      </c>
      <c r="W32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26" s="63">
        <f>IF(AND(Tableau242[[#This Row],[Paid leave days]]&gt;0,Tableau242[[#This Row],[Prod. days]]&lt;0),MIN(Tableau242[[#This Row],[Paid leave days]],-Tableau242[[#This Row],[Prod. days]]),0)</f>
        <v>0</v>
      </c>
      <c r="Z326" s="63">
        <f>IFERROR(_xlfn.XLOOKUP(Tableau242[[#This Row],[Consultant]],Tableau2[Collaborateur/Nom affiché],Tableau2[Montant imputé],0),0)</f>
        <v>0</v>
      </c>
      <c r="AA326" s="64">
        <f t="shared" si="5"/>
        <v>0</v>
      </c>
      <c r="AB326" s="65"/>
      <c r="AC326" s="66"/>
      <c r="AD326" s="66"/>
      <c r="AE326" s="105"/>
      <c r="AF326" s="90"/>
    </row>
    <row r="327" spans="1:32">
      <c r="A327" s="15">
        <f>Tableau242[[#This Row],[Company number]]+0</f>
        <v>20850</v>
      </c>
      <c r="B327" s="60" t="s">
        <v>782</v>
      </c>
      <c r="C327" s="61" t="s">
        <v>783</v>
      </c>
      <c r="D327" s="61" t="s">
        <v>50</v>
      </c>
      <c r="E327" s="62" t="str">
        <f>IFERROR(VLOOKUP(Tableau242[[#This Row],[Manager ou CDM concerné]],Parametres!B:C,2,FALSE),"")</f>
        <v>Squad D</v>
      </c>
      <c r="F327" s="62" t="str">
        <f>IF(Tableau242[[#This Row],[Consultant]]=Tableau242[[#This Row],[Manager ou CDM concerné]],"Non",IF(IFERROR(VLOOKUP(Tableau242[[#This Row],[Consultant]],Parametres!B:C,2,FALSE),0)=0,"Non","Oui"))</f>
        <v>Non</v>
      </c>
      <c r="G327" s="62">
        <f>IFERROR(VLOOKUP(B327,Tableau5[#All],4,FALSE),"Matricule!")</f>
        <v>17.5</v>
      </c>
      <c r="H327" s="62" t="str">
        <f>IFERROR(VLOOKUP(Tableau242[[#This Row],[Company number]],#REF!,6,FALSE),"")</f>
        <v/>
      </c>
      <c r="I327" s="62">
        <f>IFERROR(VLOOKUP(B327,Tableau5[#All],5,FALSE),"Matricule!")</f>
        <v>1.5</v>
      </c>
      <c r="J327" s="62">
        <f>IFERROR(VLOOKUP(B327,Tableau5[#All],6,FALSE),"Matricule!")</f>
        <v>1</v>
      </c>
      <c r="K327" s="62">
        <f>IFERROR(VLOOKUP(B327,Tableau5[#All],7,FALSE),"Matricule!")</f>
        <v>0</v>
      </c>
      <c r="L327" s="62" t="e">
        <f>VLOOKUP(Tableau242[[#This Row],[Company number]],#REF!,25,FALSE)</f>
        <v>#REF!</v>
      </c>
      <c r="M327" s="62" t="str">
        <f>IFERROR(VLOOKUP(Tableau242[[#This Row],[Company number]],#REF!,30,FALSE),"")</f>
        <v/>
      </c>
      <c r="N327" s="62" t="str">
        <f>IFERROR(VLOOKUP(Tableau242[[#This Row],[Company number]],#REF!,31,FALSE),"")</f>
        <v/>
      </c>
      <c r="O327" s="62" t="str">
        <f>IFERROR(VLOOKUP(Tableau242[[#This Row],[Company number]],#REF!,32,FALSE),"")</f>
        <v/>
      </c>
      <c r="P327" s="62">
        <f>IFERROR(VLOOKUP(B327,Tableau3[#All],5,FALSE),"Matricule!")</f>
        <v>19</v>
      </c>
      <c r="Q327" s="62">
        <f>IFERROR(SUM(VLOOKUP(B327,Tableau3[#All],6,FALSE),VLOOKUP(B327,Tableau3[#All],8,FALSE)),"Matricule!")</f>
        <v>0</v>
      </c>
      <c r="R327" s="62">
        <f>IFERROR(VLOOKUP(B327,Tableau3[#All],7,FALSE),"Matricule!")</f>
        <v>1</v>
      </c>
      <c r="S327" s="62">
        <f>IFERROR(Tableau242[[#This Row],[Prod. days WK]]-Tableau242[[#This Row],[Prod PXX]],"Matricule")</f>
        <v>-1.5</v>
      </c>
      <c r="T327" s="62">
        <f>IFERROR(Tableau242[[#This Row],[Non prod. days WK]]-Tableau242[[#This Row],[Improd PXX]],"Matricule")</f>
        <v>1.5</v>
      </c>
      <c r="U327" s="62">
        <f>IFERROR(Tableau242[[#This Row],[Paid leave days WK]]-Tableau242[[#This Row],[Congé PXX]],"Matricule")</f>
        <v>0</v>
      </c>
      <c r="V327" s="63">
        <f>IFERROR(VLOOKUP($B327,#REF!,4,FALSE),0)</f>
        <v>0</v>
      </c>
      <c r="W32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27" s="63">
        <f>IF(AND(Tableau242[[#This Row],[Paid leave days]]&gt;0,Tableau242[[#This Row],[Prod. days]]&lt;0),MIN(Tableau242[[#This Row],[Paid leave days]],-Tableau242[[#This Row],[Prod. days]]),0)</f>
        <v>0</v>
      </c>
      <c r="Z327" s="63">
        <f>IFERROR(_xlfn.XLOOKUP(Tableau242[[#This Row],[Consultant]],Tableau2[Collaborateur/Nom affiché],Tableau2[Montant imputé],0),0)</f>
        <v>0</v>
      </c>
      <c r="AA327" s="64">
        <f t="shared" si="5"/>
        <v>-1.5</v>
      </c>
      <c r="AB327" s="65" t="s">
        <v>154</v>
      </c>
      <c r="AC327" s="66"/>
      <c r="AD327" s="66"/>
      <c r="AE327" s="105"/>
      <c r="AF327" s="90"/>
    </row>
    <row r="328" spans="1:32">
      <c r="A328" s="15">
        <f>Tableau242[[#This Row],[Company number]]+0</f>
        <v>12778</v>
      </c>
      <c r="B328" s="60" t="s">
        <v>784</v>
      </c>
      <c r="C328" s="61" t="s">
        <v>785</v>
      </c>
      <c r="D328" s="61" t="s">
        <v>93</v>
      </c>
      <c r="E328" s="62" t="str">
        <f>IFERROR(VLOOKUP(Tableau242[[#This Row],[Manager ou CDM concerné]],Parametres!B:C,2,FALSE),"")</f>
        <v>Squad H</v>
      </c>
      <c r="F328" s="62" t="str">
        <f>IF(Tableau242[[#This Row],[Consultant]]=Tableau242[[#This Row],[Manager ou CDM concerné]],"Non",IF(IFERROR(VLOOKUP(Tableau242[[#This Row],[Consultant]],Parametres!B:C,2,FALSE),0)=0,"Non","Oui"))</f>
        <v>Non</v>
      </c>
      <c r="G328" s="62">
        <f>IFERROR(VLOOKUP(B328,Tableau5[#All],4,FALSE),"Matricule!")</f>
        <v>17.5</v>
      </c>
      <c r="H328" s="62" t="str">
        <f>IFERROR(VLOOKUP(Tableau242[[#This Row],[Company number]],#REF!,6,FALSE),"")</f>
        <v/>
      </c>
      <c r="I328" s="62">
        <f>IFERROR(VLOOKUP(B328,Tableau5[#All],5,FALSE),"Matricule!")</f>
        <v>1.5</v>
      </c>
      <c r="J328" s="62">
        <f>IFERROR(VLOOKUP(B328,Tableau5[#All],6,FALSE),"Matricule!")</f>
        <v>1</v>
      </c>
      <c r="K328" s="62">
        <f>IFERROR(VLOOKUP(B328,Tableau5[#All],7,FALSE),"Matricule!")</f>
        <v>0</v>
      </c>
      <c r="L328" s="62" t="e">
        <f>VLOOKUP(Tableau242[[#This Row],[Company number]],#REF!,25,FALSE)</f>
        <v>#REF!</v>
      </c>
      <c r="M328" s="62" t="str">
        <f>IFERROR(VLOOKUP(Tableau242[[#This Row],[Company number]],#REF!,30,FALSE),"")</f>
        <v/>
      </c>
      <c r="N328" s="62" t="str">
        <f>IFERROR(VLOOKUP(Tableau242[[#This Row],[Company number]],#REF!,31,FALSE),"")</f>
        <v/>
      </c>
      <c r="O328" s="62" t="str">
        <f>IFERROR(VLOOKUP(Tableau242[[#This Row],[Company number]],#REF!,32,FALSE),"")</f>
        <v/>
      </c>
      <c r="P328" s="62">
        <f>IFERROR(VLOOKUP(B328,Tableau3[#All],5,FALSE),"Matricule!")</f>
        <v>19</v>
      </c>
      <c r="Q328" s="62">
        <f>IFERROR(SUM(VLOOKUP(B328,Tableau3[#All],6,FALSE),VLOOKUP(B328,Tableau3[#All],8,FALSE)),"Matricule!")</f>
        <v>0</v>
      </c>
      <c r="R328" s="62">
        <f>IFERROR(VLOOKUP(B328,Tableau3[#All],7,FALSE),"Matricule!")</f>
        <v>1</v>
      </c>
      <c r="S328" s="62">
        <f>IFERROR(Tableau242[[#This Row],[Prod. days WK]]-Tableau242[[#This Row],[Prod PXX]],"Matricule")</f>
        <v>-1.5</v>
      </c>
      <c r="T328" s="62">
        <f>IFERROR(Tableau242[[#This Row],[Non prod. days WK]]-Tableau242[[#This Row],[Improd PXX]],"Matricule")</f>
        <v>1.5</v>
      </c>
      <c r="U328" s="62">
        <f>IFERROR(Tableau242[[#This Row],[Paid leave days WK]]-Tableau242[[#This Row],[Congé PXX]],"Matricule")</f>
        <v>0</v>
      </c>
      <c r="V328" s="63">
        <f>IFERROR(VLOOKUP($B328,#REF!,4,FALSE),0)</f>
        <v>0</v>
      </c>
      <c r="W32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28" s="63">
        <f>IF(AND(Tableau242[[#This Row],[Paid leave days]]&gt;0,Tableau242[[#This Row],[Prod. days]]&lt;0),MIN(Tableau242[[#This Row],[Paid leave days]],-Tableau242[[#This Row],[Prod. days]]),0)</f>
        <v>0</v>
      </c>
      <c r="Z328" s="63">
        <f>IFERROR(_xlfn.XLOOKUP(Tableau242[[#This Row],[Consultant]],Tableau2[Collaborateur/Nom affiché],Tableau2[Montant imputé],0),0)</f>
        <v>0</v>
      </c>
      <c r="AA328" s="64">
        <f t="shared" si="5"/>
        <v>-1.5</v>
      </c>
      <c r="AB328" s="65" t="s">
        <v>165</v>
      </c>
      <c r="AC328" s="66"/>
      <c r="AD328" s="66"/>
      <c r="AE328" s="39"/>
      <c r="AF328" s="90"/>
    </row>
    <row r="329" spans="1:32">
      <c r="A329" s="15">
        <f>Tableau242[[#This Row],[Company number]]+0</f>
        <v>16281</v>
      </c>
      <c r="B329" s="60" t="s">
        <v>786</v>
      </c>
      <c r="C329" s="61" t="s">
        <v>787</v>
      </c>
      <c r="D329" s="61" t="s">
        <v>35</v>
      </c>
      <c r="E329" s="62" t="str">
        <f>IFERROR(VLOOKUP(Tableau242[[#This Row],[Manager ou CDM concerné]],Parametres!B:C,2,FALSE),"")</f>
        <v>Squad B</v>
      </c>
      <c r="F329" s="62" t="str">
        <f>IF(Tableau242[[#This Row],[Consultant]]=Tableau242[[#This Row],[Manager ou CDM concerné]],"Non",IF(IFERROR(VLOOKUP(Tableau242[[#This Row],[Consultant]],Parametres!B:C,2,FALSE),0)=0,"Non","Oui"))</f>
        <v>Non</v>
      </c>
      <c r="G329" s="62">
        <f>IFERROR(VLOOKUP(B329,Tableau5[#All],4,FALSE),"Matricule!")</f>
        <v>3</v>
      </c>
      <c r="H329" s="62" t="str">
        <f>IFERROR(VLOOKUP(Tableau242[[#This Row],[Company number]],#REF!,6,FALSE),"")</f>
        <v/>
      </c>
      <c r="I329" s="62">
        <f>IFERROR(VLOOKUP(B329,Tableau5[#All],5,FALSE),"Matricule!")</f>
        <v>17</v>
      </c>
      <c r="J329" s="62">
        <f>IFERROR(VLOOKUP(B329,Tableau5[#All],6,FALSE),"Matricule!")</f>
        <v>0</v>
      </c>
      <c r="K329" s="62">
        <f>IFERROR(VLOOKUP(B329,Tableau5[#All],7,FALSE),"Matricule!")</f>
        <v>0</v>
      </c>
      <c r="L329" s="62" t="e">
        <f>VLOOKUP(Tableau242[[#This Row],[Company number]],#REF!,25,FALSE)</f>
        <v>#REF!</v>
      </c>
      <c r="M329" s="62" t="str">
        <f>IFERROR(VLOOKUP(Tableau242[[#This Row],[Company number]],#REF!,30,FALSE),"")</f>
        <v/>
      </c>
      <c r="N329" s="62" t="str">
        <f>IFERROR(VLOOKUP(Tableau242[[#This Row],[Company number]],#REF!,31,FALSE),"")</f>
        <v/>
      </c>
      <c r="O329" s="62" t="str">
        <f>IFERROR(VLOOKUP(Tableau242[[#This Row],[Company number]],#REF!,32,FALSE),"")</f>
        <v/>
      </c>
      <c r="P329" s="62">
        <f>IFERROR(VLOOKUP(B329,Tableau3[#All],5,FALSE),"Matricule!")</f>
        <v>0</v>
      </c>
      <c r="Q329" s="62">
        <f>IFERROR(SUM(VLOOKUP(B329,Tableau3[#All],6,FALSE),VLOOKUP(B329,Tableau3[#All],8,FALSE)),"Matricule!")</f>
        <v>20</v>
      </c>
      <c r="R329" s="62">
        <f>IFERROR(VLOOKUP(B329,Tableau3[#All],7,FALSE),"Matricule!")</f>
        <v>0</v>
      </c>
      <c r="S329" s="62">
        <f>IFERROR(Tableau242[[#This Row],[Prod. days WK]]-Tableau242[[#This Row],[Prod PXX]],"Matricule")</f>
        <v>3</v>
      </c>
      <c r="T329" s="62">
        <f>IFERROR(Tableau242[[#This Row],[Non prod. days WK]]-Tableau242[[#This Row],[Improd PXX]],"Matricule")</f>
        <v>-3</v>
      </c>
      <c r="U329" s="62">
        <f>IFERROR(Tableau242[[#This Row],[Paid leave days WK]]-Tableau242[[#This Row],[Congé PXX]],"Matricule")</f>
        <v>0</v>
      </c>
      <c r="V329" s="63">
        <f>IFERROR(VLOOKUP($B329,#REF!,4,FALSE),0)</f>
        <v>0</v>
      </c>
      <c r="W32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2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29" s="63">
        <f>IF(AND(Tableau242[[#This Row],[Paid leave days]]&gt;0,Tableau242[[#This Row],[Prod. days]]&lt;0),MIN(Tableau242[[#This Row],[Paid leave days]],-Tableau242[[#This Row],[Prod. days]]),0)</f>
        <v>0</v>
      </c>
      <c r="Z329" s="63">
        <f>IFERROR(_xlfn.XLOOKUP(Tableau242[[#This Row],[Consultant]],Tableau2[Collaborateur/Nom affiché],Tableau2[Montant imputé],0),0)</f>
        <v>0</v>
      </c>
      <c r="AA329" s="64">
        <f t="shared" si="5"/>
        <v>3</v>
      </c>
      <c r="AB329" s="65"/>
      <c r="AC329" s="67"/>
      <c r="AD329" s="67"/>
      <c r="AE329" s="106"/>
      <c r="AF329" s="92"/>
    </row>
    <row r="330" spans="1:32">
      <c r="A330" s="15">
        <f>Tableau242[[#This Row],[Company number]]+0</f>
        <v>21819</v>
      </c>
      <c r="B330" s="60" t="s">
        <v>788</v>
      </c>
      <c r="C330" s="61" t="s">
        <v>789</v>
      </c>
      <c r="D330" s="61" t="s">
        <v>24</v>
      </c>
      <c r="E330" s="62" t="str">
        <f>IFERROR(VLOOKUP(Tableau242[[#This Row],[Manager ou CDM concerné]],Parametres!B:C,2,FALSE),"")</f>
        <v>Squad E</v>
      </c>
      <c r="F330" s="62" t="str">
        <f>IF(Tableau242[[#This Row],[Consultant]]=Tableau242[[#This Row],[Manager ou CDM concerné]],"Non",IF(IFERROR(VLOOKUP(Tableau242[[#This Row],[Consultant]],Parametres!B:C,2,FALSE),0)=0,"Non","Oui"))</f>
        <v>Non</v>
      </c>
      <c r="G330" s="62">
        <f>IFERROR(VLOOKUP(B330,Tableau5[#All],4,FALSE),"Matricule!")</f>
        <v>14.5</v>
      </c>
      <c r="H330" s="62" t="str">
        <f>IFERROR(VLOOKUP(Tableau242[[#This Row],[Company number]],#REF!,6,FALSE),"")</f>
        <v/>
      </c>
      <c r="I330" s="62">
        <f>IFERROR(VLOOKUP(B330,Tableau5[#All],5,FALSE),"Matricule!")</f>
        <v>1.5</v>
      </c>
      <c r="J330" s="62">
        <f>IFERROR(VLOOKUP(B330,Tableau5[#All],6,FALSE),"Matricule!")</f>
        <v>4</v>
      </c>
      <c r="K330" s="62">
        <f>IFERROR(VLOOKUP(B330,Tableau5[#All],7,FALSE),"Matricule!")</f>
        <v>0</v>
      </c>
      <c r="L330" s="62" t="e">
        <f>VLOOKUP(Tableau242[[#This Row],[Company number]],#REF!,25,FALSE)</f>
        <v>#REF!</v>
      </c>
      <c r="M330" s="62" t="str">
        <f>IFERROR(VLOOKUP(Tableau242[[#This Row],[Company number]],#REF!,30,FALSE),"")</f>
        <v/>
      </c>
      <c r="N330" s="62" t="str">
        <f>IFERROR(VLOOKUP(Tableau242[[#This Row],[Company number]],#REF!,31,FALSE),"")</f>
        <v/>
      </c>
      <c r="O330" s="62" t="str">
        <f>IFERROR(VLOOKUP(Tableau242[[#This Row],[Company number]],#REF!,32,FALSE),"")</f>
        <v/>
      </c>
      <c r="P330" s="62">
        <f>IFERROR(VLOOKUP(B330,Tableau3[#All],5,FALSE),"Matricule!")</f>
        <v>16</v>
      </c>
      <c r="Q330" s="62">
        <f>IFERROR(SUM(VLOOKUP(B330,Tableau3[#All],6,FALSE),VLOOKUP(B330,Tableau3[#All],8,FALSE)),"Matricule!")</f>
        <v>0</v>
      </c>
      <c r="R330" s="62">
        <f>IFERROR(VLOOKUP(B330,Tableau3[#All],7,FALSE),"Matricule!")</f>
        <v>4</v>
      </c>
      <c r="S330" s="62">
        <f>IFERROR(Tableau242[[#This Row],[Prod. days WK]]-Tableau242[[#This Row],[Prod PXX]],"Matricule")</f>
        <v>-1.5</v>
      </c>
      <c r="T330" s="62">
        <f>IFERROR(Tableau242[[#This Row],[Non prod. days WK]]-Tableau242[[#This Row],[Improd PXX]],"Matricule")</f>
        <v>1.5</v>
      </c>
      <c r="U330" s="62">
        <f>IFERROR(Tableau242[[#This Row],[Paid leave days WK]]-Tableau242[[#This Row],[Congé PXX]],"Matricule")</f>
        <v>0</v>
      </c>
      <c r="V330" s="63">
        <f>IFERROR(VLOOKUP($B330,#REF!,4,FALSE),0)</f>
        <v>0</v>
      </c>
      <c r="W33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30" s="63">
        <f>IF(AND(Tableau242[[#This Row],[Paid leave days]]&gt;0,Tableau242[[#This Row],[Prod. days]]&lt;0),MIN(Tableau242[[#This Row],[Paid leave days]],-Tableau242[[#This Row],[Prod. days]]),0)</f>
        <v>0</v>
      </c>
      <c r="Z330" s="63">
        <f>IFERROR(_xlfn.XLOOKUP(Tableau242[[#This Row],[Consultant]],Tableau2[Collaborateur/Nom affiché],Tableau2[Montant imputé],0),0)</f>
        <v>0</v>
      </c>
      <c r="AA330" s="64">
        <f t="shared" si="5"/>
        <v>-1.5</v>
      </c>
      <c r="AB330" s="65" t="s">
        <v>165</v>
      </c>
      <c r="AC330" s="66">
        <v>1</v>
      </c>
      <c r="AD330" s="66">
        <v>1</v>
      </c>
      <c r="AE330" s="105"/>
      <c r="AF330" s="90" t="s">
        <v>790</v>
      </c>
    </row>
    <row r="331" spans="1:32">
      <c r="A331" s="15">
        <f>Tableau242[[#This Row],[Company number]]+0</f>
        <v>15844</v>
      </c>
      <c r="B331" s="60" t="s">
        <v>791</v>
      </c>
      <c r="C331" s="61" t="s">
        <v>792</v>
      </c>
      <c r="D331" s="61" t="s">
        <v>35</v>
      </c>
      <c r="E331" s="62" t="str">
        <f>IFERROR(VLOOKUP(Tableau242[[#This Row],[Manager ou CDM concerné]],Parametres!B:C,2,FALSE),"")</f>
        <v>Squad B</v>
      </c>
      <c r="F331" s="62" t="str">
        <f>IF(Tableau242[[#This Row],[Consultant]]=Tableau242[[#This Row],[Manager ou CDM concerné]],"Non",IF(IFERROR(VLOOKUP(Tableau242[[#This Row],[Consultant]],Parametres!B:C,2,FALSE),0)=0,"Non","Oui"))</f>
        <v>Non</v>
      </c>
      <c r="G331" s="62">
        <f>IFERROR(VLOOKUP(B331,Tableau5[#All],4,FALSE),"Matricule!")</f>
        <v>20</v>
      </c>
      <c r="H331" s="62" t="str">
        <f>IFERROR(VLOOKUP(Tableau242[[#This Row],[Company number]],#REF!,6,FALSE),"")</f>
        <v/>
      </c>
      <c r="I331" s="62">
        <f>IFERROR(VLOOKUP(B331,Tableau5[#All],5,FALSE),"Matricule!")</f>
        <v>0</v>
      </c>
      <c r="J331" s="62">
        <f>IFERROR(VLOOKUP(B331,Tableau5[#All],6,FALSE),"Matricule!")</f>
        <v>0</v>
      </c>
      <c r="K331" s="62">
        <f>IFERROR(VLOOKUP(B331,Tableau5[#All],7,FALSE),"Matricule!")</f>
        <v>0</v>
      </c>
      <c r="L331" s="62" t="e">
        <f>VLOOKUP(Tableau242[[#This Row],[Company number]],#REF!,25,FALSE)</f>
        <v>#REF!</v>
      </c>
      <c r="M331" s="62" t="str">
        <f>IFERROR(VLOOKUP(Tableau242[[#This Row],[Company number]],#REF!,30,FALSE),"")</f>
        <v/>
      </c>
      <c r="N331" s="62" t="str">
        <f>IFERROR(VLOOKUP(Tableau242[[#This Row],[Company number]],#REF!,31,FALSE),"")</f>
        <v/>
      </c>
      <c r="O331" s="62" t="str">
        <f>IFERROR(VLOOKUP(Tableau242[[#This Row],[Company number]],#REF!,32,FALSE),"")</f>
        <v/>
      </c>
      <c r="P331" s="62">
        <f>IFERROR(VLOOKUP(B331,Tableau3[#All],5,FALSE),"Matricule!")</f>
        <v>20</v>
      </c>
      <c r="Q331" s="62">
        <f>IFERROR(SUM(VLOOKUP(B331,Tableau3[#All],6,FALSE),VLOOKUP(B331,Tableau3[#All],8,FALSE)),"Matricule!")</f>
        <v>0</v>
      </c>
      <c r="R331" s="62">
        <f>IFERROR(VLOOKUP(B331,Tableau3[#All],7,FALSE),"Matricule!")</f>
        <v>0</v>
      </c>
      <c r="S331" s="62">
        <f>IFERROR(Tableau242[[#This Row],[Prod. days WK]]-Tableau242[[#This Row],[Prod PXX]],"Matricule")</f>
        <v>0</v>
      </c>
      <c r="T331" s="62">
        <f>IFERROR(Tableau242[[#This Row],[Non prod. days WK]]-Tableau242[[#This Row],[Improd PXX]],"Matricule")</f>
        <v>0</v>
      </c>
      <c r="U331" s="62">
        <f>IFERROR(Tableau242[[#This Row],[Paid leave days WK]]-Tableau242[[#This Row],[Congé PXX]],"Matricule")</f>
        <v>0</v>
      </c>
      <c r="V331" s="63">
        <f>IFERROR(VLOOKUP($B331,#REF!,4,FALSE),0)</f>
        <v>0</v>
      </c>
      <c r="W33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31" s="63">
        <f>IF(AND(Tableau242[[#This Row],[Paid leave days]]&gt;0,Tableau242[[#This Row],[Prod. days]]&lt;0),MIN(Tableau242[[#This Row],[Paid leave days]],-Tableau242[[#This Row],[Prod. days]]),0)</f>
        <v>0</v>
      </c>
      <c r="Z331" s="63">
        <f>IFERROR(_xlfn.XLOOKUP(Tableau242[[#This Row],[Consultant]],Tableau2[Collaborateur/Nom affiché],Tableau2[Montant imputé],0),0)</f>
        <v>0</v>
      </c>
      <c r="AA331" s="64">
        <f t="shared" ref="AA331:AA394" si="6">IFERROR(S331+Z331,S331)</f>
        <v>0</v>
      </c>
      <c r="AB331" s="70"/>
      <c r="AC331" s="66"/>
      <c r="AD331" s="66"/>
      <c r="AE331" s="105"/>
      <c r="AF331" s="90"/>
    </row>
    <row r="332" spans="1:32">
      <c r="A332" s="15">
        <f>Tableau242[[#This Row],[Company number]]+0</f>
        <v>10238</v>
      </c>
      <c r="B332" s="60" t="s">
        <v>793</v>
      </c>
      <c r="C332" s="61" t="s">
        <v>52</v>
      </c>
      <c r="D332" s="61" t="s">
        <v>16</v>
      </c>
      <c r="E332" s="62" t="str">
        <f>IFERROR(VLOOKUP(Tableau242[[#This Row],[Manager ou CDM concerné]],Parametres!B:C,2,FALSE),"")</f>
        <v>Squad E</v>
      </c>
      <c r="F332" s="62" t="str">
        <f>IF(Tableau242[[#This Row],[Consultant]]=Tableau242[[#This Row],[Manager ou CDM concerné]],"Non",IF(IFERROR(VLOOKUP(Tableau242[[#This Row],[Consultant]],Parametres!B:C,2,FALSE),0)=0,"Non","Oui"))</f>
        <v>Oui</v>
      </c>
      <c r="G332" s="62">
        <f>IFERROR(VLOOKUP(B332,Tableau5[#All],4,FALSE),"Matricule!")</f>
        <v>6</v>
      </c>
      <c r="H332" s="62" t="str">
        <f>IFERROR(VLOOKUP(Tableau242[[#This Row],[Company number]],#REF!,6,FALSE),"")</f>
        <v/>
      </c>
      <c r="I332" s="62">
        <f>IFERROR(VLOOKUP(B332,Tableau5[#All],5,FALSE),"Matricule!")</f>
        <v>0</v>
      </c>
      <c r="J332" s="62">
        <f>IFERROR(VLOOKUP(B332,Tableau5[#All],6,FALSE),"Matricule!")</f>
        <v>14</v>
      </c>
      <c r="K332" s="62">
        <f>IFERROR(VLOOKUP(B332,Tableau5[#All],7,FALSE),"Matricule!")</f>
        <v>0</v>
      </c>
      <c r="L332" s="62" t="e">
        <f>VLOOKUP(Tableau242[[#This Row],[Company number]],#REF!,25,FALSE)</f>
        <v>#REF!</v>
      </c>
      <c r="M332" s="62" t="str">
        <f>IFERROR(VLOOKUP(Tableau242[[#This Row],[Company number]],#REF!,30,FALSE),"")</f>
        <v/>
      </c>
      <c r="N332" s="62" t="str">
        <f>IFERROR(VLOOKUP(Tableau242[[#This Row],[Company number]],#REF!,31,FALSE),"")</f>
        <v/>
      </c>
      <c r="O332" s="62" t="str">
        <f>IFERROR(VLOOKUP(Tableau242[[#This Row],[Company number]],#REF!,32,FALSE),"")</f>
        <v/>
      </c>
      <c r="P332" s="62">
        <f>IFERROR(VLOOKUP(B332,Tableau3[#All],5,FALSE),"Matricule!")</f>
        <v>6</v>
      </c>
      <c r="Q332" s="62">
        <f>IFERROR(SUM(VLOOKUP(B332,Tableau3[#All],6,FALSE),VLOOKUP(B332,Tableau3[#All],8,FALSE)),"Matricule!")</f>
        <v>0</v>
      </c>
      <c r="R332" s="62">
        <f>IFERROR(VLOOKUP(B332,Tableau3[#All],7,FALSE),"Matricule!")</f>
        <v>14</v>
      </c>
      <c r="S332" s="62">
        <f>IFERROR(Tableau242[[#This Row],[Prod. days WK]]-Tableau242[[#This Row],[Prod PXX]],"Matricule")</f>
        <v>0</v>
      </c>
      <c r="T332" s="62">
        <f>IFERROR(Tableau242[[#This Row],[Non prod. days WK]]-Tableau242[[#This Row],[Improd PXX]],"Matricule")</f>
        <v>0</v>
      </c>
      <c r="U332" s="62">
        <f>IFERROR(Tableau242[[#This Row],[Paid leave days WK]]-Tableau242[[#This Row],[Congé PXX]],"Matricule")</f>
        <v>0</v>
      </c>
      <c r="V332" s="63">
        <f>IFERROR(VLOOKUP($B332,#REF!,4,FALSE),0)</f>
        <v>0</v>
      </c>
      <c r="W33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32" s="63">
        <f>IF(AND(Tableau242[[#This Row],[Paid leave days]]&gt;0,Tableau242[[#This Row],[Prod. days]]&lt;0),MIN(Tableau242[[#This Row],[Paid leave days]],-Tableau242[[#This Row],[Prod. days]]),0)</f>
        <v>0</v>
      </c>
      <c r="Z332" s="63">
        <f>IFERROR(_xlfn.XLOOKUP(Tableau242[[#This Row],[Consultant]],Tableau2[Collaborateur/Nom affiché],Tableau2[Montant imputé],0),0)</f>
        <v>0</v>
      </c>
      <c r="AA332" s="64">
        <f t="shared" si="6"/>
        <v>0</v>
      </c>
      <c r="AB332" s="65" t="s">
        <v>154</v>
      </c>
      <c r="AC332" s="66"/>
      <c r="AD332" s="66"/>
      <c r="AE332" s="39"/>
      <c r="AF332" s="90"/>
    </row>
    <row r="333" spans="1:32">
      <c r="A333" s="15">
        <f>Tableau242[[#This Row],[Company number]]+0</f>
        <v>9094</v>
      </c>
      <c r="B333" s="60" t="s">
        <v>794</v>
      </c>
      <c r="C333" s="61" t="s">
        <v>21</v>
      </c>
      <c r="D333" s="61" t="s">
        <v>16</v>
      </c>
      <c r="E333" s="62" t="str">
        <f>IFERROR(VLOOKUP(Tableau242[[#This Row],[Manager ou CDM concerné]],Parametres!B:C,2,FALSE),"")</f>
        <v>Squad E</v>
      </c>
      <c r="F333" s="62" t="str">
        <f>IF(Tableau242[[#This Row],[Consultant]]=Tableau242[[#This Row],[Manager ou CDM concerné]],"Non",IF(IFERROR(VLOOKUP(Tableau242[[#This Row],[Consultant]],Parametres!B:C,2,FALSE),0)=0,"Non","Oui"))</f>
        <v>Oui</v>
      </c>
      <c r="G333" s="62">
        <f>IFERROR(VLOOKUP(B333,Tableau5[#All],4,FALSE),"Matricule!")</f>
        <v>15</v>
      </c>
      <c r="H333" s="62" t="str">
        <f>IFERROR(VLOOKUP(Tableau242[[#This Row],[Company number]],#REF!,6,FALSE),"")</f>
        <v/>
      </c>
      <c r="I333" s="62">
        <f>IFERROR(VLOOKUP(B333,Tableau5[#All],5,FALSE),"Matricule!")</f>
        <v>0</v>
      </c>
      <c r="J333" s="62">
        <f>IFERROR(VLOOKUP(B333,Tableau5[#All],6,FALSE),"Matricule!")</f>
        <v>5</v>
      </c>
      <c r="K333" s="62">
        <f>IFERROR(VLOOKUP(B333,Tableau5[#All],7,FALSE),"Matricule!")</f>
        <v>0</v>
      </c>
      <c r="L333" s="62" t="e">
        <f>VLOOKUP(Tableau242[[#This Row],[Company number]],#REF!,25,FALSE)</f>
        <v>#REF!</v>
      </c>
      <c r="M333" s="62" t="str">
        <f>IFERROR(VLOOKUP(Tableau242[[#This Row],[Company number]],#REF!,30,FALSE),"")</f>
        <v/>
      </c>
      <c r="N333" s="62" t="str">
        <f>IFERROR(VLOOKUP(Tableau242[[#This Row],[Company number]],#REF!,31,FALSE),"")</f>
        <v/>
      </c>
      <c r="O333" s="62" t="str">
        <f>IFERROR(VLOOKUP(Tableau242[[#This Row],[Company number]],#REF!,32,FALSE),"")</f>
        <v/>
      </c>
      <c r="P333" s="62">
        <f>IFERROR(VLOOKUP(B333,Tableau3[#All],5,FALSE),"Matricule!")</f>
        <v>13</v>
      </c>
      <c r="Q333" s="62">
        <f>IFERROR(SUM(VLOOKUP(B333,Tableau3[#All],6,FALSE),VLOOKUP(B333,Tableau3[#All],8,FALSE)),"Matricule!")</f>
        <v>0</v>
      </c>
      <c r="R333" s="62">
        <f>IFERROR(VLOOKUP(B333,Tableau3[#All],7,FALSE),"Matricule!")</f>
        <v>7</v>
      </c>
      <c r="S333" s="62">
        <f>IFERROR(Tableau242[[#This Row],[Prod. days WK]]-Tableau242[[#This Row],[Prod PXX]],"Matricule")</f>
        <v>2</v>
      </c>
      <c r="T333" s="62">
        <f>IFERROR(Tableau242[[#This Row],[Non prod. days WK]]-Tableau242[[#This Row],[Improd PXX]],"Matricule")</f>
        <v>0</v>
      </c>
      <c r="U333" s="62">
        <f>IFERROR(Tableau242[[#This Row],[Paid leave days WK]]-Tableau242[[#This Row],[Congé PXX]],"Matricule")</f>
        <v>-2</v>
      </c>
      <c r="V333" s="63">
        <f>IFERROR(VLOOKUP($B333,#REF!,4,FALSE),0)</f>
        <v>0</v>
      </c>
      <c r="W33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33" s="63">
        <f>IF(AND(Tableau242[[#This Row],[Paid leave days]]&gt;0,Tableau242[[#This Row],[Prod. days]]&lt;0),MIN(Tableau242[[#This Row],[Paid leave days]],-Tableau242[[#This Row],[Prod. days]]),0)</f>
        <v>0</v>
      </c>
      <c r="Z333" s="63">
        <f>IFERROR(_xlfn.XLOOKUP(Tableau242[[#This Row],[Consultant]],Tableau2[Collaborateur/Nom affiché],Tableau2[Montant imputé],0),0)</f>
        <v>0</v>
      </c>
      <c r="AA333" s="64">
        <f t="shared" si="6"/>
        <v>2</v>
      </c>
      <c r="AB333" s="65" t="s">
        <v>154</v>
      </c>
      <c r="AC333" s="66"/>
      <c r="AD333" s="66"/>
      <c r="AE333" s="105"/>
      <c r="AF333" s="90"/>
    </row>
    <row r="334" spans="1:32">
      <c r="A334" s="15">
        <f>Tableau242[[#This Row],[Company number]]+0</f>
        <v>9788</v>
      </c>
      <c r="B334" s="60" t="s">
        <v>795</v>
      </c>
      <c r="C334" s="61" t="s">
        <v>796</v>
      </c>
      <c r="D334" s="61" t="s">
        <v>16</v>
      </c>
      <c r="E334" s="62" t="str">
        <f>IFERROR(VLOOKUP(Tableau242[[#This Row],[Manager ou CDM concerné]],Parametres!B:C,2,FALSE),"")</f>
        <v>Squad E</v>
      </c>
      <c r="F334" s="62" t="str">
        <f>IF(Tableau242[[#This Row],[Consultant]]=Tableau242[[#This Row],[Manager ou CDM concerné]],"Non",IF(IFERROR(VLOOKUP(Tableau242[[#This Row],[Consultant]],Parametres!B:C,2,FALSE),0)=0,"Non","Oui"))</f>
        <v>Non</v>
      </c>
      <c r="G334" s="62">
        <f>IFERROR(VLOOKUP(B334,Tableau5[#All],4,FALSE),"Matricule!")</f>
        <v>19.5</v>
      </c>
      <c r="H334" s="62" t="str">
        <f>IFERROR(VLOOKUP(Tableau242[[#This Row],[Company number]],#REF!,6,FALSE),"")</f>
        <v/>
      </c>
      <c r="I334" s="62">
        <f>IFERROR(VLOOKUP(B334,Tableau5[#All],5,FALSE),"Matricule!")</f>
        <v>0</v>
      </c>
      <c r="J334" s="62">
        <f>IFERROR(VLOOKUP(B334,Tableau5[#All],6,FALSE),"Matricule!")</f>
        <v>0.5</v>
      </c>
      <c r="K334" s="62">
        <f>IFERROR(VLOOKUP(B334,Tableau5[#All],7,FALSE),"Matricule!")</f>
        <v>0</v>
      </c>
      <c r="L334" s="62" t="e">
        <f>VLOOKUP(Tableau242[[#This Row],[Company number]],#REF!,25,FALSE)</f>
        <v>#REF!</v>
      </c>
      <c r="M334" s="62" t="str">
        <f>IFERROR(VLOOKUP(Tableau242[[#This Row],[Company number]],#REF!,30,FALSE),"")</f>
        <v/>
      </c>
      <c r="N334" s="62" t="str">
        <f>IFERROR(VLOOKUP(Tableau242[[#This Row],[Company number]],#REF!,31,FALSE),"")</f>
        <v/>
      </c>
      <c r="O334" s="62" t="str">
        <f>IFERROR(VLOOKUP(Tableau242[[#This Row],[Company number]],#REF!,32,FALSE),"")</f>
        <v/>
      </c>
      <c r="P334" s="68">
        <f>IFERROR(VLOOKUP(B334,Tableau3[#All],5,FALSE),"Matricule!")</f>
        <v>20</v>
      </c>
      <c r="Q334" s="68">
        <f>IFERROR(SUM(VLOOKUP(B334,Tableau3[#All],6,FALSE),VLOOKUP(B334,Tableau3[#All],8,FALSE)),"Matricule!")</f>
        <v>0</v>
      </c>
      <c r="R334" s="68">
        <f>IFERROR(VLOOKUP(B334,Tableau3[#All],7,FALSE),"Matricule!")</f>
        <v>0</v>
      </c>
      <c r="S334" s="62">
        <f>IFERROR(Tableau242[[#This Row],[Prod. days WK]]-Tableau242[[#This Row],[Prod PXX]],"Matricule")</f>
        <v>-0.5</v>
      </c>
      <c r="T334" s="62">
        <f>IFERROR(Tableau242[[#This Row],[Non prod. days WK]]-Tableau242[[#This Row],[Improd PXX]],"Matricule")</f>
        <v>0</v>
      </c>
      <c r="U334" s="62">
        <f>IFERROR(Tableau242[[#This Row],[Paid leave days WK]]-Tableau242[[#This Row],[Congé PXX]],"Matricule")</f>
        <v>0.5</v>
      </c>
      <c r="V334" s="63">
        <f>IFERROR(VLOOKUP($B334,#REF!,4,FALSE),0)</f>
        <v>0</v>
      </c>
      <c r="W33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34" s="63">
        <f>IF(AND(Tableau242[[#This Row],[Paid leave days]]&gt;0,Tableau242[[#This Row],[Prod. days]]&lt;0),MIN(Tableau242[[#This Row],[Paid leave days]],-Tableau242[[#This Row],[Prod. days]]),0)</f>
        <v>0.5</v>
      </c>
      <c r="Z334" s="63">
        <f>IFERROR(_xlfn.XLOOKUP(Tableau242[[#This Row],[Consultant]],Tableau2[Collaborateur/Nom affiché],Tableau2[Montant imputé],0),0)</f>
        <v>0</v>
      </c>
      <c r="AA334" s="64">
        <f t="shared" si="6"/>
        <v>-0.5</v>
      </c>
      <c r="AB334" s="65" t="s">
        <v>154</v>
      </c>
      <c r="AC334" s="66"/>
      <c r="AD334" s="66"/>
      <c r="AE334" s="105"/>
      <c r="AF334" s="90"/>
    </row>
    <row r="335" spans="1:32">
      <c r="A335" s="15">
        <f>Tableau242[[#This Row],[Company number]]+0</f>
        <v>17293</v>
      </c>
      <c r="B335" s="60" t="s">
        <v>797</v>
      </c>
      <c r="C335" s="61" t="s">
        <v>798</v>
      </c>
      <c r="D335" s="61" t="s">
        <v>59</v>
      </c>
      <c r="E335" s="62" t="str">
        <f>IFERROR(VLOOKUP(Tableau242[[#This Row],[Manager ou CDM concerné]],Parametres!B:C,2,FALSE),"")</f>
        <v>Squad A</v>
      </c>
      <c r="F335" s="62" t="str">
        <f>IF(Tableau242[[#This Row],[Consultant]]=Tableau242[[#This Row],[Manager ou CDM concerné]],"Non",IF(IFERROR(VLOOKUP(Tableau242[[#This Row],[Consultant]],Parametres!B:C,2,FALSE),0)=0,"Non","Oui"))</f>
        <v>Non</v>
      </c>
      <c r="G335" s="62">
        <f>IFERROR(VLOOKUP(B335,Tableau5[#All],4,FALSE),"Matricule!")</f>
        <v>13.5</v>
      </c>
      <c r="H335" s="62" t="str">
        <f>IFERROR(VLOOKUP(Tableau242[[#This Row],[Company number]],#REF!,6,FALSE),"")</f>
        <v/>
      </c>
      <c r="I335" s="62">
        <f>IFERROR(VLOOKUP(B335,Tableau5[#All],5,FALSE),"Matricule!")</f>
        <v>1</v>
      </c>
      <c r="J335" s="62">
        <f>IFERROR(VLOOKUP(B335,Tableau5[#All],6,FALSE),"Matricule!")</f>
        <v>5.5</v>
      </c>
      <c r="K335" s="62">
        <f>IFERROR(VLOOKUP(B335,Tableau5[#All],7,FALSE),"Matricule!")</f>
        <v>0</v>
      </c>
      <c r="L335" s="62" t="e">
        <f>VLOOKUP(Tableau242[[#This Row],[Company number]],#REF!,25,FALSE)</f>
        <v>#REF!</v>
      </c>
      <c r="M335" s="62" t="str">
        <f>IFERROR(VLOOKUP(Tableau242[[#This Row],[Company number]],#REF!,30,FALSE),"")</f>
        <v/>
      </c>
      <c r="N335" s="62" t="str">
        <f>IFERROR(VLOOKUP(Tableau242[[#This Row],[Company number]],#REF!,31,FALSE),"")</f>
        <v/>
      </c>
      <c r="O335" s="62" t="str">
        <f>IFERROR(VLOOKUP(Tableau242[[#This Row],[Company number]],#REF!,32,FALSE),"")</f>
        <v/>
      </c>
      <c r="P335" s="62">
        <f>IFERROR(VLOOKUP(B335,Tableau3[#All],5,FALSE),"Matricule!")</f>
        <v>15</v>
      </c>
      <c r="Q335" s="62">
        <f>IFERROR(SUM(VLOOKUP(B335,Tableau3[#All],6,FALSE),VLOOKUP(B335,Tableau3[#All],8,FALSE)),"Matricule!")</f>
        <v>0</v>
      </c>
      <c r="R335" s="62">
        <f>IFERROR(VLOOKUP(B335,Tableau3[#All],7,FALSE),"Matricule!")</f>
        <v>5</v>
      </c>
      <c r="S335" s="62">
        <f>IFERROR(Tableau242[[#This Row],[Prod. days WK]]-Tableau242[[#This Row],[Prod PXX]],"Matricule")</f>
        <v>-1.5</v>
      </c>
      <c r="T335" s="62">
        <f>IFERROR(Tableau242[[#This Row],[Non prod. days WK]]-Tableau242[[#This Row],[Improd PXX]],"Matricule")</f>
        <v>1</v>
      </c>
      <c r="U335" s="62">
        <f>IFERROR(Tableau242[[#This Row],[Paid leave days WK]]-Tableau242[[#This Row],[Congé PXX]],"Matricule")</f>
        <v>0.5</v>
      </c>
      <c r="V335" s="63">
        <f>IFERROR(VLOOKUP($B335,#REF!,4,FALSE),0)</f>
        <v>0</v>
      </c>
      <c r="W33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35" s="63">
        <f>IF(AND(Tableau242[[#This Row],[Paid leave days]]&gt;0,Tableau242[[#This Row],[Prod. days]]&lt;0),MIN(Tableau242[[#This Row],[Paid leave days]],-Tableau242[[#This Row],[Prod. days]]),0)</f>
        <v>0.5</v>
      </c>
      <c r="Z335" s="63">
        <f>IFERROR(_xlfn.XLOOKUP(Tableau242[[#This Row],[Consultant]],Tableau2[Collaborateur/Nom affiché],Tableau2[Montant imputé],0),0)</f>
        <v>0</v>
      </c>
      <c r="AA335" s="64">
        <f t="shared" si="6"/>
        <v>-1.5</v>
      </c>
      <c r="AB335" s="65" t="s">
        <v>165</v>
      </c>
      <c r="AC335" s="67"/>
      <c r="AD335" s="66"/>
      <c r="AE335" s="105"/>
      <c r="AF335" s="93" t="s">
        <v>799</v>
      </c>
    </row>
    <row r="336" spans="1:32">
      <c r="A336" s="15">
        <f>Tableau242[[#This Row],[Company number]]+0</f>
        <v>10834</v>
      </c>
      <c r="B336" s="60" t="s">
        <v>800</v>
      </c>
      <c r="C336" s="61" t="s">
        <v>801</v>
      </c>
      <c r="D336" s="61" t="s">
        <v>16</v>
      </c>
      <c r="E336" s="62" t="str">
        <f>IFERROR(VLOOKUP(Tableau242[[#This Row],[Manager ou CDM concerné]],Parametres!B:C,2,FALSE),"")</f>
        <v>Squad E</v>
      </c>
      <c r="F336" s="62" t="str">
        <f>IF(Tableau242[[#This Row],[Consultant]]=Tableau242[[#This Row],[Manager ou CDM concerné]],"Non",IF(IFERROR(VLOOKUP(Tableau242[[#This Row],[Consultant]],Parametres!B:C,2,FALSE),0)=0,"Non","Oui"))</f>
        <v>Non</v>
      </c>
      <c r="G336" s="62">
        <f>IFERROR(VLOOKUP(B336,Tableau5[#All],4,FALSE),"Matricule!")</f>
        <v>20</v>
      </c>
      <c r="H336" s="62" t="str">
        <f>IFERROR(VLOOKUP(Tableau242[[#This Row],[Company number]],#REF!,6,FALSE),"")</f>
        <v/>
      </c>
      <c r="I336" s="62">
        <f>IFERROR(VLOOKUP(B336,Tableau5[#All],5,FALSE),"Matricule!")</f>
        <v>0</v>
      </c>
      <c r="J336" s="62">
        <f>IFERROR(VLOOKUP(B336,Tableau5[#All],6,FALSE),"Matricule!")</f>
        <v>0</v>
      </c>
      <c r="K336" s="62">
        <f>IFERROR(VLOOKUP(B336,Tableau5[#All],7,FALSE),"Matricule!")</f>
        <v>0</v>
      </c>
      <c r="L336" s="62" t="e">
        <f>VLOOKUP(Tableau242[[#This Row],[Company number]],#REF!,25,FALSE)</f>
        <v>#REF!</v>
      </c>
      <c r="M336" s="62" t="str">
        <f>IFERROR(VLOOKUP(Tableau242[[#This Row],[Company number]],#REF!,30,FALSE),"")</f>
        <v/>
      </c>
      <c r="N336" s="62" t="str">
        <f>IFERROR(VLOOKUP(Tableau242[[#This Row],[Company number]],#REF!,31,FALSE),"")</f>
        <v/>
      </c>
      <c r="O336" s="62" t="str">
        <f>IFERROR(VLOOKUP(Tableau242[[#This Row],[Company number]],#REF!,32,FALSE),"")</f>
        <v/>
      </c>
      <c r="P336" s="62">
        <f>IFERROR(VLOOKUP(B336,Tableau3[#All],5,FALSE),"Matricule!")</f>
        <v>20</v>
      </c>
      <c r="Q336" s="62">
        <f>IFERROR(SUM(VLOOKUP(B336,Tableau3[#All],6,FALSE),VLOOKUP(B336,Tableau3[#All],8,FALSE)),"Matricule!")</f>
        <v>0</v>
      </c>
      <c r="R336" s="62">
        <f>IFERROR(VLOOKUP(B336,Tableau3[#All],7,FALSE),"Matricule!")</f>
        <v>0</v>
      </c>
      <c r="S336" s="62">
        <f>IFERROR(Tableau242[[#This Row],[Prod. days WK]]-Tableau242[[#This Row],[Prod PXX]],"Matricule")</f>
        <v>0</v>
      </c>
      <c r="T336" s="62">
        <f>IFERROR(Tableau242[[#This Row],[Non prod. days WK]]-Tableau242[[#This Row],[Improd PXX]],"Matricule")</f>
        <v>0</v>
      </c>
      <c r="U336" s="62">
        <f>IFERROR(Tableau242[[#This Row],[Paid leave days WK]]-Tableau242[[#This Row],[Congé PXX]],"Matricule")</f>
        <v>0</v>
      </c>
      <c r="V336" s="63">
        <f>IFERROR(VLOOKUP($B336,#REF!,4,FALSE),0)</f>
        <v>0</v>
      </c>
      <c r="W33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36" s="63">
        <f>IF(AND(Tableau242[[#This Row],[Paid leave days]]&gt;0,Tableau242[[#This Row],[Prod. days]]&lt;0),MIN(Tableau242[[#This Row],[Paid leave days]],-Tableau242[[#This Row],[Prod. days]]),0)</f>
        <v>0</v>
      </c>
      <c r="Z336" s="63">
        <f>IFERROR(_xlfn.XLOOKUP(Tableau242[[#This Row],[Consultant]],Tableau2[Collaborateur/Nom affiché],Tableau2[Montant imputé],0),0)</f>
        <v>0</v>
      </c>
      <c r="AA336" s="64">
        <f t="shared" si="6"/>
        <v>0</v>
      </c>
      <c r="AB336" s="65" t="s">
        <v>154</v>
      </c>
      <c r="AC336" s="66"/>
      <c r="AD336" s="66"/>
      <c r="AE336" s="105"/>
      <c r="AF336" s="90"/>
    </row>
    <row r="337" spans="1:32">
      <c r="A337" s="15">
        <f>Tableau242[[#This Row],[Company number]]+0</f>
        <v>14543</v>
      </c>
      <c r="B337" s="60" t="s">
        <v>802</v>
      </c>
      <c r="C337" s="61" t="s">
        <v>803</v>
      </c>
      <c r="D337" s="61" t="s">
        <v>16</v>
      </c>
      <c r="E337" s="62" t="str">
        <f>IFERROR(VLOOKUP(Tableau242[[#This Row],[Manager ou CDM concerné]],Parametres!B:C,2,FALSE),"")</f>
        <v>Squad E</v>
      </c>
      <c r="F337" s="62" t="str">
        <f>IF(Tableau242[[#This Row],[Consultant]]=Tableau242[[#This Row],[Manager ou CDM concerné]],"Non",IF(IFERROR(VLOOKUP(Tableau242[[#This Row],[Consultant]],Parametres!B:C,2,FALSE),0)=0,"Non","Oui"))</f>
        <v>Non</v>
      </c>
      <c r="G337" s="62">
        <f>IFERROR(VLOOKUP(B337,Tableau5[#All],4,FALSE),"Matricule!")</f>
        <v>20</v>
      </c>
      <c r="H337" s="62" t="str">
        <f>IFERROR(VLOOKUP(Tableau242[[#This Row],[Company number]],#REF!,6,FALSE),"")</f>
        <v/>
      </c>
      <c r="I337" s="62">
        <f>IFERROR(VLOOKUP(B337,Tableau5[#All],5,FALSE),"Matricule!")</f>
        <v>0</v>
      </c>
      <c r="J337" s="62">
        <f>IFERROR(VLOOKUP(B337,Tableau5[#All],6,FALSE),"Matricule!")</f>
        <v>0</v>
      </c>
      <c r="K337" s="62">
        <f>IFERROR(VLOOKUP(B337,Tableau5[#All],7,FALSE),"Matricule!")</f>
        <v>0</v>
      </c>
      <c r="L337" s="62" t="e">
        <f>VLOOKUP(Tableau242[[#This Row],[Company number]],#REF!,25,FALSE)</f>
        <v>#REF!</v>
      </c>
      <c r="M337" s="62" t="str">
        <f>IFERROR(VLOOKUP(Tableau242[[#This Row],[Company number]],#REF!,30,FALSE),"")</f>
        <v/>
      </c>
      <c r="N337" s="62" t="str">
        <f>IFERROR(VLOOKUP(Tableau242[[#This Row],[Company number]],#REF!,31,FALSE),"")</f>
        <v/>
      </c>
      <c r="O337" s="62" t="str">
        <f>IFERROR(VLOOKUP(Tableau242[[#This Row],[Company number]],#REF!,32,FALSE),"")</f>
        <v/>
      </c>
      <c r="P337" s="62">
        <f>IFERROR(VLOOKUP(B337,Tableau3[#All],5,FALSE),"Matricule!")</f>
        <v>20</v>
      </c>
      <c r="Q337" s="62">
        <f>IFERROR(SUM(VLOOKUP(B337,Tableau3[#All],6,FALSE),VLOOKUP(B337,Tableau3[#All],8,FALSE)),"Matricule!")</f>
        <v>0</v>
      </c>
      <c r="R337" s="62">
        <f>IFERROR(VLOOKUP(B337,Tableau3[#All],7,FALSE),"Matricule!")</f>
        <v>0</v>
      </c>
      <c r="S337" s="62">
        <f>IFERROR(Tableau242[[#This Row],[Prod. days WK]]-Tableau242[[#This Row],[Prod PXX]],"Matricule")</f>
        <v>0</v>
      </c>
      <c r="T337" s="62">
        <f>IFERROR(Tableau242[[#This Row],[Non prod. days WK]]-Tableau242[[#This Row],[Improd PXX]],"Matricule")</f>
        <v>0</v>
      </c>
      <c r="U337" s="62">
        <f>IFERROR(Tableau242[[#This Row],[Paid leave days WK]]-Tableau242[[#This Row],[Congé PXX]],"Matricule")</f>
        <v>0</v>
      </c>
      <c r="V337" s="63">
        <f>IFERROR(VLOOKUP($B337,#REF!,4,FALSE),0)</f>
        <v>0</v>
      </c>
      <c r="W33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37" s="63">
        <f>IF(AND(Tableau242[[#This Row],[Paid leave days]]&gt;0,Tableau242[[#This Row],[Prod. days]]&lt;0),MIN(Tableau242[[#This Row],[Paid leave days]],-Tableau242[[#This Row],[Prod. days]]),0)</f>
        <v>0</v>
      </c>
      <c r="Z337" s="63">
        <f>IFERROR(_xlfn.XLOOKUP(Tableau242[[#This Row],[Consultant]],Tableau2[Collaborateur/Nom affiché],Tableau2[Montant imputé],0),0)</f>
        <v>0</v>
      </c>
      <c r="AA337" s="64">
        <f t="shared" si="6"/>
        <v>0</v>
      </c>
      <c r="AB337" s="65" t="s">
        <v>154</v>
      </c>
      <c r="AC337" s="66"/>
      <c r="AD337" s="66"/>
      <c r="AE337" s="105"/>
      <c r="AF337" s="90"/>
    </row>
    <row r="338" spans="1:32">
      <c r="A338" s="15">
        <f>Tableau242[[#This Row],[Company number]]+0</f>
        <v>12787</v>
      </c>
      <c r="B338" s="60" t="s">
        <v>804</v>
      </c>
      <c r="C338" s="61" t="s">
        <v>24</v>
      </c>
      <c r="D338" s="61" t="s">
        <v>16</v>
      </c>
      <c r="E338" s="62" t="str">
        <f>IFERROR(VLOOKUP(Tableau242[[#This Row],[Manager ou CDM concerné]],Parametres!B:C,2,FALSE),"")</f>
        <v>Squad E</v>
      </c>
      <c r="F338" s="62" t="str">
        <f>IF(Tableau242[[#This Row],[Consultant]]=Tableau242[[#This Row],[Manager ou CDM concerné]],"Non",IF(IFERROR(VLOOKUP(Tableau242[[#This Row],[Consultant]],Parametres!B:C,2,FALSE),0)=0,"Non","Oui"))</f>
        <v>Oui</v>
      </c>
      <c r="G338" s="62">
        <f>IFERROR(VLOOKUP(B338,Tableau5[#All],4,FALSE),"Matricule!")</f>
        <v>14</v>
      </c>
      <c r="H338" s="62" t="str">
        <f>IFERROR(VLOOKUP(Tableau242[[#This Row],[Company number]],#REF!,6,FALSE),"")</f>
        <v/>
      </c>
      <c r="I338" s="62">
        <f>IFERROR(VLOOKUP(B338,Tableau5[#All],5,FALSE),"Matricule!")</f>
        <v>6</v>
      </c>
      <c r="J338" s="62">
        <f>IFERROR(VLOOKUP(B338,Tableau5[#All],6,FALSE),"Matricule!")</f>
        <v>0</v>
      </c>
      <c r="K338" s="62">
        <f>IFERROR(VLOOKUP(B338,Tableau5[#All],7,FALSE),"Matricule!")</f>
        <v>0</v>
      </c>
      <c r="L338" s="62" t="e">
        <f>VLOOKUP(Tableau242[[#This Row],[Company number]],#REF!,25,FALSE)</f>
        <v>#REF!</v>
      </c>
      <c r="M338" s="62" t="str">
        <f>IFERROR(VLOOKUP(Tableau242[[#This Row],[Company number]],#REF!,30,FALSE),"")</f>
        <v/>
      </c>
      <c r="N338" s="62" t="str">
        <f>IFERROR(VLOOKUP(Tableau242[[#This Row],[Company number]],#REF!,31,FALSE),"")</f>
        <v/>
      </c>
      <c r="O338" s="62" t="str">
        <f>IFERROR(VLOOKUP(Tableau242[[#This Row],[Company number]],#REF!,32,FALSE),"")</f>
        <v/>
      </c>
      <c r="P338" s="62">
        <f>IFERROR(VLOOKUP(B338,Tableau3[#All],5,FALSE),"Matricule!")</f>
        <v>10</v>
      </c>
      <c r="Q338" s="62">
        <f>IFERROR(SUM(VLOOKUP(B338,Tableau3[#All],6,FALSE),VLOOKUP(B338,Tableau3[#All],8,FALSE)),"Matricule!")</f>
        <v>10</v>
      </c>
      <c r="R338" s="62">
        <f>IFERROR(VLOOKUP(B338,Tableau3[#All],7,FALSE),"Matricule!")</f>
        <v>0</v>
      </c>
      <c r="S338" s="62">
        <f>IFERROR(Tableau242[[#This Row],[Prod. days WK]]-Tableau242[[#This Row],[Prod PXX]],"Matricule")</f>
        <v>4</v>
      </c>
      <c r="T338" s="62">
        <f>IFERROR(Tableau242[[#This Row],[Non prod. days WK]]-Tableau242[[#This Row],[Improd PXX]],"Matricule")</f>
        <v>-4</v>
      </c>
      <c r="U338" s="62">
        <f>IFERROR(Tableau242[[#This Row],[Paid leave days WK]]-Tableau242[[#This Row],[Congé PXX]],"Matricule")</f>
        <v>0</v>
      </c>
      <c r="V338" s="63">
        <f>IFERROR(VLOOKUP($B338,#REF!,4,FALSE),0)</f>
        <v>0</v>
      </c>
      <c r="W33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38" s="63">
        <f>IF(AND(Tableau242[[#This Row],[Paid leave days]]&gt;0,Tableau242[[#This Row],[Prod. days]]&lt;0),MIN(Tableau242[[#This Row],[Paid leave days]],-Tableau242[[#This Row],[Prod. days]]),0)</f>
        <v>0</v>
      </c>
      <c r="Z338" s="63">
        <f>IFERROR(_xlfn.XLOOKUP(Tableau242[[#This Row],[Consultant]],Tableau2[Collaborateur/Nom affiché],Tableau2[Montant imputé],0),0)</f>
        <v>0</v>
      </c>
      <c r="AA338" s="64">
        <f t="shared" si="6"/>
        <v>4</v>
      </c>
      <c r="AB338" s="65" t="s">
        <v>154</v>
      </c>
      <c r="AC338" s="66"/>
      <c r="AD338" s="66"/>
      <c r="AE338" s="105"/>
      <c r="AF338" s="90"/>
    </row>
    <row r="339" spans="1:32">
      <c r="A339" s="15">
        <f>Tableau242[[#This Row],[Company number]]+0</f>
        <v>1571</v>
      </c>
      <c r="B339" s="60" t="s">
        <v>805</v>
      </c>
      <c r="C339" s="61" t="s">
        <v>806</v>
      </c>
      <c r="D339" s="61" t="s">
        <v>16</v>
      </c>
      <c r="E339" s="62" t="str">
        <f>IFERROR(VLOOKUP(Tableau242[[#This Row],[Manager ou CDM concerné]],Parametres!B:C,2,FALSE),"")</f>
        <v>Squad E</v>
      </c>
      <c r="F339" s="62" t="str">
        <f>IF(Tableau242[[#This Row],[Consultant]]=Tableau242[[#This Row],[Manager ou CDM concerné]],"Non",IF(IFERROR(VLOOKUP(Tableau242[[#This Row],[Consultant]],Parametres!B:C,2,FALSE),0)=0,"Non","Oui"))</f>
        <v>Non</v>
      </c>
      <c r="G339" s="62">
        <f>IFERROR(VLOOKUP(B339,Tableau5[#All],4,FALSE),"Matricule!")</f>
        <v>17</v>
      </c>
      <c r="H339" s="62" t="str">
        <f>IFERROR(VLOOKUP(Tableau242[[#This Row],[Company number]],#REF!,6,FALSE),"")</f>
        <v/>
      </c>
      <c r="I339" s="62">
        <f>IFERROR(VLOOKUP(B339,Tableau5[#All],5,FALSE),"Matricule!")</f>
        <v>0</v>
      </c>
      <c r="J339" s="62">
        <f>IFERROR(VLOOKUP(B339,Tableau5[#All],6,FALSE),"Matricule!")</f>
        <v>3</v>
      </c>
      <c r="K339" s="62">
        <f>IFERROR(VLOOKUP(B339,Tableau5[#All],7,FALSE),"Matricule!")</f>
        <v>0</v>
      </c>
      <c r="L339" s="62" t="e">
        <f>VLOOKUP(Tableau242[[#This Row],[Company number]],#REF!,25,FALSE)</f>
        <v>#REF!</v>
      </c>
      <c r="M339" s="62" t="str">
        <f>IFERROR(VLOOKUP(Tableau242[[#This Row],[Company number]],#REF!,30,FALSE),"")</f>
        <v/>
      </c>
      <c r="N339" s="62" t="str">
        <f>IFERROR(VLOOKUP(Tableau242[[#This Row],[Company number]],#REF!,31,FALSE),"")</f>
        <v/>
      </c>
      <c r="O339" s="62" t="str">
        <f>IFERROR(VLOOKUP(Tableau242[[#This Row],[Company number]],#REF!,32,FALSE),"")</f>
        <v/>
      </c>
      <c r="P339" s="68">
        <f>IFERROR(VLOOKUP(B339,Tableau3[#All],5,FALSE),"Matricule!")</f>
        <v>17</v>
      </c>
      <c r="Q339" s="68">
        <f>IFERROR(SUM(VLOOKUP(B339,Tableau3[#All],6,FALSE),VLOOKUP(B339,Tableau3[#All],8,FALSE)),"Matricule!")</f>
        <v>0</v>
      </c>
      <c r="R339" s="68">
        <f>IFERROR(VLOOKUP(B339,Tableau3[#All],7,FALSE),"Matricule!")</f>
        <v>3</v>
      </c>
      <c r="S339" s="62">
        <f>IFERROR(Tableau242[[#This Row],[Prod. days WK]]-Tableau242[[#This Row],[Prod PXX]],"Matricule")</f>
        <v>0</v>
      </c>
      <c r="T339" s="62">
        <f>IFERROR(Tableau242[[#This Row],[Non prod. days WK]]-Tableau242[[#This Row],[Improd PXX]],"Matricule")</f>
        <v>0</v>
      </c>
      <c r="U339" s="62">
        <f>IFERROR(Tableau242[[#This Row],[Paid leave days WK]]-Tableau242[[#This Row],[Congé PXX]],"Matricule")</f>
        <v>0</v>
      </c>
      <c r="V339" s="63">
        <f>IFERROR(VLOOKUP($B339,#REF!,4,FALSE),0)</f>
        <v>0</v>
      </c>
      <c r="W33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3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39" s="63">
        <f>IF(AND(Tableau242[[#This Row],[Paid leave days]]&gt;0,Tableau242[[#This Row],[Prod. days]]&lt;0),MIN(Tableau242[[#This Row],[Paid leave days]],-Tableau242[[#This Row],[Prod. days]]),0)</f>
        <v>0</v>
      </c>
      <c r="Z339" s="63">
        <f>IFERROR(_xlfn.XLOOKUP(Tableau242[[#This Row],[Consultant]],Tableau2[Collaborateur/Nom affiché],Tableau2[Montant imputé],0),0)</f>
        <v>0</v>
      </c>
      <c r="AA339" s="64">
        <f t="shared" si="6"/>
        <v>0</v>
      </c>
      <c r="AB339" s="65" t="s">
        <v>154</v>
      </c>
      <c r="AC339" s="66"/>
      <c r="AD339" s="66"/>
      <c r="AE339" s="105"/>
      <c r="AF339" s="90"/>
    </row>
    <row r="340" spans="1:32">
      <c r="A340" s="15">
        <f>Tableau242[[#This Row],[Company number]]+0</f>
        <v>12126</v>
      </c>
      <c r="B340" s="60" t="s">
        <v>807</v>
      </c>
      <c r="C340" s="61" t="s">
        <v>808</v>
      </c>
      <c r="D340" s="61" t="s">
        <v>16</v>
      </c>
      <c r="E340" s="62" t="str">
        <f>IFERROR(VLOOKUP(Tableau242[[#This Row],[Manager ou CDM concerné]],Parametres!B:C,2,FALSE),"")</f>
        <v>Squad E</v>
      </c>
      <c r="F340" s="62" t="str">
        <f>IF(Tableau242[[#This Row],[Consultant]]=Tableau242[[#This Row],[Manager ou CDM concerné]],"Non",IF(IFERROR(VLOOKUP(Tableau242[[#This Row],[Consultant]],Parametres!B:C,2,FALSE),0)=0,"Non","Oui"))</f>
        <v>Non</v>
      </c>
      <c r="G340" s="62">
        <f>IFERROR(VLOOKUP(B340,Tableau5[#All],4,FALSE),"Matricule!")</f>
        <v>17</v>
      </c>
      <c r="H340" s="62" t="str">
        <f>IFERROR(VLOOKUP(Tableau242[[#This Row],[Company number]],#REF!,6,FALSE),"")</f>
        <v/>
      </c>
      <c r="I340" s="62">
        <f>IFERROR(VLOOKUP(B340,Tableau5[#All],5,FALSE),"Matricule!")</f>
        <v>0</v>
      </c>
      <c r="J340" s="62">
        <f>IFERROR(VLOOKUP(B340,Tableau5[#All],6,FALSE),"Matricule!")</f>
        <v>3</v>
      </c>
      <c r="K340" s="62">
        <f>IFERROR(VLOOKUP(B340,Tableau5[#All],7,FALSE),"Matricule!")</f>
        <v>0</v>
      </c>
      <c r="L340" s="62" t="e">
        <f>VLOOKUP(Tableau242[[#This Row],[Company number]],#REF!,25,FALSE)</f>
        <v>#REF!</v>
      </c>
      <c r="M340" s="62" t="str">
        <f>IFERROR(VLOOKUP(Tableau242[[#This Row],[Company number]],#REF!,30,FALSE),"")</f>
        <v/>
      </c>
      <c r="N340" s="62" t="str">
        <f>IFERROR(VLOOKUP(Tableau242[[#This Row],[Company number]],#REF!,31,FALSE),"")</f>
        <v/>
      </c>
      <c r="O340" s="62" t="str">
        <f>IFERROR(VLOOKUP(Tableau242[[#This Row],[Company number]],#REF!,32,FALSE),"")</f>
        <v/>
      </c>
      <c r="P340" s="62">
        <f>IFERROR(VLOOKUP(B340,Tableau3[#All],5,FALSE),"Matricule!")</f>
        <v>17</v>
      </c>
      <c r="Q340" s="62">
        <f>IFERROR(SUM(VLOOKUP(B340,Tableau3[#All],6,FALSE),VLOOKUP(B340,Tableau3[#All],8,FALSE)),"Matricule!")</f>
        <v>0</v>
      </c>
      <c r="R340" s="62">
        <f>IFERROR(VLOOKUP(B340,Tableau3[#All],7,FALSE),"Matricule!")</f>
        <v>3</v>
      </c>
      <c r="S340" s="62">
        <f>IFERROR(Tableau242[[#This Row],[Prod. days WK]]-Tableau242[[#This Row],[Prod PXX]],"Matricule")</f>
        <v>0</v>
      </c>
      <c r="T340" s="62">
        <f>IFERROR(Tableau242[[#This Row],[Non prod. days WK]]-Tableau242[[#This Row],[Improd PXX]],"Matricule")</f>
        <v>0</v>
      </c>
      <c r="U340" s="62">
        <f>IFERROR(Tableau242[[#This Row],[Paid leave days WK]]-Tableau242[[#This Row],[Congé PXX]],"Matricule")</f>
        <v>0</v>
      </c>
      <c r="V340" s="63">
        <f>IFERROR(VLOOKUP($B340,#REF!,4,FALSE),0)</f>
        <v>0</v>
      </c>
      <c r="W34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40" s="63">
        <f>IF(AND(Tableau242[[#This Row],[Paid leave days]]&gt;0,Tableau242[[#This Row],[Prod. days]]&lt;0),MIN(Tableau242[[#This Row],[Paid leave days]],-Tableau242[[#This Row],[Prod. days]]),0)</f>
        <v>0</v>
      </c>
      <c r="Z340" s="63">
        <f>IFERROR(_xlfn.XLOOKUP(Tableau242[[#This Row],[Consultant]],Tableau2[Collaborateur/Nom affiché],Tableau2[Montant imputé],0),0)</f>
        <v>0</v>
      </c>
      <c r="AA340" s="64">
        <f t="shared" si="6"/>
        <v>0</v>
      </c>
      <c r="AB340" s="65" t="s">
        <v>154</v>
      </c>
      <c r="AC340" s="66"/>
      <c r="AD340" s="66"/>
      <c r="AE340" s="105"/>
      <c r="AF340" s="90"/>
    </row>
    <row r="341" spans="1:32">
      <c r="A341" s="15">
        <f>Tableau242[[#This Row],[Company number]]+0</f>
        <v>13164</v>
      </c>
      <c r="B341" s="60" t="s">
        <v>809</v>
      </c>
      <c r="C341" s="61" t="s">
        <v>810</v>
      </c>
      <c r="D341" s="61" t="s">
        <v>16</v>
      </c>
      <c r="E341" s="62" t="str">
        <f>IFERROR(VLOOKUP(Tableau242[[#This Row],[Manager ou CDM concerné]],Parametres!B:C,2,FALSE),"")</f>
        <v>Squad E</v>
      </c>
      <c r="F341" s="62" t="str">
        <f>IF(Tableau242[[#This Row],[Consultant]]=Tableau242[[#This Row],[Manager ou CDM concerné]],"Non",IF(IFERROR(VLOOKUP(Tableau242[[#This Row],[Consultant]],Parametres!B:C,2,FALSE),0)=0,"Non","Oui"))</f>
        <v>Non</v>
      </c>
      <c r="G341" s="62">
        <f>IFERROR(VLOOKUP(B341,Tableau5[#All],4,FALSE),"Matricule!")</f>
        <v>17</v>
      </c>
      <c r="H341" s="62" t="str">
        <f>IFERROR(VLOOKUP(Tableau242[[#This Row],[Company number]],#REF!,6,FALSE),"")</f>
        <v/>
      </c>
      <c r="I341" s="62">
        <f>IFERROR(VLOOKUP(B341,Tableau5[#All],5,FALSE),"Matricule!")</f>
        <v>2</v>
      </c>
      <c r="J341" s="62">
        <f>IFERROR(VLOOKUP(B341,Tableau5[#All],6,FALSE),"Matricule!")</f>
        <v>1</v>
      </c>
      <c r="K341" s="62">
        <f>IFERROR(VLOOKUP(B341,Tableau5[#All],7,FALSE),"Matricule!")</f>
        <v>0</v>
      </c>
      <c r="L341" s="62" t="e">
        <f>VLOOKUP(Tableau242[[#This Row],[Company number]],#REF!,25,FALSE)</f>
        <v>#REF!</v>
      </c>
      <c r="M341" s="62" t="str">
        <f>IFERROR(VLOOKUP(Tableau242[[#This Row],[Company number]],#REF!,30,FALSE),"")</f>
        <v/>
      </c>
      <c r="N341" s="62" t="str">
        <f>IFERROR(VLOOKUP(Tableau242[[#This Row],[Company number]],#REF!,31,FALSE),"")</f>
        <v/>
      </c>
      <c r="O341" s="62" t="str">
        <f>IFERROR(VLOOKUP(Tableau242[[#This Row],[Company number]],#REF!,32,FALSE),"")</f>
        <v/>
      </c>
      <c r="P341" s="62">
        <f>IFERROR(VLOOKUP(B341,Tableau3[#All],5,FALSE),"Matricule!")</f>
        <v>16.5</v>
      </c>
      <c r="Q341" s="62">
        <f>IFERROR(SUM(VLOOKUP(B341,Tableau3[#All],6,FALSE),VLOOKUP(B341,Tableau3[#All],8,FALSE)),"Matricule!")</f>
        <v>2.5</v>
      </c>
      <c r="R341" s="62">
        <f>IFERROR(VLOOKUP(B341,Tableau3[#All],7,FALSE),"Matricule!")</f>
        <v>1</v>
      </c>
      <c r="S341" s="62">
        <f>IFERROR(Tableau242[[#This Row],[Prod. days WK]]-Tableau242[[#This Row],[Prod PXX]],"Matricule")</f>
        <v>0.5</v>
      </c>
      <c r="T341" s="62">
        <f>IFERROR(Tableau242[[#This Row],[Non prod. days WK]]-Tableau242[[#This Row],[Improd PXX]],"Matricule")</f>
        <v>-0.5</v>
      </c>
      <c r="U341" s="62">
        <f>IFERROR(Tableau242[[#This Row],[Paid leave days WK]]-Tableau242[[#This Row],[Congé PXX]],"Matricule")</f>
        <v>0</v>
      </c>
      <c r="V341" s="63">
        <f>IFERROR(VLOOKUP($B341,#REF!,4,FALSE),0)</f>
        <v>0</v>
      </c>
      <c r="W34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41" s="63">
        <f>IF(AND(Tableau242[[#This Row],[Paid leave days]]&gt;0,Tableau242[[#This Row],[Prod. days]]&lt;0),MIN(Tableau242[[#This Row],[Paid leave days]],-Tableau242[[#This Row],[Prod. days]]),0)</f>
        <v>0</v>
      </c>
      <c r="Z341" s="63">
        <f>IFERROR(_xlfn.XLOOKUP(Tableau242[[#This Row],[Consultant]],Tableau2[Collaborateur/Nom affiché],Tableau2[Montant imputé],0),0)</f>
        <v>0</v>
      </c>
      <c r="AA341" s="64">
        <f t="shared" si="6"/>
        <v>0.5</v>
      </c>
      <c r="AB341" s="65" t="s">
        <v>154</v>
      </c>
      <c r="AC341" s="66"/>
      <c r="AD341" s="66"/>
      <c r="AE341" s="105"/>
      <c r="AF341" s="90"/>
    </row>
    <row r="342" spans="1:32">
      <c r="A342" s="15">
        <f>Tableau242[[#This Row],[Company number]]+0</f>
        <v>17981</v>
      </c>
      <c r="B342" s="60" t="s">
        <v>811</v>
      </c>
      <c r="C342" s="61" t="s">
        <v>812</v>
      </c>
      <c r="D342" s="61" t="s">
        <v>19</v>
      </c>
      <c r="E342" s="62" t="str">
        <f>IFERROR(VLOOKUP(Tableau242[[#This Row],[Manager ou CDM concerné]],Parametres!B:C,2,FALSE),"")</f>
        <v>Squad D</v>
      </c>
      <c r="F342" s="62" t="str">
        <f>IF(Tableau242[[#This Row],[Consultant]]=Tableau242[[#This Row],[Manager ou CDM concerné]],"Non",IF(IFERROR(VLOOKUP(Tableau242[[#This Row],[Consultant]],Parametres!B:C,2,FALSE),0)=0,"Non","Oui"))</f>
        <v>Non</v>
      </c>
      <c r="G342" s="62">
        <f>IFERROR(VLOOKUP(B342,Tableau5[#All],4,FALSE),"Matricule!")</f>
        <v>17.5</v>
      </c>
      <c r="H342" s="62" t="str">
        <f>IFERROR(VLOOKUP(Tableau242[[#This Row],[Company number]],#REF!,6,FALSE),"")</f>
        <v/>
      </c>
      <c r="I342" s="62">
        <f>IFERROR(VLOOKUP(B342,Tableau5[#All],5,FALSE),"Matricule!")</f>
        <v>0</v>
      </c>
      <c r="J342" s="62">
        <f>IFERROR(VLOOKUP(B342,Tableau5[#All],6,FALSE),"Matricule!")</f>
        <v>2.5</v>
      </c>
      <c r="K342" s="62">
        <f>IFERROR(VLOOKUP(B342,Tableau5[#All],7,FALSE),"Matricule!")</f>
        <v>0</v>
      </c>
      <c r="L342" s="62" t="e">
        <f>VLOOKUP(Tableau242[[#This Row],[Company number]],#REF!,25,FALSE)</f>
        <v>#REF!</v>
      </c>
      <c r="M342" s="62" t="str">
        <f>IFERROR(VLOOKUP(Tableau242[[#This Row],[Company number]],#REF!,30,FALSE),"")</f>
        <v/>
      </c>
      <c r="N342" s="62" t="str">
        <f>IFERROR(VLOOKUP(Tableau242[[#This Row],[Company number]],#REF!,31,FALSE),"")</f>
        <v/>
      </c>
      <c r="O342" s="62" t="str">
        <f>IFERROR(VLOOKUP(Tableau242[[#This Row],[Company number]],#REF!,32,FALSE),"")</f>
        <v/>
      </c>
      <c r="P342" s="62">
        <f>IFERROR(VLOOKUP(B342,Tableau3[#All],5,FALSE),"Matricule!")</f>
        <v>18.5</v>
      </c>
      <c r="Q342" s="62">
        <f>IFERROR(SUM(VLOOKUP(B342,Tableau3[#All],6,FALSE),VLOOKUP(B342,Tableau3[#All],8,FALSE)),"Matricule!")</f>
        <v>0</v>
      </c>
      <c r="R342" s="62">
        <f>IFERROR(VLOOKUP(B342,Tableau3[#All],7,FALSE),"Matricule!")</f>
        <v>1.5</v>
      </c>
      <c r="S342" s="62">
        <f>IFERROR(Tableau242[[#This Row],[Prod. days WK]]-Tableau242[[#This Row],[Prod PXX]],"Matricule")</f>
        <v>-1</v>
      </c>
      <c r="T342" s="62">
        <f>IFERROR(Tableau242[[#This Row],[Non prod. days WK]]-Tableau242[[#This Row],[Improd PXX]],"Matricule")</f>
        <v>0</v>
      </c>
      <c r="U342" s="62">
        <f>IFERROR(Tableau242[[#This Row],[Paid leave days WK]]-Tableau242[[#This Row],[Congé PXX]],"Matricule")</f>
        <v>1</v>
      </c>
      <c r="V342" s="63">
        <f>IFERROR(VLOOKUP($B342,#REF!,4,FALSE),0)</f>
        <v>0</v>
      </c>
      <c r="W34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42" s="63">
        <f>IF(AND(Tableau242[[#This Row],[Paid leave days]]&gt;0,Tableau242[[#This Row],[Prod. days]]&lt;0),MIN(Tableau242[[#This Row],[Paid leave days]],-Tableau242[[#This Row],[Prod. days]]),0)</f>
        <v>1</v>
      </c>
      <c r="Z342" s="63">
        <f>IFERROR(_xlfn.XLOOKUP(Tableau242[[#This Row],[Consultant]],Tableau2[Collaborateur/Nom affiché],Tableau2[Montant imputé],0),0)</f>
        <v>0</v>
      </c>
      <c r="AA342" s="64">
        <f t="shared" si="6"/>
        <v>-1</v>
      </c>
      <c r="AB342" s="65"/>
      <c r="AC342" s="66"/>
      <c r="AD342" s="66"/>
      <c r="AE342" s="105"/>
      <c r="AF342" s="90"/>
    </row>
    <row r="343" spans="1:32">
      <c r="A343" s="15">
        <f>Tableau242[[#This Row],[Company number]]+0</f>
        <v>16529</v>
      </c>
      <c r="B343" s="60" t="s">
        <v>813</v>
      </c>
      <c r="C343" s="61" t="s">
        <v>814</v>
      </c>
      <c r="D343" s="61" t="s">
        <v>19</v>
      </c>
      <c r="E343" s="62" t="str">
        <f>IFERROR(VLOOKUP(Tableau242[[#This Row],[Manager ou CDM concerné]],Parametres!B:C,2,FALSE),"")</f>
        <v>Squad D</v>
      </c>
      <c r="F343" s="62" t="str">
        <f>IF(Tableau242[[#This Row],[Consultant]]=Tableau242[[#This Row],[Manager ou CDM concerné]],"Non",IF(IFERROR(VLOOKUP(Tableau242[[#This Row],[Consultant]],Parametres!B:C,2,FALSE),0)=0,"Non","Oui"))</f>
        <v>Non</v>
      </c>
      <c r="G343" s="62">
        <f>IFERROR(VLOOKUP(B343,Tableau5[#All],4,FALSE),"Matricule!")</f>
        <v>20</v>
      </c>
      <c r="H343" s="62" t="str">
        <f>IFERROR(VLOOKUP(Tableau242[[#This Row],[Company number]],#REF!,6,FALSE),"")</f>
        <v/>
      </c>
      <c r="I343" s="62">
        <f>IFERROR(VLOOKUP(B343,Tableau5[#All],5,FALSE),"Matricule!")</f>
        <v>0</v>
      </c>
      <c r="J343" s="62">
        <f>IFERROR(VLOOKUP(B343,Tableau5[#All],6,FALSE),"Matricule!")</f>
        <v>0</v>
      </c>
      <c r="K343" s="62">
        <f>IFERROR(VLOOKUP(B343,Tableau5[#All],7,FALSE),"Matricule!")</f>
        <v>0</v>
      </c>
      <c r="L343" s="62" t="e">
        <f>VLOOKUP(Tableau242[[#This Row],[Company number]],#REF!,25,FALSE)</f>
        <v>#REF!</v>
      </c>
      <c r="M343" s="62" t="str">
        <f>IFERROR(VLOOKUP(Tableau242[[#This Row],[Company number]],#REF!,30,FALSE),"")</f>
        <v/>
      </c>
      <c r="N343" s="62" t="str">
        <f>IFERROR(VLOOKUP(Tableau242[[#This Row],[Company number]],#REF!,31,FALSE),"")</f>
        <v/>
      </c>
      <c r="O343" s="62" t="str">
        <f>IFERROR(VLOOKUP(Tableau242[[#This Row],[Company number]],#REF!,32,FALSE),"")</f>
        <v/>
      </c>
      <c r="P343" s="62">
        <f>IFERROR(VLOOKUP(B343,Tableau3[#All],5,FALSE),"Matricule!")</f>
        <v>20</v>
      </c>
      <c r="Q343" s="62">
        <f>IFERROR(SUM(VLOOKUP(B343,Tableau3[#All],6,FALSE),VLOOKUP(B343,Tableau3[#All],8,FALSE)),"Matricule!")</f>
        <v>0</v>
      </c>
      <c r="R343" s="62">
        <f>IFERROR(VLOOKUP(B343,Tableau3[#All],7,FALSE),"Matricule!")</f>
        <v>0</v>
      </c>
      <c r="S343" s="62">
        <f>IFERROR(Tableau242[[#This Row],[Prod. days WK]]-Tableau242[[#This Row],[Prod PXX]],"Matricule")</f>
        <v>0</v>
      </c>
      <c r="T343" s="62">
        <f>IFERROR(Tableau242[[#This Row],[Non prod. days WK]]-Tableau242[[#This Row],[Improd PXX]],"Matricule")</f>
        <v>0</v>
      </c>
      <c r="U343" s="62">
        <f>IFERROR(Tableau242[[#This Row],[Paid leave days WK]]-Tableau242[[#This Row],[Congé PXX]],"Matricule")</f>
        <v>0</v>
      </c>
      <c r="V343" s="63">
        <f>IFERROR(VLOOKUP($B343,#REF!,4,FALSE),0)</f>
        <v>0</v>
      </c>
      <c r="W34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43" s="63">
        <f>IF(AND(Tableau242[[#This Row],[Paid leave days]]&gt;0,Tableau242[[#This Row],[Prod. days]]&lt;0),MIN(Tableau242[[#This Row],[Paid leave days]],-Tableau242[[#This Row],[Prod. days]]),0)</f>
        <v>0</v>
      </c>
      <c r="Z343" s="63">
        <f>IFERROR(_xlfn.XLOOKUP(Tableau242[[#This Row],[Consultant]],Tableau2[Collaborateur/Nom affiché],Tableau2[Montant imputé],0),0)</f>
        <v>0</v>
      </c>
      <c r="AA343" s="64">
        <f t="shared" si="6"/>
        <v>0</v>
      </c>
      <c r="AB343" s="65"/>
      <c r="AC343" s="66"/>
      <c r="AD343" s="66"/>
      <c r="AE343" s="39"/>
      <c r="AF343" s="90"/>
    </row>
    <row r="344" spans="1:32">
      <c r="A344" s="15">
        <f>Tableau242[[#This Row],[Company number]]+0</f>
        <v>15799</v>
      </c>
      <c r="B344" s="60" t="s">
        <v>815</v>
      </c>
      <c r="C344" s="61" t="s">
        <v>816</v>
      </c>
      <c r="D344" s="61" t="s">
        <v>19</v>
      </c>
      <c r="E344" s="62" t="str">
        <f>IFERROR(VLOOKUP(Tableau242[[#This Row],[Manager ou CDM concerné]],Parametres!B:C,2,FALSE),"")</f>
        <v>Squad D</v>
      </c>
      <c r="F344" s="62" t="str">
        <f>IF(Tableau242[[#This Row],[Consultant]]=Tableau242[[#This Row],[Manager ou CDM concerné]],"Non",IF(IFERROR(VLOOKUP(Tableau242[[#This Row],[Consultant]],Parametres!B:C,2,FALSE),0)=0,"Non","Oui"))</f>
        <v>Non</v>
      </c>
      <c r="G344" s="62">
        <f>IFERROR(VLOOKUP(B344,Tableau5[#All],4,FALSE),"Matricule!")</f>
        <v>20</v>
      </c>
      <c r="H344" s="62" t="str">
        <f>IFERROR(VLOOKUP(Tableau242[[#This Row],[Company number]],#REF!,6,FALSE),"")</f>
        <v/>
      </c>
      <c r="I344" s="62">
        <f>IFERROR(VLOOKUP(B344,Tableau5[#All],5,FALSE),"Matricule!")</f>
        <v>0</v>
      </c>
      <c r="J344" s="62">
        <f>IFERROR(VLOOKUP(B344,Tableau5[#All],6,FALSE),"Matricule!")</f>
        <v>0</v>
      </c>
      <c r="K344" s="62">
        <f>IFERROR(VLOOKUP(B344,Tableau5[#All],7,FALSE),"Matricule!")</f>
        <v>0</v>
      </c>
      <c r="L344" s="62" t="e">
        <f>VLOOKUP(Tableau242[[#This Row],[Company number]],#REF!,25,FALSE)</f>
        <v>#REF!</v>
      </c>
      <c r="M344" s="62" t="str">
        <f>IFERROR(VLOOKUP(Tableau242[[#This Row],[Company number]],#REF!,30,FALSE),"")</f>
        <v/>
      </c>
      <c r="N344" s="62" t="str">
        <f>IFERROR(VLOOKUP(Tableau242[[#This Row],[Company number]],#REF!,31,FALSE),"")</f>
        <v/>
      </c>
      <c r="O344" s="62" t="str">
        <f>IFERROR(VLOOKUP(Tableau242[[#This Row],[Company number]],#REF!,32,FALSE),"")</f>
        <v/>
      </c>
      <c r="P344" s="62">
        <f>IFERROR(VLOOKUP(B344,Tableau3[#All],5,FALSE),"Matricule!")</f>
        <v>20</v>
      </c>
      <c r="Q344" s="62">
        <f>IFERROR(SUM(VLOOKUP(B344,Tableau3[#All],6,FALSE),VLOOKUP(B344,Tableau3[#All],8,FALSE)),"Matricule!")</f>
        <v>0</v>
      </c>
      <c r="R344" s="62">
        <f>IFERROR(VLOOKUP(B344,Tableau3[#All],7,FALSE),"Matricule!")</f>
        <v>0</v>
      </c>
      <c r="S344" s="62">
        <f>IFERROR(Tableau242[[#This Row],[Prod. days WK]]-Tableau242[[#This Row],[Prod PXX]],"Matricule")</f>
        <v>0</v>
      </c>
      <c r="T344" s="62">
        <f>IFERROR(Tableau242[[#This Row],[Non prod. days WK]]-Tableau242[[#This Row],[Improd PXX]],"Matricule")</f>
        <v>0</v>
      </c>
      <c r="U344" s="62">
        <f>IFERROR(Tableau242[[#This Row],[Paid leave days WK]]-Tableau242[[#This Row],[Congé PXX]],"Matricule")</f>
        <v>0</v>
      </c>
      <c r="V344" s="63">
        <f>IFERROR(VLOOKUP($B344,#REF!,4,FALSE),0)</f>
        <v>0</v>
      </c>
      <c r="W34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44" s="63">
        <f>IF(AND(Tableau242[[#This Row],[Paid leave days]]&gt;0,Tableau242[[#This Row],[Prod. days]]&lt;0),MIN(Tableau242[[#This Row],[Paid leave days]],-Tableau242[[#This Row],[Prod. days]]),0)</f>
        <v>0</v>
      </c>
      <c r="Z344" s="63">
        <f>IFERROR(_xlfn.XLOOKUP(Tableau242[[#This Row],[Consultant]],Tableau2[Collaborateur/Nom affiché],Tableau2[Montant imputé],0),0)</f>
        <v>0</v>
      </c>
      <c r="AA344" s="64">
        <f t="shared" si="6"/>
        <v>0</v>
      </c>
      <c r="AB344" s="65"/>
      <c r="AC344" s="66"/>
      <c r="AD344" s="66"/>
      <c r="AE344" s="105"/>
      <c r="AF344" s="90"/>
    </row>
    <row r="345" spans="1:32">
      <c r="A345" s="15">
        <f>Tableau242[[#This Row],[Company number]]+0</f>
        <v>18010</v>
      </c>
      <c r="B345" s="60" t="s">
        <v>817</v>
      </c>
      <c r="C345" s="61" t="s">
        <v>818</v>
      </c>
      <c r="D345" s="61" t="s">
        <v>19</v>
      </c>
      <c r="E345" s="62" t="str">
        <f>IFERROR(VLOOKUP(Tableau242[[#This Row],[Manager ou CDM concerné]],Parametres!B:C,2,FALSE),"")</f>
        <v>Squad D</v>
      </c>
      <c r="F345" s="62" t="str">
        <f>IF(Tableau242[[#This Row],[Consultant]]=Tableau242[[#This Row],[Manager ou CDM concerné]],"Non",IF(IFERROR(VLOOKUP(Tableau242[[#This Row],[Consultant]],Parametres!B:C,2,FALSE),0)=0,"Non","Oui"))</f>
        <v>Non</v>
      </c>
      <c r="G345" s="62">
        <f>IFERROR(VLOOKUP(B345,Tableau5[#All],4,FALSE),"Matricule!")</f>
        <v>15</v>
      </c>
      <c r="H345" s="62" t="str">
        <f>IFERROR(VLOOKUP(Tableau242[[#This Row],[Company number]],#REF!,6,FALSE),"")</f>
        <v/>
      </c>
      <c r="I345" s="62">
        <f>IFERROR(VLOOKUP(B345,Tableau5[#All],5,FALSE),"Matricule!")</f>
        <v>0</v>
      </c>
      <c r="J345" s="62">
        <f>IFERROR(VLOOKUP(B345,Tableau5[#All],6,FALSE),"Matricule!")</f>
        <v>5</v>
      </c>
      <c r="K345" s="62">
        <f>IFERROR(VLOOKUP(B345,Tableau5[#All],7,FALSE),"Matricule!")</f>
        <v>0</v>
      </c>
      <c r="L345" s="62" t="e">
        <f>VLOOKUP(Tableau242[[#This Row],[Company number]],#REF!,25,FALSE)</f>
        <v>#REF!</v>
      </c>
      <c r="M345" s="62" t="str">
        <f>IFERROR(VLOOKUP(Tableau242[[#This Row],[Company number]],#REF!,30,FALSE),"")</f>
        <v/>
      </c>
      <c r="N345" s="62" t="str">
        <f>IFERROR(VLOOKUP(Tableau242[[#This Row],[Company number]],#REF!,31,FALSE),"")</f>
        <v/>
      </c>
      <c r="O345" s="62" t="str">
        <f>IFERROR(VLOOKUP(Tableau242[[#This Row],[Company number]],#REF!,32,FALSE),"")</f>
        <v/>
      </c>
      <c r="P345" s="62">
        <f>IFERROR(VLOOKUP(B345,Tableau3[#All],5,FALSE),"Matricule!")</f>
        <v>15</v>
      </c>
      <c r="Q345" s="62">
        <f>IFERROR(SUM(VLOOKUP(B345,Tableau3[#All],6,FALSE),VLOOKUP(B345,Tableau3[#All],8,FALSE)),"Matricule!")</f>
        <v>0</v>
      </c>
      <c r="R345" s="62">
        <f>IFERROR(VLOOKUP(B345,Tableau3[#All],7,FALSE),"Matricule!")</f>
        <v>5</v>
      </c>
      <c r="S345" s="62">
        <f>IFERROR(Tableau242[[#This Row],[Prod. days WK]]-Tableau242[[#This Row],[Prod PXX]],"Matricule")</f>
        <v>0</v>
      </c>
      <c r="T345" s="62">
        <f>IFERROR(Tableau242[[#This Row],[Non prod. days WK]]-Tableau242[[#This Row],[Improd PXX]],"Matricule")</f>
        <v>0</v>
      </c>
      <c r="U345" s="62">
        <f>IFERROR(Tableau242[[#This Row],[Paid leave days WK]]-Tableau242[[#This Row],[Congé PXX]],"Matricule")</f>
        <v>0</v>
      </c>
      <c r="V345" s="63">
        <f>IFERROR(VLOOKUP($B345,#REF!,4,FALSE),0)</f>
        <v>0</v>
      </c>
      <c r="W34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45" s="63">
        <f>IF(AND(Tableau242[[#This Row],[Paid leave days]]&gt;0,Tableau242[[#This Row],[Prod. days]]&lt;0),MIN(Tableau242[[#This Row],[Paid leave days]],-Tableau242[[#This Row],[Prod. days]]),0)</f>
        <v>0</v>
      </c>
      <c r="Z345" s="63">
        <f>IFERROR(_xlfn.XLOOKUP(Tableau242[[#This Row],[Consultant]],Tableau2[Collaborateur/Nom affiché],Tableau2[Montant imputé],0),0)</f>
        <v>0</v>
      </c>
      <c r="AA345" s="64">
        <f t="shared" si="6"/>
        <v>0</v>
      </c>
      <c r="AB345" s="65"/>
      <c r="AC345" s="67"/>
      <c r="AD345" s="66"/>
      <c r="AE345" s="105"/>
      <c r="AF345" s="93"/>
    </row>
    <row r="346" spans="1:32">
      <c r="A346" s="15">
        <f>Tableau242[[#This Row],[Company number]]+0</f>
        <v>14892</v>
      </c>
      <c r="B346" s="60" t="s">
        <v>819</v>
      </c>
      <c r="C346" s="61" t="s">
        <v>820</v>
      </c>
      <c r="D346" s="61" t="s">
        <v>19</v>
      </c>
      <c r="E346" s="62" t="str">
        <f>IFERROR(VLOOKUP(Tableau242[[#This Row],[Manager ou CDM concerné]],Parametres!B:C,2,FALSE),"")</f>
        <v>Squad D</v>
      </c>
      <c r="F346" s="62" t="str">
        <f>IF(Tableau242[[#This Row],[Consultant]]=Tableau242[[#This Row],[Manager ou CDM concerné]],"Non",IF(IFERROR(VLOOKUP(Tableau242[[#This Row],[Consultant]],Parametres!B:C,2,FALSE),0)=0,"Non","Oui"))</f>
        <v>Non</v>
      </c>
      <c r="G346" s="62">
        <f>IFERROR(VLOOKUP(B346,Tableau5[#All],4,FALSE),"Matricule!")</f>
        <v>20</v>
      </c>
      <c r="H346" s="62" t="str">
        <f>IFERROR(VLOOKUP(Tableau242[[#This Row],[Company number]],#REF!,6,FALSE),"")</f>
        <v/>
      </c>
      <c r="I346" s="62">
        <f>IFERROR(VLOOKUP(B346,Tableau5[#All],5,FALSE),"Matricule!")</f>
        <v>0</v>
      </c>
      <c r="J346" s="62">
        <f>IFERROR(VLOOKUP(B346,Tableau5[#All],6,FALSE),"Matricule!")</f>
        <v>0</v>
      </c>
      <c r="K346" s="62">
        <f>IFERROR(VLOOKUP(B346,Tableau5[#All],7,FALSE),"Matricule!")</f>
        <v>0</v>
      </c>
      <c r="L346" s="62" t="e">
        <f>VLOOKUP(Tableau242[[#This Row],[Company number]],#REF!,25,FALSE)</f>
        <v>#REF!</v>
      </c>
      <c r="M346" s="62" t="str">
        <f>IFERROR(VLOOKUP(Tableau242[[#This Row],[Company number]],#REF!,30,FALSE),"")</f>
        <v/>
      </c>
      <c r="N346" s="62" t="str">
        <f>IFERROR(VLOOKUP(Tableau242[[#This Row],[Company number]],#REF!,31,FALSE),"")</f>
        <v/>
      </c>
      <c r="O346" s="62" t="str">
        <f>IFERROR(VLOOKUP(Tableau242[[#This Row],[Company number]],#REF!,32,FALSE),"")</f>
        <v/>
      </c>
      <c r="P346" s="62">
        <f>IFERROR(VLOOKUP(B346,Tableau3[#All],5,FALSE),"Matricule!")</f>
        <v>20</v>
      </c>
      <c r="Q346" s="62">
        <f>IFERROR(SUM(VLOOKUP(B346,Tableau3[#All],6,FALSE),VLOOKUP(B346,Tableau3[#All],8,FALSE)),"Matricule!")</f>
        <v>0</v>
      </c>
      <c r="R346" s="62">
        <f>IFERROR(VLOOKUP(B346,Tableau3[#All],7,FALSE),"Matricule!")</f>
        <v>0</v>
      </c>
      <c r="S346" s="62">
        <f>IFERROR(Tableau242[[#This Row],[Prod. days WK]]-Tableau242[[#This Row],[Prod PXX]],"Matricule")</f>
        <v>0</v>
      </c>
      <c r="T346" s="62">
        <f>IFERROR(Tableau242[[#This Row],[Non prod. days WK]]-Tableau242[[#This Row],[Improd PXX]],"Matricule")</f>
        <v>0</v>
      </c>
      <c r="U346" s="62">
        <f>IFERROR(Tableau242[[#This Row],[Paid leave days WK]]-Tableau242[[#This Row],[Congé PXX]],"Matricule")</f>
        <v>0</v>
      </c>
      <c r="V346" s="63">
        <f>IFERROR(VLOOKUP($B346,#REF!,4,FALSE),0)</f>
        <v>0</v>
      </c>
      <c r="W34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6" s="63" t="s">
        <v>235</v>
      </c>
      <c r="Y346" s="63">
        <f>IF(AND(Tableau242[[#This Row],[Paid leave days]]&gt;0,Tableau242[[#This Row],[Prod. days]]&lt;0),MIN(Tableau242[[#This Row],[Paid leave days]],-Tableau242[[#This Row],[Prod. days]]),0)</f>
        <v>0</v>
      </c>
      <c r="Z346" s="63">
        <f>IFERROR(_xlfn.XLOOKUP(Tableau242[[#This Row],[Consultant]],Tableau2[Collaborateur/Nom affiché],Tableau2[Montant imputé],0),0)</f>
        <v>0</v>
      </c>
      <c r="AA346" s="64">
        <f t="shared" si="6"/>
        <v>0</v>
      </c>
      <c r="AB346" s="65"/>
      <c r="AC346" s="66"/>
      <c r="AD346" s="66"/>
      <c r="AE346" s="105"/>
      <c r="AF346" s="90"/>
    </row>
    <row r="347" spans="1:32" ht="42.95">
      <c r="A347" s="15">
        <f>Tableau242[[#This Row],[Company number]]+0</f>
        <v>20991</v>
      </c>
      <c r="B347" s="60" t="s">
        <v>821</v>
      </c>
      <c r="C347" s="61" t="s">
        <v>822</v>
      </c>
      <c r="D347" s="61" t="s">
        <v>10</v>
      </c>
      <c r="E347" s="62" t="str">
        <f>IFERROR(VLOOKUP(Tableau242[[#This Row],[Manager ou CDM concerné]],Parametres!B:C,2,FALSE),"")</f>
        <v>Squad A</v>
      </c>
      <c r="F347" s="62" t="str">
        <f>IF(Tableau242[[#This Row],[Consultant]]=Tableau242[[#This Row],[Manager ou CDM concerné]],"Non",IF(IFERROR(VLOOKUP(Tableau242[[#This Row],[Consultant]],Parametres!B:C,2,FALSE),0)=0,"Non","Oui"))</f>
        <v>Non</v>
      </c>
      <c r="G347" s="62">
        <f>IFERROR(VLOOKUP(B347,Tableau5[#All],4,FALSE),"Matricule!")</f>
        <v>17.5</v>
      </c>
      <c r="H347" s="62" t="str">
        <f>IFERROR(VLOOKUP(Tableau242[[#This Row],[Company number]],#REF!,6,FALSE),"")</f>
        <v/>
      </c>
      <c r="I347" s="62">
        <f>IFERROR(VLOOKUP(B347,Tableau5[#All],5,FALSE),"Matricule!")</f>
        <v>1.5</v>
      </c>
      <c r="J347" s="62">
        <f>IFERROR(VLOOKUP(B347,Tableau5[#All],6,FALSE),"Matricule!")</f>
        <v>1</v>
      </c>
      <c r="K347" s="62">
        <f>IFERROR(VLOOKUP(B347,Tableau5[#All],7,FALSE),"Matricule!")</f>
        <v>0</v>
      </c>
      <c r="L347" s="62" t="e">
        <f>VLOOKUP(Tableau242[[#This Row],[Company number]],#REF!,25,FALSE)</f>
        <v>#REF!</v>
      </c>
      <c r="M347" s="62" t="str">
        <f>IFERROR(VLOOKUP(Tableau242[[#This Row],[Company number]],#REF!,30,FALSE),"")</f>
        <v/>
      </c>
      <c r="N347" s="62" t="str">
        <f>IFERROR(VLOOKUP(Tableau242[[#This Row],[Company number]],#REF!,31,FALSE),"")</f>
        <v/>
      </c>
      <c r="O347" s="62" t="str">
        <f>IFERROR(VLOOKUP(Tableau242[[#This Row],[Company number]],#REF!,32,FALSE),"")</f>
        <v/>
      </c>
      <c r="P347" s="62">
        <f>IFERROR(VLOOKUP(B347,Tableau3[#All],5,FALSE),"Matricule!")</f>
        <v>19</v>
      </c>
      <c r="Q347" s="62">
        <f>IFERROR(SUM(VLOOKUP(B347,Tableau3[#All],6,FALSE),VLOOKUP(B347,Tableau3[#All],8,FALSE)),"Matricule!")</f>
        <v>0</v>
      </c>
      <c r="R347" s="62">
        <f>IFERROR(VLOOKUP(B347,Tableau3[#All],7,FALSE),"Matricule!")</f>
        <v>1</v>
      </c>
      <c r="S347" s="62">
        <f>IFERROR(Tableau242[[#This Row],[Prod. days WK]]-Tableau242[[#This Row],[Prod PXX]],"Matricule")</f>
        <v>-1.5</v>
      </c>
      <c r="T347" s="62">
        <f>IFERROR(Tableau242[[#This Row],[Non prod. days WK]]-Tableau242[[#This Row],[Improd PXX]],"Matricule")</f>
        <v>1.5</v>
      </c>
      <c r="U347" s="62">
        <f>IFERROR(Tableau242[[#This Row],[Paid leave days WK]]-Tableau242[[#This Row],[Congé PXX]],"Matricule")</f>
        <v>0</v>
      </c>
      <c r="V347" s="63">
        <f>IFERROR(VLOOKUP($B347,#REF!,4,FALSE),0)</f>
        <v>0</v>
      </c>
      <c r="W34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47" s="63">
        <f>IF(AND(Tableau242[[#This Row],[Paid leave days]]&gt;0,Tableau242[[#This Row],[Prod. days]]&lt;0),MIN(Tableau242[[#This Row],[Paid leave days]],-Tableau242[[#This Row],[Prod. days]]),0)</f>
        <v>0</v>
      </c>
      <c r="Z347" s="63">
        <f>IFERROR(_xlfn.XLOOKUP(Tableau242[[#This Row],[Consultant]],Tableau2[Collaborateur/Nom affiché],Tableau2[Montant imputé],0),0)</f>
        <v>0</v>
      </c>
      <c r="AA347" s="64">
        <f t="shared" si="6"/>
        <v>-1.5</v>
      </c>
      <c r="AB347" s="65" t="s">
        <v>147</v>
      </c>
      <c r="AC347" s="66"/>
      <c r="AD347" s="66"/>
      <c r="AE347" s="105"/>
      <c r="AF347" s="90"/>
    </row>
    <row r="348" spans="1:32">
      <c r="A348" s="15">
        <f>Tableau242[[#This Row],[Company number]]+0</f>
        <v>22213</v>
      </c>
      <c r="B348" s="60" t="s">
        <v>823</v>
      </c>
      <c r="C348" s="61" t="s">
        <v>824</v>
      </c>
      <c r="D348" s="61" t="s">
        <v>2</v>
      </c>
      <c r="E348" s="62" t="str">
        <f>IFERROR(VLOOKUP(Tableau242[[#This Row],[Manager ou CDM concerné]],Parametres!B:C,2,FALSE),"")</f>
        <v>Squad H</v>
      </c>
      <c r="F348" s="62" t="str">
        <f>IF(Tableau242[[#This Row],[Consultant]]=Tableau242[[#This Row],[Manager ou CDM concerné]],"Non",IF(IFERROR(VLOOKUP(Tableau242[[#This Row],[Consultant]],Parametres!B:C,2,FALSE),0)=0,"Non","Oui"))</f>
        <v>Non</v>
      </c>
      <c r="G348" s="62">
        <f>IFERROR(VLOOKUP(B348,Tableau5[#All],4,FALSE),"Matricule!")</f>
        <v>19</v>
      </c>
      <c r="H348" s="62" t="str">
        <f>IFERROR(VLOOKUP(Tableau242[[#This Row],[Company number]],#REF!,6,FALSE),"")</f>
        <v/>
      </c>
      <c r="I348" s="62">
        <f>IFERROR(VLOOKUP(B348,Tableau5[#All],5,FALSE),"Matricule!")</f>
        <v>1</v>
      </c>
      <c r="J348" s="62">
        <f>IFERROR(VLOOKUP(B348,Tableau5[#All],6,FALSE),"Matricule!")</f>
        <v>0</v>
      </c>
      <c r="K348" s="62">
        <f>IFERROR(VLOOKUP(B348,Tableau5[#All],7,FALSE),"Matricule!")</f>
        <v>0</v>
      </c>
      <c r="L348" s="62" t="e">
        <f>VLOOKUP(Tableau242[[#This Row],[Company number]],#REF!,25,FALSE)</f>
        <v>#REF!</v>
      </c>
      <c r="M348" s="62" t="str">
        <f>IFERROR(VLOOKUP(Tableau242[[#This Row],[Company number]],#REF!,30,FALSE),"")</f>
        <v/>
      </c>
      <c r="N348" s="62" t="str">
        <f>IFERROR(VLOOKUP(Tableau242[[#This Row],[Company number]],#REF!,31,FALSE),"")</f>
        <v/>
      </c>
      <c r="O348" s="62" t="str">
        <f>IFERROR(VLOOKUP(Tableau242[[#This Row],[Company number]],#REF!,32,FALSE),"")</f>
        <v/>
      </c>
      <c r="P348" s="62">
        <f>IFERROR(VLOOKUP(B348,Tableau3[#All],5,FALSE),"Matricule!")</f>
        <v>20</v>
      </c>
      <c r="Q348" s="62">
        <f>IFERROR(SUM(VLOOKUP(B348,Tableau3[#All],6,FALSE),VLOOKUP(B348,Tableau3[#All],8,FALSE)),"Matricule!")</f>
        <v>0</v>
      </c>
      <c r="R348" s="62">
        <f>IFERROR(VLOOKUP(B348,Tableau3[#All],7,FALSE),"Matricule!")</f>
        <v>0</v>
      </c>
      <c r="S348" s="62">
        <f>IFERROR(Tableau242[[#This Row],[Prod. days WK]]-Tableau242[[#This Row],[Prod PXX]],"Matricule")</f>
        <v>-1</v>
      </c>
      <c r="T348" s="62">
        <f>IFERROR(Tableau242[[#This Row],[Non prod. days WK]]-Tableau242[[#This Row],[Improd PXX]],"Matricule")</f>
        <v>1</v>
      </c>
      <c r="U348" s="62">
        <f>IFERROR(Tableau242[[#This Row],[Paid leave days WK]]-Tableau242[[#This Row],[Congé PXX]],"Matricule")</f>
        <v>0</v>
      </c>
      <c r="V348" s="63">
        <f>IFERROR(VLOOKUP($B348,#REF!,4,FALSE),0)</f>
        <v>0</v>
      </c>
      <c r="W34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48" s="63">
        <f>IF(AND(Tableau242[[#This Row],[Paid leave days]]&gt;0,Tableau242[[#This Row],[Prod. days]]&lt;0),MIN(Tableau242[[#This Row],[Paid leave days]],-Tableau242[[#This Row],[Prod. days]]),0)</f>
        <v>0</v>
      </c>
      <c r="Z348" s="63">
        <f>IFERROR(_xlfn.XLOOKUP(Tableau242[[#This Row],[Consultant]],Tableau2[Collaborateur/Nom affiché],Tableau2[Montant imputé],0),0)</f>
        <v>0</v>
      </c>
      <c r="AA348" s="64">
        <f t="shared" si="6"/>
        <v>-1</v>
      </c>
      <c r="AB348" s="65" t="s">
        <v>147</v>
      </c>
      <c r="AC348" s="66"/>
      <c r="AD348" s="66"/>
      <c r="AE348" s="105"/>
      <c r="AF348" s="90"/>
    </row>
    <row r="349" spans="1:32">
      <c r="A349" s="15">
        <f>Tableau242[[#This Row],[Company number]]+0</f>
        <v>17802</v>
      </c>
      <c r="B349" s="60" t="s">
        <v>825</v>
      </c>
      <c r="C349" s="61" t="s">
        <v>826</v>
      </c>
      <c r="D349" s="61" t="s">
        <v>11</v>
      </c>
      <c r="E349" s="62" t="str">
        <f>IFERROR(VLOOKUP(Tableau242[[#This Row],[Manager ou CDM concerné]],Parametres!B:C,2,FALSE),"")</f>
        <v>Squad A</v>
      </c>
      <c r="F349" s="62" t="str">
        <f>IF(Tableau242[[#This Row],[Consultant]]=Tableau242[[#This Row],[Manager ou CDM concerné]],"Non",IF(IFERROR(VLOOKUP(Tableau242[[#This Row],[Consultant]],Parametres!B:C,2,FALSE),0)=0,"Non","Oui"))</f>
        <v>Non</v>
      </c>
      <c r="G349" s="62">
        <f>IFERROR(VLOOKUP(B349,Tableau5[#All],4,FALSE),"Matricule!")</f>
        <v>6</v>
      </c>
      <c r="H349" s="62" t="str">
        <f>IFERROR(VLOOKUP(Tableau242[[#This Row],[Company number]],#REF!,6,FALSE),"")</f>
        <v/>
      </c>
      <c r="I349" s="62">
        <f>IFERROR(VLOOKUP(B349,Tableau5[#All],5,FALSE),"Matricule!")</f>
        <v>13</v>
      </c>
      <c r="J349" s="62">
        <f>IFERROR(VLOOKUP(B349,Tableau5[#All],6,FALSE),"Matricule!")</f>
        <v>1</v>
      </c>
      <c r="K349" s="62">
        <f>IFERROR(VLOOKUP(B349,Tableau5[#All],7,FALSE),"Matricule!")</f>
        <v>0</v>
      </c>
      <c r="L349" s="62" t="e">
        <f>VLOOKUP(Tableau242[[#This Row],[Company number]],#REF!,25,FALSE)</f>
        <v>#REF!</v>
      </c>
      <c r="M349" s="62" t="str">
        <f>IFERROR(VLOOKUP(Tableau242[[#This Row],[Company number]],#REF!,30,FALSE),"")</f>
        <v/>
      </c>
      <c r="N349" s="62" t="str">
        <f>IFERROR(VLOOKUP(Tableau242[[#This Row],[Company number]],#REF!,31,FALSE),"")</f>
        <v/>
      </c>
      <c r="O349" s="62" t="str">
        <f>IFERROR(VLOOKUP(Tableau242[[#This Row],[Company number]],#REF!,32,FALSE),"")</f>
        <v/>
      </c>
      <c r="P349" s="62">
        <f>IFERROR(VLOOKUP(B349,Tableau3[#All],5,FALSE),"Matricule!")</f>
        <v>7</v>
      </c>
      <c r="Q349" s="62">
        <f>IFERROR(SUM(VLOOKUP(B349,Tableau3[#All],6,FALSE),VLOOKUP(B349,Tableau3[#All],8,FALSE)),"Matricule!")</f>
        <v>12</v>
      </c>
      <c r="R349" s="62">
        <f>IFERROR(VLOOKUP(B349,Tableau3[#All],7,FALSE),"Matricule!")</f>
        <v>1</v>
      </c>
      <c r="S349" s="62">
        <f>IFERROR(Tableau242[[#This Row],[Prod. days WK]]-Tableau242[[#This Row],[Prod PXX]],"Matricule")</f>
        <v>-1</v>
      </c>
      <c r="T349" s="62">
        <f>IFERROR(Tableau242[[#This Row],[Non prod. days WK]]-Tableau242[[#This Row],[Improd PXX]],"Matricule")</f>
        <v>1</v>
      </c>
      <c r="U349" s="62">
        <f>IFERROR(Tableau242[[#This Row],[Paid leave days WK]]-Tableau242[[#This Row],[Congé PXX]],"Matricule")</f>
        <v>0</v>
      </c>
      <c r="V349" s="63">
        <f>IFERROR(VLOOKUP($B349,#REF!,4,FALSE),0)</f>
        <v>0</v>
      </c>
      <c r="W34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4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49" s="63">
        <f>IF(AND(Tableau242[[#This Row],[Paid leave days]]&gt;0,Tableau242[[#This Row],[Prod. days]]&lt;0),MIN(Tableau242[[#This Row],[Paid leave days]],-Tableau242[[#This Row],[Prod. days]]),0)</f>
        <v>0</v>
      </c>
      <c r="Z349" s="63">
        <f>IFERROR(_xlfn.XLOOKUP(Tableau242[[#This Row],[Consultant]],Tableau2[Collaborateur/Nom affiché],Tableau2[Montant imputé],0),0)</f>
        <v>0</v>
      </c>
      <c r="AA349" s="64">
        <f t="shared" si="6"/>
        <v>-1</v>
      </c>
      <c r="AB349" s="65" t="s">
        <v>154</v>
      </c>
      <c r="AC349" s="66"/>
      <c r="AD349" s="66"/>
      <c r="AE349" s="39"/>
      <c r="AF349" s="90"/>
    </row>
    <row r="350" spans="1:32">
      <c r="A350" s="15">
        <f>Tableau242[[#This Row],[Company number]]+0</f>
        <v>18100</v>
      </c>
      <c r="B350" s="60" t="s">
        <v>827</v>
      </c>
      <c r="C350" s="61" t="s">
        <v>828</v>
      </c>
      <c r="D350" s="61" t="s">
        <v>19</v>
      </c>
      <c r="E350" s="62" t="str">
        <f>IFERROR(VLOOKUP(Tableau242[[#This Row],[Manager ou CDM concerné]],Parametres!B:C,2,FALSE),"")</f>
        <v>Squad D</v>
      </c>
      <c r="F350" s="62" t="str">
        <f>IF(Tableau242[[#This Row],[Consultant]]=Tableau242[[#This Row],[Manager ou CDM concerné]],"Non",IF(IFERROR(VLOOKUP(Tableau242[[#This Row],[Consultant]],Parametres!B:C,2,FALSE),0)=0,"Non","Oui"))</f>
        <v>Non</v>
      </c>
      <c r="G350" s="62">
        <f>IFERROR(VLOOKUP(B350,Tableau5[#All],4,FALSE),"Matricule!")</f>
        <v>19</v>
      </c>
      <c r="H350" s="62" t="str">
        <f>IFERROR(VLOOKUP(Tableau242[[#This Row],[Company number]],#REF!,6,FALSE),"")</f>
        <v/>
      </c>
      <c r="I350" s="62">
        <f>IFERROR(VLOOKUP(B350,Tableau5[#All],5,FALSE),"Matricule!")</f>
        <v>0</v>
      </c>
      <c r="J350" s="62">
        <f>IFERROR(VLOOKUP(B350,Tableau5[#All],6,FALSE),"Matricule!")</f>
        <v>1</v>
      </c>
      <c r="K350" s="62">
        <f>IFERROR(VLOOKUP(B350,Tableau5[#All],7,FALSE),"Matricule!")</f>
        <v>0</v>
      </c>
      <c r="L350" s="62" t="e">
        <f>VLOOKUP(Tableau242[[#This Row],[Company number]],#REF!,25,FALSE)</f>
        <v>#REF!</v>
      </c>
      <c r="M350" s="62" t="str">
        <f>IFERROR(VLOOKUP(Tableau242[[#This Row],[Company number]],#REF!,30,FALSE),"")</f>
        <v/>
      </c>
      <c r="N350" s="62" t="str">
        <f>IFERROR(VLOOKUP(Tableau242[[#This Row],[Company number]],#REF!,31,FALSE),"")</f>
        <v/>
      </c>
      <c r="O350" s="62" t="str">
        <f>IFERROR(VLOOKUP(Tableau242[[#This Row],[Company number]],#REF!,32,FALSE),"")</f>
        <v/>
      </c>
      <c r="P350" s="62">
        <f>IFERROR(VLOOKUP(B350,Tableau3[#All],5,FALSE),"Matricule!")</f>
        <v>19</v>
      </c>
      <c r="Q350" s="62">
        <f>IFERROR(SUM(VLOOKUP(B350,Tableau3[#All],6,FALSE),VLOOKUP(B350,Tableau3[#All],8,FALSE)),"Matricule!")</f>
        <v>0</v>
      </c>
      <c r="R350" s="62">
        <f>IFERROR(VLOOKUP(B350,Tableau3[#All],7,FALSE),"Matricule!")</f>
        <v>1</v>
      </c>
      <c r="S350" s="62">
        <f>IFERROR(Tableau242[[#This Row],[Prod. days WK]]-Tableau242[[#This Row],[Prod PXX]],"Matricule")</f>
        <v>0</v>
      </c>
      <c r="T350" s="62">
        <f>IFERROR(Tableau242[[#This Row],[Non prod. days WK]]-Tableau242[[#This Row],[Improd PXX]],"Matricule")</f>
        <v>0</v>
      </c>
      <c r="U350" s="62">
        <f>IFERROR(Tableau242[[#This Row],[Paid leave days WK]]-Tableau242[[#This Row],[Congé PXX]],"Matricule")</f>
        <v>0</v>
      </c>
      <c r="V350" s="63">
        <f>IFERROR(VLOOKUP($B350,#REF!,4,FALSE),0)</f>
        <v>0</v>
      </c>
      <c r="W35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50" s="63">
        <f>IF(AND(Tableau242[[#This Row],[Paid leave days]]&gt;0,Tableau242[[#This Row],[Prod. days]]&lt;0),MIN(Tableau242[[#This Row],[Paid leave days]],-Tableau242[[#This Row],[Prod. days]]),0)</f>
        <v>0</v>
      </c>
      <c r="Z350" s="63">
        <f>IFERROR(_xlfn.XLOOKUP(Tableau242[[#This Row],[Consultant]],Tableau2[Collaborateur/Nom affiché],Tableau2[Montant imputé],0),0)</f>
        <v>0</v>
      </c>
      <c r="AA350" s="64">
        <f t="shared" si="6"/>
        <v>0</v>
      </c>
      <c r="AB350" s="65"/>
      <c r="AC350" s="66"/>
      <c r="AD350" s="66"/>
      <c r="AE350" s="39"/>
      <c r="AF350" s="90"/>
    </row>
    <row r="351" spans="1:32" ht="29.1">
      <c r="A351" s="15">
        <f>Tableau242[[#This Row],[Company number]]+0</f>
        <v>12173</v>
      </c>
      <c r="B351" s="60" t="s">
        <v>829</v>
      </c>
      <c r="C351" s="61" t="s">
        <v>830</v>
      </c>
      <c r="D351" s="61" t="s">
        <v>12</v>
      </c>
      <c r="E351" s="62" t="str">
        <f>IFERROR(VLOOKUP(Tableau242[[#This Row],[Manager ou CDM concerné]],Parametres!B:C,2,FALSE),"")</f>
        <v>Squad B</v>
      </c>
      <c r="F351" s="62" t="str">
        <f>IF(Tableau242[[#This Row],[Consultant]]=Tableau242[[#This Row],[Manager ou CDM concerné]],"Non",IF(IFERROR(VLOOKUP(Tableau242[[#This Row],[Consultant]],Parametres!B:C,2,FALSE),0)=0,"Non","Oui"))</f>
        <v>Non</v>
      </c>
      <c r="G351" s="62">
        <f>IFERROR(VLOOKUP(B351,Tableau5[#All],4,FALSE),"Matricule!")</f>
        <v>15</v>
      </c>
      <c r="H351" s="62" t="str">
        <f>IFERROR(VLOOKUP(Tableau242[[#This Row],[Company number]],#REF!,6,FALSE),"")</f>
        <v/>
      </c>
      <c r="I351" s="62">
        <f>IFERROR(VLOOKUP(B351,Tableau5[#All],5,FALSE),"Matricule!")</f>
        <v>0</v>
      </c>
      <c r="J351" s="62">
        <f>IFERROR(VLOOKUP(B351,Tableau5[#All],6,FALSE),"Matricule!")</f>
        <v>5</v>
      </c>
      <c r="K351" s="62">
        <f>IFERROR(VLOOKUP(B351,Tableau5[#All],7,FALSE),"Matricule!")</f>
        <v>0</v>
      </c>
      <c r="L351" s="62" t="e">
        <f>VLOOKUP(Tableau242[[#This Row],[Company number]],#REF!,25,FALSE)</f>
        <v>#REF!</v>
      </c>
      <c r="M351" s="62" t="str">
        <f>IFERROR(VLOOKUP(Tableau242[[#This Row],[Company number]],#REF!,30,FALSE),"")</f>
        <v/>
      </c>
      <c r="N351" s="62" t="str">
        <f>IFERROR(VLOOKUP(Tableau242[[#This Row],[Company number]],#REF!,31,FALSE),"")</f>
        <v/>
      </c>
      <c r="O351" s="62" t="str">
        <f>IFERROR(VLOOKUP(Tableau242[[#This Row],[Company number]],#REF!,32,FALSE),"")</f>
        <v/>
      </c>
      <c r="P351" s="62">
        <f>IFERROR(VLOOKUP(B351,Tableau3[#All],5,FALSE),"Matricule!")</f>
        <v>15</v>
      </c>
      <c r="Q351" s="62">
        <f>IFERROR(SUM(VLOOKUP(B351,Tableau3[#All],6,FALSE),VLOOKUP(B351,Tableau3[#All],8,FALSE)),"Matricule!")</f>
        <v>0</v>
      </c>
      <c r="R351" s="62">
        <f>IFERROR(VLOOKUP(B351,Tableau3[#All],7,FALSE),"Matricule!")</f>
        <v>5</v>
      </c>
      <c r="S351" s="62">
        <f>IFERROR(Tableau242[[#This Row],[Prod. days WK]]-Tableau242[[#This Row],[Prod PXX]],"Matricule")</f>
        <v>0</v>
      </c>
      <c r="T351" s="62">
        <f>IFERROR(Tableau242[[#This Row],[Non prod. days WK]]-Tableau242[[#This Row],[Improd PXX]],"Matricule")</f>
        <v>0</v>
      </c>
      <c r="U351" s="62">
        <f>IFERROR(Tableau242[[#This Row],[Paid leave days WK]]-Tableau242[[#This Row],[Congé PXX]],"Matricule")</f>
        <v>0</v>
      </c>
      <c r="V351" s="63">
        <f>IFERROR(VLOOKUP($B351,#REF!,4,FALSE),0)</f>
        <v>0</v>
      </c>
      <c r="W35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51" s="63">
        <f>IF(AND(Tableau242[[#This Row],[Paid leave days]]&gt;0,Tableau242[[#This Row],[Prod. days]]&lt;0),MIN(Tableau242[[#This Row],[Paid leave days]],-Tableau242[[#This Row],[Prod. days]]),0)</f>
        <v>0</v>
      </c>
      <c r="Z351" s="63">
        <f>IFERROR(_xlfn.XLOOKUP(Tableau242[[#This Row],[Consultant]],Tableau2[Collaborateur/Nom affiché],Tableau2[Montant imputé],0),0)</f>
        <v>0</v>
      </c>
      <c r="AA351" s="64">
        <f t="shared" si="6"/>
        <v>0</v>
      </c>
      <c r="AB351" s="65"/>
      <c r="AC351" s="66"/>
      <c r="AD351" s="66"/>
      <c r="AE351" s="39"/>
      <c r="AF351" s="90"/>
    </row>
    <row r="352" spans="1:32">
      <c r="A352" s="15">
        <f>Tableau242[[#This Row],[Company number]]+0</f>
        <v>16710</v>
      </c>
      <c r="B352" s="60" t="s">
        <v>831</v>
      </c>
      <c r="C352" s="61" t="s">
        <v>832</v>
      </c>
      <c r="D352" s="61" t="s">
        <v>12</v>
      </c>
      <c r="E352" s="62" t="str">
        <f>IFERROR(VLOOKUP(Tableau242[[#This Row],[Manager ou CDM concerné]],Parametres!B:C,2,FALSE),"")</f>
        <v>Squad B</v>
      </c>
      <c r="F352" s="62" t="str">
        <f>IF(Tableau242[[#This Row],[Consultant]]=Tableau242[[#This Row],[Manager ou CDM concerné]],"Non",IF(IFERROR(VLOOKUP(Tableau242[[#This Row],[Consultant]],Parametres!B:C,2,FALSE),0)=0,"Non","Oui"))</f>
        <v>Non</v>
      </c>
      <c r="G352" s="62">
        <f>IFERROR(VLOOKUP(B352,Tableau5[#All],4,FALSE),"Matricule!")</f>
        <v>20</v>
      </c>
      <c r="H352" s="62" t="str">
        <f>IFERROR(VLOOKUP(Tableau242[[#This Row],[Company number]],#REF!,6,FALSE),"")</f>
        <v/>
      </c>
      <c r="I352" s="62">
        <f>IFERROR(VLOOKUP(B352,Tableau5[#All],5,FALSE),"Matricule!")</f>
        <v>0</v>
      </c>
      <c r="J352" s="62">
        <f>IFERROR(VLOOKUP(B352,Tableau5[#All],6,FALSE),"Matricule!")</f>
        <v>0</v>
      </c>
      <c r="K352" s="62">
        <f>IFERROR(VLOOKUP(B352,Tableau5[#All],7,FALSE),"Matricule!")</f>
        <v>0</v>
      </c>
      <c r="L352" s="62" t="e">
        <f>VLOOKUP(Tableau242[[#This Row],[Company number]],#REF!,25,FALSE)</f>
        <v>#REF!</v>
      </c>
      <c r="M352" s="62" t="str">
        <f>IFERROR(VLOOKUP(Tableau242[[#This Row],[Company number]],#REF!,30,FALSE),"")</f>
        <v/>
      </c>
      <c r="N352" s="62" t="str">
        <f>IFERROR(VLOOKUP(Tableau242[[#This Row],[Company number]],#REF!,31,FALSE),"")</f>
        <v/>
      </c>
      <c r="O352" s="62" t="str">
        <f>IFERROR(VLOOKUP(Tableau242[[#This Row],[Company number]],#REF!,32,FALSE),"")</f>
        <v/>
      </c>
      <c r="P352" s="62">
        <f>IFERROR(VLOOKUP(B352,Tableau3[#All],5,FALSE),"Matricule!")</f>
        <v>20</v>
      </c>
      <c r="Q352" s="62">
        <f>IFERROR(SUM(VLOOKUP(B352,Tableau3[#All],6,FALSE),VLOOKUP(B352,Tableau3[#All],8,FALSE)),"Matricule!")</f>
        <v>0</v>
      </c>
      <c r="R352" s="62">
        <f>IFERROR(VLOOKUP(B352,Tableau3[#All],7,FALSE),"Matricule!")</f>
        <v>0</v>
      </c>
      <c r="S352" s="62">
        <f>IFERROR(Tableau242[[#This Row],[Prod. days WK]]-Tableau242[[#This Row],[Prod PXX]],"Matricule")</f>
        <v>0</v>
      </c>
      <c r="T352" s="62">
        <f>IFERROR(Tableau242[[#This Row],[Non prod. days WK]]-Tableau242[[#This Row],[Improd PXX]],"Matricule")</f>
        <v>0</v>
      </c>
      <c r="U352" s="62">
        <f>IFERROR(Tableau242[[#This Row],[Paid leave days WK]]-Tableau242[[#This Row],[Congé PXX]],"Matricule")</f>
        <v>0</v>
      </c>
      <c r="V352" s="63">
        <f>IFERROR(VLOOKUP($B352,#REF!,4,FALSE),0)</f>
        <v>0</v>
      </c>
      <c r="W35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52" s="63">
        <f>IF(AND(Tableau242[[#This Row],[Paid leave days]]&gt;0,Tableau242[[#This Row],[Prod. days]]&lt;0),MIN(Tableau242[[#This Row],[Paid leave days]],-Tableau242[[#This Row],[Prod. days]]),0)</f>
        <v>0</v>
      </c>
      <c r="Z352" s="63">
        <f>IFERROR(_xlfn.XLOOKUP(Tableau242[[#This Row],[Consultant]],Tableau2[Collaborateur/Nom affiché],Tableau2[Montant imputé],0),0)</f>
        <v>0</v>
      </c>
      <c r="AA352" s="64">
        <f t="shared" si="6"/>
        <v>0</v>
      </c>
      <c r="AB352" s="78"/>
      <c r="AC352" s="67"/>
      <c r="AD352" s="67"/>
      <c r="AE352" s="106"/>
      <c r="AF352" s="92"/>
    </row>
    <row r="353" spans="1:32">
      <c r="A353" s="15">
        <f>Tableau242[[#This Row],[Company number]]+0</f>
        <v>20610</v>
      </c>
      <c r="B353" s="60" t="s">
        <v>833</v>
      </c>
      <c r="C353" s="61" t="s">
        <v>834</v>
      </c>
      <c r="D353" s="61" t="s">
        <v>52</v>
      </c>
      <c r="E353" s="62" t="str">
        <f>IFERROR(VLOOKUP(Tableau242[[#This Row],[Manager ou CDM concerné]],Parametres!B:C,2,FALSE),"")</f>
        <v>Squad E</v>
      </c>
      <c r="F353" s="62" t="str">
        <f>IF(Tableau242[[#This Row],[Consultant]]=Tableau242[[#This Row],[Manager ou CDM concerné]],"Non",IF(IFERROR(VLOOKUP(Tableau242[[#This Row],[Consultant]],Parametres!B:C,2,FALSE),0)=0,"Non","Oui"))</f>
        <v>Non</v>
      </c>
      <c r="G353" s="62">
        <f>IFERROR(VLOOKUP(B353,Tableau5[#All],4,FALSE),"Matricule!")</f>
        <v>19</v>
      </c>
      <c r="H353" s="62" t="str">
        <f>IFERROR(VLOOKUP(Tableau242[[#This Row],[Company number]],#REF!,6,FALSE),"")</f>
        <v/>
      </c>
      <c r="I353" s="62">
        <f>IFERROR(VLOOKUP(B353,Tableau5[#All],5,FALSE),"Matricule!")</f>
        <v>1</v>
      </c>
      <c r="J353" s="62">
        <f>IFERROR(VLOOKUP(B353,Tableau5[#All],6,FALSE),"Matricule!")</f>
        <v>0</v>
      </c>
      <c r="K353" s="62">
        <f>IFERROR(VLOOKUP(B353,Tableau5[#All],7,FALSE),"Matricule!")</f>
        <v>0</v>
      </c>
      <c r="L353" s="62" t="e">
        <f>VLOOKUP(Tableau242[[#This Row],[Company number]],#REF!,25,FALSE)</f>
        <v>#REF!</v>
      </c>
      <c r="M353" s="62" t="str">
        <f>IFERROR(VLOOKUP(Tableau242[[#This Row],[Company number]],#REF!,30,FALSE),"")</f>
        <v/>
      </c>
      <c r="N353" s="62" t="str">
        <f>IFERROR(VLOOKUP(Tableau242[[#This Row],[Company number]],#REF!,31,FALSE),"")</f>
        <v/>
      </c>
      <c r="O353" s="62" t="str">
        <f>IFERROR(VLOOKUP(Tableau242[[#This Row],[Company number]],#REF!,32,FALSE),"")</f>
        <v/>
      </c>
      <c r="P353" s="62">
        <f>IFERROR(VLOOKUP(B353,Tableau3[#All],5,FALSE),"Matricule!")</f>
        <v>20</v>
      </c>
      <c r="Q353" s="62">
        <f>IFERROR(SUM(VLOOKUP(B353,Tableau3[#All],6,FALSE),VLOOKUP(B353,Tableau3[#All],8,FALSE)),"Matricule!")</f>
        <v>0</v>
      </c>
      <c r="R353" s="62">
        <f>IFERROR(VLOOKUP(B353,Tableau3[#All],7,FALSE),"Matricule!")</f>
        <v>0</v>
      </c>
      <c r="S353" s="62">
        <f>IFERROR(Tableau242[[#This Row],[Prod. days WK]]-Tableau242[[#This Row],[Prod PXX]],"Matricule")</f>
        <v>-1</v>
      </c>
      <c r="T353" s="62">
        <f>IFERROR(Tableau242[[#This Row],[Non prod. days WK]]-Tableau242[[#This Row],[Improd PXX]],"Matricule")</f>
        <v>1</v>
      </c>
      <c r="U353" s="62">
        <f>IFERROR(Tableau242[[#This Row],[Paid leave days WK]]-Tableau242[[#This Row],[Congé PXX]],"Matricule")</f>
        <v>0</v>
      </c>
      <c r="V353" s="63">
        <f>IFERROR(VLOOKUP($B353,#REF!,4,FALSE),0)</f>
        <v>0</v>
      </c>
      <c r="W35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53" s="63">
        <f>IF(AND(Tableau242[[#This Row],[Paid leave days]]&gt;0,Tableau242[[#This Row],[Prod. days]]&lt;0),MIN(Tableau242[[#This Row],[Paid leave days]],-Tableau242[[#This Row],[Prod. days]]),0)</f>
        <v>0</v>
      </c>
      <c r="Z353" s="63">
        <f>IFERROR(_xlfn.XLOOKUP(Tableau242[[#This Row],[Consultant]],Tableau2[Collaborateur/Nom affiché],Tableau2[Montant imputé],0),0)</f>
        <v>0</v>
      </c>
      <c r="AA353" s="64">
        <f t="shared" si="6"/>
        <v>-1</v>
      </c>
      <c r="AB353" s="65" t="s">
        <v>154</v>
      </c>
      <c r="AC353" s="66"/>
      <c r="AD353" s="66"/>
      <c r="AE353" s="105"/>
      <c r="AF353" s="90"/>
    </row>
    <row r="354" spans="1:32">
      <c r="A354" s="15">
        <f>Tableau242[[#This Row],[Company number]]+0</f>
        <v>20680</v>
      </c>
      <c r="B354" s="60" t="s">
        <v>835</v>
      </c>
      <c r="C354" s="61" t="s">
        <v>836</v>
      </c>
      <c r="D354" s="61" t="s">
        <v>62</v>
      </c>
      <c r="E354" s="62" t="str">
        <f>IFERROR(VLOOKUP(Tableau242[[#This Row],[Manager ou CDM concerné]],Parametres!B:C,2,FALSE),"")</f>
        <v>Squad E</v>
      </c>
      <c r="F354" s="62" t="str">
        <f>IF(Tableau242[[#This Row],[Consultant]]=Tableau242[[#This Row],[Manager ou CDM concerné]],"Non",IF(IFERROR(VLOOKUP(Tableau242[[#This Row],[Consultant]],Parametres!B:C,2,FALSE),0)=0,"Non","Oui"))</f>
        <v>Non</v>
      </c>
      <c r="G354" s="62">
        <f>IFERROR(VLOOKUP(B354,Tableau5[#All],4,FALSE),"Matricule!")</f>
        <v>9</v>
      </c>
      <c r="H354" s="62" t="str">
        <f>IFERROR(VLOOKUP(Tableau242[[#This Row],[Company number]],#REF!,6,FALSE),"")</f>
        <v/>
      </c>
      <c r="I354" s="62">
        <f>IFERROR(VLOOKUP(B354,Tableau5[#All],5,FALSE),"Matricule!")</f>
        <v>11</v>
      </c>
      <c r="J354" s="62">
        <f>IFERROR(VLOOKUP(B354,Tableau5[#All],6,FALSE),"Matricule!")</f>
        <v>0</v>
      </c>
      <c r="K354" s="62">
        <f>IFERROR(VLOOKUP(B354,Tableau5[#All],7,FALSE),"Matricule!")</f>
        <v>0</v>
      </c>
      <c r="L354" s="62" t="e">
        <f>VLOOKUP(Tableau242[[#This Row],[Company number]],#REF!,25,FALSE)</f>
        <v>#REF!</v>
      </c>
      <c r="M354" s="62" t="str">
        <f>IFERROR(VLOOKUP(Tableau242[[#This Row],[Company number]],#REF!,30,FALSE),"")</f>
        <v/>
      </c>
      <c r="N354" s="62" t="str">
        <f>IFERROR(VLOOKUP(Tableau242[[#This Row],[Company number]],#REF!,31,FALSE),"")</f>
        <v/>
      </c>
      <c r="O354" s="62" t="str">
        <f>IFERROR(VLOOKUP(Tableau242[[#This Row],[Company number]],#REF!,32,FALSE),"")</f>
        <v/>
      </c>
      <c r="P354" s="68">
        <f>IFERROR(VLOOKUP(B354,Tableau3[#All],5,FALSE),"Matricule!")</f>
        <v>10</v>
      </c>
      <c r="Q354" s="68">
        <f>IFERROR(SUM(VLOOKUP(B354,Tableau3[#All],6,FALSE),VLOOKUP(B354,Tableau3[#All],8,FALSE)),"Matricule!")</f>
        <v>10</v>
      </c>
      <c r="R354" s="68">
        <f>IFERROR(VLOOKUP(B354,Tableau3[#All],7,FALSE),"Matricule!")</f>
        <v>0</v>
      </c>
      <c r="S354" s="62">
        <f>IFERROR(Tableau242[[#This Row],[Prod. days WK]]-Tableau242[[#This Row],[Prod PXX]],"Matricule")</f>
        <v>-1</v>
      </c>
      <c r="T354" s="62">
        <f>IFERROR(Tableau242[[#This Row],[Non prod. days WK]]-Tableau242[[#This Row],[Improd PXX]],"Matricule")</f>
        <v>1</v>
      </c>
      <c r="U354" s="62">
        <f>IFERROR(Tableau242[[#This Row],[Paid leave days WK]]-Tableau242[[#This Row],[Congé PXX]],"Matricule")</f>
        <v>0</v>
      </c>
      <c r="V354" s="63">
        <f>IFERROR(VLOOKUP($B354,#REF!,4,FALSE),0)</f>
        <v>0</v>
      </c>
      <c r="W35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54" s="63">
        <f>IF(AND(Tableau242[[#This Row],[Paid leave days]]&gt;0,Tableau242[[#This Row],[Prod. days]]&lt;0),MIN(Tableau242[[#This Row],[Paid leave days]],-Tableau242[[#This Row],[Prod. days]]),0)</f>
        <v>0</v>
      </c>
      <c r="Z354" s="63">
        <f>IFERROR(_xlfn.XLOOKUP(Tableau242[[#This Row],[Consultant]],Tableau2[Collaborateur/Nom affiché],Tableau2[Montant imputé],0),0)</f>
        <v>0</v>
      </c>
      <c r="AA354" s="64">
        <f t="shared" si="6"/>
        <v>-1</v>
      </c>
      <c r="AB354" s="65" t="s">
        <v>147</v>
      </c>
      <c r="AC354" s="66"/>
      <c r="AD354" s="66"/>
      <c r="AE354" s="105"/>
      <c r="AF354" s="90"/>
    </row>
    <row r="355" spans="1:32">
      <c r="A355" s="15">
        <f>Tableau242[[#This Row],[Company number]]+0</f>
        <v>17530</v>
      </c>
      <c r="B355" s="60" t="s">
        <v>837</v>
      </c>
      <c r="C355" s="61" t="s">
        <v>838</v>
      </c>
      <c r="D355" s="61" t="s">
        <v>12</v>
      </c>
      <c r="E355" s="62" t="str">
        <f>IFERROR(VLOOKUP(Tableau242[[#This Row],[Manager ou CDM concerné]],Parametres!B:C,2,FALSE),"")</f>
        <v>Squad B</v>
      </c>
      <c r="F355" s="62" t="str">
        <f>IF(Tableau242[[#This Row],[Consultant]]=Tableau242[[#This Row],[Manager ou CDM concerné]],"Non",IF(IFERROR(VLOOKUP(Tableau242[[#This Row],[Consultant]],Parametres!B:C,2,FALSE),0)=0,"Non","Oui"))</f>
        <v>Non</v>
      </c>
      <c r="G355" s="62">
        <f>IFERROR(VLOOKUP(B355,Tableau5[#All],4,FALSE),"Matricule!")</f>
        <v>14</v>
      </c>
      <c r="H355" s="62" t="str">
        <f>IFERROR(VLOOKUP(Tableau242[[#This Row],[Company number]],#REF!,6,FALSE),"")</f>
        <v/>
      </c>
      <c r="I355" s="62">
        <f>IFERROR(VLOOKUP(B355,Tableau5[#All],5,FALSE),"Matricule!")</f>
        <v>6</v>
      </c>
      <c r="J355" s="62">
        <f>IFERROR(VLOOKUP(B355,Tableau5[#All],6,FALSE),"Matricule!")</f>
        <v>0</v>
      </c>
      <c r="K355" s="62">
        <f>IFERROR(VLOOKUP(B355,Tableau5[#All],7,FALSE),"Matricule!")</f>
        <v>0</v>
      </c>
      <c r="L355" s="62" t="e">
        <f>VLOOKUP(Tableau242[[#This Row],[Company number]],#REF!,25,FALSE)</f>
        <v>#REF!</v>
      </c>
      <c r="M355" s="62" t="str">
        <f>IFERROR(VLOOKUP(Tableau242[[#This Row],[Company number]],#REF!,30,FALSE),"")</f>
        <v/>
      </c>
      <c r="N355" s="62" t="str">
        <f>IFERROR(VLOOKUP(Tableau242[[#This Row],[Company number]],#REF!,31,FALSE),"")</f>
        <v/>
      </c>
      <c r="O355" s="62" t="str">
        <f>IFERROR(VLOOKUP(Tableau242[[#This Row],[Company number]],#REF!,32,FALSE),"")</f>
        <v/>
      </c>
      <c r="P355" s="62">
        <f>IFERROR(VLOOKUP(B355,Tableau3[#All],5,FALSE),"Matricule!")</f>
        <v>14</v>
      </c>
      <c r="Q355" s="62">
        <f>IFERROR(SUM(VLOOKUP(B355,Tableau3[#All],6,FALSE),VLOOKUP(B355,Tableau3[#All],8,FALSE)),"Matricule!")</f>
        <v>6</v>
      </c>
      <c r="R355" s="62">
        <f>IFERROR(VLOOKUP(B355,Tableau3[#All],7,FALSE),"Matricule!")</f>
        <v>0</v>
      </c>
      <c r="S355" s="62">
        <f>IFERROR(Tableau242[[#This Row],[Prod. days WK]]-Tableau242[[#This Row],[Prod PXX]],"Matricule")</f>
        <v>0</v>
      </c>
      <c r="T355" s="62">
        <f>IFERROR(Tableau242[[#This Row],[Non prod. days WK]]-Tableau242[[#This Row],[Improd PXX]],"Matricule")</f>
        <v>0</v>
      </c>
      <c r="U355" s="62">
        <f>IFERROR(Tableau242[[#This Row],[Paid leave days WK]]-Tableau242[[#This Row],[Congé PXX]],"Matricule")</f>
        <v>0</v>
      </c>
      <c r="V355" s="63">
        <f>IFERROR(VLOOKUP($B355,#REF!,4,FALSE),0)</f>
        <v>0</v>
      </c>
      <c r="W35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355" s="63">
        <f>IF(AND(Tableau242[[#This Row],[Paid leave days]]&gt;0,Tableau242[[#This Row],[Prod. days]]&lt;0),MIN(Tableau242[[#This Row],[Paid leave days]],-Tableau242[[#This Row],[Prod. days]]),0)</f>
        <v>0</v>
      </c>
      <c r="Z355" s="63">
        <f>IFERROR(_xlfn.XLOOKUP(Tableau242[[#This Row],[Consultant]],Tableau2[Collaborateur/Nom affiché],Tableau2[Montant imputé],0),0)</f>
        <v>1</v>
      </c>
      <c r="AA355" s="64">
        <f t="shared" si="6"/>
        <v>1</v>
      </c>
      <c r="AB355" s="65"/>
      <c r="AC355" s="66"/>
      <c r="AD355" s="66"/>
      <c r="AE355" s="105"/>
      <c r="AF355" s="90"/>
    </row>
    <row r="356" spans="1:32" ht="14.45" customHeight="1">
      <c r="A356" s="15">
        <f>Tableau242[[#This Row],[Company number]]+0</f>
        <v>15688</v>
      </c>
      <c r="B356" s="60" t="s">
        <v>839</v>
      </c>
      <c r="C356" s="61" t="s">
        <v>840</v>
      </c>
      <c r="D356" s="61" t="s">
        <v>12</v>
      </c>
      <c r="E356" s="62" t="str">
        <f>IFERROR(VLOOKUP(Tableau242[[#This Row],[Manager ou CDM concerné]],Parametres!B:C,2,FALSE),"")</f>
        <v>Squad B</v>
      </c>
      <c r="F356" s="62" t="str">
        <f>IF(Tableau242[[#This Row],[Consultant]]=Tableau242[[#This Row],[Manager ou CDM concerné]],"Non",IF(IFERROR(VLOOKUP(Tableau242[[#This Row],[Consultant]],Parametres!B:C,2,FALSE),0)=0,"Non","Oui"))</f>
        <v>Non</v>
      </c>
      <c r="G356" s="62">
        <f>IFERROR(VLOOKUP(B356,Tableau5[#All],4,FALSE),"Matricule!")</f>
        <v>15</v>
      </c>
      <c r="H356" s="62" t="str">
        <f>IFERROR(VLOOKUP(Tableau242[[#This Row],[Company number]],#REF!,6,FALSE),"")</f>
        <v/>
      </c>
      <c r="I356" s="62">
        <f>IFERROR(VLOOKUP(B356,Tableau5[#All],5,FALSE),"Matricule!")</f>
        <v>0</v>
      </c>
      <c r="J356" s="62">
        <f>IFERROR(VLOOKUP(B356,Tableau5[#All],6,FALSE),"Matricule!")</f>
        <v>5</v>
      </c>
      <c r="K356" s="62">
        <f>IFERROR(VLOOKUP(B356,Tableau5[#All],7,FALSE),"Matricule!")</f>
        <v>0</v>
      </c>
      <c r="L356" s="62" t="e">
        <f>VLOOKUP(Tableau242[[#This Row],[Company number]],#REF!,25,FALSE)</f>
        <v>#REF!</v>
      </c>
      <c r="M356" s="62" t="str">
        <f>IFERROR(VLOOKUP(Tableau242[[#This Row],[Company number]],#REF!,30,FALSE),"")</f>
        <v/>
      </c>
      <c r="N356" s="62" t="str">
        <f>IFERROR(VLOOKUP(Tableau242[[#This Row],[Company number]],#REF!,31,FALSE),"")</f>
        <v/>
      </c>
      <c r="O356" s="62" t="str">
        <f>IFERROR(VLOOKUP(Tableau242[[#This Row],[Company number]],#REF!,32,FALSE),"")</f>
        <v/>
      </c>
      <c r="P356" s="62">
        <f>IFERROR(VLOOKUP(B356,Tableau3[#All],5,FALSE),"Matricule!")</f>
        <v>15</v>
      </c>
      <c r="Q356" s="62">
        <f>IFERROR(SUM(VLOOKUP(B356,Tableau3[#All],6,FALSE),VLOOKUP(B356,Tableau3[#All],8,FALSE)),"Matricule!")</f>
        <v>0</v>
      </c>
      <c r="R356" s="62">
        <f>IFERROR(VLOOKUP(B356,Tableau3[#All],7,FALSE),"Matricule!")</f>
        <v>5</v>
      </c>
      <c r="S356" s="62">
        <f>IFERROR(Tableau242[[#This Row],[Prod. days WK]]-Tableau242[[#This Row],[Prod PXX]],"Matricule")</f>
        <v>0</v>
      </c>
      <c r="T356" s="62">
        <f>IFERROR(Tableau242[[#This Row],[Non prod. days WK]]-Tableau242[[#This Row],[Improd PXX]],"Matricule")</f>
        <v>0</v>
      </c>
      <c r="U356" s="62">
        <f>IFERROR(Tableau242[[#This Row],[Paid leave days WK]]-Tableau242[[#This Row],[Congé PXX]],"Matricule")</f>
        <v>0</v>
      </c>
      <c r="V356" s="63">
        <f>IFERROR(VLOOKUP($B356,#REF!,4,FALSE),0)</f>
        <v>0</v>
      </c>
      <c r="W35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56" s="63">
        <f>IF(AND(Tableau242[[#This Row],[Paid leave days]]&gt;0,Tableau242[[#This Row],[Prod. days]]&lt;0),MIN(Tableau242[[#This Row],[Paid leave days]],-Tableau242[[#This Row],[Prod. days]]),0)</f>
        <v>0</v>
      </c>
      <c r="Z356" s="63">
        <f>IFERROR(_xlfn.XLOOKUP(Tableau242[[#This Row],[Consultant]],Tableau2[Collaborateur/Nom affiché],Tableau2[Montant imputé],0),0)</f>
        <v>0</v>
      </c>
      <c r="AA356" s="64">
        <f t="shared" si="6"/>
        <v>0</v>
      </c>
      <c r="AB356" s="65"/>
      <c r="AC356" s="67"/>
      <c r="AD356" s="66"/>
      <c r="AE356" s="105"/>
      <c r="AF356" s="93"/>
    </row>
    <row r="357" spans="1:32">
      <c r="A357" s="15">
        <f>Tableau242[[#This Row],[Company number]]+0</f>
        <v>14901</v>
      </c>
      <c r="B357" s="60" t="s">
        <v>841</v>
      </c>
      <c r="C357" s="61" t="s">
        <v>842</v>
      </c>
      <c r="D357" s="61" t="s">
        <v>12</v>
      </c>
      <c r="E357" s="62" t="str">
        <f>IFERROR(VLOOKUP(Tableau242[[#This Row],[Manager ou CDM concerné]],Parametres!B:C,2,FALSE),"")</f>
        <v>Squad B</v>
      </c>
      <c r="F357" s="62" t="str">
        <f>IF(Tableau242[[#This Row],[Consultant]]=Tableau242[[#This Row],[Manager ou CDM concerné]],"Non",IF(IFERROR(VLOOKUP(Tableau242[[#This Row],[Consultant]],Parametres!B:C,2,FALSE),0)=0,"Non","Oui"))</f>
        <v>Non</v>
      </c>
      <c r="G357" s="62">
        <f>IFERROR(VLOOKUP(B357,Tableau5[#All],4,FALSE),"Matricule!")</f>
        <v>19</v>
      </c>
      <c r="H357" s="62" t="str">
        <f>IFERROR(VLOOKUP(Tableau242[[#This Row],[Company number]],#REF!,6,FALSE),"")</f>
        <v/>
      </c>
      <c r="I357" s="62">
        <f>IFERROR(VLOOKUP(B357,Tableau5[#All],5,FALSE),"Matricule!")</f>
        <v>0</v>
      </c>
      <c r="J357" s="62">
        <f>IFERROR(VLOOKUP(B357,Tableau5[#All],6,FALSE),"Matricule!")</f>
        <v>1</v>
      </c>
      <c r="K357" s="62">
        <f>IFERROR(VLOOKUP(B357,Tableau5[#All],7,FALSE),"Matricule!")</f>
        <v>0</v>
      </c>
      <c r="L357" s="62" t="e">
        <f>VLOOKUP(Tableau242[[#This Row],[Company number]],#REF!,25,FALSE)</f>
        <v>#REF!</v>
      </c>
      <c r="M357" s="62" t="str">
        <f>IFERROR(VLOOKUP(Tableau242[[#This Row],[Company number]],#REF!,30,FALSE),"")</f>
        <v/>
      </c>
      <c r="N357" s="62" t="str">
        <f>IFERROR(VLOOKUP(Tableau242[[#This Row],[Company number]],#REF!,31,FALSE),"")</f>
        <v/>
      </c>
      <c r="O357" s="62" t="str">
        <f>IFERROR(VLOOKUP(Tableau242[[#This Row],[Company number]],#REF!,32,FALSE),"")</f>
        <v/>
      </c>
      <c r="P357" s="62">
        <f>IFERROR(VLOOKUP(B357,Tableau3[#All],5,FALSE),"Matricule!")</f>
        <v>19</v>
      </c>
      <c r="Q357" s="62">
        <f>IFERROR(SUM(VLOOKUP(B357,Tableau3[#All],6,FALSE),VLOOKUP(B357,Tableau3[#All],8,FALSE)),"Matricule!")</f>
        <v>0</v>
      </c>
      <c r="R357" s="62">
        <f>IFERROR(VLOOKUP(B357,Tableau3[#All],7,FALSE),"Matricule!")</f>
        <v>1</v>
      </c>
      <c r="S357" s="62">
        <f>IFERROR(Tableau242[[#This Row],[Prod. days WK]]-Tableau242[[#This Row],[Prod PXX]],"Matricule")</f>
        <v>0</v>
      </c>
      <c r="T357" s="62">
        <f>IFERROR(Tableau242[[#This Row],[Non prod. days WK]]-Tableau242[[#This Row],[Improd PXX]],"Matricule")</f>
        <v>0</v>
      </c>
      <c r="U357" s="62">
        <f>IFERROR(Tableau242[[#This Row],[Paid leave days WK]]-Tableau242[[#This Row],[Congé PXX]],"Matricule")</f>
        <v>0</v>
      </c>
      <c r="V357" s="63">
        <f>IFERROR(VLOOKUP($B357,#REF!,4,FALSE),0)</f>
        <v>0</v>
      </c>
      <c r="W35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57" s="63">
        <f>IF(AND(Tableau242[[#This Row],[Paid leave days]]&gt;0,Tableau242[[#This Row],[Prod. days]]&lt;0),MIN(Tableau242[[#This Row],[Paid leave days]],-Tableau242[[#This Row],[Prod. days]]),0)</f>
        <v>0</v>
      </c>
      <c r="Z357" s="63">
        <f>IFERROR(_xlfn.XLOOKUP(Tableau242[[#This Row],[Consultant]],Tableau2[Collaborateur/Nom affiché],Tableau2[Montant imputé],0),0)</f>
        <v>0</v>
      </c>
      <c r="AA357" s="64">
        <f t="shared" si="6"/>
        <v>0</v>
      </c>
      <c r="AB357" s="65"/>
      <c r="AC357" s="66"/>
      <c r="AD357" s="66"/>
      <c r="AE357" s="105"/>
      <c r="AF357" s="90"/>
    </row>
    <row r="358" spans="1:32">
      <c r="A358" s="15">
        <f>Tableau242[[#This Row],[Company number]]+0</f>
        <v>13146</v>
      </c>
      <c r="B358" s="60" t="s">
        <v>843</v>
      </c>
      <c r="C358" s="61" t="s">
        <v>844</v>
      </c>
      <c r="D358" s="61" t="s">
        <v>12</v>
      </c>
      <c r="E358" s="62" t="str">
        <f>IFERROR(VLOOKUP(Tableau242[[#This Row],[Manager ou CDM concerné]],Parametres!B:C,2,FALSE),"")</f>
        <v>Squad B</v>
      </c>
      <c r="F358" s="62" t="str">
        <f>IF(Tableau242[[#This Row],[Consultant]]=Tableau242[[#This Row],[Manager ou CDM concerné]],"Non",IF(IFERROR(VLOOKUP(Tableau242[[#This Row],[Consultant]],Parametres!B:C,2,FALSE),0)=0,"Non","Oui"))</f>
        <v>Non</v>
      </c>
      <c r="G358" s="62">
        <f>IFERROR(VLOOKUP(B358,Tableau5[#All],4,FALSE),"Matricule!")</f>
        <v>14</v>
      </c>
      <c r="H358" s="62" t="str">
        <f>IFERROR(VLOOKUP(Tableau242[[#This Row],[Company number]],#REF!,6,FALSE),"")</f>
        <v/>
      </c>
      <c r="I358" s="62">
        <f>IFERROR(VLOOKUP(B358,Tableau5[#All],5,FALSE),"Matricule!")</f>
        <v>6</v>
      </c>
      <c r="J358" s="62">
        <f>IFERROR(VLOOKUP(B358,Tableau5[#All],6,FALSE),"Matricule!")</f>
        <v>0</v>
      </c>
      <c r="K358" s="62">
        <f>IFERROR(VLOOKUP(B358,Tableau5[#All],7,FALSE),"Matricule!")</f>
        <v>0</v>
      </c>
      <c r="L358" s="62" t="e">
        <f>VLOOKUP(Tableau242[[#This Row],[Company number]],#REF!,25,FALSE)</f>
        <v>#REF!</v>
      </c>
      <c r="M358" s="62" t="str">
        <f>IFERROR(VLOOKUP(Tableau242[[#This Row],[Company number]],#REF!,30,FALSE),"")</f>
        <v/>
      </c>
      <c r="N358" s="62" t="str">
        <f>IFERROR(VLOOKUP(Tableau242[[#This Row],[Company number]],#REF!,31,FALSE),"")</f>
        <v/>
      </c>
      <c r="O358" s="62" t="str">
        <f>IFERROR(VLOOKUP(Tableau242[[#This Row],[Company number]],#REF!,32,FALSE),"")</f>
        <v/>
      </c>
      <c r="P358" s="62">
        <f>IFERROR(VLOOKUP(B358,Tableau3[#All],5,FALSE),"Matricule!")</f>
        <v>14</v>
      </c>
      <c r="Q358" s="62">
        <f>IFERROR(SUM(VLOOKUP(B358,Tableau3[#All],6,FALSE),VLOOKUP(B358,Tableau3[#All],8,FALSE)),"Matricule!")</f>
        <v>6</v>
      </c>
      <c r="R358" s="62">
        <f>IFERROR(VLOOKUP(B358,Tableau3[#All],7,FALSE),"Matricule!")</f>
        <v>0</v>
      </c>
      <c r="S358" s="62">
        <f>IFERROR(Tableau242[[#This Row],[Prod. days WK]]-Tableau242[[#This Row],[Prod PXX]],"Matricule")</f>
        <v>0</v>
      </c>
      <c r="T358" s="62">
        <f>IFERROR(Tableau242[[#This Row],[Non prod. days WK]]-Tableau242[[#This Row],[Improd PXX]],"Matricule")</f>
        <v>0</v>
      </c>
      <c r="U358" s="62">
        <f>IFERROR(Tableau242[[#This Row],[Paid leave days WK]]-Tableau242[[#This Row],[Congé PXX]],"Matricule")</f>
        <v>0</v>
      </c>
      <c r="V358" s="63">
        <f>IFERROR(VLOOKUP($B358,#REF!,4,FALSE),0)</f>
        <v>0</v>
      </c>
      <c r="W35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58" s="63">
        <f>IF(AND(Tableau242[[#This Row],[Paid leave days]]&gt;0,Tableau242[[#This Row],[Prod. days]]&lt;0),MIN(Tableau242[[#This Row],[Paid leave days]],-Tableau242[[#This Row],[Prod. days]]),0)</f>
        <v>0</v>
      </c>
      <c r="Z358" s="63">
        <f>IFERROR(_xlfn.XLOOKUP(Tableau242[[#This Row],[Consultant]],Tableau2[Collaborateur/Nom affiché],Tableau2[Montant imputé],0),0)</f>
        <v>0</v>
      </c>
      <c r="AA358" s="64">
        <f t="shared" si="6"/>
        <v>0</v>
      </c>
      <c r="AB358" s="65"/>
      <c r="AC358" s="66"/>
      <c r="AD358" s="66"/>
      <c r="AE358" s="105"/>
      <c r="AF358" s="90"/>
    </row>
    <row r="359" spans="1:32" ht="14.45" customHeight="1">
      <c r="A359" s="15">
        <f>Tableau242[[#This Row],[Company number]]+0</f>
        <v>14909</v>
      </c>
      <c r="B359" s="60" t="s">
        <v>845</v>
      </c>
      <c r="C359" s="61" t="s">
        <v>846</v>
      </c>
      <c r="D359" s="61" t="s">
        <v>12</v>
      </c>
      <c r="E359" s="62" t="str">
        <f>IFERROR(VLOOKUP(Tableau242[[#This Row],[Manager ou CDM concerné]],Parametres!B:C,2,FALSE),"")</f>
        <v>Squad B</v>
      </c>
      <c r="F359" s="62" t="str">
        <f>IF(Tableau242[[#This Row],[Consultant]]=Tableau242[[#This Row],[Manager ou CDM concerné]],"Non",IF(IFERROR(VLOOKUP(Tableau242[[#This Row],[Consultant]],Parametres!B:C,2,FALSE),0)=0,"Non","Oui"))</f>
        <v>Non</v>
      </c>
      <c r="G359" s="62">
        <f>IFERROR(VLOOKUP(B359,Tableau5[#All],4,FALSE),"Matricule!")</f>
        <v>19.5</v>
      </c>
      <c r="H359" s="62" t="str">
        <f>IFERROR(VLOOKUP(Tableau242[[#This Row],[Company number]],#REF!,6,FALSE),"")</f>
        <v/>
      </c>
      <c r="I359" s="62">
        <f>IFERROR(VLOOKUP(B359,Tableau5[#All],5,FALSE),"Matricule!")</f>
        <v>0</v>
      </c>
      <c r="J359" s="62">
        <f>IFERROR(VLOOKUP(B359,Tableau5[#All],6,FALSE),"Matricule!")</f>
        <v>0.5</v>
      </c>
      <c r="K359" s="62">
        <f>IFERROR(VLOOKUP(B359,Tableau5[#All],7,FALSE),"Matricule!")</f>
        <v>0</v>
      </c>
      <c r="L359" s="62" t="e">
        <f>VLOOKUP(Tableau242[[#This Row],[Company number]],#REF!,25,FALSE)</f>
        <v>#REF!</v>
      </c>
      <c r="M359" s="62" t="str">
        <f>IFERROR(VLOOKUP(Tableau242[[#This Row],[Company number]],#REF!,30,FALSE),"")</f>
        <v/>
      </c>
      <c r="N359" s="62" t="str">
        <f>IFERROR(VLOOKUP(Tableau242[[#This Row],[Company number]],#REF!,31,FALSE),"")</f>
        <v/>
      </c>
      <c r="O359" s="62" t="str">
        <f>IFERROR(VLOOKUP(Tableau242[[#This Row],[Company number]],#REF!,32,FALSE),"")</f>
        <v/>
      </c>
      <c r="P359" s="62">
        <f>IFERROR(VLOOKUP(B359,Tableau3[#All],5,FALSE),"Matricule!")</f>
        <v>19.5</v>
      </c>
      <c r="Q359" s="62">
        <f>IFERROR(SUM(VLOOKUP(B359,Tableau3[#All],6,FALSE),VLOOKUP(B359,Tableau3[#All],8,FALSE)),"Matricule!")</f>
        <v>0</v>
      </c>
      <c r="R359" s="62">
        <f>IFERROR(VLOOKUP(B359,Tableau3[#All],7,FALSE),"Matricule!")</f>
        <v>0.5</v>
      </c>
      <c r="S359" s="62">
        <f>IFERROR(Tableau242[[#This Row],[Prod. days WK]]-Tableau242[[#This Row],[Prod PXX]],"Matricule")</f>
        <v>0</v>
      </c>
      <c r="T359" s="62">
        <f>IFERROR(Tableau242[[#This Row],[Non prod. days WK]]-Tableau242[[#This Row],[Improd PXX]],"Matricule")</f>
        <v>0</v>
      </c>
      <c r="U359" s="62">
        <f>IFERROR(Tableau242[[#This Row],[Paid leave days WK]]-Tableau242[[#This Row],[Congé PXX]],"Matricule")</f>
        <v>0</v>
      </c>
      <c r="V359" s="63">
        <f>IFERROR(VLOOKUP($B359,#REF!,4,FALSE),0)</f>
        <v>0</v>
      </c>
      <c r="W35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5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59" s="63">
        <f>IF(AND(Tableau242[[#This Row],[Paid leave days]]&gt;0,Tableau242[[#This Row],[Prod. days]]&lt;0),MIN(Tableau242[[#This Row],[Paid leave days]],-Tableau242[[#This Row],[Prod. days]]),0)</f>
        <v>0</v>
      </c>
      <c r="Z359" s="63">
        <f>IFERROR(_xlfn.XLOOKUP(Tableau242[[#This Row],[Consultant]],Tableau2[Collaborateur/Nom affiché],Tableau2[Montant imputé],0),0)</f>
        <v>0</v>
      </c>
      <c r="AA359" s="64">
        <f t="shared" si="6"/>
        <v>0</v>
      </c>
      <c r="AB359" s="65"/>
      <c r="AC359" s="66"/>
      <c r="AD359" s="66"/>
      <c r="AE359" s="105"/>
      <c r="AF359" s="90"/>
    </row>
    <row r="360" spans="1:32">
      <c r="A360" s="15">
        <f>Tableau242[[#This Row],[Company number]]+0</f>
        <v>14539</v>
      </c>
      <c r="B360" s="60" t="s">
        <v>847</v>
      </c>
      <c r="C360" s="61" t="s">
        <v>848</v>
      </c>
      <c r="D360" s="61" t="s">
        <v>36</v>
      </c>
      <c r="E360" s="62" t="str">
        <f>IFERROR(VLOOKUP(Tableau242[[#This Row],[Manager ou CDM concerné]],Parametres!B:C,2,FALSE),"")</f>
        <v>Squad H</v>
      </c>
      <c r="F360" s="62" t="str">
        <f>IF(Tableau242[[#This Row],[Consultant]]=Tableau242[[#This Row],[Manager ou CDM concerné]],"Non",IF(IFERROR(VLOOKUP(Tableau242[[#This Row],[Consultant]],Parametres!B:C,2,FALSE),0)=0,"Non","Oui"))</f>
        <v>Non</v>
      </c>
      <c r="G360" s="62">
        <f>IFERROR(VLOOKUP(B360,Tableau5[#All],4,FALSE),"Matricule!")</f>
        <v>19</v>
      </c>
      <c r="H360" s="62" t="str">
        <f>IFERROR(VLOOKUP(Tableau242[[#This Row],[Company number]],#REF!,6,FALSE),"")</f>
        <v/>
      </c>
      <c r="I360" s="62">
        <f>IFERROR(VLOOKUP(B360,Tableau5[#All],5,FALSE),"Matricule!")</f>
        <v>1</v>
      </c>
      <c r="J360" s="62">
        <f>IFERROR(VLOOKUP(B360,Tableau5[#All],6,FALSE),"Matricule!")</f>
        <v>0</v>
      </c>
      <c r="K360" s="62">
        <f>IFERROR(VLOOKUP(B360,Tableau5[#All],7,FALSE),"Matricule!")</f>
        <v>0</v>
      </c>
      <c r="L360" s="62" t="e">
        <f>VLOOKUP(Tableau242[[#This Row],[Company number]],#REF!,25,FALSE)</f>
        <v>#REF!</v>
      </c>
      <c r="M360" s="62" t="str">
        <f>IFERROR(VLOOKUP(Tableau242[[#This Row],[Company number]],#REF!,30,FALSE),"")</f>
        <v/>
      </c>
      <c r="N360" s="62" t="str">
        <f>IFERROR(VLOOKUP(Tableau242[[#This Row],[Company number]],#REF!,31,FALSE),"")</f>
        <v/>
      </c>
      <c r="O360" s="62" t="str">
        <f>IFERROR(VLOOKUP(Tableau242[[#This Row],[Company number]],#REF!,32,FALSE),"")</f>
        <v/>
      </c>
      <c r="P360" s="62">
        <f>IFERROR(VLOOKUP(B360,Tableau3[#All],5,FALSE),"Matricule!")</f>
        <v>20</v>
      </c>
      <c r="Q360" s="62">
        <f>IFERROR(SUM(VLOOKUP(B360,Tableau3[#All],6,FALSE),VLOOKUP(B360,Tableau3[#All],8,FALSE)),"Matricule!")</f>
        <v>0</v>
      </c>
      <c r="R360" s="62">
        <f>IFERROR(VLOOKUP(B360,Tableau3[#All],7,FALSE),"Matricule!")</f>
        <v>0</v>
      </c>
      <c r="S360" s="62">
        <f>IFERROR(Tableau242[[#This Row],[Prod. days WK]]-Tableau242[[#This Row],[Prod PXX]],"Matricule")</f>
        <v>-1</v>
      </c>
      <c r="T360" s="62">
        <f>IFERROR(Tableau242[[#This Row],[Non prod. days WK]]-Tableau242[[#This Row],[Improd PXX]],"Matricule")</f>
        <v>1</v>
      </c>
      <c r="U360" s="62">
        <f>IFERROR(Tableau242[[#This Row],[Paid leave days WK]]-Tableau242[[#This Row],[Congé PXX]],"Matricule")</f>
        <v>0</v>
      </c>
      <c r="V360" s="63">
        <f>IFERROR(VLOOKUP($B360,#REF!,4,FALSE),0)</f>
        <v>0</v>
      </c>
      <c r="W36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0" s="79" t="s">
        <v>849</v>
      </c>
      <c r="Y360" s="63">
        <f>IF(AND(Tableau242[[#This Row],[Paid leave days]]&gt;0,Tableau242[[#This Row],[Prod. days]]&lt;0),MIN(Tableau242[[#This Row],[Paid leave days]],-Tableau242[[#This Row],[Prod. days]]),0)</f>
        <v>0</v>
      </c>
      <c r="Z360" s="63">
        <f>IFERROR(_xlfn.XLOOKUP(Tableau242[[#This Row],[Consultant]],Tableau2[Collaborateur/Nom affiché],Tableau2[Montant imputé],0),0)</f>
        <v>0</v>
      </c>
      <c r="AA360" s="64">
        <f t="shared" si="6"/>
        <v>-1</v>
      </c>
      <c r="AB360" s="65" t="s">
        <v>154</v>
      </c>
      <c r="AC360" s="66"/>
      <c r="AD360" s="66"/>
      <c r="AE360" s="39"/>
      <c r="AF360" s="98"/>
    </row>
    <row r="361" spans="1:32">
      <c r="A361" s="15">
        <f>Tableau242[[#This Row],[Company number]]+0</f>
        <v>11445</v>
      </c>
      <c r="B361" s="60" t="s">
        <v>850</v>
      </c>
      <c r="C361" s="61" t="s">
        <v>2</v>
      </c>
      <c r="D361" s="61" t="s">
        <v>36</v>
      </c>
      <c r="E361" s="62" t="str">
        <f>IFERROR(VLOOKUP(Tableau242[[#This Row],[Manager ou CDM concerné]],Parametres!B:C,2,FALSE),"")</f>
        <v>Squad H</v>
      </c>
      <c r="F361" s="62" t="str">
        <f>IF(Tableau242[[#This Row],[Consultant]]=Tableau242[[#This Row],[Manager ou CDM concerné]],"Non",IF(IFERROR(VLOOKUP(Tableau242[[#This Row],[Consultant]],Parametres!B:C,2,FALSE),0)=0,"Non","Oui"))</f>
        <v>Oui</v>
      </c>
      <c r="G361" s="62">
        <f>IFERROR(VLOOKUP(B361,Tableau5[#All],4,FALSE),"Matricule!")</f>
        <v>10</v>
      </c>
      <c r="H361" s="62" t="str">
        <f>IFERROR(VLOOKUP(Tableau242[[#This Row],[Company number]],#REF!,6,FALSE),"")</f>
        <v/>
      </c>
      <c r="I361" s="62">
        <f>IFERROR(VLOOKUP(B361,Tableau5[#All],5,FALSE),"Matricule!")</f>
        <v>9</v>
      </c>
      <c r="J361" s="62">
        <f>IFERROR(VLOOKUP(B361,Tableau5[#All],6,FALSE),"Matricule!")</f>
        <v>1</v>
      </c>
      <c r="K361" s="62">
        <f>IFERROR(VLOOKUP(B361,Tableau5[#All],7,FALSE),"Matricule!")</f>
        <v>0</v>
      </c>
      <c r="L361" s="62" t="e">
        <f>VLOOKUP(Tableau242[[#This Row],[Company number]],#REF!,25,FALSE)</f>
        <v>#REF!</v>
      </c>
      <c r="M361" s="62" t="str">
        <f>IFERROR(VLOOKUP(Tableau242[[#This Row],[Company number]],#REF!,30,FALSE),"")</f>
        <v/>
      </c>
      <c r="N361" s="62" t="str">
        <f>IFERROR(VLOOKUP(Tableau242[[#This Row],[Company number]],#REF!,31,FALSE),"")</f>
        <v/>
      </c>
      <c r="O361" s="62" t="str">
        <f>IFERROR(VLOOKUP(Tableau242[[#This Row],[Company number]],#REF!,32,FALSE),"")</f>
        <v/>
      </c>
      <c r="P361" s="62">
        <f>IFERROR(VLOOKUP(B361,Tableau3[#All],5,FALSE),"Matricule!")</f>
        <v>10</v>
      </c>
      <c r="Q361" s="62">
        <f>IFERROR(SUM(VLOOKUP(B361,Tableau3[#All],6,FALSE),VLOOKUP(B361,Tableau3[#All],8,FALSE)),"Matricule!")</f>
        <v>9</v>
      </c>
      <c r="R361" s="62">
        <f>IFERROR(VLOOKUP(B361,Tableau3[#All],7,FALSE),"Matricule!")</f>
        <v>1</v>
      </c>
      <c r="S361" s="62">
        <f>IFERROR(Tableau242[[#This Row],[Prod. days WK]]-Tableau242[[#This Row],[Prod PXX]],"Matricule")</f>
        <v>0</v>
      </c>
      <c r="T361" s="62">
        <f>IFERROR(Tableau242[[#This Row],[Non prod. days WK]]-Tableau242[[#This Row],[Improd PXX]],"Matricule")</f>
        <v>0</v>
      </c>
      <c r="U361" s="62">
        <f>IFERROR(Tableau242[[#This Row],[Paid leave days WK]]-Tableau242[[#This Row],[Congé PXX]],"Matricule")</f>
        <v>0</v>
      </c>
      <c r="V361" s="63">
        <f>IFERROR(VLOOKUP($B361,#REF!,4,FALSE),0)</f>
        <v>0</v>
      </c>
      <c r="W36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61" s="63">
        <f>IF(AND(Tableau242[[#This Row],[Paid leave days]]&gt;0,Tableau242[[#This Row],[Prod. days]]&lt;0),MIN(Tableau242[[#This Row],[Paid leave days]],-Tableau242[[#This Row],[Prod. days]]),0)</f>
        <v>0</v>
      </c>
      <c r="Z361" s="63">
        <f>IFERROR(_xlfn.XLOOKUP(Tableau242[[#This Row],[Consultant]],Tableau2[Collaborateur/Nom affiché],Tableau2[Montant imputé],0),0)</f>
        <v>0</v>
      </c>
      <c r="AA361" s="64">
        <f t="shared" si="6"/>
        <v>0</v>
      </c>
      <c r="AB361" s="65"/>
      <c r="AC361" s="66"/>
      <c r="AD361" s="66"/>
      <c r="AE361" s="105"/>
      <c r="AF361" s="90"/>
    </row>
    <row r="362" spans="1:32">
      <c r="A362" s="15">
        <f>Tableau242[[#This Row],[Company number]]+0</f>
        <v>13544</v>
      </c>
      <c r="B362" s="60" t="s">
        <v>851</v>
      </c>
      <c r="C362" s="61" t="s">
        <v>852</v>
      </c>
      <c r="D362" s="61" t="s">
        <v>36</v>
      </c>
      <c r="E362" s="62" t="str">
        <f>IFERROR(VLOOKUP(Tableau242[[#This Row],[Manager ou CDM concerné]],Parametres!B:C,2,FALSE),"")</f>
        <v>Squad H</v>
      </c>
      <c r="F362" s="62" t="str">
        <f>IF(Tableau242[[#This Row],[Consultant]]=Tableau242[[#This Row],[Manager ou CDM concerné]],"Non",IF(IFERROR(VLOOKUP(Tableau242[[#This Row],[Consultant]],Parametres!B:C,2,FALSE),0)=0,"Non","Oui"))</f>
        <v>Non</v>
      </c>
      <c r="G362" s="62">
        <f>IFERROR(VLOOKUP(B362,Tableau5[#All],4,FALSE),"Matricule!")</f>
        <v>20</v>
      </c>
      <c r="H362" s="62" t="str">
        <f>IFERROR(VLOOKUP(Tableau242[[#This Row],[Company number]],#REF!,6,FALSE),"")</f>
        <v/>
      </c>
      <c r="I362" s="62">
        <f>IFERROR(VLOOKUP(B362,Tableau5[#All],5,FALSE),"Matricule!")</f>
        <v>0</v>
      </c>
      <c r="J362" s="62">
        <f>IFERROR(VLOOKUP(B362,Tableau5[#All],6,FALSE),"Matricule!")</f>
        <v>0</v>
      </c>
      <c r="K362" s="62">
        <f>IFERROR(VLOOKUP(B362,Tableau5[#All],7,FALSE),"Matricule!")</f>
        <v>0</v>
      </c>
      <c r="L362" s="62" t="e">
        <f>VLOOKUP(Tableau242[[#This Row],[Company number]],#REF!,25,FALSE)</f>
        <v>#REF!</v>
      </c>
      <c r="M362" s="62" t="str">
        <f>IFERROR(VLOOKUP(Tableau242[[#This Row],[Company number]],#REF!,30,FALSE),"")</f>
        <v/>
      </c>
      <c r="N362" s="62" t="str">
        <f>IFERROR(VLOOKUP(Tableau242[[#This Row],[Company number]],#REF!,31,FALSE),"")</f>
        <v/>
      </c>
      <c r="O362" s="62" t="str">
        <f>IFERROR(VLOOKUP(Tableau242[[#This Row],[Company number]],#REF!,32,FALSE),"")</f>
        <v/>
      </c>
      <c r="P362" s="62">
        <f>IFERROR(VLOOKUP(B362,Tableau3[#All],5,FALSE),"Matricule!")</f>
        <v>20</v>
      </c>
      <c r="Q362" s="62">
        <f>IFERROR(SUM(VLOOKUP(B362,Tableau3[#All],6,FALSE),VLOOKUP(B362,Tableau3[#All],8,FALSE)),"Matricule!")</f>
        <v>0</v>
      </c>
      <c r="R362" s="62">
        <f>IFERROR(VLOOKUP(B362,Tableau3[#All],7,FALSE),"Matricule!")</f>
        <v>0</v>
      </c>
      <c r="S362" s="62">
        <f>IFERROR(Tableau242[[#This Row],[Prod. days WK]]-Tableau242[[#This Row],[Prod PXX]],"Matricule")</f>
        <v>0</v>
      </c>
      <c r="T362" s="62">
        <f>IFERROR(Tableau242[[#This Row],[Non prod. days WK]]-Tableau242[[#This Row],[Improd PXX]],"Matricule")</f>
        <v>0</v>
      </c>
      <c r="U362" s="62">
        <f>IFERROR(Tableau242[[#This Row],[Paid leave days WK]]-Tableau242[[#This Row],[Congé PXX]],"Matricule")</f>
        <v>0</v>
      </c>
      <c r="V362" s="63">
        <f>IFERROR(VLOOKUP($B362,#REF!,4,FALSE),0)</f>
        <v>0</v>
      </c>
      <c r="W36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62" s="63">
        <f>IF(AND(Tableau242[[#This Row],[Paid leave days]]&gt;0,Tableau242[[#This Row],[Prod. days]]&lt;0),MIN(Tableau242[[#This Row],[Paid leave days]],-Tableau242[[#This Row],[Prod. days]]),0)</f>
        <v>0</v>
      </c>
      <c r="Z362" s="63">
        <f>IFERROR(_xlfn.XLOOKUP(Tableau242[[#This Row],[Consultant]],Tableau2[Collaborateur/Nom affiché],Tableau2[Montant imputé],0),0)</f>
        <v>0</v>
      </c>
      <c r="AA362" s="64">
        <f t="shared" si="6"/>
        <v>0</v>
      </c>
      <c r="AB362" s="78"/>
      <c r="AC362" s="67"/>
      <c r="AD362" s="67"/>
      <c r="AE362" s="106"/>
      <c r="AF362" s="92"/>
    </row>
    <row r="363" spans="1:32">
      <c r="A363" s="15">
        <f>Tableau242[[#This Row],[Company number]]+0</f>
        <v>11376</v>
      </c>
      <c r="B363" s="60" t="s">
        <v>853</v>
      </c>
      <c r="C363" s="61" t="s">
        <v>854</v>
      </c>
      <c r="D363" s="61" t="s">
        <v>3</v>
      </c>
      <c r="E363" s="62" t="str">
        <f>IFERROR(VLOOKUP(Tableau242[[#This Row],[Manager ou CDM concerné]],Parametres!B:C,2,FALSE),"")</f>
        <v>Squad B</v>
      </c>
      <c r="F363" s="62" t="str">
        <f>IF(Tableau242[[#This Row],[Consultant]]=Tableau242[[#This Row],[Manager ou CDM concerné]],"Non",IF(IFERROR(VLOOKUP(Tableau242[[#This Row],[Consultant]],Parametres!B:C,2,FALSE),0)=0,"Non","Oui"))</f>
        <v>Non</v>
      </c>
      <c r="G363" s="62">
        <f>IFERROR(VLOOKUP(B363,Tableau5[#All],4,FALSE),"Matricule!")</f>
        <v>11</v>
      </c>
      <c r="H363" s="62" t="str">
        <f>IFERROR(VLOOKUP(Tableau242[[#This Row],[Company number]],#REF!,6,FALSE),"")</f>
        <v/>
      </c>
      <c r="I363" s="62">
        <f>IFERROR(VLOOKUP(B363,Tableau5[#All],5,FALSE),"Matricule!")</f>
        <v>8</v>
      </c>
      <c r="J363" s="62">
        <f>IFERROR(VLOOKUP(B363,Tableau5[#All],6,FALSE),"Matricule!")</f>
        <v>1</v>
      </c>
      <c r="K363" s="62">
        <f>IFERROR(VLOOKUP(B363,Tableau5[#All],7,FALSE),"Matricule!")</f>
        <v>0</v>
      </c>
      <c r="L363" s="62" t="e">
        <f>VLOOKUP(Tableau242[[#This Row],[Company number]],#REF!,25,FALSE)</f>
        <v>#REF!</v>
      </c>
      <c r="M363" s="62" t="str">
        <f>IFERROR(VLOOKUP(Tableau242[[#This Row],[Company number]],#REF!,30,FALSE),"")</f>
        <v/>
      </c>
      <c r="N363" s="62" t="str">
        <f>IFERROR(VLOOKUP(Tableau242[[#This Row],[Company number]],#REF!,31,FALSE),"")</f>
        <v/>
      </c>
      <c r="O363" s="62" t="str">
        <f>IFERROR(VLOOKUP(Tableau242[[#This Row],[Company number]],#REF!,32,FALSE),"")</f>
        <v/>
      </c>
      <c r="P363" s="62">
        <f>IFERROR(VLOOKUP(B363,Tableau3[#All],5,FALSE),"Matricule!")</f>
        <v>12</v>
      </c>
      <c r="Q363" s="62">
        <f>IFERROR(SUM(VLOOKUP(B363,Tableau3[#All],6,FALSE),VLOOKUP(B363,Tableau3[#All],8,FALSE)),"Matricule!")</f>
        <v>8</v>
      </c>
      <c r="R363" s="62">
        <f>IFERROR(VLOOKUP(B363,Tableau3[#All],7,FALSE),"Matricule!")</f>
        <v>0</v>
      </c>
      <c r="S363" s="62">
        <f>IFERROR(Tableau242[[#This Row],[Prod. days WK]]-Tableau242[[#This Row],[Prod PXX]],"Matricule")</f>
        <v>-1</v>
      </c>
      <c r="T363" s="62">
        <f>IFERROR(Tableau242[[#This Row],[Non prod. days WK]]-Tableau242[[#This Row],[Improd PXX]],"Matricule")</f>
        <v>0</v>
      </c>
      <c r="U363" s="62">
        <f>IFERROR(Tableau242[[#This Row],[Paid leave days WK]]-Tableau242[[#This Row],[Congé PXX]],"Matricule")</f>
        <v>1</v>
      </c>
      <c r="V363" s="63">
        <f>IFERROR(VLOOKUP($B363,#REF!,4,FALSE),0)</f>
        <v>0</v>
      </c>
      <c r="W36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63" s="63">
        <f>IF(AND(Tableau242[[#This Row],[Paid leave days]]&gt;0,Tableau242[[#This Row],[Prod. days]]&lt;0),MIN(Tableau242[[#This Row],[Paid leave days]],-Tableau242[[#This Row],[Prod. days]]),0)</f>
        <v>1</v>
      </c>
      <c r="Z363" s="63">
        <f>IFERROR(_xlfn.XLOOKUP(Tableau242[[#This Row],[Consultant]],Tableau2[Collaborateur/Nom affiché],Tableau2[Montant imputé],0),0)</f>
        <v>0</v>
      </c>
      <c r="AA363" s="64">
        <f t="shared" si="6"/>
        <v>-1</v>
      </c>
      <c r="AB363" s="65" t="s">
        <v>154</v>
      </c>
      <c r="AC363" s="66"/>
      <c r="AD363" s="66"/>
      <c r="AE363" s="105"/>
      <c r="AF363" s="90" t="s">
        <v>855</v>
      </c>
    </row>
    <row r="364" spans="1:32">
      <c r="A364" s="15">
        <f>Tableau242[[#This Row],[Company number]]+0</f>
        <v>13873</v>
      </c>
      <c r="B364" s="60" t="s">
        <v>856</v>
      </c>
      <c r="C364" s="61" t="s">
        <v>857</v>
      </c>
      <c r="D364" s="61" t="s">
        <v>36</v>
      </c>
      <c r="E364" s="62" t="str">
        <f>IFERROR(VLOOKUP(Tableau242[[#This Row],[Manager ou CDM concerné]],Parametres!B:C,2,FALSE),"")</f>
        <v>Squad H</v>
      </c>
      <c r="F364" s="62" t="str">
        <f>IF(Tableau242[[#This Row],[Consultant]]=Tableau242[[#This Row],[Manager ou CDM concerné]],"Non",IF(IFERROR(VLOOKUP(Tableau242[[#This Row],[Consultant]],Parametres!B:C,2,FALSE),0)=0,"Non","Oui"))</f>
        <v>Non</v>
      </c>
      <c r="G364" s="62">
        <f>IFERROR(VLOOKUP(B364,Tableau5[#All],4,FALSE),"Matricule!")</f>
        <v>0</v>
      </c>
      <c r="H364" s="62" t="str">
        <f>IFERROR(VLOOKUP(Tableau242[[#This Row],[Company number]],#REF!,6,FALSE),"")</f>
        <v/>
      </c>
      <c r="I364" s="62">
        <f>IFERROR(VLOOKUP(B364,Tableau5[#All],5,FALSE),"Matricule!")</f>
        <v>20</v>
      </c>
      <c r="J364" s="62">
        <f>IFERROR(VLOOKUP(B364,Tableau5[#All],6,FALSE),"Matricule!")</f>
        <v>0</v>
      </c>
      <c r="K364" s="62">
        <f>IFERROR(VLOOKUP(B364,Tableau5[#All],7,FALSE),"Matricule!")</f>
        <v>0</v>
      </c>
      <c r="L364" s="62" t="e">
        <f>VLOOKUP(Tableau242[[#This Row],[Company number]],#REF!,25,FALSE)</f>
        <v>#REF!</v>
      </c>
      <c r="M364" s="62" t="str">
        <f>IFERROR(VLOOKUP(Tableau242[[#This Row],[Company number]],#REF!,30,FALSE),"")</f>
        <v/>
      </c>
      <c r="N364" s="62" t="str">
        <f>IFERROR(VLOOKUP(Tableau242[[#This Row],[Company number]],#REF!,31,FALSE),"")</f>
        <v/>
      </c>
      <c r="O364" s="62" t="str">
        <f>IFERROR(VLOOKUP(Tableau242[[#This Row],[Company number]],#REF!,32,FALSE),"")</f>
        <v/>
      </c>
      <c r="P364" s="62">
        <f>IFERROR(VLOOKUP(B364,Tableau3[#All],5,FALSE),"Matricule!")</f>
        <v>0</v>
      </c>
      <c r="Q364" s="62">
        <f>IFERROR(SUM(VLOOKUP(B364,Tableau3[#All],6,FALSE),VLOOKUP(B364,Tableau3[#All],8,FALSE)),"Matricule!")</f>
        <v>20</v>
      </c>
      <c r="R364" s="62">
        <f>IFERROR(VLOOKUP(B364,Tableau3[#All],7,FALSE),"Matricule!")</f>
        <v>0</v>
      </c>
      <c r="S364" s="62">
        <f>IFERROR(Tableau242[[#This Row],[Prod. days WK]]-Tableau242[[#This Row],[Prod PXX]],"Matricule")</f>
        <v>0</v>
      </c>
      <c r="T364" s="62">
        <f>IFERROR(Tableau242[[#This Row],[Non prod. days WK]]-Tableau242[[#This Row],[Improd PXX]],"Matricule")</f>
        <v>0</v>
      </c>
      <c r="U364" s="62">
        <f>IFERROR(Tableau242[[#This Row],[Paid leave days WK]]-Tableau242[[#This Row],[Congé PXX]],"Matricule")</f>
        <v>0</v>
      </c>
      <c r="V364" s="63">
        <f>IFERROR(VLOOKUP($B364,#REF!,4,FALSE),0)</f>
        <v>0</v>
      </c>
      <c r="W36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64" s="63">
        <f>IF(AND(Tableau242[[#This Row],[Paid leave days]]&gt;0,Tableau242[[#This Row],[Prod. days]]&lt;0),MIN(Tableau242[[#This Row],[Paid leave days]],-Tableau242[[#This Row],[Prod. days]]),0)</f>
        <v>0</v>
      </c>
      <c r="Z364" s="63">
        <f>IFERROR(_xlfn.XLOOKUP(Tableau242[[#This Row],[Consultant]],Tableau2[Collaborateur/Nom affiché],Tableau2[Montant imputé],0),0)</f>
        <v>0</v>
      </c>
      <c r="AA364" s="64">
        <f t="shared" si="6"/>
        <v>0</v>
      </c>
      <c r="AB364" s="78"/>
      <c r="AC364" s="67"/>
      <c r="AD364" s="67"/>
      <c r="AE364" s="106"/>
      <c r="AF364" s="92"/>
    </row>
    <row r="365" spans="1:32">
      <c r="A365" s="15">
        <f>Tableau242[[#This Row],[Company number]]+0</f>
        <v>22233</v>
      </c>
      <c r="B365" s="60" t="s">
        <v>858</v>
      </c>
      <c r="C365" s="61" t="s">
        <v>859</v>
      </c>
      <c r="D365" s="61" t="s">
        <v>61</v>
      </c>
      <c r="E365" s="62" t="str">
        <f>IFERROR(VLOOKUP(Tableau242[[#This Row],[Manager ou CDM concerné]],Parametres!B:C,2,FALSE),"")</f>
        <v>Squad D</v>
      </c>
      <c r="F365" s="62" t="str">
        <f>IF(Tableau242[[#This Row],[Consultant]]=Tableau242[[#This Row],[Manager ou CDM concerné]],"Non",IF(IFERROR(VLOOKUP(Tableau242[[#This Row],[Consultant]],Parametres!B:C,2,FALSE),0)=0,"Non","Oui"))</f>
        <v>Non</v>
      </c>
      <c r="G365" s="62">
        <f>IFERROR(VLOOKUP(B365,Tableau5[#All],4,FALSE),"Matricule!")</f>
        <v>17</v>
      </c>
      <c r="H365" s="62" t="str">
        <f>IFERROR(VLOOKUP(Tableau242[[#This Row],[Company number]],#REF!,6,FALSE),"")</f>
        <v/>
      </c>
      <c r="I365" s="62">
        <f>IFERROR(VLOOKUP(B365,Tableau5[#All],5,FALSE),"Matricule!")</f>
        <v>1</v>
      </c>
      <c r="J365" s="62">
        <f>IFERROR(VLOOKUP(B365,Tableau5[#All],6,FALSE),"Matricule!")</f>
        <v>2</v>
      </c>
      <c r="K365" s="62">
        <f>IFERROR(VLOOKUP(B365,Tableau5[#All],7,FALSE),"Matricule!")</f>
        <v>0</v>
      </c>
      <c r="L365" s="62" t="e">
        <f>VLOOKUP(Tableau242[[#This Row],[Company number]],#REF!,25,FALSE)</f>
        <v>#REF!</v>
      </c>
      <c r="M365" s="62" t="str">
        <f>IFERROR(VLOOKUP(Tableau242[[#This Row],[Company number]],#REF!,30,FALSE),"")</f>
        <v/>
      </c>
      <c r="N365" s="62" t="str">
        <f>IFERROR(VLOOKUP(Tableau242[[#This Row],[Company number]],#REF!,31,FALSE),"")</f>
        <v/>
      </c>
      <c r="O365" s="62" t="str">
        <f>IFERROR(VLOOKUP(Tableau242[[#This Row],[Company number]],#REF!,32,FALSE),"")</f>
        <v/>
      </c>
      <c r="P365" s="62">
        <f>IFERROR(VLOOKUP(B365,Tableau3[#All],5,FALSE),"Matricule!")</f>
        <v>18</v>
      </c>
      <c r="Q365" s="62">
        <f>IFERROR(SUM(VLOOKUP(B365,Tableau3[#All],6,FALSE),VLOOKUP(B365,Tableau3[#All],8,FALSE)),"Matricule!")</f>
        <v>0</v>
      </c>
      <c r="R365" s="62">
        <f>IFERROR(VLOOKUP(B365,Tableau3[#All],7,FALSE),"Matricule!")</f>
        <v>2</v>
      </c>
      <c r="S365" s="62">
        <f>IFERROR(Tableau242[[#This Row],[Prod. days WK]]-Tableau242[[#This Row],[Prod PXX]],"Matricule")</f>
        <v>-1</v>
      </c>
      <c r="T365" s="62">
        <f>IFERROR(Tableau242[[#This Row],[Non prod. days WK]]-Tableau242[[#This Row],[Improd PXX]],"Matricule")</f>
        <v>1</v>
      </c>
      <c r="U365" s="62">
        <f>IFERROR(Tableau242[[#This Row],[Paid leave days WK]]-Tableau242[[#This Row],[Congé PXX]],"Matricule")</f>
        <v>0</v>
      </c>
      <c r="V365" s="63">
        <f>IFERROR(VLOOKUP($B365,#REF!,4,FALSE),0)</f>
        <v>0</v>
      </c>
      <c r="W36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65" s="63">
        <f>IF(AND(Tableau242[[#This Row],[Paid leave days]]&gt;0,Tableau242[[#This Row],[Prod. days]]&lt;0),MIN(Tableau242[[#This Row],[Paid leave days]],-Tableau242[[#This Row],[Prod. days]]),0)</f>
        <v>0</v>
      </c>
      <c r="Z365" s="63">
        <f>IFERROR(_xlfn.XLOOKUP(Tableau242[[#This Row],[Consultant]],Tableau2[Collaborateur/Nom affiché],Tableau2[Montant imputé],0),0)</f>
        <v>0</v>
      </c>
      <c r="AA365" s="64">
        <f t="shared" si="6"/>
        <v>-1</v>
      </c>
      <c r="AB365" s="65" t="s">
        <v>154</v>
      </c>
      <c r="AC365" s="67"/>
      <c r="AD365" s="67"/>
      <c r="AE365" s="106"/>
      <c r="AF365" s="90"/>
    </row>
    <row r="366" spans="1:32">
      <c r="A366" s="15">
        <f>Tableau242[[#This Row],[Company number]]+0</f>
        <v>12368</v>
      </c>
      <c r="B366" s="60" t="s">
        <v>860</v>
      </c>
      <c r="C366" s="61" t="s">
        <v>861</v>
      </c>
      <c r="D366" s="61" t="s">
        <v>36</v>
      </c>
      <c r="E366" s="62" t="str">
        <f>IFERROR(VLOOKUP(Tableau242[[#This Row],[Manager ou CDM concerné]],Parametres!B:C,2,FALSE),"")</f>
        <v>Squad H</v>
      </c>
      <c r="F366" s="62" t="str">
        <f>IF(Tableau242[[#This Row],[Consultant]]=Tableau242[[#This Row],[Manager ou CDM concerné]],"Non",IF(IFERROR(VLOOKUP(Tableau242[[#This Row],[Consultant]],Parametres!B:C,2,FALSE),0)=0,"Non","Oui"))</f>
        <v>Non</v>
      </c>
      <c r="G366" s="62">
        <f>IFERROR(VLOOKUP(B366,Tableau5[#All],4,FALSE),"Matricule!")</f>
        <v>19.5</v>
      </c>
      <c r="H366" s="62" t="str">
        <f>IFERROR(VLOOKUP(Tableau242[[#This Row],[Company number]],#REF!,6,FALSE),"")</f>
        <v/>
      </c>
      <c r="I366" s="62">
        <f>IFERROR(VLOOKUP(B366,Tableau5[#All],5,FALSE),"Matricule!")</f>
        <v>0</v>
      </c>
      <c r="J366" s="62">
        <f>IFERROR(VLOOKUP(B366,Tableau5[#All],6,FALSE),"Matricule!")</f>
        <v>0.5</v>
      </c>
      <c r="K366" s="62">
        <f>IFERROR(VLOOKUP(B366,Tableau5[#All],7,FALSE),"Matricule!")</f>
        <v>0</v>
      </c>
      <c r="L366" s="62" t="e">
        <f>VLOOKUP(Tableau242[[#This Row],[Company number]],#REF!,25,FALSE)</f>
        <v>#REF!</v>
      </c>
      <c r="M366" s="62" t="str">
        <f>IFERROR(VLOOKUP(Tableau242[[#This Row],[Company number]],#REF!,30,FALSE),"")</f>
        <v/>
      </c>
      <c r="N366" s="62" t="str">
        <f>IFERROR(VLOOKUP(Tableau242[[#This Row],[Company number]],#REF!,31,FALSE),"")</f>
        <v/>
      </c>
      <c r="O366" s="62" t="str">
        <f>IFERROR(VLOOKUP(Tableau242[[#This Row],[Company number]],#REF!,32,FALSE),"")</f>
        <v/>
      </c>
      <c r="P366" s="62">
        <f>IFERROR(VLOOKUP(B366,Tableau3[#All],5,FALSE),"Matricule!")</f>
        <v>19.5</v>
      </c>
      <c r="Q366" s="62">
        <f>IFERROR(SUM(VLOOKUP(B366,Tableau3[#All],6,FALSE),VLOOKUP(B366,Tableau3[#All],8,FALSE)),"Matricule!")</f>
        <v>0</v>
      </c>
      <c r="R366" s="62">
        <f>IFERROR(VLOOKUP(B366,Tableau3[#All],7,FALSE),"Matricule!")</f>
        <v>0.5</v>
      </c>
      <c r="S366" s="62">
        <f>IFERROR(Tableau242[[#This Row],[Prod. days WK]]-Tableau242[[#This Row],[Prod PXX]],"Matricule")</f>
        <v>0</v>
      </c>
      <c r="T366" s="62">
        <f>IFERROR(Tableau242[[#This Row],[Non prod. days WK]]-Tableau242[[#This Row],[Improd PXX]],"Matricule")</f>
        <v>0</v>
      </c>
      <c r="U366" s="62">
        <f>IFERROR(Tableau242[[#This Row],[Paid leave days WK]]-Tableau242[[#This Row],[Congé PXX]],"Matricule")</f>
        <v>0</v>
      </c>
      <c r="V366" s="63">
        <f>IFERROR(VLOOKUP($B366,#REF!,4,FALSE),0)</f>
        <v>0</v>
      </c>
      <c r="W36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66" s="63">
        <f>IF(AND(Tableau242[[#This Row],[Paid leave days]]&gt;0,Tableau242[[#This Row],[Prod. days]]&lt;0),MIN(Tableau242[[#This Row],[Paid leave days]],-Tableau242[[#This Row],[Prod. days]]),0)</f>
        <v>0</v>
      </c>
      <c r="Z366" s="63">
        <f>IFERROR(_xlfn.XLOOKUP(Tableau242[[#This Row],[Consultant]],Tableau2[Collaborateur/Nom affiché],Tableau2[Montant imputé],0),0)</f>
        <v>0</v>
      </c>
      <c r="AA366" s="64">
        <f t="shared" si="6"/>
        <v>0</v>
      </c>
      <c r="AB366" s="65"/>
      <c r="AC366" s="66"/>
      <c r="AD366" s="66"/>
      <c r="AE366" s="105"/>
      <c r="AF366" s="90"/>
    </row>
    <row r="367" spans="1:32">
      <c r="A367" s="15">
        <f>Tableau242[[#This Row],[Company number]]+0</f>
        <v>14602</v>
      </c>
      <c r="B367" s="60" t="s">
        <v>862</v>
      </c>
      <c r="C367" s="61" t="s">
        <v>863</v>
      </c>
      <c r="D367" s="61" t="s">
        <v>36</v>
      </c>
      <c r="E367" s="62" t="str">
        <f>IFERROR(VLOOKUP(Tableau242[[#This Row],[Manager ou CDM concerné]],Parametres!B:C,2,FALSE),"")</f>
        <v>Squad H</v>
      </c>
      <c r="F367" s="62" t="str">
        <f>IF(Tableau242[[#This Row],[Consultant]]=Tableau242[[#This Row],[Manager ou CDM concerné]],"Non",IF(IFERROR(VLOOKUP(Tableau242[[#This Row],[Consultant]],Parametres!B:C,2,FALSE),0)=0,"Non","Oui"))</f>
        <v>Oui</v>
      </c>
      <c r="G367" s="62">
        <f>IFERROR(VLOOKUP(B367,Tableau5[#All],4,FALSE),"Matricule!")</f>
        <v>20</v>
      </c>
      <c r="H367" s="62" t="str">
        <f>IFERROR(VLOOKUP(Tableau242[[#This Row],[Company number]],#REF!,6,FALSE),"")</f>
        <v/>
      </c>
      <c r="I367" s="62">
        <f>IFERROR(VLOOKUP(B367,Tableau5[#All],5,FALSE),"Matricule!")</f>
        <v>0</v>
      </c>
      <c r="J367" s="62">
        <f>IFERROR(VLOOKUP(B367,Tableau5[#All],6,FALSE),"Matricule!")</f>
        <v>0</v>
      </c>
      <c r="K367" s="62">
        <f>IFERROR(VLOOKUP(B367,Tableau5[#All],7,FALSE),"Matricule!")</f>
        <v>0</v>
      </c>
      <c r="L367" s="62" t="e">
        <f>VLOOKUP(Tableau242[[#This Row],[Company number]],#REF!,25,FALSE)</f>
        <v>#REF!</v>
      </c>
      <c r="M367" s="62" t="str">
        <f>IFERROR(VLOOKUP(Tableau242[[#This Row],[Company number]],#REF!,30,FALSE),"")</f>
        <v/>
      </c>
      <c r="N367" s="62" t="str">
        <f>IFERROR(VLOOKUP(Tableau242[[#This Row],[Company number]],#REF!,31,FALSE),"")</f>
        <v/>
      </c>
      <c r="O367" s="62" t="str">
        <f>IFERROR(VLOOKUP(Tableau242[[#This Row],[Company number]],#REF!,32,FALSE),"")</f>
        <v/>
      </c>
      <c r="P367" s="68">
        <f>IFERROR(VLOOKUP(B367,Tableau3[#All],5,FALSE),"Matricule!")</f>
        <v>20</v>
      </c>
      <c r="Q367" s="68">
        <f>IFERROR(SUM(VLOOKUP(B367,Tableau3[#All],6,FALSE),VLOOKUP(B367,Tableau3[#All],8,FALSE)),"Matricule!")</f>
        <v>0</v>
      </c>
      <c r="R367" s="68">
        <f>IFERROR(VLOOKUP(B367,Tableau3[#All],7,FALSE),"Matricule!")</f>
        <v>0</v>
      </c>
      <c r="S367" s="62">
        <f>IFERROR(Tableau242[[#This Row],[Prod. days WK]]-Tableau242[[#This Row],[Prod PXX]],"Matricule")</f>
        <v>0</v>
      </c>
      <c r="T367" s="62">
        <f>IFERROR(Tableau242[[#This Row],[Non prod. days WK]]-Tableau242[[#This Row],[Improd PXX]],"Matricule")</f>
        <v>0</v>
      </c>
      <c r="U367" s="62">
        <f>IFERROR(Tableau242[[#This Row],[Paid leave days WK]]-Tableau242[[#This Row],[Congé PXX]],"Matricule")</f>
        <v>0</v>
      </c>
      <c r="V367" s="63">
        <f>IFERROR(VLOOKUP($B367,#REF!,4,FALSE),0)</f>
        <v>0</v>
      </c>
      <c r="W36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67" s="63">
        <f>IF(AND(Tableau242[[#This Row],[Paid leave days]]&gt;0,Tableau242[[#This Row],[Prod. days]]&lt;0),MIN(Tableau242[[#This Row],[Paid leave days]],-Tableau242[[#This Row],[Prod. days]]),0)</f>
        <v>0</v>
      </c>
      <c r="Z367" s="63">
        <f>IFERROR(_xlfn.XLOOKUP(Tableau242[[#This Row],[Consultant]],Tableau2[Collaborateur/Nom affiché],Tableau2[Montant imputé],0),0)</f>
        <v>0</v>
      </c>
      <c r="AA367" s="64">
        <f t="shared" si="6"/>
        <v>0</v>
      </c>
      <c r="AB367" s="65"/>
      <c r="AC367" s="66"/>
      <c r="AD367" s="66"/>
      <c r="AE367" s="105"/>
      <c r="AF367" s="90"/>
    </row>
    <row r="368" spans="1:32">
      <c r="A368" s="15">
        <f>Tableau242[[#This Row],[Company number]]+0</f>
        <v>580</v>
      </c>
      <c r="B368" s="60" t="s">
        <v>864</v>
      </c>
      <c r="C368" s="61" t="s">
        <v>865</v>
      </c>
      <c r="D368" s="61" t="s">
        <v>43</v>
      </c>
      <c r="E368" s="62" t="str">
        <f>IFERROR(VLOOKUP(Tableau242[[#This Row],[Manager ou CDM concerné]],Parametres!B:C,2,FALSE),"")</f>
        <v>Squad C</v>
      </c>
      <c r="F368" s="62" t="str">
        <f>IF(Tableau242[[#This Row],[Consultant]]=Tableau242[[#This Row],[Manager ou CDM concerné]],"Non",IF(IFERROR(VLOOKUP(Tableau242[[#This Row],[Consultant]],Parametres!B:C,2,FALSE),0)=0,"Non","Oui"))</f>
        <v>Non</v>
      </c>
      <c r="G368" s="62">
        <f>IFERROR(VLOOKUP(B368,Tableau5[#All],4,FALSE),"Matricule!")</f>
        <v>19</v>
      </c>
      <c r="H368" s="62" t="str">
        <f>IFERROR(VLOOKUP(Tableau242[[#This Row],[Company number]],#REF!,6,FALSE),"")</f>
        <v/>
      </c>
      <c r="I368" s="62">
        <f>IFERROR(VLOOKUP(B368,Tableau5[#All],5,FALSE),"Matricule!")</f>
        <v>1</v>
      </c>
      <c r="J368" s="62">
        <f>IFERROR(VLOOKUP(B368,Tableau5[#All],6,FALSE),"Matricule!")</f>
        <v>0</v>
      </c>
      <c r="K368" s="62">
        <f>IFERROR(VLOOKUP(B368,Tableau5[#All],7,FALSE),"Matricule!")</f>
        <v>0</v>
      </c>
      <c r="L368" s="62" t="e">
        <f>VLOOKUP(Tableau242[[#This Row],[Company number]],#REF!,25,FALSE)</f>
        <v>#REF!</v>
      </c>
      <c r="M368" s="62" t="str">
        <f>IFERROR(VLOOKUP(Tableau242[[#This Row],[Company number]],#REF!,30,FALSE),"")</f>
        <v/>
      </c>
      <c r="N368" s="62" t="str">
        <f>IFERROR(VLOOKUP(Tableau242[[#This Row],[Company number]],#REF!,31,FALSE),"")</f>
        <v/>
      </c>
      <c r="O368" s="62" t="str">
        <f>IFERROR(VLOOKUP(Tableau242[[#This Row],[Company number]],#REF!,32,FALSE),"")</f>
        <v/>
      </c>
      <c r="P368" s="68">
        <f>IFERROR(VLOOKUP(B368,Tableau3[#All],5,FALSE),"Matricule!")</f>
        <v>20</v>
      </c>
      <c r="Q368" s="68">
        <f>IFERROR(SUM(VLOOKUP(B368,Tableau3[#All],6,FALSE),VLOOKUP(B368,Tableau3[#All],8,FALSE)),"Matricule!")</f>
        <v>0</v>
      </c>
      <c r="R368" s="68">
        <f>IFERROR(VLOOKUP(B368,Tableau3[#All],7,FALSE),"Matricule!")</f>
        <v>0</v>
      </c>
      <c r="S368" s="62">
        <f>IFERROR(Tableau242[[#This Row],[Prod. days WK]]-Tableau242[[#This Row],[Prod PXX]],"Matricule")</f>
        <v>-1</v>
      </c>
      <c r="T368" s="62">
        <f>IFERROR(Tableau242[[#This Row],[Non prod. days WK]]-Tableau242[[#This Row],[Improd PXX]],"Matricule")</f>
        <v>1</v>
      </c>
      <c r="U368" s="62">
        <f>IFERROR(Tableau242[[#This Row],[Paid leave days WK]]-Tableau242[[#This Row],[Congé PXX]],"Matricule")</f>
        <v>0</v>
      </c>
      <c r="V368" s="63">
        <f>IFERROR(VLOOKUP($B368,#REF!,4,FALSE),0)</f>
        <v>0</v>
      </c>
      <c r="W36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68" s="63">
        <f>IF(AND(Tableau242[[#This Row],[Paid leave days]]&gt;0,Tableau242[[#This Row],[Prod. days]]&lt;0),MIN(Tableau242[[#This Row],[Paid leave days]],-Tableau242[[#This Row],[Prod. days]]),0)</f>
        <v>0</v>
      </c>
      <c r="Z368" s="63">
        <f>IFERROR(_xlfn.XLOOKUP(Tableau242[[#This Row],[Consultant]],Tableau2[Collaborateur/Nom affiché],Tableau2[Montant imputé],0),0)</f>
        <v>0</v>
      </c>
      <c r="AA368" s="64">
        <f t="shared" si="6"/>
        <v>-1</v>
      </c>
      <c r="AB368" s="65" t="s">
        <v>147</v>
      </c>
      <c r="AC368" s="66"/>
      <c r="AD368" s="66"/>
      <c r="AE368" s="105"/>
      <c r="AF368" s="90"/>
    </row>
    <row r="369" spans="1:32">
      <c r="A369" s="15">
        <f>Tableau242[[#This Row],[Company number]]+0</f>
        <v>8135</v>
      </c>
      <c r="B369" s="60" t="s">
        <v>866</v>
      </c>
      <c r="C369" s="61" t="s">
        <v>867</v>
      </c>
      <c r="D369" s="61" t="s">
        <v>34</v>
      </c>
      <c r="E369" s="62" t="str">
        <f>IFERROR(VLOOKUP(Tableau242[[#This Row],[Manager ou CDM concerné]],Parametres!B:C,2,FALSE),"")</f>
        <v>Squad D</v>
      </c>
      <c r="F369" s="62" t="str">
        <f>IF(Tableau242[[#This Row],[Consultant]]=Tableau242[[#This Row],[Manager ou CDM concerné]],"Non",IF(IFERROR(VLOOKUP(Tableau242[[#This Row],[Consultant]],Parametres!B:C,2,FALSE),0)=0,"Non","Oui"))</f>
        <v>Non</v>
      </c>
      <c r="G369" s="62">
        <f>IFERROR(VLOOKUP(B369,Tableau5[#All],4,FALSE),"Matricule!")</f>
        <v>19.5</v>
      </c>
      <c r="H369" s="62" t="str">
        <f>IFERROR(VLOOKUP(Tableau242[[#This Row],[Company number]],#REF!,6,FALSE),"")</f>
        <v/>
      </c>
      <c r="I369" s="62">
        <f>IFERROR(VLOOKUP(B369,Tableau5[#All],5,FALSE),"Matricule!")</f>
        <v>0</v>
      </c>
      <c r="J369" s="62">
        <f>IFERROR(VLOOKUP(B369,Tableau5[#All],6,FALSE),"Matricule!")</f>
        <v>0.5</v>
      </c>
      <c r="K369" s="62">
        <f>IFERROR(VLOOKUP(B369,Tableau5[#All],7,FALSE),"Matricule!")</f>
        <v>0</v>
      </c>
      <c r="L369" s="62" t="e">
        <f>VLOOKUP(Tableau242[[#This Row],[Company number]],#REF!,25,FALSE)</f>
        <v>#REF!</v>
      </c>
      <c r="M369" s="62" t="str">
        <f>IFERROR(VLOOKUP(Tableau242[[#This Row],[Company number]],#REF!,30,FALSE),"")</f>
        <v/>
      </c>
      <c r="N369" s="62" t="str">
        <f>IFERROR(VLOOKUP(Tableau242[[#This Row],[Company number]],#REF!,31,FALSE),"")</f>
        <v/>
      </c>
      <c r="O369" s="62" t="str">
        <f>IFERROR(VLOOKUP(Tableau242[[#This Row],[Company number]],#REF!,32,FALSE),"")</f>
        <v/>
      </c>
      <c r="P369" s="62">
        <f>IFERROR(VLOOKUP(B369,Tableau3[#All],5,FALSE),"Matricule!")</f>
        <v>20</v>
      </c>
      <c r="Q369" s="62">
        <f>IFERROR(SUM(VLOOKUP(B369,Tableau3[#All],6,FALSE),VLOOKUP(B369,Tableau3[#All],8,FALSE)),"Matricule!")</f>
        <v>0</v>
      </c>
      <c r="R369" s="62">
        <f>IFERROR(VLOOKUP(B369,Tableau3[#All],7,FALSE),"Matricule!")</f>
        <v>0</v>
      </c>
      <c r="S369" s="62">
        <f>IFERROR(Tableau242[[#This Row],[Prod. days WK]]-Tableau242[[#This Row],[Prod PXX]],"Matricule")</f>
        <v>-0.5</v>
      </c>
      <c r="T369" s="62">
        <f>IFERROR(Tableau242[[#This Row],[Non prod. days WK]]-Tableau242[[#This Row],[Improd PXX]],"Matricule")</f>
        <v>0</v>
      </c>
      <c r="U369" s="62">
        <f>IFERROR(Tableau242[[#This Row],[Paid leave days WK]]-Tableau242[[#This Row],[Congé PXX]],"Matricule")</f>
        <v>0.5</v>
      </c>
      <c r="V369" s="63">
        <f>IFERROR(VLOOKUP($B369,#REF!,4,FALSE),0)</f>
        <v>0</v>
      </c>
      <c r="W36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6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69" s="63">
        <f>IF(AND(Tableau242[[#This Row],[Paid leave days]]&gt;0,Tableau242[[#This Row],[Prod. days]]&lt;0),MIN(Tableau242[[#This Row],[Paid leave days]],-Tableau242[[#This Row],[Prod. days]]),0)</f>
        <v>0.5</v>
      </c>
      <c r="Z369" s="63">
        <f>IFERROR(_xlfn.XLOOKUP(Tableau242[[#This Row],[Consultant]],Tableau2[Collaborateur/Nom affiché],Tableau2[Montant imputé],0),0)</f>
        <v>0</v>
      </c>
      <c r="AA369" s="64">
        <f t="shared" si="6"/>
        <v>-0.5</v>
      </c>
      <c r="AB369" s="65"/>
      <c r="AC369" s="66"/>
      <c r="AD369" s="66"/>
      <c r="AE369" s="105"/>
      <c r="AF369" s="90"/>
    </row>
    <row r="370" spans="1:32">
      <c r="A370" s="15">
        <f>Tableau242[[#This Row],[Company number]]+0</f>
        <v>12043</v>
      </c>
      <c r="B370" s="60" t="s">
        <v>868</v>
      </c>
      <c r="C370" s="61" t="s">
        <v>47</v>
      </c>
      <c r="D370" s="61" t="s">
        <v>34</v>
      </c>
      <c r="E370" s="62" t="str">
        <f>IFERROR(VLOOKUP(Tableau242[[#This Row],[Manager ou CDM concerné]],Parametres!B:C,2,FALSE),"")</f>
        <v>Squad D</v>
      </c>
      <c r="F370" s="62" t="str">
        <f>IF(Tableau242[[#This Row],[Consultant]]=Tableau242[[#This Row],[Manager ou CDM concerné]],"Non",IF(IFERROR(VLOOKUP(Tableau242[[#This Row],[Consultant]],Parametres!B:C,2,FALSE),0)=0,"Non","Oui"))</f>
        <v>Oui</v>
      </c>
      <c r="G370" s="62">
        <f>IFERROR(VLOOKUP(B370,Tableau5[#All],4,FALSE),"Matricule!")</f>
        <v>16.5</v>
      </c>
      <c r="H370" s="62" t="str">
        <f>IFERROR(VLOOKUP(Tableau242[[#This Row],[Company number]],#REF!,6,FALSE),"")</f>
        <v/>
      </c>
      <c r="I370" s="62">
        <f>IFERROR(VLOOKUP(B370,Tableau5[#All],5,FALSE),"Matricule!")</f>
        <v>3</v>
      </c>
      <c r="J370" s="62">
        <f>IFERROR(VLOOKUP(B370,Tableau5[#All],6,FALSE),"Matricule!")</f>
        <v>0.5</v>
      </c>
      <c r="K370" s="62">
        <f>IFERROR(VLOOKUP(B370,Tableau5[#All],7,FALSE),"Matricule!")</f>
        <v>0</v>
      </c>
      <c r="L370" s="62" t="e">
        <f>VLOOKUP(Tableau242[[#This Row],[Company number]],#REF!,25,FALSE)</f>
        <v>#REF!</v>
      </c>
      <c r="M370" s="62" t="str">
        <f>IFERROR(VLOOKUP(Tableau242[[#This Row],[Company number]],#REF!,30,FALSE),"")</f>
        <v/>
      </c>
      <c r="N370" s="62" t="str">
        <f>IFERROR(VLOOKUP(Tableau242[[#This Row],[Company number]],#REF!,31,FALSE),"")</f>
        <v/>
      </c>
      <c r="O370" s="62" t="str">
        <f>IFERROR(VLOOKUP(Tableau242[[#This Row],[Company number]],#REF!,32,FALSE),"")</f>
        <v/>
      </c>
      <c r="P370" s="62">
        <f>IFERROR(VLOOKUP(B370,Tableau3[#All],5,FALSE),"Matricule!")</f>
        <v>15</v>
      </c>
      <c r="Q370" s="62">
        <f>IFERROR(SUM(VLOOKUP(B370,Tableau3[#All],6,FALSE),VLOOKUP(B370,Tableau3[#All],8,FALSE)),"Matricule!")</f>
        <v>4.5</v>
      </c>
      <c r="R370" s="62">
        <f>IFERROR(VLOOKUP(B370,Tableau3[#All],7,FALSE),"Matricule!")</f>
        <v>0.5</v>
      </c>
      <c r="S370" s="62">
        <f>IFERROR(Tableau242[[#This Row],[Prod. days WK]]-Tableau242[[#This Row],[Prod PXX]],"Matricule")</f>
        <v>1.5</v>
      </c>
      <c r="T370" s="62">
        <f>IFERROR(Tableau242[[#This Row],[Non prod. days WK]]-Tableau242[[#This Row],[Improd PXX]],"Matricule")</f>
        <v>-1.5</v>
      </c>
      <c r="U370" s="62">
        <f>IFERROR(Tableau242[[#This Row],[Paid leave days WK]]-Tableau242[[#This Row],[Congé PXX]],"Matricule")</f>
        <v>0</v>
      </c>
      <c r="V370" s="63">
        <f>IFERROR(VLOOKUP($B370,#REF!,4,FALSE),0)</f>
        <v>0</v>
      </c>
      <c r="W37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70" s="63">
        <f>IF(AND(Tableau242[[#This Row],[Paid leave days]]&gt;0,Tableau242[[#This Row],[Prod. days]]&lt;0),MIN(Tableau242[[#This Row],[Paid leave days]],-Tableau242[[#This Row],[Prod. days]]),0)</f>
        <v>0</v>
      </c>
      <c r="Z370" s="63">
        <f>IFERROR(_xlfn.XLOOKUP(Tableau242[[#This Row],[Consultant]],Tableau2[Collaborateur/Nom affiché],Tableau2[Montant imputé],0),0)</f>
        <v>0</v>
      </c>
      <c r="AA370" s="64">
        <f t="shared" si="6"/>
        <v>1.5</v>
      </c>
      <c r="AB370" s="65"/>
      <c r="AC370" s="66"/>
      <c r="AD370" s="66"/>
      <c r="AE370" s="39"/>
      <c r="AF370" s="90"/>
    </row>
    <row r="371" spans="1:32">
      <c r="A371" s="15">
        <f>Tableau242[[#This Row],[Company number]]+0</f>
        <v>21925</v>
      </c>
      <c r="B371" s="60" t="s">
        <v>869</v>
      </c>
      <c r="C371" s="61" t="s">
        <v>870</v>
      </c>
      <c r="D371" s="61" t="s">
        <v>34</v>
      </c>
      <c r="E371" s="62" t="str">
        <f>IFERROR(VLOOKUP(Tableau242[[#This Row],[Manager ou CDM concerné]],Parametres!B:C,2,FALSE),"")</f>
        <v>Squad D</v>
      </c>
      <c r="F371" s="62" t="str">
        <f>IF(Tableau242[[#This Row],[Consultant]]=Tableau242[[#This Row],[Manager ou CDM concerné]],"Non",IF(IFERROR(VLOOKUP(Tableau242[[#This Row],[Consultant]],Parametres!B:C,2,FALSE),0)=0,"Non","Oui"))</f>
        <v>Non</v>
      </c>
      <c r="G371" s="62">
        <f>IFERROR(VLOOKUP(B371,Tableau5[#All],4,FALSE),"Matricule!")</f>
        <v>20</v>
      </c>
      <c r="H371" s="62" t="str">
        <f>IFERROR(VLOOKUP(Tableau242[[#This Row],[Company number]],#REF!,6,FALSE),"")</f>
        <v/>
      </c>
      <c r="I371" s="62">
        <f>IFERROR(VLOOKUP(B371,Tableau5[#All],5,FALSE),"Matricule!")</f>
        <v>0</v>
      </c>
      <c r="J371" s="62">
        <f>IFERROR(VLOOKUP(B371,Tableau5[#All],6,FALSE),"Matricule!")</f>
        <v>0</v>
      </c>
      <c r="K371" s="62">
        <f>IFERROR(VLOOKUP(B371,Tableau5[#All],7,FALSE),"Matricule!")</f>
        <v>0</v>
      </c>
      <c r="L371" s="62" t="e">
        <f>VLOOKUP(Tableau242[[#This Row],[Company number]],#REF!,25,FALSE)</f>
        <v>#REF!</v>
      </c>
      <c r="M371" s="62" t="str">
        <f>IFERROR(VLOOKUP(Tableau242[[#This Row],[Company number]],#REF!,30,FALSE),"")</f>
        <v/>
      </c>
      <c r="N371" s="62" t="str">
        <f>IFERROR(VLOOKUP(Tableau242[[#This Row],[Company number]],#REF!,31,FALSE),"")</f>
        <v/>
      </c>
      <c r="O371" s="62" t="str">
        <f>IFERROR(VLOOKUP(Tableau242[[#This Row],[Company number]],#REF!,32,FALSE),"")</f>
        <v/>
      </c>
      <c r="P371" s="62">
        <f>IFERROR(VLOOKUP(B371,Tableau3[#All],5,FALSE),"Matricule!")</f>
        <v>20</v>
      </c>
      <c r="Q371" s="62">
        <f>IFERROR(SUM(VLOOKUP(B371,Tableau3[#All],6,FALSE),VLOOKUP(B371,Tableau3[#All],8,FALSE)),"Matricule!")</f>
        <v>0</v>
      </c>
      <c r="R371" s="62">
        <f>IFERROR(VLOOKUP(B371,Tableau3[#All],7,FALSE),"Matricule!")</f>
        <v>0</v>
      </c>
      <c r="S371" s="62">
        <f>IFERROR(Tableau242[[#This Row],[Prod. days WK]]-Tableau242[[#This Row],[Prod PXX]],"Matricule")</f>
        <v>0</v>
      </c>
      <c r="T371" s="62">
        <f>IFERROR(Tableau242[[#This Row],[Non prod. days WK]]-Tableau242[[#This Row],[Improd PXX]],"Matricule")</f>
        <v>0</v>
      </c>
      <c r="U371" s="62">
        <f>IFERROR(Tableau242[[#This Row],[Paid leave days WK]]-Tableau242[[#This Row],[Congé PXX]],"Matricule")</f>
        <v>0</v>
      </c>
      <c r="V371" s="63">
        <f>IFERROR(VLOOKUP($B371,#REF!,4,FALSE),0)</f>
        <v>0</v>
      </c>
      <c r="W37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71" s="63">
        <f>IF(AND(Tableau242[[#This Row],[Paid leave days]]&gt;0,Tableau242[[#This Row],[Prod. days]]&lt;0),MIN(Tableau242[[#This Row],[Paid leave days]],-Tableau242[[#This Row],[Prod. days]]),0)</f>
        <v>0</v>
      </c>
      <c r="Z371" s="63">
        <f>IFERROR(_xlfn.XLOOKUP(Tableau242[[#This Row],[Consultant]],Tableau2[Collaborateur/Nom affiché],Tableau2[Montant imputé],0),0)</f>
        <v>0</v>
      </c>
      <c r="AA371" s="64">
        <f t="shared" si="6"/>
        <v>0</v>
      </c>
      <c r="AB371" s="65"/>
      <c r="AC371" s="67"/>
      <c r="AD371" s="66"/>
      <c r="AE371" s="39"/>
      <c r="AF371" s="93"/>
    </row>
    <row r="372" spans="1:32">
      <c r="A372" s="15">
        <f>Tableau242[[#This Row],[Company number]]+0</f>
        <v>13402</v>
      </c>
      <c r="B372" s="60" t="s">
        <v>871</v>
      </c>
      <c r="C372" s="61" t="s">
        <v>57</v>
      </c>
      <c r="D372" s="61" t="s">
        <v>31</v>
      </c>
      <c r="E372" s="62" t="str">
        <f>IFERROR(VLOOKUP(Tableau242[[#This Row],[Manager ou CDM concerné]],Parametres!B:C,2,FALSE),"")</f>
        <v>Squad C</v>
      </c>
      <c r="F372" s="62" t="str">
        <f>IF(Tableau242[[#This Row],[Consultant]]=Tableau242[[#This Row],[Manager ou CDM concerné]],"Non",IF(IFERROR(VLOOKUP(Tableau242[[#This Row],[Consultant]],Parametres!B:C,2,FALSE),0)=0,"Non","Oui"))</f>
        <v>Oui</v>
      </c>
      <c r="G372" s="62">
        <f>IFERROR(VLOOKUP(B372,Tableau5[#All],4,FALSE),"Matricule!")</f>
        <v>7</v>
      </c>
      <c r="H372" s="62" t="str">
        <f>IFERROR(VLOOKUP(Tableau242[[#This Row],[Company number]],#REF!,6,FALSE),"")</f>
        <v/>
      </c>
      <c r="I372" s="62">
        <f>IFERROR(VLOOKUP(B372,Tableau5[#All],5,FALSE),"Matricule!")</f>
        <v>10</v>
      </c>
      <c r="J372" s="62">
        <f>IFERROR(VLOOKUP(B372,Tableau5[#All],6,FALSE),"Matricule!")</f>
        <v>3</v>
      </c>
      <c r="K372" s="62">
        <f>IFERROR(VLOOKUP(B372,Tableau5[#All],7,FALSE),"Matricule!")</f>
        <v>0</v>
      </c>
      <c r="L372" s="62" t="e">
        <f>VLOOKUP(Tableau242[[#This Row],[Company number]],#REF!,25,FALSE)</f>
        <v>#REF!</v>
      </c>
      <c r="M372" s="62" t="str">
        <f>IFERROR(VLOOKUP(Tableau242[[#This Row],[Company number]],#REF!,30,FALSE),"")</f>
        <v/>
      </c>
      <c r="N372" s="62" t="str">
        <f>IFERROR(VLOOKUP(Tableau242[[#This Row],[Company number]],#REF!,31,FALSE),"")</f>
        <v/>
      </c>
      <c r="O372" s="62" t="str">
        <f>IFERROR(VLOOKUP(Tableau242[[#This Row],[Company number]],#REF!,32,FALSE),"")</f>
        <v/>
      </c>
      <c r="P372" s="62">
        <f>IFERROR(VLOOKUP(B372,Tableau3[#All],5,FALSE),"Matricule!")</f>
        <v>8</v>
      </c>
      <c r="Q372" s="62">
        <f>IFERROR(SUM(VLOOKUP(B372,Tableau3[#All],6,FALSE),VLOOKUP(B372,Tableau3[#All],8,FALSE)),"Matricule!")</f>
        <v>9</v>
      </c>
      <c r="R372" s="62">
        <f>IFERROR(VLOOKUP(B372,Tableau3[#All],7,FALSE),"Matricule!")</f>
        <v>3</v>
      </c>
      <c r="S372" s="62">
        <f>IFERROR(Tableau242[[#This Row],[Prod. days WK]]-Tableau242[[#This Row],[Prod PXX]],"Matricule")</f>
        <v>-1</v>
      </c>
      <c r="T372" s="62">
        <f>IFERROR(Tableau242[[#This Row],[Non prod. days WK]]-Tableau242[[#This Row],[Improd PXX]],"Matricule")</f>
        <v>1</v>
      </c>
      <c r="U372" s="62">
        <f>IFERROR(Tableau242[[#This Row],[Paid leave days WK]]-Tableau242[[#This Row],[Congé PXX]],"Matricule")</f>
        <v>0</v>
      </c>
      <c r="V372" s="63">
        <f>IFERROR(VLOOKUP($B372,#REF!,4,FALSE),0)</f>
        <v>0</v>
      </c>
      <c r="W37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72" s="63">
        <f>IF(AND(Tableau242[[#This Row],[Paid leave days]]&gt;0,Tableau242[[#This Row],[Prod. days]]&lt;0),MIN(Tableau242[[#This Row],[Paid leave days]],-Tableau242[[#This Row],[Prod. days]]),0)</f>
        <v>0</v>
      </c>
      <c r="Z372" s="63">
        <f>IFERROR(_xlfn.XLOOKUP(Tableau242[[#This Row],[Consultant]],Tableau2[Collaborateur/Nom affiché],Tableau2[Montant imputé],0),0)</f>
        <v>0</v>
      </c>
      <c r="AA372" s="64">
        <f t="shared" si="6"/>
        <v>-1</v>
      </c>
      <c r="AB372" s="65" t="s">
        <v>147</v>
      </c>
      <c r="AC372" s="67"/>
      <c r="AD372" s="67"/>
      <c r="AE372" s="106"/>
      <c r="AF372" s="90"/>
    </row>
    <row r="373" spans="1:32">
      <c r="A373" s="15">
        <f>Tableau242[[#This Row],[Company number]]+0</f>
        <v>11315</v>
      </c>
      <c r="B373" s="60" t="s">
        <v>872</v>
      </c>
      <c r="C373" s="61" t="s">
        <v>51</v>
      </c>
      <c r="D373" s="61" t="s">
        <v>31</v>
      </c>
      <c r="E373" s="62" t="str">
        <f>IFERROR(VLOOKUP(Tableau242[[#This Row],[Manager ou CDM concerné]],Parametres!B:C,2,FALSE),"")</f>
        <v>Squad C</v>
      </c>
      <c r="F373" s="62" t="str">
        <f>IF(Tableau242[[#This Row],[Consultant]]=Tableau242[[#This Row],[Manager ou CDM concerné]],"Non",IF(IFERROR(VLOOKUP(Tableau242[[#This Row],[Consultant]],Parametres!B:C,2,FALSE),0)=0,"Non","Oui"))</f>
        <v>Oui</v>
      </c>
      <c r="G373" s="62">
        <f>IFERROR(VLOOKUP(B373,Tableau5[#All],4,FALSE),"Matricule!")</f>
        <v>13</v>
      </c>
      <c r="H373" s="62" t="str">
        <f>IFERROR(VLOOKUP(Tableau242[[#This Row],[Company number]],#REF!,6,FALSE),"")</f>
        <v/>
      </c>
      <c r="I373" s="62">
        <f>IFERROR(VLOOKUP(B373,Tableau5[#All],5,FALSE),"Matricule!")</f>
        <v>1</v>
      </c>
      <c r="J373" s="62">
        <f>IFERROR(VLOOKUP(B373,Tableau5[#All],6,FALSE),"Matricule!")</f>
        <v>6</v>
      </c>
      <c r="K373" s="62">
        <f>IFERROR(VLOOKUP(B373,Tableau5[#All],7,FALSE),"Matricule!")</f>
        <v>0</v>
      </c>
      <c r="L373" s="62" t="e">
        <f>VLOOKUP(Tableau242[[#This Row],[Company number]],#REF!,25,FALSE)</f>
        <v>#REF!</v>
      </c>
      <c r="M373" s="62" t="str">
        <f>IFERROR(VLOOKUP(Tableau242[[#This Row],[Company number]],#REF!,30,FALSE),"")</f>
        <v/>
      </c>
      <c r="N373" s="62" t="str">
        <f>IFERROR(VLOOKUP(Tableau242[[#This Row],[Company number]],#REF!,31,FALSE),"")</f>
        <v/>
      </c>
      <c r="O373" s="62" t="str">
        <f>IFERROR(VLOOKUP(Tableau242[[#This Row],[Company number]],#REF!,32,FALSE),"")</f>
        <v/>
      </c>
      <c r="P373" s="62">
        <f>IFERROR(VLOOKUP(B373,Tableau3[#All],5,FALSE),"Matricule!")</f>
        <v>14</v>
      </c>
      <c r="Q373" s="62">
        <f>IFERROR(SUM(VLOOKUP(B373,Tableau3[#All],6,FALSE),VLOOKUP(B373,Tableau3[#All],8,FALSE)),"Matricule!")</f>
        <v>0</v>
      </c>
      <c r="R373" s="62">
        <f>IFERROR(VLOOKUP(B373,Tableau3[#All],7,FALSE),"Matricule!")</f>
        <v>6</v>
      </c>
      <c r="S373" s="62">
        <f>IFERROR(Tableau242[[#This Row],[Prod. days WK]]-Tableau242[[#This Row],[Prod PXX]],"Matricule")</f>
        <v>-1</v>
      </c>
      <c r="T373" s="62">
        <f>IFERROR(Tableau242[[#This Row],[Non prod. days WK]]-Tableau242[[#This Row],[Improd PXX]],"Matricule")</f>
        <v>1</v>
      </c>
      <c r="U373" s="62">
        <f>IFERROR(Tableau242[[#This Row],[Paid leave days WK]]-Tableau242[[#This Row],[Congé PXX]],"Matricule")</f>
        <v>0</v>
      </c>
      <c r="V373" s="63">
        <f>IFERROR(VLOOKUP($B373,#REF!,4,FALSE),0)</f>
        <v>0</v>
      </c>
      <c r="W37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73" s="63">
        <f>IF(AND(Tableau242[[#This Row],[Paid leave days]]&gt;0,Tableau242[[#This Row],[Prod. days]]&lt;0),MIN(Tableau242[[#This Row],[Paid leave days]],-Tableau242[[#This Row],[Prod. days]]),0)</f>
        <v>0</v>
      </c>
      <c r="Z373" s="63">
        <f>IFERROR(_xlfn.XLOOKUP(Tableau242[[#This Row],[Consultant]],Tableau2[Collaborateur/Nom affiché],Tableau2[Montant imputé],0),0)</f>
        <v>0</v>
      </c>
      <c r="AA373" s="64">
        <f t="shared" si="6"/>
        <v>-1</v>
      </c>
      <c r="AB373" s="78" t="s">
        <v>147</v>
      </c>
      <c r="AC373" s="67"/>
      <c r="AD373" s="67"/>
      <c r="AE373" s="106"/>
      <c r="AF373" s="92"/>
    </row>
    <row r="374" spans="1:32">
      <c r="A374" s="15">
        <f>Tableau242[[#This Row],[Company number]]+0</f>
        <v>12779</v>
      </c>
      <c r="B374" s="60" t="s">
        <v>873</v>
      </c>
      <c r="C374" s="61" t="s">
        <v>874</v>
      </c>
      <c r="D374" s="61" t="s">
        <v>56</v>
      </c>
      <c r="E374" s="62" t="str">
        <f>IFERROR(VLOOKUP(Tableau242[[#This Row],[Manager ou CDM concerné]],Parametres!B:C,2,FALSE),"")</f>
        <v>Squad G</v>
      </c>
      <c r="F374" s="62" t="str">
        <f>IF(Tableau242[[#This Row],[Consultant]]=Tableau242[[#This Row],[Manager ou CDM concerné]],"Non",IF(IFERROR(VLOOKUP(Tableau242[[#This Row],[Consultant]],Parametres!B:C,2,FALSE),0)=0,"Non","Oui"))</f>
        <v>Oui</v>
      </c>
      <c r="G374" s="62">
        <f>IFERROR(VLOOKUP(B374,Tableau5[#All],4,FALSE),"Matricule!")</f>
        <v>18</v>
      </c>
      <c r="H374" s="62" t="str">
        <f>IFERROR(VLOOKUP(Tableau242[[#This Row],[Company number]],#REF!,6,FALSE),"")</f>
        <v/>
      </c>
      <c r="I374" s="62">
        <f>IFERROR(VLOOKUP(B374,Tableau5[#All],5,FALSE),"Matricule!")</f>
        <v>1</v>
      </c>
      <c r="J374" s="62">
        <f>IFERROR(VLOOKUP(B374,Tableau5[#All],6,FALSE),"Matricule!")</f>
        <v>1</v>
      </c>
      <c r="K374" s="62">
        <f>IFERROR(VLOOKUP(B374,Tableau5[#All],7,FALSE),"Matricule!")</f>
        <v>0</v>
      </c>
      <c r="L374" s="62" t="e">
        <f>VLOOKUP(Tableau242[[#This Row],[Company number]],#REF!,25,FALSE)</f>
        <v>#REF!</v>
      </c>
      <c r="M374" s="62" t="str">
        <f>IFERROR(VLOOKUP(Tableau242[[#This Row],[Company number]],#REF!,30,FALSE),"")</f>
        <v/>
      </c>
      <c r="N374" s="62" t="str">
        <f>IFERROR(VLOOKUP(Tableau242[[#This Row],[Company number]],#REF!,31,FALSE),"")</f>
        <v/>
      </c>
      <c r="O374" s="62" t="str">
        <f>IFERROR(VLOOKUP(Tableau242[[#This Row],[Company number]],#REF!,32,FALSE),"")</f>
        <v/>
      </c>
      <c r="P374" s="62">
        <f>IFERROR(VLOOKUP(B374,Tableau3[#All],5,FALSE),"Matricule!")</f>
        <v>19</v>
      </c>
      <c r="Q374" s="62">
        <f>IFERROR(SUM(VLOOKUP(B374,Tableau3[#All],6,FALSE),VLOOKUP(B374,Tableau3[#All],8,FALSE)),"Matricule!")</f>
        <v>0</v>
      </c>
      <c r="R374" s="62">
        <f>IFERROR(VLOOKUP(B374,Tableau3[#All],7,FALSE),"Matricule!")</f>
        <v>1</v>
      </c>
      <c r="S374" s="62">
        <f>IFERROR(Tableau242[[#This Row],[Prod. days WK]]-Tableau242[[#This Row],[Prod PXX]],"Matricule")</f>
        <v>-1</v>
      </c>
      <c r="T374" s="62">
        <f>IFERROR(Tableau242[[#This Row],[Non prod. days WK]]-Tableau242[[#This Row],[Improd PXX]],"Matricule")</f>
        <v>1</v>
      </c>
      <c r="U374" s="62">
        <f>IFERROR(Tableau242[[#This Row],[Paid leave days WK]]-Tableau242[[#This Row],[Congé PXX]],"Matricule")</f>
        <v>0</v>
      </c>
      <c r="V374" s="63">
        <f>IFERROR(VLOOKUP($B374,#REF!,4,FALSE),0)</f>
        <v>0</v>
      </c>
      <c r="W37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74" s="63">
        <f>IF(AND(Tableau242[[#This Row],[Paid leave days]]&gt;0,Tableau242[[#This Row],[Prod. days]]&lt;0),MIN(Tableau242[[#This Row],[Paid leave days]],-Tableau242[[#This Row],[Prod. days]]),0)</f>
        <v>0</v>
      </c>
      <c r="Z374" s="63">
        <f>IFERROR(_xlfn.XLOOKUP(Tableau242[[#This Row],[Consultant]],Tableau2[Collaborateur/Nom affiché],Tableau2[Montant imputé],0),0)</f>
        <v>0</v>
      </c>
      <c r="AA374" s="64">
        <f t="shared" si="6"/>
        <v>-1</v>
      </c>
      <c r="AB374" s="65" t="s">
        <v>154</v>
      </c>
      <c r="AC374" s="66">
        <v>1</v>
      </c>
      <c r="AD374" s="66"/>
      <c r="AE374" s="105"/>
      <c r="AF374" s="90" t="s">
        <v>875</v>
      </c>
    </row>
    <row r="375" spans="1:32">
      <c r="A375" s="15">
        <f>Tableau242[[#This Row],[Company number]]+0</f>
        <v>16886</v>
      </c>
      <c r="B375" s="60" t="s">
        <v>876</v>
      </c>
      <c r="C375" s="61" t="s">
        <v>877</v>
      </c>
      <c r="D375" s="61" t="s">
        <v>34</v>
      </c>
      <c r="E375" s="62" t="str">
        <f>IFERROR(VLOOKUP(Tableau242[[#This Row],[Manager ou CDM concerné]],Parametres!B:C,2,FALSE),"")</f>
        <v>Squad D</v>
      </c>
      <c r="F375" s="62" t="str">
        <f>IF(Tableau242[[#This Row],[Consultant]]=Tableau242[[#This Row],[Manager ou CDM concerné]],"Non",IF(IFERROR(VLOOKUP(Tableau242[[#This Row],[Consultant]],Parametres!B:C,2,FALSE),0)=0,"Non","Oui"))</f>
        <v>Non</v>
      </c>
      <c r="G375" s="62">
        <f>IFERROR(VLOOKUP(B375,Tableau5[#All],4,FALSE),"Matricule!")</f>
        <v>14</v>
      </c>
      <c r="H375" s="62" t="str">
        <f>IFERROR(VLOOKUP(Tableau242[[#This Row],[Company number]],#REF!,6,FALSE),"")</f>
        <v/>
      </c>
      <c r="I375" s="62">
        <f>IFERROR(VLOOKUP(B375,Tableau5[#All],5,FALSE),"Matricule!")</f>
        <v>6</v>
      </c>
      <c r="J375" s="62">
        <f>IFERROR(VLOOKUP(B375,Tableau5[#All],6,FALSE),"Matricule!")</f>
        <v>0</v>
      </c>
      <c r="K375" s="62">
        <f>IFERROR(VLOOKUP(B375,Tableau5[#All],7,FALSE),"Matricule!")</f>
        <v>0</v>
      </c>
      <c r="L375" s="62" t="e">
        <f>VLOOKUP(Tableau242[[#This Row],[Company number]],#REF!,25,FALSE)</f>
        <v>#REF!</v>
      </c>
      <c r="M375" s="62" t="str">
        <f>IFERROR(VLOOKUP(Tableau242[[#This Row],[Company number]],#REF!,30,FALSE),"")</f>
        <v/>
      </c>
      <c r="N375" s="62" t="str">
        <f>IFERROR(VLOOKUP(Tableau242[[#This Row],[Company number]],#REF!,31,FALSE),"")</f>
        <v/>
      </c>
      <c r="O375" s="62" t="str">
        <f>IFERROR(VLOOKUP(Tableau242[[#This Row],[Company number]],#REF!,32,FALSE),"")</f>
        <v/>
      </c>
      <c r="P375" s="62">
        <f>IFERROR(VLOOKUP(B375,Tableau3[#All],5,FALSE),"Matricule!")</f>
        <v>15</v>
      </c>
      <c r="Q375" s="62">
        <f>IFERROR(SUM(VLOOKUP(B375,Tableau3[#All],6,FALSE),VLOOKUP(B375,Tableau3[#All],8,FALSE)),"Matricule!")</f>
        <v>5</v>
      </c>
      <c r="R375" s="62">
        <f>IFERROR(VLOOKUP(B375,Tableau3[#All],7,FALSE),"Matricule!")</f>
        <v>0</v>
      </c>
      <c r="S375" s="62">
        <f>IFERROR(Tableau242[[#This Row],[Prod. days WK]]-Tableau242[[#This Row],[Prod PXX]],"Matricule")</f>
        <v>-1</v>
      </c>
      <c r="T375" s="62">
        <f>IFERROR(Tableau242[[#This Row],[Non prod. days WK]]-Tableau242[[#This Row],[Improd PXX]],"Matricule")</f>
        <v>1</v>
      </c>
      <c r="U375" s="62">
        <f>IFERROR(Tableau242[[#This Row],[Paid leave days WK]]-Tableau242[[#This Row],[Congé PXX]],"Matricule")</f>
        <v>0</v>
      </c>
      <c r="V375" s="63">
        <f>IFERROR(VLOOKUP($B375,#REF!,4,FALSE),0)</f>
        <v>0</v>
      </c>
      <c r="W37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375" s="63">
        <f>IF(AND(Tableau242[[#This Row],[Paid leave days]]&gt;0,Tableau242[[#This Row],[Prod. days]]&lt;0),MIN(Tableau242[[#This Row],[Paid leave days]],-Tableau242[[#This Row],[Prod. days]]),0)</f>
        <v>0</v>
      </c>
      <c r="Z375" s="63">
        <f>IFERROR(_xlfn.XLOOKUP(Tableau242[[#This Row],[Consultant]],Tableau2[Collaborateur/Nom affiché],Tableau2[Montant imputé],0),0)</f>
        <v>6</v>
      </c>
      <c r="AA375" s="64">
        <f t="shared" si="6"/>
        <v>5</v>
      </c>
      <c r="AB375" s="65"/>
      <c r="AC375" s="66"/>
      <c r="AD375" s="66"/>
      <c r="AE375" s="105"/>
      <c r="AF375" s="90"/>
    </row>
    <row r="376" spans="1:32">
      <c r="A376" s="15">
        <f>Tableau242[[#This Row],[Company number]]+0</f>
        <v>20735</v>
      </c>
      <c r="B376" s="60" t="s">
        <v>878</v>
      </c>
      <c r="C376" s="61" t="s">
        <v>879</v>
      </c>
      <c r="D376" s="61" t="s">
        <v>34</v>
      </c>
      <c r="E376" s="62" t="str">
        <f>IFERROR(VLOOKUP(Tableau242[[#This Row],[Manager ou CDM concerné]],Parametres!B:C,2,FALSE),"")</f>
        <v>Squad D</v>
      </c>
      <c r="F376" s="62" t="str">
        <f>IF(Tableau242[[#This Row],[Consultant]]=Tableau242[[#This Row],[Manager ou CDM concerné]],"Non",IF(IFERROR(VLOOKUP(Tableau242[[#This Row],[Consultant]],Parametres!B:C,2,FALSE),0)=0,"Non","Oui"))</f>
        <v>Non</v>
      </c>
      <c r="G376" s="62">
        <f>IFERROR(VLOOKUP(B376,Tableau5[#All],4,FALSE),"Matricule!")</f>
        <v>18</v>
      </c>
      <c r="H376" s="62" t="str">
        <f>IFERROR(VLOOKUP(Tableau242[[#This Row],[Company number]],#REF!,6,FALSE),"")</f>
        <v/>
      </c>
      <c r="I376" s="62">
        <f>IFERROR(VLOOKUP(B376,Tableau5[#All],5,FALSE),"Matricule!")</f>
        <v>0</v>
      </c>
      <c r="J376" s="62">
        <f>IFERROR(VLOOKUP(B376,Tableau5[#All],6,FALSE),"Matricule!")</f>
        <v>2</v>
      </c>
      <c r="K376" s="62">
        <f>IFERROR(VLOOKUP(B376,Tableau5[#All],7,FALSE),"Matricule!")</f>
        <v>0</v>
      </c>
      <c r="L376" s="62" t="e">
        <f>VLOOKUP(Tableau242[[#This Row],[Company number]],#REF!,25,FALSE)</f>
        <v>#REF!</v>
      </c>
      <c r="M376" s="62" t="str">
        <f>IFERROR(VLOOKUP(Tableau242[[#This Row],[Company number]],#REF!,30,FALSE),"")</f>
        <v/>
      </c>
      <c r="N376" s="62" t="str">
        <f>IFERROR(VLOOKUP(Tableau242[[#This Row],[Company number]],#REF!,31,FALSE),"")</f>
        <v/>
      </c>
      <c r="O376" s="62" t="str">
        <f>IFERROR(VLOOKUP(Tableau242[[#This Row],[Company number]],#REF!,32,FALSE),"")</f>
        <v/>
      </c>
      <c r="P376" s="62">
        <f>IFERROR(VLOOKUP(B376,Tableau3[#All],5,FALSE),"Matricule!")</f>
        <v>10</v>
      </c>
      <c r="Q376" s="62">
        <f>IFERROR(SUM(VLOOKUP(B376,Tableau3[#All],6,FALSE),VLOOKUP(B376,Tableau3[#All],8,FALSE)),"Matricule!")</f>
        <v>6</v>
      </c>
      <c r="R376" s="62">
        <f>IFERROR(VLOOKUP(B376,Tableau3[#All],7,FALSE),"Matricule!")</f>
        <v>4</v>
      </c>
      <c r="S376" s="62">
        <f>IFERROR(Tableau242[[#This Row],[Prod. days WK]]-Tableau242[[#This Row],[Prod PXX]],"Matricule")</f>
        <v>8</v>
      </c>
      <c r="T376" s="62">
        <f>IFERROR(Tableau242[[#This Row],[Non prod. days WK]]-Tableau242[[#This Row],[Improd PXX]],"Matricule")</f>
        <v>-6</v>
      </c>
      <c r="U376" s="62">
        <f>IFERROR(Tableau242[[#This Row],[Paid leave days WK]]-Tableau242[[#This Row],[Congé PXX]],"Matricule")</f>
        <v>-2</v>
      </c>
      <c r="V376" s="63">
        <f>IFERROR(VLOOKUP($B376,#REF!,4,FALSE),0)</f>
        <v>0</v>
      </c>
      <c r="W37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76" s="63">
        <f>IF(AND(Tableau242[[#This Row],[Paid leave days]]&gt;0,Tableau242[[#This Row],[Prod. days]]&lt;0),MIN(Tableau242[[#This Row],[Paid leave days]],-Tableau242[[#This Row],[Prod. days]]),0)</f>
        <v>0</v>
      </c>
      <c r="Z376" s="63">
        <f>IFERROR(_xlfn.XLOOKUP(Tableau242[[#This Row],[Consultant]],Tableau2[Collaborateur/Nom affiché],Tableau2[Montant imputé],0),0)</f>
        <v>0</v>
      </c>
      <c r="AA376" s="64">
        <f t="shared" si="6"/>
        <v>8</v>
      </c>
      <c r="AB376" s="116"/>
      <c r="AC376" s="66"/>
      <c r="AD376" s="66"/>
      <c r="AE376" s="105"/>
      <c r="AF376" s="90"/>
    </row>
    <row r="377" spans="1:32">
      <c r="A377" s="15">
        <f>Tableau242[[#This Row],[Company number]]+0</f>
        <v>14806</v>
      </c>
      <c r="B377" s="60" t="s">
        <v>880</v>
      </c>
      <c r="C377" s="61" t="s">
        <v>881</v>
      </c>
      <c r="D377" s="61" t="s">
        <v>14</v>
      </c>
      <c r="E377" s="62" t="str">
        <f>IFERROR(VLOOKUP(Tableau242[[#This Row],[Manager ou CDM concerné]],Parametres!B:C,2,FALSE),"")</f>
        <v>Squad D</v>
      </c>
      <c r="F377" s="62" t="str">
        <f>IF(Tableau242[[#This Row],[Consultant]]=Tableau242[[#This Row],[Manager ou CDM concerné]],"Non",IF(IFERROR(VLOOKUP(Tableau242[[#This Row],[Consultant]],Parametres!B:C,2,FALSE),0)=0,"Non","Oui"))</f>
        <v>Non</v>
      </c>
      <c r="G377" s="62">
        <f>IFERROR(VLOOKUP(B377,Tableau5[#All],4,FALSE),"Matricule!")</f>
        <v>0</v>
      </c>
      <c r="H377" s="62" t="str">
        <f>IFERROR(VLOOKUP(Tableau242[[#This Row],[Company number]],#REF!,6,FALSE),"")</f>
        <v/>
      </c>
      <c r="I377" s="62">
        <f>IFERROR(VLOOKUP(B377,Tableau5[#All],5,FALSE),"Matricule!")</f>
        <v>12</v>
      </c>
      <c r="J377" s="62">
        <f>IFERROR(VLOOKUP(B377,Tableau5[#All],6,FALSE),"Matricule!")</f>
        <v>0</v>
      </c>
      <c r="K377" s="62">
        <f>IFERROR(VLOOKUP(B377,Tableau5[#All],7,FALSE),"Matricule!")</f>
        <v>8</v>
      </c>
      <c r="L377" s="62" t="e">
        <f>VLOOKUP(Tableau242[[#This Row],[Company number]],#REF!,25,FALSE)</f>
        <v>#REF!</v>
      </c>
      <c r="M377" s="62" t="str">
        <f>IFERROR(VLOOKUP(Tableau242[[#This Row],[Company number]],#REF!,30,FALSE),"")</f>
        <v/>
      </c>
      <c r="N377" s="62" t="str">
        <f>IFERROR(VLOOKUP(Tableau242[[#This Row],[Company number]],#REF!,31,FALSE),"")</f>
        <v/>
      </c>
      <c r="O377" s="62" t="str">
        <f>IFERROR(VLOOKUP(Tableau242[[#This Row],[Company number]],#REF!,32,FALSE),"")</f>
        <v/>
      </c>
      <c r="P377" s="62">
        <f>IFERROR(VLOOKUP(B377,Tableau3[#All],5,FALSE),"Matricule!")</f>
        <v>0</v>
      </c>
      <c r="Q377" s="62">
        <f>IFERROR(SUM(VLOOKUP(B377,Tableau3[#All],6,FALSE),VLOOKUP(B377,Tableau3[#All],8,FALSE)),"Matricule!")</f>
        <v>12</v>
      </c>
      <c r="R377" s="62">
        <f>IFERROR(VLOOKUP(B377,Tableau3[#All],7,FALSE),"Matricule!")</f>
        <v>0</v>
      </c>
      <c r="S377" s="62">
        <f>IFERROR(Tableau242[[#This Row],[Prod. days WK]]-Tableau242[[#This Row],[Prod PXX]],"Matricule")</f>
        <v>0</v>
      </c>
      <c r="T377" s="62">
        <f>IFERROR(Tableau242[[#This Row],[Non prod. days WK]]-Tableau242[[#This Row],[Improd PXX]],"Matricule")</f>
        <v>0</v>
      </c>
      <c r="U377" s="62">
        <f>IFERROR(Tableau242[[#This Row],[Paid leave days WK]]-Tableau242[[#This Row],[Congé PXX]],"Matricule")</f>
        <v>0</v>
      </c>
      <c r="V377" s="63">
        <f>IFERROR(VLOOKUP($B377,#REF!,4,FALSE),0)</f>
        <v>0</v>
      </c>
      <c r="W37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77" s="63">
        <f>IF(AND(Tableau242[[#This Row],[Paid leave days]]&gt;0,Tableau242[[#This Row],[Prod. days]]&lt;0),MIN(Tableau242[[#This Row],[Paid leave days]],-Tableau242[[#This Row],[Prod. days]]),0)</f>
        <v>0</v>
      </c>
      <c r="Z377" s="63">
        <f>IFERROR(_xlfn.XLOOKUP(Tableau242[[#This Row],[Consultant]],Tableau2[Collaborateur/Nom affiché],Tableau2[Montant imputé],0),0)</f>
        <v>0</v>
      </c>
      <c r="AA377" s="64">
        <f t="shared" si="6"/>
        <v>0</v>
      </c>
      <c r="AB377" s="65"/>
      <c r="AC377" s="66"/>
      <c r="AD377" s="66"/>
      <c r="AE377" s="39"/>
      <c r="AF377" s="90"/>
    </row>
    <row r="378" spans="1:32">
      <c r="A378" s="15">
        <f>Tableau242[[#This Row],[Company number]]+0</f>
        <v>13131</v>
      </c>
      <c r="B378" s="60" t="s">
        <v>882</v>
      </c>
      <c r="C378" s="61" t="s">
        <v>883</v>
      </c>
      <c r="D378" s="61" t="s">
        <v>14</v>
      </c>
      <c r="E378" s="62" t="str">
        <f>IFERROR(VLOOKUP(Tableau242[[#This Row],[Manager ou CDM concerné]],Parametres!B:C,2,FALSE),"")</f>
        <v>Squad D</v>
      </c>
      <c r="F378" s="62" t="str">
        <f>IF(Tableau242[[#This Row],[Consultant]]=Tableau242[[#This Row],[Manager ou CDM concerné]],"Non",IF(IFERROR(VLOOKUP(Tableau242[[#This Row],[Consultant]],Parametres!B:C,2,FALSE),0)=0,"Non","Oui"))</f>
        <v>Non</v>
      </c>
      <c r="G378" s="62">
        <f>IFERROR(VLOOKUP(B378,Tableau5[#All],4,FALSE),"Matricule!")</f>
        <v>19.5</v>
      </c>
      <c r="H378" s="62" t="str">
        <f>IFERROR(VLOOKUP(Tableau242[[#This Row],[Company number]],#REF!,6,FALSE),"")</f>
        <v/>
      </c>
      <c r="I378" s="62">
        <f>IFERROR(VLOOKUP(B378,Tableau5[#All],5,FALSE),"Matricule!")</f>
        <v>0</v>
      </c>
      <c r="J378" s="62">
        <f>IFERROR(VLOOKUP(B378,Tableau5[#All],6,FALSE),"Matricule!")</f>
        <v>0.5</v>
      </c>
      <c r="K378" s="62">
        <f>IFERROR(VLOOKUP(B378,Tableau5[#All],7,FALSE),"Matricule!")</f>
        <v>0</v>
      </c>
      <c r="L378" s="62" t="e">
        <f>VLOOKUP(Tableau242[[#This Row],[Company number]],#REF!,25,FALSE)</f>
        <v>#REF!</v>
      </c>
      <c r="M378" s="62" t="str">
        <f>IFERROR(VLOOKUP(Tableau242[[#This Row],[Company number]],#REF!,30,FALSE),"")</f>
        <v/>
      </c>
      <c r="N378" s="62" t="str">
        <f>IFERROR(VLOOKUP(Tableau242[[#This Row],[Company number]],#REF!,31,FALSE),"")</f>
        <v/>
      </c>
      <c r="O378" s="62" t="str">
        <f>IFERROR(VLOOKUP(Tableau242[[#This Row],[Company number]],#REF!,32,FALSE),"")</f>
        <v/>
      </c>
      <c r="P378" s="62">
        <f>IFERROR(VLOOKUP(B378,Tableau3[#All],5,FALSE),"Matricule!")</f>
        <v>20</v>
      </c>
      <c r="Q378" s="62">
        <f>IFERROR(SUM(VLOOKUP(B378,Tableau3[#All],6,FALSE),VLOOKUP(B378,Tableau3[#All],8,FALSE)),"Matricule!")</f>
        <v>0</v>
      </c>
      <c r="R378" s="62">
        <f>IFERROR(VLOOKUP(B378,Tableau3[#All],7,FALSE),"Matricule!")</f>
        <v>0</v>
      </c>
      <c r="S378" s="62">
        <f>IFERROR(Tableau242[[#This Row],[Prod. days WK]]-Tableau242[[#This Row],[Prod PXX]],"Matricule")</f>
        <v>-0.5</v>
      </c>
      <c r="T378" s="62">
        <f>IFERROR(Tableau242[[#This Row],[Non prod. days WK]]-Tableau242[[#This Row],[Improd PXX]],"Matricule")</f>
        <v>0</v>
      </c>
      <c r="U378" s="62">
        <f>IFERROR(Tableau242[[#This Row],[Paid leave days WK]]-Tableau242[[#This Row],[Congé PXX]],"Matricule")</f>
        <v>0.5</v>
      </c>
      <c r="V378" s="63">
        <f>IFERROR(VLOOKUP($B378,#REF!,4,FALSE),0)</f>
        <v>0</v>
      </c>
      <c r="W37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78" s="63">
        <f>IF(AND(Tableau242[[#This Row],[Paid leave days]]&gt;0,Tableau242[[#This Row],[Prod. days]]&lt;0),MIN(Tableau242[[#This Row],[Paid leave days]],-Tableau242[[#This Row],[Prod. days]]),0)</f>
        <v>0.5</v>
      </c>
      <c r="Z378" s="63">
        <f>IFERROR(_xlfn.XLOOKUP(Tableau242[[#This Row],[Consultant]],Tableau2[Collaborateur/Nom affiché],Tableau2[Montant imputé],0),0)</f>
        <v>0</v>
      </c>
      <c r="AA378" s="64">
        <f t="shared" si="6"/>
        <v>-0.5</v>
      </c>
      <c r="AB378" s="65"/>
      <c r="AC378" s="66"/>
      <c r="AD378" s="66"/>
      <c r="AE378" s="105"/>
      <c r="AF378" s="90"/>
    </row>
    <row r="379" spans="1:32">
      <c r="A379" s="15">
        <f>Tableau242[[#This Row],[Company number]]+0</f>
        <v>17056</v>
      </c>
      <c r="B379" s="60" t="s">
        <v>884</v>
      </c>
      <c r="C379" s="61" t="s">
        <v>885</v>
      </c>
      <c r="D379" s="61" t="s">
        <v>14</v>
      </c>
      <c r="E379" s="62" t="str">
        <f>IFERROR(VLOOKUP(Tableau242[[#This Row],[Manager ou CDM concerné]],Parametres!B:C,2,FALSE),"")</f>
        <v>Squad D</v>
      </c>
      <c r="F379" s="62" t="str">
        <f>IF(Tableau242[[#This Row],[Consultant]]=Tableau242[[#This Row],[Manager ou CDM concerné]],"Non",IF(IFERROR(VLOOKUP(Tableau242[[#This Row],[Consultant]],Parametres!B:C,2,FALSE),0)=0,"Non","Oui"))</f>
        <v>Non</v>
      </c>
      <c r="G379" s="62">
        <f>IFERROR(VLOOKUP(B379,Tableau5[#All],4,FALSE),"Matricule!")</f>
        <v>19</v>
      </c>
      <c r="H379" s="62" t="str">
        <f>IFERROR(VLOOKUP(Tableau242[[#This Row],[Company number]],#REF!,6,FALSE),"")</f>
        <v/>
      </c>
      <c r="I379" s="62">
        <f>IFERROR(VLOOKUP(B379,Tableau5[#All],5,FALSE),"Matricule!")</f>
        <v>0</v>
      </c>
      <c r="J379" s="62">
        <f>IFERROR(VLOOKUP(B379,Tableau5[#All],6,FALSE),"Matricule!")</f>
        <v>1</v>
      </c>
      <c r="K379" s="62">
        <f>IFERROR(VLOOKUP(B379,Tableau5[#All],7,FALSE),"Matricule!")</f>
        <v>0</v>
      </c>
      <c r="L379" s="62" t="e">
        <f>VLOOKUP(Tableau242[[#This Row],[Company number]],#REF!,25,FALSE)</f>
        <v>#REF!</v>
      </c>
      <c r="M379" s="62" t="str">
        <f>IFERROR(VLOOKUP(Tableau242[[#This Row],[Company number]],#REF!,30,FALSE),"")</f>
        <v/>
      </c>
      <c r="N379" s="62" t="str">
        <f>IFERROR(VLOOKUP(Tableau242[[#This Row],[Company number]],#REF!,31,FALSE),"")</f>
        <v/>
      </c>
      <c r="O379" s="62" t="str">
        <f>IFERROR(VLOOKUP(Tableau242[[#This Row],[Company number]],#REF!,32,FALSE),"")</f>
        <v/>
      </c>
      <c r="P379" s="62">
        <f>IFERROR(VLOOKUP(B379,Tableau3[#All],5,FALSE),"Matricule!")</f>
        <v>20</v>
      </c>
      <c r="Q379" s="62">
        <f>IFERROR(SUM(VLOOKUP(B379,Tableau3[#All],6,FALSE),VLOOKUP(B379,Tableau3[#All],8,FALSE)),"Matricule!")</f>
        <v>0</v>
      </c>
      <c r="R379" s="62">
        <f>IFERROR(VLOOKUP(B379,Tableau3[#All],7,FALSE),"Matricule!")</f>
        <v>0</v>
      </c>
      <c r="S379" s="62">
        <f>IFERROR(Tableau242[[#This Row],[Prod. days WK]]-Tableau242[[#This Row],[Prod PXX]],"Matricule")</f>
        <v>-1</v>
      </c>
      <c r="T379" s="62">
        <f>IFERROR(Tableau242[[#This Row],[Non prod. days WK]]-Tableau242[[#This Row],[Improd PXX]],"Matricule")</f>
        <v>0</v>
      </c>
      <c r="U379" s="62">
        <f>IFERROR(Tableau242[[#This Row],[Paid leave days WK]]-Tableau242[[#This Row],[Congé PXX]],"Matricule")</f>
        <v>1</v>
      </c>
      <c r="V379" s="63">
        <f>IFERROR(VLOOKUP($B379,#REF!,4,FALSE),0)</f>
        <v>0</v>
      </c>
      <c r="W37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7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79" s="63">
        <f>IF(AND(Tableau242[[#This Row],[Paid leave days]]&gt;0,Tableau242[[#This Row],[Prod. days]]&lt;0),MIN(Tableau242[[#This Row],[Paid leave days]],-Tableau242[[#This Row],[Prod. days]]),0)</f>
        <v>1</v>
      </c>
      <c r="Z379" s="63">
        <f>IFERROR(_xlfn.XLOOKUP(Tableau242[[#This Row],[Consultant]],Tableau2[Collaborateur/Nom affiché],Tableau2[Montant imputé],0),0)</f>
        <v>0</v>
      </c>
      <c r="AA379" s="64">
        <f t="shared" si="6"/>
        <v>-1</v>
      </c>
      <c r="AB379" s="65"/>
      <c r="AC379" s="66"/>
      <c r="AD379" s="66"/>
      <c r="AE379" s="105"/>
      <c r="AF379" s="90"/>
    </row>
    <row r="380" spans="1:32" ht="29.1">
      <c r="A380" s="15">
        <f>Tableau242[[#This Row],[Company number]]+0</f>
        <v>16238</v>
      </c>
      <c r="B380" s="60" t="s">
        <v>886</v>
      </c>
      <c r="C380" s="61" t="s">
        <v>887</v>
      </c>
      <c r="D380" s="61" t="s">
        <v>14</v>
      </c>
      <c r="E380" s="62" t="str">
        <f>IFERROR(VLOOKUP(Tableau242[[#This Row],[Manager ou CDM concerné]],Parametres!B:C,2,FALSE),"")</f>
        <v>Squad D</v>
      </c>
      <c r="F380" s="62" t="str">
        <f>IF(Tableau242[[#This Row],[Consultant]]=Tableau242[[#This Row],[Manager ou CDM concerné]],"Non",IF(IFERROR(VLOOKUP(Tableau242[[#This Row],[Consultant]],Parametres!B:C,2,FALSE),0)=0,"Non","Oui"))</f>
        <v>Non</v>
      </c>
      <c r="G380" s="62">
        <f>IFERROR(VLOOKUP(B380,Tableau5[#All],4,FALSE),"Matricule!")</f>
        <v>19</v>
      </c>
      <c r="H380" s="62" t="str">
        <f>IFERROR(VLOOKUP(Tableau242[[#This Row],[Company number]],#REF!,6,FALSE),"")</f>
        <v/>
      </c>
      <c r="I380" s="62">
        <f>IFERROR(VLOOKUP(B380,Tableau5[#All],5,FALSE),"Matricule!")</f>
        <v>0</v>
      </c>
      <c r="J380" s="62">
        <f>IFERROR(VLOOKUP(B380,Tableau5[#All],6,FALSE),"Matricule!")</f>
        <v>1</v>
      </c>
      <c r="K380" s="62">
        <f>IFERROR(VLOOKUP(B380,Tableau5[#All],7,FALSE),"Matricule!")</f>
        <v>0</v>
      </c>
      <c r="L380" s="62" t="e">
        <f>VLOOKUP(Tableau242[[#This Row],[Company number]],#REF!,25,FALSE)</f>
        <v>#REF!</v>
      </c>
      <c r="M380" s="62" t="str">
        <f>IFERROR(VLOOKUP(Tableau242[[#This Row],[Company number]],#REF!,30,FALSE),"")</f>
        <v/>
      </c>
      <c r="N380" s="62" t="str">
        <f>IFERROR(VLOOKUP(Tableau242[[#This Row],[Company number]],#REF!,31,FALSE),"")</f>
        <v/>
      </c>
      <c r="O380" s="62" t="str">
        <f>IFERROR(VLOOKUP(Tableau242[[#This Row],[Company number]],#REF!,32,FALSE),"")</f>
        <v/>
      </c>
      <c r="P380" s="62">
        <f>IFERROR(VLOOKUP(B380,Tableau3[#All],5,FALSE),"Matricule!")</f>
        <v>19</v>
      </c>
      <c r="Q380" s="62">
        <f>IFERROR(SUM(VLOOKUP(B380,Tableau3[#All],6,FALSE),VLOOKUP(B380,Tableau3[#All],8,FALSE)),"Matricule!")</f>
        <v>0</v>
      </c>
      <c r="R380" s="62">
        <f>IFERROR(VLOOKUP(B380,Tableau3[#All],7,FALSE),"Matricule!")</f>
        <v>1</v>
      </c>
      <c r="S380" s="62">
        <f>IFERROR(Tableau242[[#This Row],[Prod. days WK]]-Tableau242[[#This Row],[Prod PXX]],"Matricule")</f>
        <v>0</v>
      </c>
      <c r="T380" s="62">
        <f>IFERROR(Tableau242[[#This Row],[Non prod. days WK]]-Tableau242[[#This Row],[Improd PXX]],"Matricule")</f>
        <v>0</v>
      </c>
      <c r="U380" s="62">
        <f>IFERROR(Tableau242[[#This Row],[Paid leave days WK]]-Tableau242[[#This Row],[Congé PXX]],"Matricule")</f>
        <v>0</v>
      </c>
      <c r="V380" s="63">
        <f>IFERROR(VLOOKUP($B380,#REF!,4,FALSE),0)</f>
        <v>0</v>
      </c>
      <c r="W38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80" s="63">
        <f>IF(AND(Tableau242[[#This Row],[Paid leave days]]&gt;0,Tableau242[[#This Row],[Prod. days]]&lt;0),MIN(Tableau242[[#This Row],[Paid leave days]],-Tableau242[[#This Row],[Prod. days]]),0)</f>
        <v>0</v>
      </c>
      <c r="Z380" s="63">
        <f>IFERROR(_xlfn.XLOOKUP(Tableau242[[#This Row],[Consultant]],Tableau2[Collaborateur/Nom affiché],Tableau2[Montant imputé],0),0)</f>
        <v>0</v>
      </c>
      <c r="AA380" s="64">
        <f t="shared" si="6"/>
        <v>0</v>
      </c>
      <c r="AB380" s="65"/>
      <c r="AC380" s="66"/>
      <c r="AD380" s="66"/>
      <c r="AE380" s="114"/>
      <c r="AF380" s="90"/>
    </row>
    <row r="381" spans="1:32">
      <c r="A381" s="15">
        <f>Tableau242[[#This Row],[Company number]]+0</f>
        <v>16872</v>
      </c>
      <c r="B381" s="60" t="s">
        <v>888</v>
      </c>
      <c r="C381" s="61" t="s">
        <v>889</v>
      </c>
      <c r="D381" s="61" t="s">
        <v>34</v>
      </c>
      <c r="E381" s="62" t="str">
        <f>IFERROR(VLOOKUP(Tableau242[[#This Row],[Manager ou CDM concerné]],Parametres!B:C,2,FALSE),"")</f>
        <v>Squad D</v>
      </c>
      <c r="F381" s="62" t="str">
        <f>IF(Tableau242[[#This Row],[Consultant]]=Tableau242[[#This Row],[Manager ou CDM concerné]],"Non",IF(IFERROR(VLOOKUP(Tableau242[[#This Row],[Consultant]],Parametres!B:C,2,FALSE),0)=0,"Non","Oui"))</f>
        <v>Non</v>
      </c>
      <c r="G381" s="62">
        <f>IFERROR(VLOOKUP(B381,Tableau5[#All],4,FALSE),"Matricule!")</f>
        <v>19</v>
      </c>
      <c r="H381" s="62" t="str">
        <f>IFERROR(VLOOKUP(Tableau242[[#This Row],[Company number]],#REF!,6,FALSE),"")</f>
        <v/>
      </c>
      <c r="I381" s="62">
        <f>IFERROR(VLOOKUP(B381,Tableau5[#All],5,FALSE),"Matricule!")</f>
        <v>1</v>
      </c>
      <c r="J381" s="62">
        <f>IFERROR(VLOOKUP(B381,Tableau5[#All],6,FALSE),"Matricule!")</f>
        <v>0</v>
      </c>
      <c r="K381" s="62">
        <f>IFERROR(VLOOKUP(B381,Tableau5[#All],7,FALSE),"Matricule!")</f>
        <v>0</v>
      </c>
      <c r="L381" s="62" t="e">
        <f>VLOOKUP(Tableau242[[#This Row],[Company number]],#REF!,25,FALSE)</f>
        <v>#REF!</v>
      </c>
      <c r="M381" s="62" t="str">
        <f>IFERROR(VLOOKUP(Tableau242[[#This Row],[Company number]],#REF!,30,FALSE),"")</f>
        <v/>
      </c>
      <c r="N381" s="62" t="str">
        <f>IFERROR(VLOOKUP(Tableau242[[#This Row],[Company number]],#REF!,31,FALSE),"")</f>
        <v/>
      </c>
      <c r="O381" s="62" t="str">
        <f>IFERROR(VLOOKUP(Tableau242[[#This Row],[Company number]],#REF!,32,FALSE),"")</f>
        <v/>
      </c>
      <c r="P381" s="62">
        <f>IFERROR(VLOOKUP(B381,Tableau3[#All],5,FALSE),"Matricule!")</f>
        <v>20</v>
      </c>
      <c r="Q381" s="62">
        <f>IFERROR(SUM(VLOOKUP(B381,Tableau3[#All],6,FALSE),VLOOKUP(B381,Tableau3[#All],8,FALSE)),"Matricule!")</f>
        <v>0</v>
      </c>
      <c r="R381" s="62">
        <f>IFERROR(VLOOKUP(B381,Tableau3[#All],7,FALSE),"Matricule!")</f>
        <v>0</v>
      </c>
      <c r="S381" s="62">
        <f>IFERROR(Tableau242[[#This Row],[Prod. days WK]]-Tableau242[[#This Row],[Prod PXX]],"Matricule")</f>
        <v>-1</v>
      </c>
      <c r="T381" s="62">
        <f>IFERROR(Tableau242[[#This Row],[Non prod. days WK]]-Tableau242[[#This Row],[Improd PXX]],"Matricule")</f>
        <v>1</v>
      </c>
      <c r="U381" s="62">
        <f>IFERROR(Tableau242[[#This Row],[Paid leave days WK]]-Tableau242[[#This Row],[Congé PXX]],"Matricule")</f>
        <v>0</v>
      </c>
      <c r="V381" s="63">
        <f>IFERROR(VLOOKUP($B381,#REF!,4,FALSE),0)</f>
        <v>0</v>
      </c>
      <c r="W38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81" s="63">
        <f>IF(AND(Tableau242[[#This Row],[Paid leave days]]&gt;0,Tableau242[[#This Row],[Prod. days]]&lt;0),MIN(Tableau242[[#This Row],[Paid leave days]],-Tableau242[[#This Row],[Prod. days]]),0)</f>
        <v>0</v>
      </c>
      <c r="Z381" s="63">
        <f>IFERROR(_xlfn.XLOOKUP(Tableau242[[#This Row],[Consultant]],Tableau2[Collaborateur/Nom affiché],Tableau2[Montant imputé],0),0)</f>
        <v>0</v>
      </c>
      <c r="AA381" s="64">
        <f t="shared" si="6"/>
        <v>-1</v>
      </c>
      <c r="AB381" s="65" t="s">
        <v>165</v>
      </c>
      <c r="AC381" s="66">
        <v>1</v>
      </c>
      <c r="AD381" s="66">
        <v>0.5</v>
      </c>
      <c r="AE381" s="105"/>
      <c r="AF381" s="90" t="s">
        <v>890</v>
      </c>
    </row>
    <row r="382" spans="1:32">
      <c r="A382" s="15">
        <f>Tableau242[[#This Row],[Company number]]+0</f>
        <v>22016</v>
      </c>
      <c r="B382" s="60" t="s">
        <v>891</v>
      </c>
      <c r="C382" s="61" t="s">
        <v>892</v>
      </c>
      <c r="D382" s="61" t="s">
        <v>34</v>
      </c>
      <c r="E382" s="62" t="str">
        <f>IFERROR(VLOOKUP(Tableau242[[#This Row],[Manager ou CDM concerné]],Parametres!B:C,2,FALSE),"")</f>
        <v>Squad D</v>
      </c>
      <c r="F382" s="62" t="str">
        <f>IF(Tableau242[[#This Row],[Consultant]]=Tableau242[[#This Row],[Manager ou CDM concerné]],"Non",IF(IFERROR(VLOOKUP(Tableau242[[#This Row],[Consultant]],Parametres!B:C,2,FALSE),0)=0,"Non","Oui"))</f>
        <v>Non</v>
      </c>
      <c r="G382" s="62">
        <f>IFERROR(VLOOKUP(B382,Tableau5[#All],4,FALSE),"Matricule!")</f>
        <v>19</v>
      </c>
      <c r="H382" s="62" t="str">
        <f>IFERROR(VLOOKUP(Tableau242[[#This Row],[Company number]],#REF!,6,FALSE),"")</f>
        <v/>
      </c>
      <c r="I382" s="62">
        <f>IFERROR(VLOOKUP(B382,Tableau5[#All],5,FALSE),"Matricule!")</f>
        <v>1</v>
      </c>
      <c r="J382" s="62">
        <f>IFERROR(VLOOKUP(B382,Tableau5[#All],6,FALSE),"Matricule!")</f>
        <v>0</v>
      </c>
      <c r="K382" s="62">
        <f>IFERROR(VLOOKUP(B382,Tableau5[#All],7,FALSE),"Matricule!")</f>
        <v>0</v>
      </c>
      <c r="L382" s="62" t="e">
        <f>VLOOKUP(Tableau242[[#This Row],[Company number]],#REF!,25,FALSE)</f>
        <v>#REF!</v>
      </c>
      <c r="M382" s="62" t="str">
        <f>IFERROR(VLOOKUP(Tableau242[[#This Row],[Company number]],#REF!,30,FALSE),"")</f>
        <v/>
      </c>
      <c r="N382" s="62" t="str">
        <f>IFERROR(VLOOKUP(Tableau242[[#This Row],[Company number]],#REF!,31,FALSE),"")</f>
        <v/>
      </c>
      <c r="O382" s="62" t="str">
        <f>IFERROR(VLOOKUP(Tableau242[[#This Row],[Company number]],#REF!,32,FALSE),"")</f>
        <v/>
      </c>
      <c r="P382" s="62">
        <f>IFERROR(VLOOKUP(B382,Tableau3[#All],5,FALSE),"Matricule!")</f>
        <v>20</v>
      </c>
      <c r="Q382" s="62">
        <f>IFERROR(SUM(VLOOKUP(B382,Tableau3[#All],6,FALSE),VLOOKUP(B382,Tableau3[#All],8,FALSE)),"Matricule!")</f>
        <v>0</v>
      </c>
      <c r="R382" s="62">
        <f>IFERROR(VLOOKUP(B382,Tableau3[#All],7,FALSE),"Matricule!")</f>
        <v>0</v>
      </c>
      <c r="S382" s="62">
        <f>IFERROR(Tableau242[[#This Row],[Prod. days WK]]-Tableau242[[#This Row],[Prod PXX]],"Matricule")</f>
        <v>-1</v>
      </c>
      <c r="T382" s="62">
        <f>IFERROR(Tableau242[[#This Row],[Non prod. days WK]]-Tableau242[[#This Row],[Improd PXX]],"Matricule")</f>
        <v>1</v>
      </c>
      <c r="U382" s="62">
        <f>IFERROR(Tableau242[[#This Row],[Paid leave days WK]]-Tableau242[[#This Row],[Congé PXX]],"Matricule")</f>
        <v>0</v>
      </c>
      <c r="V382" s="63">
        <f>IFERROR(VLOOKUP($B382,#REF!,4,FALSE),0)</f>
        <v>0</v>
      </c>
      <c r="W38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82" s="63">
        <f>IF(AND(Tableau242[[#This Row],[Paid leave days]]&gt;0,Tableau242[[#This Row],[Prod. days]]&lt;0),MIN(Tableau242[[#This Row],[Paid leave days]],-Tableau242[[#This Row],[Prod. days]]),0)</f>
        <v>0</v>
      </c>
      <c r="Z382" s="63">
        <f>IFERROR(_xlfn.XLOOKUP(Tableau242[[#This Row],[Consultant]],Tableau2[Collaborateur/Nom affiché],Tableau2[Montant imputé],0),0)</f>
        <v>0</v>
      </c>
      <c r="AA382" s="64">
        <f t="shared" si="6"/>
        <v>-1</v>
      </c>
      <c r="AB382" s="65" t="s">
        <v>154</v>
      </c>
      <c r="AC382" s="67"/>
      <c r="AD382" s="66"/>
      <c r="AE382" s="105"/>
      <c r="AF382" s="93" t="s">
        <v>893</v>
      </c>
    </row>
    <row r="383" spans="1:32">
      <c r="A383" s="15">
        <f>Tableau242[[#This Row],[Company number]]+0</f>
        <v>14688</v>
      </c>
      <c r="B383" s="60" t="s">
        <v>894</v>
      </c>
      <c r="C383" s="61" t="s">
        <v>895</v>
      </c>
      <c r="D383" s="61" t="s">
        <v>14</v>
      </c>
      <c r="E383" s="62" t="str">
        <f>IFERROR(VLOOKUP(Tableau242[[#This Row],[Manager ou CDM concerné]],Parametres!B:C,2,FALSE),"")</f>
        <v>Squad D</v>
      </c>
      <c r="F383" s="62" t="str">
        <f>IF(Tableau242[[#This Row],[Consultant]]=Tableau242[[#This Row],[Manager ou CDM concerné]],"Non",IF(IFERROR(VLOOKUP(Tableau242[[#This Row],[Consultant]],Parametres!B:C,2,FALSE),0)=0,"Non","Oui"))</f>
        <v>Non</v>
      </c>
      <c r="G383" s="62">
        <f>IFERROR(VLOOKUP(B383,Tableau5[#All],4,FALSE),"Matricule!")</f>
        <v>19</v>
      </c>
      <c r="H383" s="62" t="str">
        <f>IFERROR(VLOOKUP(Tableau242[[#This Row],[Company number]],#REF!,6,FALSE),"")</f>
        <v/>
      </c>
      <c r="I383" s="62">
        <f>IFERROR(VLOOKUP(B383,Tableau5[#All],5,FALSE),"Matricule!")</f>
        <v>1</v>
      </c>
      <c r="J383" s="62">
        <f>IFERROR(VLOOKUP(B383,Tableau5[#All],6,FALSE),"Matricule!")</f>
        <v>0</v>
      </c>
      <c r="K383" s="62">
        <f>IFERROR(VLOOKUP(B383,Tableau5[#All],7,FALSE),"Matricule!")</f>
        <v>0</v>
      </c>
      <c r="L383" s="62" t="e">
        <f>VLOOKUP(Tableau242[[#This Row],[Company number]],#REF!,25,FALSE)</f>
        <v>#REF!</v>
      </c>
      <c r="M383" s="62" t="str">
        <f>IFERROR(VLOOKUP(Tableau242[[#This Row],[Company number]],#REF!,30,FALSE),"")</f>
        <v/>
      </c>
      <c r="N383" s="62" t="str">
        <f>IFERROR(VLOOKUP(Tableau242[[#This Row],[Company number]],#REF!,31,FALSE),"")</f>
        <v/>
      </c>
      <c r="O383" s="62" t="str">
        <f>IFERROR(VLOOKUP(Tableau242[[#This Row],[Company number]],#REF!,32,FALSE),"")</f>
        <v/>
      </c>
      <c r="P383" s="62">
        <f>IFERROR(VLOOKUP(B383,Tableau3[#All],5,FALSE),"Matricule!")</f>
        <v>20</v>
      </c>
      <c r="Q383" s="62">
        <f>IFERROR(SUM(VLOOKUP(B383,Tableau3[#All],6,FALSE),VLOOKUP(B383,Tableau3[#All],8,FALSE)),"Matricule!")</f>
        <v>0</v>
      </c>
      <c r="R383" s="62">
        <f>IFERROR(VLOOKUP(B383,Tableau3[#All],7,FALSE),"Matricule!")</f>
        <v>0</v>
      </c>
      <c r="S383" s="62">
        <f>IFERROR(Tableau242[[#This Row],[Prod. days WK]]-Tableau242[[#This Row],[Prod PXX]],"Matricule")</f>
        <v>-1</v>
      </c>
      <c r="T383" s="62">
        <f>IFERROR(Tableau242[[#This Row],[Non prod. days WK]]-Tableau242[[#This Row],[Improd PXX]],"Matricule")</f>
        <v>1</v>
      </c>
      <c r="U383" s="62">
        <f>IFERROR(Tableau242[[#This Row],[Paid leave days WK]]-Tableau242[[#This Row],[Congé PXX]],"Matricule")</f>
        <v>0</v>
      </c>
      <c r="V383" s="63">
        <f>IFERROR(VLOOKUP($B383,#REF!,4,FALSE),0)</f>
        <v>0</v>
      </c>
      <c r="W38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83" s="63">
        <f>IF(AND(Tableau242[[#This Row],[Paid leave days]]&gt;0,Tableau242[[#This Row],[Prod. days]]&lt;0),MIN(Tableau242[[#This Row],[Paid leave days]],-Tableau242[[#This Row],[Prod. days]]),0)</f>
        <v>0</v>
      </c>
      <c r="Z383" s="63">
        <f>IFERROR(_xlfn.XLOOKUP(Tableau242[[#This Row],[Consultant]],Tableau2[Collaborateur/Nom affiché],Tableau2[Montant imputé],0),0)</f>
        <v>0</v>
      </c>
      <c r="AA383" s="64">
        <f t="shared" si="6"/>
        <v>-1</v>
      </c>
      <c r="AB383" s="65" t="s">
        <v>154</v>
      </c>
      <c r="AC383" s="66"/>
      <c r="AD383" s="66"/>
      <c r="AE383" s="105"/>
      <c r="AF383" s="90"/>
    </row>
    <row r="384" spans="1:32">
      <c r="A384" s="15">
        <f>Tableau242[[#This Row],[Company number]]+0</f>
        <v>14593</v>
      </c>
      <c r="B384" s="60" t="s">
        <v>896</v>
      </c>
      <c r="C384" s="61" t="s">
        <v>897</v>
      </c>
      <c r="D384" s="61" t="s">
        <v>14</v>
      </c>
      <c r="E384" s="62" t="str">
        <f>IFERROR(VLOOKUP(Tableau242[[#This Row],[Manager ou CDM concerné]],Parametres!B:C,2,FALSE),"")</f>
        <v>Squad D</v>
      </c>
      <c r="F384" s="62" t="str">
        <f>IF(Tableau242[[#This Row],[Consultant]]=Tableau242[[#This Row],[Manager ou CDM concerné]],"Non",IF(IFERROR(VLOOKUP(Tableau242[[#This Row],[Consultant]],Parametres!B:C,2,FALSE),0)=0,"Non","Oui"))</f>
        <v>Non</v>
      </c>
      <c r="G384" s="62">
        <f>IFERROR(VLOOKUP(B384,Tableau5[#All],4,FALSE),"Matricule!")</f>
        <v>19</v>
      </c>
      <c r="H384" s="62" t="str">
        <f>IFERROR(VLOOKUP(Tableau242[[#This Row],[Company number]],#REF!,6,FALSE),"")</f>
        <v/>
      </c>
      <c r="I384" s="62">
        <f>IFERROR(VLOOKUP(B384,Tableau5[#All],5,FALSE),"Matricule!")</f>
        <v>0.5</v>
      </c>
      <c r="J384" s="62">
        <f>IFERROR(VLOOKUP(B384,Tableau5[#All],6,FALSE),"Matricule!")</f>
        <v>0.5</v>
      </c>
      <c r="K384" s="62">
        <f>IFERROR(VLOOKUP(B384,Tableau5[#All],7,FALSE),"Matricule!")</f>
        <v>0</v>
      </c>
      <c r="L384" s="62" t="e">
        <f>VLOOKUP(Tableau242[[#This Row],[Company number]],#REF!,25,FALSE)</f>
        <v>#REF!</v>
      </c>
      <c r="M384" s="62" t="str">
        <f>IFERROR(VLOOKUP(Tableau242[[#This Row],[Company number]],#REF!,30,FALSE),"")</f>
        <v/>
      </c>
      <c r="N384" s="62" t="str">
        <f>IFERROR(VLOOKUP(Tableau242[[#This Row],[Company number]],#REF!,31,FALSE),"")</f>
        <v/>
      </c>
      <c r="O384" s="62" t="str">
        <f>IFERROR(VLOOKUP(Tableau242[[#This Row],[Company number]],#REF!,32,FALSE),"")</f>
        <v/>
      </c>
      <c r="P384" s="62">
        <f>IFERROR(VLOOKUP(B384,Tableau3[#All],5,FALSE),"Matricule!")</f>
        <v>20</v>
      </c>
      <c r="Q384" s="62">
        <f>IFERROR(SUM(VLOOKUP(B384,Tableau3[#All],6,FALSE),VLOOKUP(B384,Tableau3[#All],8,FALSE)),"Matricule!")</f>
        <v>0</v>
      </c>
      <c r="R384" s="62">
        <f>IFERROR(VLOOKUP(B384,Tableau3[#All],7,FALSE),"Matricule!")</f>
        <v>0</v>
      </c>
      <c r="S384" s="62">
        <f>IFERROR(Tableau242[[#This Row],[Prod. days WK]]-Tableau242[[#This Row],[Prod PXX]],"Matricule")</f>
        <v>-1</v>
      </c>
      <c r="T384" s="62">
        <f>IFERROR(Tableau242[[#This Row],[Non prod. days WK]]-Tableau242[[#This Row],[Improd PXX]],"Matricule")</f>
        <v>0.5</v>
      </c>
      <c r="U384" s="62">
        <f>IFERROR(Tableau242[[#This Row],[Paid leave days WK]]-Tableau242[[#This Row],[Congé PXX]],"Matricule")</f>
        <v>0.5</v>
      </c>
      <c r="V384" s="63">
        <f>IFERROR(VLOOKUP($B384,#REF!,4,FALSE),0)</f>
        <v>0</v>
      </c>
      <c r="W38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84" s="63">
        <f>IF(AND(Tableau242[[#This Row],[Paid leave days]]&gt;0,Tableau242[[#This Row],[Prod. days]]&lt;0),MIN(Tableau242[[#This Row],[Paid leave days]],-Tableau242[[#This Row],[Prod. days]]),0)</f>
        <v>0.5</v>
      </c>
      <c r="Z384" s="63">
        <f>IFERROR(_xlfn.XLOOKUP(Tableau242[[#This Row],[Consultant]],Tableau2[Collaborateur/Nom affiché],Tableau2[Montant imputé],0),0)</f>
        <v>0</v>
      </c>
      <c r="AA384" s="64">
        <f t="shared" si="6"/>
        <v>-1</v>
      </c>
      <c r="AB384" s="65" t="s">
        <v>154</v>
      </c>
      <c r="AC384" s="66"/>
      <c r="AD384" s="66"/>
      <c r="AE384" s="105"/>
      <c r="AF384" s="90"/>
    </row>
    <row r="385" spans="1:32">
      <c r="A385" s="15">
        <f>Tableau242[[#This Row],[Company number]]+0</f>
        <v>17908</v>
      </c>
      <c r="B385" s="60" t="s">
        <v>898</v>
      </c>
      <c r="C385" s="61" t="s">
        <v>899</v>
      </c>
      <c r="D385" s="61" t="s">
        <v>18</v>
      </c>
      <c r="E385" s="62" t="str">
        <f>IFERROR(VLOOKUP(Tableau242[[#This Row],[Manager ou CDM concerné]],Parametres!B:C,2,FALSE),"")</f>
        <v>Squad H</v>
      </c>
      <c r="F385" s="62" t="str">
        <f>IF(Tableau242[[#This Row],[Consultant]]=Tableau242[[#This Row],[Manager ou CDM concerné]],"Non",IF(IFERROR(VLOOKUP(Tableau242[[#This Row],[Consultant]],Parametres!B:C,2,FALSE),0)=0,"Non","Oui"))</f>
        <v>Non</v>
      </c>
      <c r="G385" s="62">
        <f>IFERROR(VLOOKUP(B385,Tableau5[#All],4,FALSE),"Matricule!")</f>
        <v>9</v>
      </c>
      <c r="H385" s="62" t="str">
        <f>IFERROR(VLOOKUP(Tableau242[[#This Row],[Company number]],#REF!,6,FALSE),"")</f>
        <v/>
      </c>
      <c r="I385" s="62">
        <f>IFERROR(VLOOKUP(B385,Tableau5[#All],5,FALSE),"Matricule!")</f>
        <v>10</v>
      </c>
      <c r="J385" s="62">
        <f>IFERROR(VLOOKUP(B385,Tableau5[#All],6,FALSE),"Matricule!")</f>
        <v>1</v>
      </c>
      <c r="K385" s="62">
        <f>IFERROR(VLOOKUP(B385,Tableau5[#All],7,FALSE),"Matricule!")</f>
        <v>0</v>
      </c>
      <c r="L385" s="62" t="e">
        <f>VLOOKUP(Tableau242[[#This Row],[Company number]],#REF!,25,FALSE)</f>
        <v>#REF!</v>
      </c>
      <c r="M385" s="62" t="str">
        <f>IFERROR(VLOOKUP(Tableau242[[#This Row],[Company number]],#REF!,30,FALSE),"")</f>
        <v/>
      </c>
      <c r="N385" s="62" t="str">
        <f>IFERROR(VLOOKUP(Tableau242[[#This Row],[Company number]],#REF!,31,FALSE),"")</f>
        <v/>
      </c>
      <c r="O385" s="62" t="str">
        <f>IFERROR(VLOOKUP(Tableau242[[#This Row],[Company number]],#REF!,32,FALSE),"")</f>
        <v/>
      </c>
      <c r="P385" s="62">
        <f>IFERROR(VLOOKUP(B385,Tableau3[#All],5,FALSE),"Matricule!")</f>
        <v>10</v>
      </c>
      <c r="Q385" s="62">
        <f>IFERROR(SUM(VLOOKUP(B385,Tableau3[#All],6,FALSE),VLOOKUP(B385,Tableau3[#All],8,FALSE)),"Matricule!")</f>
        <v>9</v>
      </c>
      <c r="R385" s="62">
        <f>IFERROR(VLOOKUP(B385,Tableau3[#All],7,FALSE),"Matricule!")</f>
        <v>1</v>
      </c>
      <c r="S385" s="62">
        <f>IFERROR(Tableau242[[#This Row],[Prod. days WK]]-Tableau242[[#This Row],[Prod PXX]],"Matricule")</f>
        <v>-1</v>
      </c>
      <c r="T385" s="62">
        <f>IFERROR(Tableau242[[#This Row],[Non prod. days WK]]-Tableau242[[#This Row],[Improd PXX]],"Matricule")</f>
        <v>1</v>
      </c>
      <c r="U385" s="62">
        <f>IFERROR(Tableau242[[#This Row],[Paid leave days WK]]-Tableau242[[#This Row],[Congé PXX]],"Matricule")</f>
        <v>0</v>
      </c>
      <c r="V385" s="63">
        <f>IFERROR(VLOOKUP($B385,#REF!,4,FALSE),0)</f>
        <v>0</v>
      </c>
      <c r="W38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385" s="63">
        <f>IF(AND(Tableau242[[#This Row],[Paid leave days]]&gt;0,Tableau242[[#This Row],[Prod. days]]&lt;0),MIN(Tableau242[[#This Row],[Paid leave days]],-Tableau242[[#This Row],[Prod. days]]),0)</f>
        <v>0</v>
      </c>
      <c r="Z385" s="63">
        <f>IFERROR(_xlfn.XLOOKUP(Tableau242[[#This Row],[Consultant]],Tableau2[Collaborateur/Nom affiché],Tableau2[Montant imputé],0),0)</f>
        <v>0</v>
      </c>
      <c r="AA385" s="64">
        <f t="shared" si="6"/>
        <v>-1</v>
      </c>
      <c r="AB385" s="65" t="s">
        <v>147</v>
      </c>
      <c r="AC385" s="66"/>
      <c r="AD385" s="66"/>
      <c r="AE385" s="105"/>
      <c r="AF385" s="90"/>
    </row>
    <row r="386" spans="1:32">
      <c r="A386" s="15">
        <f>Tableau242[[#This Row],[Company number]]+0</f>
        <v>18019</v>
      </c>
      <c r="B386" s="60" t="s">
        <v>900</v>
      </c>
      <c r="C386" s="61" t="s">
        <v>901</v>
      </c>
      <c r="D386" s="61" t="s">
        <v>14</v>
      </c>
      <c r="E386" s="62" t="str">
        <f>IFERROR(VLOOKUP(Tableau242[[#This Row],[Manager ou CDM concerné]],Parametres!B:C,2,FALSE),"")</f>
        <v>Squad D</v>
      </c>
      <c r="F386" s="62" t="str">
        <f>IF(Tableau242[[#This Row],[Consultant]]=Tableau242[[#This Row],[Manager ou CDM concerné]],"Non",IF(IFERROR(VLOOKUP(Tableau242[[#This Row],[Consultant]],Parametres!B:C,2,FALSE),0)=0,"Non","Oui"))</f>
        <v>Non</v>
      </c>
      <c r="G386" s="62">
        <f>IFERROR(VLOOKUP(B386,Tableau5[#All],4,FALSE),"Matricule!")</f>
        <v>9</v>
      </c>
      <c r="H386" s="62" t="str">
        <f>IFERROR(VLOOKUP(Tableau242[[#This Row],[Company number]],#REF!,6,FALSE),"")</f>
        <v/>
      </c>
      <c r="I386" s="62">
        <f>IFERROR(VLOOKUP(B386,Tableau5[#All],5,FALSE),"Matricule!")</f>
        <v>11</v>
      </c>
      <c r="J386" s="62">
        <f>IFERROR(VLOOKUP(B386,Tableau5[#All],6,FALSE),"Matricule!")</f>
        <v>0</v>
      </c>
      <c r="K386" s="62">
        <f>IFERROR(VLOOKUP(B386,Tableau5[#All],7,FALSE),"Matricule!")</f>
        <v>0</v>
      </c>
      <c r="L386" s="62" t="e">
        <f>VLOOKUP(Tableau242[[#This Row],[Company number]],#REF!,25,FALSE)</f>
        <v>#REF!</v>
      </c>
      <c r="M386" s="62" t="str">
        <f>IFERROR(VLOOKUP(Tableau242[[#This Row],[Company number]],#REF!,30,FALSE),"")</f>
        <v/>
      </c>
      <c r="N386" s="62" t="str">
        <f>IFERROR(VLOOKUP(Tableau242[[#This Row],[Company number]],#REF!,31,FALSE),"")</f>
        <v/>
      </c>
      <c r="O386" s="62" t="str">
        <f>IFERROR(VLOOKUP(Tableau242[[#This Row],[Company number]],#REF!,32,FALSE),"")</f>
        <v/>
      </c>
      <c r="P386" s="62">
        <f>IFERROR(VLOOKUP(B386,Tableau3[#All],5,FALSE),"Matricule!")</f>
        <v>20</v>
      </c>
      <c r="Q386" s="62">
        <f>IFERROR(SUM(VLOOKUP(B386,Tableau3[#All],6,FALSE),VLOOKUP(B386,Tableau3[#All],8,FALSE)),"Matricule!")</f>
        <v>0</v>
      </c>
      <c r="R386" s="62">
        <f>IFERROR(VLOOKUP(B386,Tableau3[#All],7,FALSE),"Matricule!")</f>
        <v>0</v>
      </c>
      <c r="S386" s="62">
        <f>IFERROR(Tableau242[[#This Row],[Prod. days WK]]-Tableau242[[#This Row],[Prod PXX]],"Matricule")</f>
        <v>-11</v>
      </c>
      <c r="T386" s="62">
        <f>IFERROR(Tableau242[[#This Row],[Non prod. days WK]]-Tableau242[[#This Row],[Improd PXX]],"Matricule")</f>
        <v>11</v>
      </c>
      <c r="U386" s="62">
        <f>IFERROR(Tableau242[[#This Row],[Paid leave days WK]]-Tableau242[[#This Row],[Congé PXX]],"Matricule")</f>
        <v>0</v>
      </c>
      <c r="V386" s="63">
        <f>IFERROR(VLOOKUP($B386,#REF!,4,FALSE),0)</f>
        <v>0</v>
      </c>
      <c r="W38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386" s="63">
        <f>IF(AND(Tableau242[[#This Row],[Paid leave days]]&gt;0,Tableau242[[#This Row],[Prod. days]]&lt;0),MIN(Tableau242[[#This Row],[Paid leave days]],-Tableau242[[#This Row],[Prod. days]]),0)</f>
        <v>0</v>
      </c>
      <c r="Z386" s="63">
        <f>IFERROR(_xlfn.XLOOKUP(Tableau242[[#This Row],[Consultant]],Tableau2[Collaborateur/Nom affiché],Tableau2[Montant imputé],0),0)</f>
        <v>11</v>
      </c>
      <c r="AA386" s="64">
        <f t="shared" si="6"/>
        <v>0</v>
      </c>
      <c r="AB386" s="65"/>
      <c r="AC386" s="66"/>
      <c r="AD386" s="66"/>
      <c r="AE386" s="105"/>
      <c r="AF386" s="90"/>
    </row>
    <row r="387" spans="1:32">
      <c r="A387" s="15">
        <f>Tableau242[[#This Row],[Company number]]+0</f>
        <v>16159</v>
      </c>
      <c r="B387" s="60" t="s">
        <v>902</v>
      </c>
      <c r="C387" s="61" t="s">
        <v>903</v>
      </c>
      <c r="D387" s="61" t="s">
        <v>14</v>
      </c>
      <c r="E387" s="62" t="str">
        <f>IFERROR(VLOOKUP(Tableau242[[#This Row],[Manager ou CDM concerné]],Parametres!B:C,2,FALSE),"")</f>
        <v>Squad D</v>
      </c>
      <c r="F387" s="62" t="str">
        <f>IF(Tableau242[[#This Row],[Consultant]]=Tableau242[[#This Row],[Manager ou CDM concerné]],"Non",IF(IFERROR(VLOOKUP(Tableau242[[#This Row],[Consultant]],Parametres!B:C,2,FALSE),0)=0,"Non","Oui"))</f>
        <v>Non</v>
      </c>
      <c r="G387" s="62">
        <f>IFERROR(VLOOKUP(B387,Tableau5[#All],4,FALSE),"Matricule!")</f>
        <v>11.5</v>
      </c>
      <c r="H387" s="62" t="str">
        <f>IFERROR(VLOOKUP(Tableau242[[#This Row],[Company number]],#REF!,6,FALSE),"")</f>
        <v/>
      </c>
      <c r="I387" s="62">
        <f>IFERROR(VLOOKUP(B387,Tableau5[#All],5,FALSE),"Matricule!")</f>
        <v>8.5</v>
      </c>
      <c r="J387" s="62">
        <f>IFERROR(VLOOKUP(B387,Tableau5[#All],6,FALSE),"Matricule!")</f>
        <v>0</v>
      </c>
      <c r="K387" s="62">
        <f>IFERROR(VLOOKUP(B387,Tableau5[#All],7,FALSE),"Matricule!")</f>
        <v>0</v>
      </c>
      <c r="L387" s="62" t="e">
        <f>VLOOKUP(Tableau242[[#This Row],[Company number]],#REF!,25,FALSE)</f>
        <v>#REF!</v>
      </c>
      <c r="M387" s="62" t="str">
        <f>IFERROR(VLOOKUP(Tableau242[[#This Row],[Company number]],#REF!,30,FALSE),"")</f>
        <v/>
      </c>
      <c r="N387" s="62" t="str">
        <f>IFERROR(VLOOKUP(Tableau242[[#This Row],[Company number]],#REF!,31,FALSE),"")</f>
        <v/>
      </c>
      <c r="O387" s="62" t="str">
        <f>IFERROR(VLOOKUP(Tableau242[[#This Row],[Company number]],#REF!,32,FALSE),"")</f>
        <v/>
      </c>
      <c r="P387" s="62">
        <f>IFERROR(VLOOKUP(B387,Tableau3[#All],5,FALSE),"Matricule!")</f>
        <v>10</v>
      </c>
      <c r="Q387" s="62">
        <f>IFERROR(SUM(VLOOKUP(B387,Tableau3[#All],6,FALSE),VLOOKUP(B387,Tableau3[#All],8,FALSE)),"Matricule!")</f>
        <v>10</v>
      </c>
      <c r="R387" s="62">
        <f>IFERROR(VLOOKUP(B387,Tableau3[#All],7,FALSE),"Matricule!")</f>
        <v>0</v>
      </c>
      <c r="S387" s="62">
        <f>IFERROR(Tableau242[[#This Row],[Prod. days WK]]-Tableau242[[#This Row],[Prod PXX]],"Matricule")</f>
        <v>1.5</v>
      </c>
      <c r="T387" s="62">
        <f>IFERROR(Tableau242[[#This Row],[Non prod. days WK]]-Tableau242[[#This Row],[Improd PXX]],"Matricule")</f>
        <v>-1.5</v>
      </c>
      <c r="U387" s="62">
        <f>IFERROR(Tableau242[[#This Row],[Paid leave days WK]]-Tableau242[[#This Row],[Congé PXX]],"Matricule")</f>
        <v>0</v>
      </c>
      <c r="V387" s="63">
        <f>IFERROR(VLOOKUP($B387,#REF!,4,FALSE),0)</f>
        <v>0</v>
      </c>
      <c r="W38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87" s="63">
        <f>IF(AND(Tableau242[[#This Row],[Paid leave days]]&gt;0,Tableau242[[#This Row],[Prod. days]]&lt;0),MIN(Tableau242[[#This Row],[Paid leave days]],-Tableau242[[#This Row],[Prod. days]]),0)</f>
        <v>0</v>
      </c>
      <c r="Z387" s="63">
        <f>IFERROR(_xlfn.XLOOKUP(Tableau242[[#This Row],[Consultant]],Tableau2[Collaborateur/Nom affiché],Tableau2[Montant imputé],0),0)</f>
        <v>0</v>
      </c>
      <c r="AA387" s="64">
        <f t="shared" si="6"/>
        <v>1.5</v>
      </c>
      <c r="AB387" s="65"/>
      <c r="AC387" s="66"/>
      <c r="AD387" s="66"/>
      <c r="AE387" s="105"/>
      <c r="AF387" s="90"/>
    </row>
    <row r="388" spans="1:32">
      <c r="A388" s="15">
        <f>Tableau242[[#This Row],[Company number]]+0</f>
        <v>21997</v>
      </c>
      <c r="B388" s="60" t="s">
        <v>904</v>
      </c>
      <c r="C388" s="61" t="s">
        <v>905</v>
      </c>
      <c r="D388" s="61" t="s">
        <v>68</v>
      </c>
      <c r="E388" s="62" t="str">
        <f>IFERROR(VLOOKUP(Tableau242[[#This Row],[Manager ou CDM concerné]],Parametres!B:C,2,FALSE),"")</f>
        <v>Squad H</v>
      </c>
      <c r="F388" s="62" t="str">
        <f>IF(Tableau242[[#This Row],[Consultant]]=Tableau242[[#This Row],[Manager ou CDM concerné]],"Non",IF(IFERROR(VLOOKUP(Tableau242[[#This Row],[Consultant]],Parametres!B:C,2,FALSE),0)=0,"Non","Oui"))</f>
        <v>Non</v>
      </c>
      <c r="G388" s="62">
        <f>IFERROR(VLOOKUP(B388,Tableau5[#All],4,FALSE),"Matricule!")</f>
        <v>20</v>
      </c>
      <c r="H388" s="62" t="str">
        <f>IFERROR(VLOOKUP(Tableau242[[#This Row],[Company number]],#REF!,6,FALSE),"")</f>
        <v/>
      </c>
      <c r="I388" s="62">
        <f>IFERROR(VLOOKUP(B388,Tableau5[#All],5,FALSE),"Matricule!")</f>
        <v>0</v>
      </c>
      <c r="J388" s="62">
        <f>IFERROR(VLOOKUP(B388,Tableau5[#All],6,FALSE),"Matricule!")</f>
        <v>0</v>
      </c>
      <c r="K388" s="62">
        <f>IFERROR(VLOOKUP(B388,Tableau5[#All],7,FALSE),"Matricule!")</f>
        <v>0</v>
      </c>
      <c r="L388" s="62" t="e">
        <f>VLOOKUP(Tableau242[[#This Row],[Company number]],#REF!,25,FALSE)</f>
        <v>#REF!</v>
      </c>
      <c r="M388" s="62" t="str">
        <f>IFERROR(VLOOKUP(Tableau242[[#This Row],[Company number]],#REF!,30,FALSE),"")</f>
        <v/>
      </c>
      <c r="N388" s="62" t="str">
        <f>IFERROR(VLOOKUP(Tableau242[[#This Row],[Company number]],#REF!,31,FALSE),"")</f>
        <v/>
      </c>
      <c r="O388" s="62" t="str">
        <f>IFERROR(VLOOKUP(Tableau242[[#This Row],[Company number]],#REF!,32,FALSE),"")</f>
        <v/>
      </c>
      <c r="P388" s="62">
        <f>IFERROR(VLOOKUP(B388,Tableau3[#All],5,FALSE),"Matricule!")</f>
        <v>20</v>
      </c>
      <c r="Q388" s="62">
        <f>IFERROR(SUM(VLOOKUP(B388,Tableau3[#All],6,FALSE),VLOOKUP(B388,Tableau3[#All],8,FALSE)),"Matricule!")</f>
        <v>0</v>
      </c>
      <c r="R388" s="62">
        <f>IFERROR(VLOOKUP(B388,Tableau3[#All],7,FALSE),"Matricule!")</f>
        <v>0</v>
      </c>
      <c r="S388" s="62">
        <f>IFERROR(Tableau242[[#This Row],[Prod. days WK]]-Tableau242[[#This Row],[Prod PXX]],"Matricule")</f>
        <v>0</v>
      </c>
      <c r="T388" s="62">
        <f>IFERROR(Tableau242[[#This Row],[Non prod. days WK]]-Tableau242[[#This Row],[Improd PXX]],"Matricule")</f>
        <v>0</v>
      </c>
      <c r="U388" s="62">
        <f>IFERROR(Tableau242[[#This Row],[Paid leave days WK]]-Tableau242[[#This Row],[Congé PXX]],"Matricule")</f>
        <v>0</v>
      </c>
      <c r="V388" s="63">
        <f>IFERROR(VLOOKUP($B388,#REF!,4,FALSE),0)</f>
        <v>0</v>
      </c>
      <c r="W38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88" s="63">
        <f>IF(AND(Tableau242[[#This Row],[Paid leave days]]&gt;0,Tableau242[[#This Row],[Prod. days]]&lt;0),MIN(Tableau242[[#This Row],[Paid leave days]],-Tableau242[[#This Row],[Prod. days]]),0)</f>
        <v>0</v>
      </c>
      <c r="Z388" s="63">
        <f>IFERROR(_xlfn.XLOOKUP(Tableau242[[#This Row],[Consultant]],Tableau2[Collaborateur/Nom affiché],Tableau2[Montant imputé],0),0)</f>
        <v>0</v>
      </c>
      <c r="AA388" s="64">
        <f t="shared" si="6"/>
        <v>0</v>
      </c>
      <c r="AB388" s="65"/>
      <c r="AC388" s="66"/>
      <c r="AD388" s="66"/>
      <c r="AE388" s="105"/>
      <c r="AF388" s="90"/>
    </row>
    <row r="389" spans="1:32">
      <c r="A389" s="15">
        <f>Tableau242[[#This Row],[Company number]]+0</f>
        <v>22058</v>
      </c>
      <c r="B389" s="60" t="s">
        <v>906</v>
      </c>
      <c r="C389" s="61" t="s">
        <v>907</v>
      </c>
      <c r="D389" s="61" t="s">
        <v>68</v>
      </c>
      <c r="E389" s="62" t="str">
        <f>IFERROR(VLOOKUP(Tableau242[[#This Row],[Manager ou CDM concerné]],Parametres!B:C,2,FALSE),"")</f>
        <v>Squad H</v>
      </c>
      <c r="F389" s="62" t="str">
        <f>IF(Tableau242[[#This Row],[Consultant]]=Tableau242[[#This Row],[Manager ou CDM concerné]],"Non",IF(IFERROR(VLOOKUP(Tableau242[[#This Row],[Consultant]],Parametres!B:C,2,FALSE),0)=0,"Non","Oui"))</f>
        <v>Non</v>
      </c>
      <c r="G389" s="62">
        <f>IFERROR(VLOOKUP(B389,Tableau5[#All],4,FALSE),"Matricule!")</f>
        <v>16</v>
      </c>
      <c r="H389" s="62" t="str">
        <f>IFERROR(VLOOKUP(Tableau242[[#This Row],[Company number]],#REF!,6,FALSE),"")</f>
        <v/>
      </c>
      <c r="I389" s="62">
        <f>IFERROR(VLOOKUP(B389,Tableau5[#All],5,FALSE),"Matricule!")</f>
        <v>4</v>
      </c>
      <c r="J389" s="62">
        <f>IFERROR(VLOOKUP(B389,Tableau5[#All],6,FALSE),"Matricule!")</f>
        <v>0</v>
      </c>
      <c r="K389" s="62">
        <f>IFERROR(VLOOKUP(B389,Tableau5[#All],7,FALSE),"Matricule!")</f>
        <v>0</v>
      </c>
      <c r="L389" s="62" t="e">
        <f>VLOOKUP(Tableau242[[#This Row],[Company number]],#REF!,25,FALSE)</f>
        <v>#REF!</v>
      </c>
      <c r="M389" s="62" t="str">
        <f>IFERROR(VLOOKUP(Tableau242[[#This Row],[Company number]],#REF!,30,FALSE),"")</f>
        <v/>
      </c>
      <c r="N389" s="62" t="str">
        <f>IFERROR(VLOOKUP(Tableau242[[#This Row],[Company number]],#REF!,31,FALSE),"")</f>
        <v/>
      </c>
      <c r="O389" s="62" t="str">
        <f>IFERROR(VLOOKUP(Tableau242[[#This Row],[Company number]],#REF!,32,FALSE),"")</f>
        <v/>
      </c>
      <c r="P389" s="62">
        <f>IFERROR(VLOOKUP(B389,Tableau3[#All],5,FALSE),"Matricule!")</f>
        <v>16</v>
      </c>
      <c r="Q389" s="62">
        <f>IFERROR(SUM(VLOOKUP(B389,Tableau3[#All],6,FALSE),VLOOKUP(B389,Tableau3[#All],8,FALSE)),"Matricule!")</f>
        <v>4</v>
      </c>
      <c r="R389" s="62">
        <f>IFERROR(VLOOKUP(B389,Tableau3[#All],7,FALSE),"Matricule!")</f>
        <v>0</v>
      </c>
      <c r="S389" s="62">
        <f>IFERROR(Tableau242[[#This Row],[Prod. days WK]]-Tableau242[[#This Row],[Prod PXX]],"Matricule")</f>
        <v>0</v>
      </c>
      <c r="T389" s="62">
        <f>IFERROR(Tableau242[[#This Row],[Non prod. days WK]]-Tableau242[[#This Row],[Improd PXX]],"Matricule")</f>
        <v>0</v>
      </c>
      <c r="U389" s="62">
        <f>IFERROR(Tableau242[[#This Row],[Paid leave days WK]]-Tableau242[[#This Row],[Congé PXX]],"Matricule")</f>
        <v>0</v>
      </c>
      <c r="V389" s="63">
        <f>IFERROR(VLOOKUP($B389,#REF!,4,FALSE),0)</f>
        <v>0</v>
      </c>
      <c r="W38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8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389" s="63">
        <f>IF(AND(Tableau242[[#This Row],[Paid leave days]]&gt;0,Tableau242[[#This Row],[Prod. days]]&lt;0),MIN(Tableau242[[#This Row],[Paid leave days]],-Tableau242[[#This Row],[Prod. days]]),0)</f>
        <v>0</v>
      </c>
      <c r="Z389" s="63">
        <f>IFERROR(_xlfn.XLOOKUP(Tableau242[[#This Row],[Consultant]],Tableau2[Collaborateur/Nom affiché],Tableau2[Montant imputé],0),0)</f>
        <v>0</v>
      </c>
      <c r="AA389" s="64">
        <f t="shared" si="6"/>
        <v>0</v>
      </c>
      <c r="AB389" s="65"/>
      <c r="AC389" s="66"/>
      <c r="AD389" s="66"/>
      <c r="AE389" s="105"/>
      <c r="AF389" s="90"/>
    </row>
    <row r="390" spans="1:32">
      <c r="A390" s="15">
        <f>Tableau242[[#This Row],[Company number]]+0</f>
        <v>14704</v>
      </c>
      <c r="B390" s="60" t="s">
        <v>908</v>
      </c>
      <c r="C390" s="61" t="s">
        <v>909</v>
      </c>
      <c r="D390" s="61" t="s">
        <v>66</v>
      </c>
      <c r="E390" s="62" t="str">
        <f>IFERROR(VLOOKUP(Tableau242[[#This Row],[Manager ou CDM concerné]],Parametres!B:C,2,FALSE),"")</f>
        <v>Squad H</v>
      </c>
      <c r="F390" s="62" t="str">
        <f>IF(Tableau242[[#This Row],[Consultant]]=Tableau242[[#This Row],[Manager ou CDM concerné]],"Non",IF(IFERROR(VLOOKUP(Tableau242[[#This Row],[Consultant]],Parametres!B:C,2,FALSE),0)=0,"Non","Oui"))</f>
        <v>Non</v>
      </c>
      <c r="G390" s="62">
        <f>IFERROR(VLOOKUP(B390,Tableau5[#All],4,FALSE),"Matricule!")</f>
        <v>20</v>
      </c>
      <c r="H390" s="62" t="str">
        <f>IFERROR(VLOOKUP(Tableau242[[#This Row],[Company number]],#REF!,6,FALSE),"")</f>
        <v/>
      </c>
      <c r="I390" s="62">
        <f>IFERROR(VLOOKUP(B390,Tableau5[#All],5,FALSE),"Matricule!")</f>
        <v>0</v>
      </c>
      <c r="J390" s="62">
        <f>IFERROR(VLOOKUP(B390,Tableau5[#All],6,FALSE),"Matricule!")</f>
        <v>0</v>
      </c>
      <c r="K390" s="62">
        <f>IFERROR(VLOOKUP(B390,Tableau5[#All],7,FALSE),"Matricule!")</f>
        <v>0</v>
      </c>
      <c r="L390" s="62" t="e">
        <f>VLOOKUP(Tableau242[[#This Row],[Company number]],#REF!,25,FALSE)</f>
        <v>#REF!</v>
      </c>
      <c r="M390" s="62" t="str">
        <f>IFERROR(VLOOKUP(Tableau242[[#This Row],[Company number]],#REF!,30,FALSE),"")</f>
        <v/>
      </c>
      <c r="N390" s="62" t="str">
        <f>IFERROR(VLOOKUP(Tableau242[[#This Row],[Company number]],#REF!,31,FALSE),"")</f>
        <v/>
      </c>
      <c r="O390" s="62" t="str">
        <f>IFERROR(VLOOKUP(Tableau242[[#This Row],[Company number]],#REF!,32,FALSE),"")</f>
        <v/>
      </c>
      <c r="P390" s="62">
        <f>IFERROR(VLOOKUP(B390,Tableau3[#All],5,FALSE),"Matricule!")</f>
        <v>20</v>
      </c>
      <c r="Q390" s="62">
        <f>IFERROR(SUM(VLOOKUP(B390,Tableau3[#All],6,FALSE),VLOOKUP(B390,Tableau3[#All],8,FALSE)),"Matricule!")</f>
        <v>0</v>
      </c>
      <c r="R390" s="62">
        <f>IFERROR(VLOOKUP(B390,Tableau3[#All],7,FALSE),"Matricule!")</f>
        <v>0</v>
      </c>
      <c r="S390" s="62">
        <f>IFERROR(Tableau242[[#This Row],[Prod. days WK]]-Tableau242[[#This Row],[Prod PXX]],"Matricule")</f>
        <v>0</v>
      </c>
      <c r="T390" s="62">
        <f>IFERROR(Tableau242[[#This Row],[Non prod. days WK]]-Tableau242[[#This Row],[Improd PXX]],"Matricule")</f>
        <v>0</v>
      </c>
      <c r="U390" s="62">
        <f>IFERROR(Tableau242[[#This Row],[Paid leave days WK]]-Tableau242[[#This Row],[Congé PXX]],"Matricule")</f>
        <v>0</v>
      </c>
      <c r="V390" s="63">
        <f>IFERROR(VLOOKUP($B390,#REF!,4,FALSE),0)</f>
        <v>0</v>
      </c>
      <c r="W39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0" s="63">
        <f>IF(AND(Tableau242[[#This Row],[Paid leave days]]&gt;0,Tableau242[[#This Row],[Prod. days]]&lt;0),MIN(Tableau242[[#This Row],[Paid leave days]],-Tableau242[[#This Row],[Prod. days]]),0)</f>
        <v>0</v>
      </c>
      <c r="Z390" s="63">
        <f>IFERROR(_xlfn.XLOOKUP(Tableau242[[#This Row],[Consultant]],Tableau2[Collaborateur/Nom affiché],Tableau2[Montant imputé],0),0)</f>
        <v>0</v>
      </c>
      <c r="AA390" s="64">
        <f t="shared" si="6"/>
        <v>0</v>
      </c>
      <c r="AB390" s="65"/>
      <c r="AC390" s="66"/>
      <c r="AD390" s="66"/>
      <c r="AE390" s="105"/>
      <c r="AF390" s="90"/>
    </row>
    <row r="391" spans="1:32">
      <c r="A391" s="15">
        <f>Tableau242[[#This Row],[Company number]]+0</f>
        <v>20786</v>
      </c>
      <c r="B391" s="60" t="s">
        <v>910</v>
      </c>
      <c r="C391" s="61" t="s">
        <v>911</v>
      </c>
      <c r="D391" s="61" t="s">
        <v>66</v>
      </c>
      <c r="E391" s="62" t="str">
        <f>IFERROR(VLOOKUP(Tableau242[[#This Row],[Manager ou CDM concerné]],Parametres!B:C,2,FALSE),"")</f>
        <v>Squad H</v>
      </c>
      <c r="F391" s="62" t="str">
        <f>IF(Tableau242[[#This Row],[Consultant]]=Tableau242[[#This Row],[Manager ou CDM concerné]],"Non",IF(IFERROR(VLOOKUP(Tableau242[[#This Row],[Consultant]],Parametres!B:C,2,FALSE),0)=0,"Non","Oui"))</f>
        <v>Non</v>
      </c>
      <c r="G391" s="62">
        <f>IFERROR(VLOOKUP(B391,Tableau5[#All],4,FALSE),"Matricule!")</f>
        <v>20</v>
      </c>
      <c r="H391" s="62" t="str">
        <f>IFERROR(VLOOKUP(Tableau242[[#This Row],[Company number]],#REF!,6,FALSE),"")</f>
        <v/>
      </c>
      <c r="I391" s="62">
        <f>IFERROR(VLOOKUP(B391,Tableau5[#All],5,FALSE),"Matricule!")</f>
        <v>0</v>
      </c>
      <c r="J391" s="62">
        <f>IFERROR(VLOOKUP(B391,Tableau5[#All],6,FALSE),"Matricule!")</f>
        <v>0</v>
      </c>
      <c r="K391" s="62">
        <f>IFERROR(VLOOKUP(B391,Tableau5[#All],7,FALSE),"Matricule!")</f>
        <v>0</v>
      </c>
      <c r="L391" s="62" t="e">
        <f>VLOOKUP(Tableau242[[#This Row],[Company number]],#REF!,25,FALSE)</f>
        <v>#REF!</v>
      </c>
      <c r="M391" s="62" t="str">
        <f>IFERROR(VLOOKUP(Tableau242[[#This Row],[Company number]],#REF!,30,FALSE),"")</f>
        <v/>
      </c>
      <c r="N391" s="62" t="str">
        <f>IFERROR(VLOOKUP(Tableau242[[#This Row],[Company number]],#REF!,31,FALSE),"")</f>
        <v/>
      </c>
      <c r="O391" s="62" t="str">
        <f>IFERROR(VLOOKUP(Tableau242[[#This Row],[Company number]],#REF!,32,FALSE),"")</f>
        <v/>
      </c>
      <c r="P391" s="62">
        <f>IFERROR(VLOOKUP(B391,Tableau3[#All],5,FALSE),"Matricule!")</f>
        <v>20</v>
      </c>
      <c r="Q391" s="62">
        <f>IFERROR(SUM(VLOOKUP(B391,Tableau3[#All],6,FALSE),VLOOKUP(B391,Tableau3[#All],8,FALSE)),"Matricule!")</f>
        <v>0</v>
      </c>
      <c r="R391" s="62">
        <f>IFERROR(VLOOKUP(B391,Tableau3[#All],7,FALSE),"Matricule!")</f>
        <v>0</v>
      </c>
      <c r="S391" s="62">
        <f>IFERROR(Tableau242[[#This Row],[Prod. days WK]]-Tableau242[[#This Row],[Prod PXX]],"Matricule")</f>
        <v>0</v>
      </c>
      <c r="T391" s="62">
        <f>IFERROR(Tableau242[[#This Row],[Non prod. days WK]]-Tableau242[[#This Row],[Improd PXX]],"Matricule")</f>
        <v>0</v>
      </c>
      <c r="U391" s="62">
        <f>IFERROR(Tableau242[[#This Row],[Paid leave days WK]]-Tableau242[[#This Row],[Congé PXX]],"Matricule")</f>
        <v>0</v>
      </c>
      <c r="V391" s="63">
        <f>IFERROR(VLOOKUP($B391,#REF!,4,FALSE),0)</f>
        <v>0</v>
      </c>
      <c r="W39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1" s="63">
        <f>IF(AND(Tableau242[[#This Row],[Paid leave days]]&gt;0,Tableau242[[#This Row],[Prod. days]]&lt;0),MIN(Tableau242[[#This Row],[Paid leave days]],-Tableau242[[#This Row],[Prod. days]]),0)</f>
        <v>0</v>
      </c>
      <c r="Z391" s="63">
        <f>IFERROR(_xlfn.XLOOKUP(Tableau242[[#This Row],[Consultant]],Tableau2[Collaborateur/Nom affiché],Tableau2[Montant imputé],0),0)</f>
        <v>0</v>
      </c>
      <c r="AA391" s="64">
        <f t="shared" si="6"/>
        <v>0</v>
      </c>
      <c r="AB391" s="65"/>
      <c r="AC391" s="66"/>
      <c r="AD391" s="66"/>
      <c r="AE391" s="114"/>
      <c r="AF391" s="90"/>
    </row>
    <row r="392" spans="1:32">
      <c r="A392" s="15">
        <f>Tableau242[[#This Row],[Company number]]+0</f>
        <v>15483</v>
      </c>
      <c r="B392" s="60" t="s">
        <v>912</v>
      </c>
      <c r="C392" s="61" t="s">
        <v>913</v>
      </c>
      <c r="D392" s="61" t="s">
        <v>66</v>
      </c>
      <c r="E392" s="62" t="str">
        <f>IFERROR(VLOOKUP(Tableau242[[#This Row],[Manager ou CDM concerné]],Parametres!B:C,2,FALSE),"")</f>
        <v>Squad H</v>
      </c>
      <c r="F392" s="62" t="str">
        <f>IF(Tableau242[[#This Row],[Consultant]]=Tableau242[[#This Row],[Manager ou CDM concerné]],"Non",IF(IFERROR(VLOOKUP(Tableau242[[#This Row],[Consultant]],Parametres!B:C,2,FALSE),0)=0,"Non","Oui"))</f>
        <v>Non</v>
      </c>
      <c r="G392" s="62">
        <f>IFERROR(VLOOKUP(B392,Tableau5[#All],4,FALSE),"Matricule!")</f>
        <v>20</v>
      </c>
      <c r="H392" s="62" t="str">
        <f>IFERROR(VLOOKUP(Tableau242[[#This Row],[Company number]],#REF!,6,FALSE),"")</f>
        <v/>
      </c>
      <c r="I392" s="62">
        <f>IFERROR(VLOOKUP(B392,Tableau5[#All],5,FALSE),"Matricule!")</f>
        <v>0</v>
      </c>
      <c r="J392" s="62">
        <f>IFERROR(VLOOKUP(B392,Tableau5[#All],6,FALSE),"Matricule!")</f>
        <v>0</v>
      </c>
      <c r="K392" s="62">
        <f>IFERROR(VLOOKUP(B392,Tableau5[#All],7,FALSE),"Matricule!")</f>
        <v>0</v>
      </c>
      <c r="L392" s="62" t="e">
        <f>VLOOKUP(Tableau242[[#This Row],[Company number]],#REF!,25,FALSE)</f>
        <v>#REF!</v>
      </c>
      <c r="M392" s="62" t="str">
        <f>IFERROR(VLOOKUP(Tableau242[[#This Row],[Company number]],#REF!,30,FALSE),"")</f>
        <v/>
      </c>
      <c r="N392" s="62" t="str">
        <f>IFERROR(VLOOKUP(Tableau242[[#This Row],[Company number]],#REF!,31,FALSE),"")</f>
        <v/>
      </c>
      <c r="O392" s="62" t="str">
        <f>IFERROR(VLOOKUP(Tableau242[[#This Row],[Company number]],#REF!,32,FALSE),"")</f>
        <v/>
      </c>
      <c r="P392" s="62">
        <f>IFERROR(VLOOKUP(B392,Tableau3[#All],5,FALSE),"Matricule!")</f>
        <v>20</v>
      </c>
      <c r="Q392" s="62">
        <f>IFERROR(SUM(VLOOKUP(B392,Tableau3[#All],6,FALSE),VLOOKUP(B392,Tableau3[#All],8,FALSE)),"Matricule!")</f>
        <v>0</v>
      </c>
      <c r="R392" s="62">
        <f>IFERROR(VLOOKUP(B392,Tableau3[#All],7,FALSE),"Matricule!")</f>
        <v>0</v>
      </c>
      <c r="S392" s="62">
        <f>IFERROR(Tableau242[[#This Row],[Prod. days WK]]-Tableau242[[#This Row],[Prod PXX]],"Matricule")</f>
        <v>0</v>
      </c>
      <c r="T392" s="62">
        <f>IFERROR(Tableau242[[#This Row],[Non prod. days WK]]-Tableau242[[#This Row],[Improd PXX]],"Matricule")</f>
        <v>0</v>
      </c>
      <c r="U392" s="62">
        <f>IFERROR(Tableau242[[#This Row],[Paid leave days WK]]-Tableau242[[#This Row],[Congé PXX]],"Matricule")</f>
        <v>0</v>
      </c>
      <c r="V392" s="63">
        <f>IFERROR(VLOOKUP($B392,#REF!,4,FALSE),0)</f>
        <v>0</v>
      </c>
      <c r="W39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2" s="63">
        <f>IF(AND(Tableau242[[#This Row],[Paid leave days]]&gt;0,Tableau242[[#This Row],[Prod. days]]&lt;0),MIN(Tableau242[[#This Row],[Paid leave days]],-Tableau242[[#This Row],[Prod. days]]),0)</f>
        <v>0</v>
      </c>
      <c r="Z392" s="63">
        <f>IFERROR(_xlfn.XLOOKUP(Tableau242[[#This Row],[Consultant]],Tableau2[Collaborateur/Nom affiché],Tableau2[Montant imputé],0),0)</f>
        <v>0</v>
      </c>
      <c r="AA392" s="64">
        <f t="shared" si="6"/>
        <v>0</v>
      </c>
      <c r="AB392" s="78"/>
      <c r="AC392" s="67"/>
      <c r="AD392" s="67"/>
      <c r="AE392" s="39"/>
      <c r="AF392" s="92"/>
    </row>
    <row r="393" spans="1:32">
      <c r="A393" s="15">
        <f>Tableau242[[#This Row],[Company number]]+0</f>
        <v>16270</v>
      </c>
      <c r="B393" s="60" t="s">
        <v>914</v>
      </c>
      <c r="C393" s="61" t="s">
        <v>915</v>
      </c>
      <c r="D393" s="61" t="s">
        <v>66</v>
      </c>
      <c r="E393" s="62" t="str">
        <f>IFERROR(VLOOKUP(Tableau242[[#This Row],[Manager ou CDM concerné]],Parametres!B:C,2,FALSE),"")</f>
        <v>Squad H</v>
      </c>
      <c r="F393" s="62" t="str">
        <f>IF(Tableau242[[#This Row],[Consultant]]=Tableau242[[#This Row],[Manager ou CDM concerné]],"Non",IF(IFERROR(VLOOKUP(Tableau242[[#This Row],[Consultant]],Parametres!B:C,2,FALSE),0)=0,"Non","Oui"))</f>
        <v>Non</v>
      </c>
      <c r="G393" s="62">
        <f>IFERROR(VLOOKUP(B393,Tableau5[#All],4,FALSE),"Matricule!")</f>
        <v>15</v>
      </c>
      <c r="H393" s="62" t="str">
        <f>IFERROR(VLOOKUP(Tableau242[[#This Row],[Company number]],#REF!,6,FALSE),"")</f>
        <v/>
      </c>
      <c r="I393" s="62">
        <f>IFERROR(VLOOKUP(B393,Tableau5[#All],5,FALSE),"Matricule!")</f>
        <v>0</v>
      </c>
      <c r="J393" s="62">
        <f>IFERROR(VLOOKUP(B393,Tableau5[#All],6,FALSE),"Matricule!")</f>
        <v>5</v>
      </c>
      <c r="K393" s="62">
        <f>IFERROR(VLOOKUP(B393,Tableau5[#All],7,FALSE),"Matricule!")</f>
        <v>0</v>
      </c>
      <c r="L393" s="62" t="e">
        <f>VLOOKUP(Tableau242[[#This Row],[Company number]],#REF!,25,FALSE)</f>
        <v>#REF!</v>
      </c>
      <c r="M393" s="62" t="str">
        <f>IFERROR(VLOOKUP(Tableau242[[#This Row],[Company number]],#REF!,30,FALSE),"")</f>
        <v/>
      </c>
      <c r="N393" s="62" t="str">
        <f>IFERROR(VLOOKUP(Tableau242[[#This Row],[Company number]],#REF!,31,FALSE),"")</f>
        <v/>
      </c>
      <c r="O393" s="62" t="str">
        <f>IFERROR(VLOOKUP(Tableau242[[#This Row],[Company number]],#REF!,32,FALSE),"")</f>
        <v/>
      </c>
      <c r="P393" s="62">
        <f>IFERROR(VLOOKUP(B393,Tableau3[#All],5,FALSE),"Matricule!")</f>
        <v>15</v>
      </c>
      <c r="Q393" s="62">
        <f>IFERROR(SUM(VLOOKUP(B393,Tableau3[#All],6,FALSE),VLOOKUP(B393,Tableau3[#All],8,FALSE)),"Matricule!")</f>
        <v>0</v>
      </c>
      <c r="R393" s="62">
        <f>IFERROR(VLOOKUP(B393,Tableau3[#All],7,FALSE),"Matricule!")</f>
        <v>5</v>
      </c>
      <c r="S393" s="62">
        <f>IFERROR(Tableau242[[#This Row],[Prod. days WK]]-Tableau242[[#This Row],[Prod PXX]],"Matricule")</f>
        <v>0</v>
      </c>
      <c r="T393" s="62">
        <f>IFERROR(Tableau242[[#This Row],[Non prod. days WK]]-Tableau242[[#This Row],[Improd PXX]],"Matricule")</f>
        <v>0</v>
      </c>
      <c r="U393" s="62">
        <f>IFERROR(Tableau242[[#This Row],[Paid leave days WK]]-Tableau242[[#This Row],[Congé PXX]],"Matricule")</f>
        <v>0</v>
      </c>
      <c r="V393" s="63">
        <f>IFERROR(VLOOKUP($B393,#REF!,4,FALSE),0)</f>
        <v>0</v>
      </c>
      <c r="W39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3" s="63">
        <f>IF(AND(Tableau242[[#This Row],[Paid leave days]]&gt;0,Tableau242[[#This Row],[Prod. days]]&lt;0),MIN(Tableau242[[#This Row],[Paid leave days]],-Tableau242[[#This Row],[Prod. days]]),0)</f>
        <v>0</v>
      </c>
      <c r="Z393" s="63">
        <f>IFERROR(_xlfn.XLOOKUP(Tableau242[[#This Row],[Consultant]],Tableau2[Collaborateur/Nom affiché],Tableau2[Montant imputé],0),0)</f>
        <v>0</v>
      </c>
      <c r="AA393" s="64">
        <f t="shared" si="6"/>
        <v>0</v>
      </c>
      <c r="AB393" s="65"/>
      <c r="AC393" s="66"/>
      <c r="AD393" s="66"/>
      <c r="AE393" s="39"/>
      <c r="AF393" s="90"/>
    </row>
    <row r="394" spans="1:32">
      <c r="A394" s="15">
        <f>Tableau242[[#This Row],[Company number]]+0</f>
        <v>14468</v>
      </c>
      <c r="B394" s="60" t="s">
        <v>916</v>
      </c>
      <c r="C394" s="61" t="s">
        <v>917</v>
      </c>
      <c r="D394" s="61" t="s">
        <v>66</v>
      </c>
      <c r="E394" s="62" t="str">
        <f>IFERROR(VLOOKUP(Tableau242[[#This Row],[Manager ou CDM concerné]],Parametres!B:C,2,FALSE),"")</f>
        <v>Squad H</v>
      </c>
      <c r="F394" s="62" t="str">
        <f>IF(Tableau242[[#This Row],[Consultant]]=Tableau242[[#This Row],[Manager ou CDM concerné]],"Non",IF(IFERROR(VLOOKUP(Tableau242[[#This Row],[Consultant]],Parametres!B:C,2,FALSE),0)=0,"Non","Oui"))</f>
        <v>Non</v>
      </c>
      <c r="G394" s="62">
        <f>IFERROR(VLOOKUP(B394,Tableau5[#All],4,FALSE),"Matricule!")</f>
        <v>0</v>
      </c>
      <c r="H394" s="62" t="str">
        <f>IFERROR(VLOOKUP(Tableau242[[#This Row],[Company number]],#REF!,6,FALSE),"")</f>
        <v/>
      </c>
      <c r="I394" s="62">
        <f>IFERROR(VLOOKUP(B394,Tableau5[#All],5,FALSE),"Matricule!")</f>
        <v>0</v>
      </c>
      <c r="J394" s="62">
        <f>IFERROR(VLOOKUP(B394,Tableau5[#All],6,FALSE),"Matricule!")</f>
        <v>0</v>
      </c>
      <c r="K394" s="62">
        <f>IFERROR(VLOOKUP(B394,Tableau5[#All],7,FALSE),"Matricule!")</f>
        <v>20</v>
      </c>
      <c r="L394" s="62" t="e">
        <f>VLOOKUP(Tableau242[[#This Row],[Company number]],#REF!,25,FALSE)</f>
        <v>#REF!</v>
      </c>
      <c r="M394" s="62" t="str">
        <f>IFERROR(VLOOKUP(Tableau242[[#This Row],[Company number]],#REF!,30,FALSE),"")</f>
        <v/>
      </c>
      <c r="N394" s="62" t="str">
        <f>IFERROR(VLOOKUP(Tableau242[[#This Row],[Company number]],#REF!,31,FALSE),"")</f>
        <v/>
      </c>
      <c r="O394" s="62" t="str">
        <f>IFERROR(VLOOKUP(Tableau242[[#This Row],[Company number]],#REF!,32,FALSE),"")</f>
        <v/>
      </c>
      <c r="P394" s="62">
        <f>IFERROR(VLOOKUP(B394,Tableau3[#All],5,FALSE),"Matricule!")</f>
        <v>0</v>
      </c>
      <c r="Q394" s="62">
        <f>IFERROR(SUM(VLOOKUP(B394,Tableau3[#All],6,FALSE),VLOOKUP(B394,Tableau3[#All],8,FALSE)),"Matricule!")</f>
        <v>0</v>
      </c>
      <c r="R394" s="62">
        <f>IFERROR(VLOOKUP(B394,Tableau3[#All],7,FALSE),"Matricule!")</f>
        <v>0</v>
      </c>
      <c r="S394" s="62">
        <f>IFERROR(Tableau242[[#This Row],[Prod. days WK]]-Tableau242[[#This Row],[Prod PXX]],"Matricule")</f>
        <v>0</v>
      </c>
      <c r="T394" s="62">
        <f>IFERROR(Tableau242[[#This Row],[Non prod. days WK]]-Tableau242[[#This Row],[Improd PXX]],"Matricule")</f>
        <v>0</v>
      </c>
      <c r="U394" s="62">
        <f>IFERROR(Tableau242[[#This Row],[Paid leave days WK]]-Tableau242[[#This Row],[Congé PXX]],"Matricule")</f>
        <v>0</v>
      </c>
      <c r="V394" s="63">
        <f>IFERROR(VLOOKUP($B394,#REF!,4,FALSE),0)</f>
        <v>0</v>
      </c>
      <c r="W39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4" s="63">
        <f>IF(AND(Tableau242[[#This Row],[Paid leave days]]&gt;0,Tableau242[[#This Row],[Prod. days]]&lt;0),MIN(Tableau242[[#This Row],[Paid leave days]],-Tableau242[[#This Row],[Prod. days]]),0)</f>
        <v>0</v>
      </c>
      <c r="Z394" s="63">
        <f>IFERROR(_xlfn.XLOOKUP(Tableau242[[#This Row],[Consultant]],Tableau2[Collaborateur/Nom affiché],Tableau2[Montant imputé],0),0)</f>
        <v>0</v>
      </c>
      <c r="AA394" s="64">
        <f t="shared" si="6"/>
        <v>0</v>
      </c>
      <c r="AB394" s="78"/>
      <c r="AC394" s="67"/>
      <c r="AD394" s="67"/>
      <c r="AE394" s="106"/>
      <c r="AF394" s="92"/>
    </row>
    <row r="395" spans="1:32">
      <c r="A395" s="15">
        <f>Tableau242[[#This Row],[Company number]]+0</f>
        <v>15378</v>
      </c>
      <c r="B395" s="60" t="s">
        <v>918</v>
      </c>
      <c r="C395" s="61" t="s">
        <v>919</v>
      </c>
      <c r="D395" s="61" t="s">
        <v>66</v>
      </c>
      <c r="E395" s="62" t="str">
        <f>IFERROR(VLOOKUP(Tableau242[[#This Row],[Manager ou CDM concerné]],Parametres!B:C,2,FALSE),"")</f>
        <v>Squad H</v>
      </c>
      <c r="F395" s="62" t="str">
        <f>IF(Tableau242[[#This Row],[Consultant]]=Tableau242[[#This Row],[Manager ou CDM concerné]],"Non",IF(IFERROR(VLOOKUP(Tableau242[[#This Row],[Consultant]],Parametres!B:C,2,FALSE),0)=0,"Non","Oui"))</f>
        <v>Non</v>
      </c>
      <c r="G395" s="62">
        <f>IFERROR(VLOOKUP(B395,Tableau5[#All],4,FALSE),"Matricule!")</f>
        <v>20</v>
      </c>
      <c r="H395" s="62" t="str">
        <f>IFERROR(VLOOKUP(Tableau242[[#This Row],[Company number]],#REF!,6,FALSE),"")</f>
        <v/>
      </c>
      <c r="I395" s="62">
        <f>IFERROR(VLOOKUP(B395,Tableau5[#All],5,FALSE),"Matricule!")</f>
        <v>0</v>
      </c>
      <c r="J395" s="62">
        <f>IFERROR(VLOOKUP(B395,Tableau5[#All],6,FALSE),"Matricule!")</f>
        <v>0</v>
      </c>
      <c r="K395" s="62">
        <f>IFERROR(VLOOKUP(B395,Tableau5[#All],7,FALSE),"Matricule!")</f>
        <v>0</v>
      </c>
      <c r="L395" s="62" t="e">
        <f>VLOOKUP(Tableau242[[#This Row],[Company number]],#REF!,25,FALSE)</f>
        <v>#REF!</v>
      </c>
      <c r="M395" s="62" t="str">
        <f>IFERROR(VLOOKUP(Tableau242[[#This Row],[Company number]],#REF!,30,FALSE),"")</f>
        <v/>
      </c>
      <c r="N395" s="62" t="str">
        <f>IFERROR(VLOOKUP(Tableau242[[#This Row],[Company number]],#REF!,31,FALSE),"")</f>
        <v/>
      </c>
      <c r="O395" s="62" t="str">
        <f>IFERROR(VLOOKUP(Tableau242[[#This Row],[Company number]],#REF!,32,FALSE),"")</f>
        <v/>
      </c>
      <c r="P395" s="62">
        <f>IFERROR(VLOOKUP(B395,Tableau3[#All],5,FALSE),"Matricule!")</f>
        <v>20</v>
      </c>
      <c r="Q395" s="62">
        <f>IFERROR(SUM(VLOOKUP(B395,Tableau3[#All],6,FALSE),VLOOKUP(B395,Tableau3[#All],8,FALSE)),"Matricule!")</f>
        <v>0</v>
      </c>
      <c r="R395" s="62">
        <f>IFERROR(VLOOKUP(B395,Tableau3[#All],7,FALSE),"Matricule!")</f>
        <v>0</v>
      </c>
      <c r="S395" s="62">
        <f>IFERROR(Tableau242[[#This Row],[Prod. days WK]]-Tableau242[[#This Row],[Prod PXX]],"Matricule")</f>
        <v>0</v>
      </c>
      <c r="T395" s="62">
        <f>IFERROR(Tableau242[[#This Row],[Non prod. days WK]]-Tableau242[[#This Row],[Improd PXX]],"Matricule")</f>
        <v>0</v>
      </c>
      <c r="U395" s="62">
        <f>IFERROR(Tableau242[[#This Row],[Paid leave days WK]]-Tableau242[[#This Row],[Congé PXX]],"Matricule")</f>
        <v>0</v>
      </c>
      <c r="V395" s="63">
        <f>IFERROR(VLOOKUP($B395,#REF!,4,FALSE),0)</f>
        <v>0</v>
      </c>
      <c r="W39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5" s="63">
        <f>IF(AND(Tableau242[[#This Row],[Paid leave days]]&gt;0,Tableau242[[#This Row],[Prod. days]]&lt;0),MIN(Tableau242[[#This Row],[Paid leave days]],-Tableau242[[#This Row],[Prod. days]]),0)</f>
        <v>0</v>
      </c>
      <c r="Z395" s="63">
        <f>IFERROR(_xlfn.XLOOKUP(Tableau242[[#This Row],[Consultant]],Tableau2[Collaborateur/Nom affiché],Tableau2[Montant imputé],0),0)</f>
        <v>0</v>
      </c>
      <c r="AA395" s="64">
        <f t="shared" ref="AA395:AA458" si="7">IFERROR(S395+Z395,S395)</f>
        <v>0</v>
      </c>
      <c r="AB395" s="65"/>
      <c r="AC395" s="66"/>
      <c r="AD395" s="66"/>
      <c r="AE395" s="105"/>
      <c r="AF395" s="90"/>
    </row>
    <row r="396" spans="1:32">
      <c r="A396" s="15">
        <f>Tableau242[[#This Row],[Company number]]+0</f>
        <v>16336</v>
      </c>
      <c r="B396" s="60" t="s">
        <v>920</v>
      </c>
      <c r="C396" s="61" t="s">
        <v>921</v>
      </c>
      <c r="D396" s="61" t="s">
        <v>66</v>
      </c>
      <c r="E396" s="62" t="str">
        <f>IFERROR(VLOOKUP(Tableau242[[#This Row],[Manager ou CDM concerné]],Parametres!B:C,2,FALSE),"")</f>
        <v>Squad H</v>
      </c>
      <c r="F396" s="62" t="str">
        <f>IF(Tableau242[[#This Row],[Consultant]]=Tableau242[[#This Row],[Manager ou CDM concerné]],"Non",IF(IFERROR(VLOOKUP(Tableau242[[#This Row],[Consultant]],Parametres!B:C,2,FALSE),0)=0,"Non","Oui"))</f>
        <v>Non</v>
      </c>
      <c r="G396" s="62">
        <f>IFERROR(VLOOKUP(B396,Tableau5[#All],4,FALSE),"Matricule!")</f>
        <v>20</v>
      </c>
      <c r="H396" s="62" t="str">
        <f>IFERROR(VLOOKUP(Tableau242[[#This Row],[Company number]],#REF!,6,FALSE),"")</f>
        <v/>
      </c>
      <c r="I396" s="62">
        <f>IFERROR(VLOOKUP(B396,Tableau5[#All],5,FALSE),"Matricule!")</f>
        <v>0</v>
      </c>
      <c r="J396" s="62">
        <f>IFERROR(VLOOKUP(B396,Tableau5[#All],6,FALSE),"Matricule!")</f>
        <v>0</v>
      </c>
      <c r="K396" s="62">
        <f>IFERROR(VLOOKUP(B396,Tableau5[#All],7,FALSE),"Matricule!")</f>
        <v>0</v>
      </c>
      <c r="L396" s="62" t="e">
        <f>VLOOKUP(Tableau242[[#This Row],[Company number]],#REF!,25,FALSE)</f>
        <v>#REF!</v>
      </c>
      <c r="M396" s="62" t="str">
        <f>IFERROR(VLOOKUP(Tableau242[[#This Row],[Company number]],#REF!,30,FALSE),"")</f>
        <v/>
      </c>
      <c r="N396" s="62" t="str">
        <f>IFERROR(VLOOKUP(Tableau242[[#This Row],[Company number]],#REF!,31,FALSE),"")</f>
        <v/>
      </c>
      <c r="O396" s="62" t="str">
        <f>IFERROR(VLOOKUP(Tableau242[[#This Row],[Company number]],#REF!,32,FALSE),"")</f>
        <v/>
      </c>
      <c r="P396" s="62">
        <f>IFERROR(VLOOKUP(B396,Tableau3[#All],5,FALSE),"Matricule!")</f>
        <v>15</v>
      </c>
      <c r="Q396" s="62">
        <f>IFERROR(SUM(VLOOKUP(B396,Tableau3[#All],6,FALSE),VLOOKUP(B396,Tableau3[#All],8,FALSE)),"Matricule!")</f>
        <v>5</v>
      </c>
      <c r="R396" s="62">
        <f>IFERROR(VLOOKUP(B396,Tableau3[#All],7,FALSE),"Matricule!")</f>
        <v>0</v>
      </c>
      <c r="S396" s="62">
        <f>IFERROR(Tableau242[[#This Row],[Prod. days WK]]-Tableau242[[#This Row],[Prod PXX]],"Matricule")</f>
        <v>5</v>
      </c>
      <c r="T396" s="62">
        <f>IFERROR(Tableau242[[#This Row],[Non prod. days WK]]-Tableau242[[#This Row],[Improd PXX]],"Matricule")</f>
        <v>-5</v>
      </c>
      <c r="U396" s="62">
        <f>IFERROR(Tableau242[[#This Row],[Paid leave days WK]]-Tableau242[[#This Row],[Congé PXX]],"Matricule")</f>
        <v>0</v>
      </c>
      <c r="V396" s="63">
        <f>IFERROR(VLOOKUP($B396,#REF!,4,FALSE),0)</f>
        <v>0</v>
      </c>
      <c r="W39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6" s="63">
        <f>IF(AND(Tableau242[[#This Row],[Paid leave days]]&gt;0,Tableau242[[#This Row],[Prod. days]]&lt;0),MIN(Tableau242[[#This Row],[Paid leave days]],-Tableau242[[#This Row],[Prod. days]]),0)</f>
        <v>0</v>
      </c>
      <c r="Z396" s="63">
        <f>IFERROR(_xlfn.XLOOKUP(Tableau242[[#This Row],[Consultant]],Tableau2[Collaborateur/Nom affiché],Tableau2[Montant imputé],0),0)</f>
        <v>0</v>
      </c>
      <c r="AA396" s="64">
        <f t="shared" si="7"/>
        <v>5</v>
      </c>
      <c r="AB396" s="65"/>
      <c r="AC396" s="66"/>
      <c r="AD396" s="66"/>
      <c r="AE396" s="105"/>
      <c r="AF396" s="90"/>
    </row>
    <row r="397" spans="1:32">
      <c r="A397" s="15">
        <f>Tableau242[[#This Row],[Company number]]+0</f>
        <v>16065</v>
      </c>
      <c r="B397" s="60" t="s">
        <v>922</v>
      </c>
      <c r="C397" s="61" t="s">
        <v>923</v>
      </c>
      <c r="D397" s="61" t="s">
        <v>66</v>
      </c>
      <c r="E397" s="62" t="str">
        <f>IFERROR(VLOOKUP(Tableau242[[#This Row],[Manager ou CDM concerné]],Parametres!B:C,2,FALSE),"")</f>
        <v>Squad H</v>
      </c>
      <c r="F397" s="62" t="str">
        <f>IF(Tableau242[[#This Row],[Consultant]]=Tableau242[[#This Row],[Manager ou CDM concerné]],"Non",IF(IFERROR(VLOOKUP(Tableau242[[#This Row],[Consultant]],Parametres!B:C,2,FALSE),0)=0,"Non","Oui"))</f>
        <v>Non</v>
      </c>
      <c r="G397" s="62">
        <f>IFERROR(VLOOKUP(B397,Tableau5[#All],4,FALSE),"Matricule!")</f>
        <v>20</v>
      </c>
      <c r="H397" s="62" t="str">
        <f>IFERROR(VLOOKUP(Tableau242[[#This Row],[Company number]],#REF!,6,FALSE),"")</f>
        <v/>
      </c>
      <c r="I397" s="62">
        <f>IFERROR(VLOOKUP(B397,Tableau5[#All],5,FALSE),"Matricule!")</f>
        <v>0</v>
      </c>
      <c r="J397" s="62">
        <f>IFERROR(VLOOKUP(B397,Tableau5[#All],6,FALSE),"Matricule!")</f>
        <v>0</v>
      </c>
      <c r="K397" s="62">
        <f>IFERROR(VLOOKUP(B397,Tableau5[#All],7,FALSE),"Matricule!")</f>
        <v>0</v>
      </c>
      <c r="L397" s="62" t="e">
        <f>VLOOKUP(Tableau242[[#This Row],[Company number]],#REF!,25,FALSE)</f>
        <v>#REF!</v>
      </c>
      <c r="M397" s="62" t="str">
        <f>IFERROR(VLOOKUP(Tableau242[[#This Row],[Company number]],#REF!,30,FALSE),"")</f>
        <v/>
      </c>
      <c r="N397" s="62" t="str">
        <f>IFERROR(VLOOKUP(Tableau242[[#This Row],[Company number]],#REF!,31,FALSE),"")</f>
        <v/>
      </c>
      <c r="O397" s="62" t="str">
        <f>IFERROR(VLOOKUP(Tableau242[[#This Row],[Company number]],#REF!,32,FALSE),"")</f>
        <v/>
      </c>
      <c r="P397" s="62">
        <f>IFERROR(VLOOKUP(B397,Tableau3[#All],5,FALSE),"Matricule!")</f>
        <v>20</v>
      </c>
      <c r="Q397" s="62">
        <f>IFERROR(SUM(VLOOKUP(B397,Tableau3[#All],6,FALSE),VLOOKUP(B397,Tableau3[#All],8,FALSE)),"Matricule!")</f>
        <v>0</v>
      </c>
      <c r="R397" s="62">
        <f>IFERROR(VLOOKUP(B397,Tableau3[#All],7,FALSE),"Matricule!")</f>
        <v>0</v>
      </c>
      <c r="S397" s="62">
        <f>IFERROR(Tableau242[[#This Row],[Prod. days WK]]-Tableau242[[#This Row],[Prod PXX]],"Matricule")</f>
        <v>0</v>
      </c>
      <c r="T397" s="62">
        <f>IFERROR(Tableau242[[#This Row],[Non prod. days WK]]-Tableau242[[#This Row],[Improd PXX]],"Matricule")</f>
        <v>0</v>
      </c>
      <c r="U397" s="62">
        <f>IFERROR(Tableau242[[#This Row],[Paid leave days WK]]-Tableau242[[#This Row],[Congé PXX]],"Matricule")</f>
        <v>0</v>
      </c>
      <c r="V397" s="63">
        <f>IFERROR(VLOOKUP($B397,#REF!,4,FALSE),0)</f>
        <v>0</v>
      </c>
      <c r="W39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7" s="63">
        <f>IF(AND(Tableau242[[#This Row],[Paid leave days]]&gt;0,Tableau242[[#This Row],[Prod. days]]&lt;0),MIN(Tableau242[[#This Row],[Paid leave days]],-Tableau242[[#This Row],[Prod. days]]),0)</f>
        <v>0</v>
      </c>
      <c r="Z397" s="63">
        <f>IFERROR(_xlfn.XLOOKUP(Tableau242[[#This Row],[Consultant]],Tableau2[Collaborateur/Nom affiché],Tableau2[Montant imputé],0),0)</f>
        <v>0</v>
      </c>
      <c r="AA397" s="64">
        <f t="shared" si="7"/>
        <v>0</v>
      </c>
      <c r="AB397" s="65"/>
      <c r="AC397" s="66"/>
      <c r="AD397" s="66"/>
      <c r="AE397" s="105"/>
      <c r="AF397" s="90"/>
    </row>
    <row r="398" spans="1:32">
      <c r="A398" s="15">
        <f>Tableau242[[#This Row],[Company number]]+0</f>
        <v>13590</v>
      </c>
      <c r="B398" s="60" t="s">
        <v>924</v>
      </c>
      <c r="C398" s="61" t="s">
        <v>925</v>
      </c>
      <c r="D398" s="61" t="s">
        <v>66</v>
      </c>
      <c r="E398" s="62" t="str">
        <f>IFERROR(VLOOKUP(Tableau242[[#This Row],[Manager ou CDM concerné]],Parametres!B:C,2,FALSE),"")</f>
        <v>Squad H</v>
      </c>
      <c r="F398" s="62" t="str">
        <f>IF(Tableau242[[#This Row],[Consultant]]=Tableau242[[#This Row],[Manager ou CDM concerné]],"Non",IF(IFERROR(VLOOKUP(Tableau242[[#This Row],[Consultant]],Parametres!B:C,2,FALSE),0)=0,"Non","Oui"))</f>
        <v>Non</v>
      </c>
      <c r="G398" s="62">
        <f>IFERROR(VLOOKUP(B398,Tableau5[#All],4,FALSE),"Matricule!")</f>
        <v>18</v>
      </c>
      <c r="H398" s="62" t="str">
        <f>IFERROR(VLOOKUP(Tableau242[[#This Row],[Company number]],#REF!,6,FALSE),"")</f>
        <v/>
      </c>
      <c r="I398" s="62">
        <f>IFERROR(VLOOKUP(B398,Tableau5[#All],5,FALSE),"Matricule!")</f>
        <v>0</v>
      </c>
      <c r="J398" s="62">
        <f>IFERROR(VLOOKUP(B398,Tableau5[#All],6,FALSE),"Matricule!")</f>
        <v>2</v>
      </c>
      <c r="K398" s="62">
        <f>IFERROR(VLOOKUP(B398,Tableau5[#All],7,FALSE),"Matricule!")</f>
        <v>0</v>
      </c>
      <c r="L398" s="62" t="e">
        <f>VLOOKUP(Tableau242[[#This Row],[Company number]],#REF!,25,FALSE)</f>
        <v>#REF!</v>
      </c>
      <c r="M398" s="62" t="str">
        <f>IFERROR(VLOOKUP(Tableau242[[#This Row],[Company number]],#REF!,30,FALSE),"")</f>
        <v/>
      </c>
      <c r="N398" s="62" t="str">
        <f>IFERROR(VLOOKUP(Tableau242[[#This Row],[Company number]],#REF!,31,FALSE),"")</f>
        <v/>
      </c>
      <c r="O398" s="62" t="str">
        <f>IFERROR(VLOOKUP(Tableau242[[#This Row],[Company number]],#REF!,32,FALSE),"")</f>
        <v/>
      </c>
      <c r="P398" s="62">
        <f>IFERROR(VLOOKUP(B398,Tableau3[#All],5,FALSE),"Matricule!")</f>
        <v>18</v>
      </c>
      <c r="Q398" s="62">
        <f>IFERROR(SUM(VLOOKUP(B398,Tableau3[#All],6,FALSE),VLOOKUP(B398,Tableau3[#All],8,FALSE)),"Matricule!")</f>
        <v>0</v>
      </c>
      <c r="R398" s="62">
        <f>IFERROR(VLOOKUP(B398,Tableau3[#All],7,FALSE),"Matricule!")</f>
        <v>2</v>
      </c>
      <c r="S398" s="62">
        <f>IFERROR(Tableau242[[#This Row],[Prod. days WK]]-Tableau242[[#This Row],[Prod PXX]],"Matricule")</f>
        <v>0</v>
      </c>
      <c r="T398" s="62">
        <f>IFERROR(Tableau242[[#This Row],[Non prod. days WK]]-Tableau242[[#This Row],[Improd PXX]],"Matricule")</f>
        <v>0</v>
      </c>
      <c r="U398" s="62">
        <f>IFERROR(Tableau242[[#This Row],[Paid leave days WK]]-Tableau242[[#This Row],[Congé PXX]],"Matricule")</f>
        <v>0</v>
      </c>
      <c r="V398" s="63">
        <f>IFERROR(VLOOKUP($B398,#REF!,4,FALSE),0)</f>
        <v>0</v>
      </c>
      <c r="W39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8" s="63">
        <f>IF(AND(Tableau242[[#This Row],[Paid leave days]]&gt;0,Tableau242[[#This Row],[Prod. days]]&lt;0),MIN(Tableau242[[#This Row],[Paid leave days]],-Tableau242[[#This Row],[Prod. days]]),0)</f>
        <v>0</v>
      </c>
      <c r="Z398" s="63">
        <f>IFERROR(_xlfn.XLOOKUP(Tableau242[[#This Row],[Consultant]],Tableau2[Collaborateur/Nom affiché],Tableau2[Montant imputé],0),0)</f>
        <v>0</v>
      </c>
      <c r="AA398" s="64">
        <f t="shared" si="7"/>
        <v>0</v>
      </c>
      <c r="AB398" s="70"/>
      <c r="AC398" s="67"/>
      <c r="AD398" s="67"/>
      <c r="AE398" s="106"/>
      <c r="AF398" s="90"/>
    </row>
    <row r="399" spans="1:32">
      <c r="A399" s="15">
        <f>Tableau242[[#This Row],[Company number]]+0</f>
        <v>155</v>
      </c>
      <c r="B399" s="60" t="s">
        <v>926</v>
      </c>
      <c r="C399" s="61" t="s">
        <v>927</v>
      </c>
      <c r="D399" s="61" t="s">
        <v>87</v>
      </c>
      <c r="E399" s="62" t="str">
        <f>IFERROR(VLOOKUP(Tableau242[[#This Row],[Manager ou CDM concerné]],Parametres!B:C,2,FALSE),"")</f>
        <v/>
      </c>
      <c r="F399" s="62" t="str">
        <f>IF(Tableau242[[#This Row],[Consultant]]=Tableau242[[#This Row],[Manager ou CDM concerné]],"Non",IF(IFERROR(VLOOKUP(Tableau242[[#This Row],[Consultant]],Parametres!B:C,2,FALSE),0)=0,"Non","Oui"))</f>
        <v>Non</v>
      </c>
      <c r="G399" s="62">
        <f>IFERROR(VLOOKUP(B399,Tableau5[#All],4,FALSE),"Matricule!")</f>
        <v>17</v>
      </c>
      <c r="H399" s="62" t="str">
        <f>IFERROR(VLOOKUP(Tableau242[[#This Row],[Company number]],#REF!,6,FALSE),"")</f>
        <v/>
      </c>
      <c r="I399" s="62">
        <f>IFERROR(VLOOKUP(B399,Tableau5[#All],5,FALSE),"Matricule!")</f>
        <v>0</v>
      </c>
      <c r="J399" s="62">
        <f>IFERROR(VLOOKUP(B399,Tableau5[#All],6,FALSE),"Matricule!")</f>
        <v>3</v>
      </c>
      <c r="K399" s="62">
        <f>IFERROR(VLOOKUP(B399,Tableau5[#All],7,FALSE),"Matricule!")</f>
        <v>0</v>
      </c>
      <c r="L399" s="62" t="e">
        <f>VLOOKUP(Tableau242[[#This Row],[Company number]],#REF!,25,FALSE)</f>
        <v>#REF!</v>
      </c>
      <c r="M399" s="62" t="str">
        <f>IFERROR(VLOOKUP(Tableau242[[#This Row],[Company number]],#REF!,30,FALSE),"")</f>
        <v/>
      </c>
      <c r="N399" s="62" t="str">
        <f>IFERROR(VLOOKUP(Tableau242[[#This Row],[Company number]],#REF!,31,FALSE),"")</f>
        <v/>
      </c>
      <c r="O399" s="62" t="str">
        <f>IFERROR(VLOOKUP(Tableau242[[#This Row],[Company number]],#REF!,32,FALSE),"")</f>
        <v/>
      </c>
      <c r="P399" s="62">
        <f>IFERROR(VLOOKUP(B399,Tableau3[#All],5,FALSE),"Matricule!")</f>
        <v>18.5</v>
      </c>
      <c r="Q399" s="62">
        <f>IFERROR(SUM(VLOOKUP(B399,Tableau3[#All],6,FALSE),VLOOKUP(B399,Tableau3[#All],8,FALSE)),"Matricule!")</f>
        <v>0</v>
      </c>
      <c r="R399" s="62">
        <f>IFERROR(VLOOKUP(B399,Tableau3[#All],7,FALSE),"Matricule!")</f>
        <v>1.5</v>
      </c>
      <c r="S399" s="62">
        <f>IFERROR(Tableau242[[#This Row],[Prod. days WK]]-Tableau242[[#This Row],[Prod PXX]],"Matricule")</f>
        <v>-1.5</v>
      </c>
      <c r="T399" s="62">
        <f>IFERROR(Tableau242[[#This Row],[Non prod. days WK]]-Tableau242[[#This Row],[Improd PXX]],"Matricule")</f>
        <v>0</v>
      </c>
      <c r="U399" s="62">
        <f>IFERROR(Tableau242[[#This Row],[Paid leave days WK]]-Tableau242[[#This Row],[Congé PXX]],"Matricule")</f>
        <v>1.5</v>
      </c>
      <c r="V399" s="63">
        <f>IFERROR(VLOOKUP($B399,#REF!,4,FALSE),0)</f>
        <v>0</v>
      </c>
      <c r="W39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39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399" s="63">
        <f>IF(AND(Tableau242[[#This Row],[Paid leave days]]&gt;0,Tableau242[[#This Row],[Prod. days]]&lt;0),MIN(Tableau242[[#This Row],[Paid leave days]],-Tableau242[[#This Row],[Prod. days]]),0)</f>
        <v>1.5</v>
      </c>
      <c r="Z399" s="63">
        <f>IFERROR(_xlfn.XLOOKUP(Tableau242[[#This Row],[Consultant]],Tableau2[Collaborateur/Nom affiché],Tableau2[Montant imputé],0),0)</f>
        <v>0</v>
      </c>
      <c r="AA399" s="64">
        <f t="shared" si="7"/>
        <v>-1.5</v>
      </c>
      <c r="AB399" s="65"/>
      <c r="AC399" s="66"/>
      <c r="AD399" s="66"/>
      <c r="AE399" s="105"/>
      <c r="AF399" s="90"/>
    </row>
    <row r="400" spans="1:32">
      <c r="A400" s="15">
        <f>Tableau242[[#This Row],[Company number]]+0</f>
        <v>7140</v>
      </c>
      <c r="B400" s="60" t="s">
        <v>928</v>
      </c>
      <c r="C400" s="61" t="s">
        <v>929</v>
      </c>
      <c r="D400" s="61" t="s">
        <v>42</v>
      </c>
      <c r="E400" s="62" t="str">
        <f>IFERROR(VLOOKUP(Tableau242[[#This Row],[Manager ou CDM concerné]],Parametres!B:C,2,FALSE),"")</f>
        <v/>
      </c>
      <c r="F400" s="62" t="str">
        <f>IF(Tableau242[[#This Row],[Consultant]]=Tableau242[[#This Row],[Manager ou CDM concerné]],"Non",IF(IFERROR(VLOOKUP(Tableau242[[#This Row],[Consultant]],Parametres!B:C,2,FALSE),0)=0,"Non","Oui"))</f>
        <v>Non</v>
      </c>
      <c r="G400" s="62">
        <f>IFERROR(VLOOKUP(B400,Tableau5[#All],4,FALSE),"Matricule!")</f>
        <v>0</v>
      </c>
      <c r="H400" s="62" t="str">
        <f>IFERROR(VLOOKUP(Tableau242[[#This Row],[Company number]],#REF!,6,FALSE),"")</f>
        <v/>
      </c>
      <c r="I400" s="62">
        <f>IFERROR(VLOOKUP(B400,Tableau5[#All],5,FALSE),"Matricule!")</f>
        <v>20</v>
      </c>
      <c r="J400" s="62">
        <f>IFERROR(VLOOKUP(B400,Tableau5[#All],6,FALSE),"Matricule!")</f>
        <v>0</v>
      </c>
      <c r="K400" s="62">
        <f>IFERROR(VLOOKUP(B400,Tableau5[#All],7,FALSE),"Matricule!")</f>
        <v>0</v>
      </c>
      <c r="L400" s="62" t="e">
        <f>VLOOKUP(Tableau242[[#This Row],[Company number]],#REF!,25,FALSE)</f>
        <v>#REF!</v>
      </c>
      <c r="M400" s="62" t="str">
        <f>IFERROR(VLOOKUP(Tableau242[[#This Row],[Company number]],#REF!,30,FALSE),"")</f>
        <v/>
      </c>
      <c r="N400" s="62" t="str">
        <f>IFERROR(VLOOKUP(Tableau242[[#This Row],[Company number]],#REF!,31,FALSE),"")</f>
        <v/>
      </c>
      <c r="O400" s="62" t="str">
        <f>IFERROR(VLOOKUP(Tableau242[[#This Row],[Company number]],#REF!,32,FALSE),"")</f>
        <v/>
      </c>
      <c r="P400" s="62">
        <f>IFERROR(VLOOKUP(B400,Tableau3[#All],5,FALSE),"Matricule!")</f>
        <v>0</v>
      </c>
      <c r="Q400" s="62">
        <f>IFERROR(SUM(VLOOKUP(B400,Tableau3[#All],6,FALSE),VLOOKUP(B400,Tableau3[#All],8,FALSE)),"Matricule!")</f>
        <v>20</v>
      </c>
      <c r="R400" s="62">
        <f>IFERROR(VLOOKUP(B400,Tableau3[#All],7,FALSE),"Matricule!")</f>
        <v>0</v>
      </c>
      <c r="S400" s="62">
        <f>IFERROR(Tableau242[[#This Row],[Prod. days WK]]-Tableau242[[#This Row],[Prod PXX]],"Matricule")</f>
        <v>0</v>
      </c>
      <c r="T400" s="62">
        <f>IFERROR(Tableau242[[#This Row],[Non prod. days WK]]-Tableau242[[#This Row],[Improd PXX]],"Matricule")</f>
        <v>0</v>
      </c>
      <c r="U400" s="62">
        <f>IFERROR(Tableau242[[#This Row],[Paid leave days WK]]-Tableau242[[#This Row],[Congé PXX]],"Matricule")</f>
        <v>0</v>
      </c>
      <c r="V400" s="63">
        <f>IFERROR(VLOOKUP($B400,#REF!,4,FALSE),0)</f>
        <v>0</v>
      </c>
      <c r="W40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00" s="63">
        <f>IF(AND(Tableau242[[#This Row],[Paid leave days]]&gt;0,Tableau242[[#This Row],[Prod. days]]&lt;0),MIN(Tableau242[[#This Row],[Paid leave days]],-Tableau242[[#This Row],[Prod. days]]),0)</f>
        <v>0</v>
      </c>
      <c r="Z400" s="63">
        <f>IFERROR(_xlfn.XLOOKUP(Tableau242[[#This Row],[Consultant]],Tableau2[Collaborateur/Nom affiché],Tableau2[Montant imputé],0),0)</f>
        <v>0</v>
      </c>
      <c r="AA400" s="64">
        <f t="shared" si="7"/>
        <v>0</v>
      </c>
      <c r="AB400" s="65"/>
      <c r="AC400" s="66"/>
      <c r="AD400" s="66"/>
      <c r="AE400" s="105"/>
      <c r="AF400" s="90"/>
    </row>
    <row r="401" spans="1:32">
      <c r="A401" s="15">
        <f>Tableau242[[#This Row],[Company number]]+0</f>
        <v>7137</v>
      </c>
      <c r="B401" s="60" t="s">
        <v>930</v>
      </c>
      <c r="C401" s="61" t="s">
        <v>931</v>
      </c>
      <c r="D401" s="61" t="s">
        <v>42</v>
      </c>
      <c r="E401" s="62" t="str">
        <f>IFERROR(VLOOKUP(Tableau242[[#This Row],[Manager ou CDM concerné]],Parametres!B:C,2,FALSE),"")</f>
        <v/>
      </c>
      <c r="F401" s="62" t="str">
        <f>IF(Tableau242[[#This Row],[Consultant]]=Tableau242[[#This Row],[Manager ou CDM concerné]],"Non",IF(IFERROR(VLOOKUP(Tableau242[[#This Row],[Consultant]],Parametres!B:C,2,FALSE),0)=0,"Non","Oui"))</f>
        <v>Non</v>
      </c>
      <c r="G401" s="62">
        <f>IFERROR(VLOOKUP(B401,Tableau5[#All],4,FALSE),"Matricule!")</f>
        <v>0</v>
      </c>
      <c r="H401" s="62" t="str">
        <f>IFERROR(VLOOKUP(Tableau242[[#This Row],[Company number]],#REF!,6,FALSE),"")</f>
        <v/>
      </c>
      <c r="I401" s="62">
        <f>IFERROR(VLOOKUP(B401,Tableau5[#All],5,FALSE),"Matricule!")</f>
        <v>8.5</v>
      </c>
      <c r="J401" s="62">
        <f>IFERROR(VLOOKUP(B401,Tableau5[#All],6,FALSE),"Matricule!")</f>
        <v>3</v>
      </c>
      <c r="K401" s="62">
        <f>IFERROR(VLOOKUP(B401,Tableau5[#All],7,FALSE),"Matricule!")</f>
        <v>8.5</v>
      </c>
      <c r="L401" s="62" t="e">
        <f>VLOOKUP(Tableau242[[#This Row],[Company number]],#REF!,25,FALSE)</f>
        <v>#REF!</v>
      </c>
      <c r="M401" s="62" t="str">
        <f>IFERROR(VLOOKUP(Tableau242[[#This Row],[Company number]],#REF!,30,FALSE),"")</f>
        <v/>
      </c>
      <c r="N401" s="62" t="str">
        <f>IFERROR(VLOOKUP(Tableau242[[#This Row],[Company number]],#REF!,31,FALSE),"")</f>
        <v/>
      </c>
      <c r="O401" s="62" t="str">
        <f>IFERROR(VLOOKUP(Tableau242[[#This Row],[Company number]],#REF!,32,FALSE),"")</f>
        <v/>
      </c>
      <c r="P401" s="62">
        <f>IFERROR(VLOOKUP(B401,Tableau3[#All],5,FALSE),"Matricule!")</f>
        <v>0</v>
      </c>
      <c r="Q401" s="62">
        <f>IFERROR(SUM(VLOOKUP(B401,Tableau3[#All],6,FALSE),VLOOKUP(B401,Tableau3[#All],8,FALSE)),"Matricule!")</f>
        <v>9</v>
      </c>
      <c r="R401" s="62">
        <f>IFERROR(VLOOKUP(B401,Tableau3[#All],7,FALSE),"Matricule!")</f>
        <v>3</v>
      </c>
      <c r="S401" s="62">
        <f>IFERROR(Tableau242[[#This Row],[Prod. days WK]]-Tableau242[[#This Row],[Prod PXX]],"Matricule")</f>
        <v>0</v>
      </c>
      <c r="T401" s="62">
        <f>IFERROR(Tableau242[[#This Row],[Non prod. days WK]]-Tableau242[[#This Row],[Improd PXX]],"Matricule")</f>
        <v>-0.5</v>
      </c>
      <c r="U401" s="62">
        <f>IFERROR(Tableau242[[#This Row],[Paid leave days WK]]-Tableau242[[#This Row],[Congé PXX]],"Matricule")</f>
        <v>0</v>
      </c>
      <c r="V401" s="63">
        <f>IFERROR(VLOOKUP($B401,#REF!,4,FALSE),0)</f>
        <v>0</v>
      </c>
      <c r="W40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01" s="63">
        <f>IF(AND(Tableau242[[#This Row],[Paid leave days]]&gt;0,Tableau242[[#This Row],[Prod. days]]&lt;0),MIN(Tableau242[[#This Row],[Paid leave days]],-Tableau242[[#This Row],[Prod. days]]),0)</f>
        <v>0</v>
      </c>
      <c r="Z401" s="63">
        <f>IFERROR(_xlfn.XLOOKUP(Tableau242[[#This Row],[Consultant]],Tableau2[Collaborateur/Nom affiché],Tableau2[Montant imputé],0),0)</f>
        <v>0</v>
      </c>
      <c r="AA401" s="64">
        <f t="shared" si="7"/>
        <v>0</v>
      </c>
      <c r="AB401" s="65"/>
      <c r="AC401" s="67"/>
      <c r="AD401" s="66"/>
      <c r="AE401" s="105"/>
      <c r="AF401" s="90"/>
    </row>
    <row r="402" spans="1:32">
      <c r="A402" s="15">
        <f>Tableau242[[#This Row],[Company number]]+0</f>
        <v>14723</v>
      </c>
      <c r="B402" s="60" t="s">
        <v>932</v>
      </c>
      <c r="C402" s="61" t="s">
        <v>933</v>
      </c>
      <c r="D402" s="61" t="s">
        <v>93</v>
      </c>
      <c r="E402" s="62" t="str">
        <f>IFERROR(VLOOKUP(Tableau242[[#This Row],[Manager ou CDM concerné]],Parametres!B:C,2,FALSE),"")</f>
        <v>Squad H</v>
      </c>
      <c r="F402" s="62" t="str">
        <f>IF(Tableau242[[#This Row],[Consultant]]=Tableau242[[#This Row],[Manager ou CDM concerné]],"Non",IF(IFERROR(VLOOKUP(Tableau242[[#This Row],[Consultant]],Parametres!B:C,2,FALSE),0)=0,"Non","Oui"))</f>
        <v>Non</v>
      </c>
      <c r="G402" s="62">
        <f>IFERROR(VLOOKUP(B402,Tableau5[#All],4,FALSE),"Matricule!")</f>
        <v>0</v>
      </c>
      <c r="H402" s="62" t="str">
        <f>IFERROR(VLOOKUP(Tableau242[[#This Row],[Company number]],#REF!,6,FALSE),"")</f>
        <v/>
      </c>
      <c r="I402" s="62">
        <f>IFERROR(VLOOKUP(B402,Tableau5[#All],5,FALSE),"Matricule!")</f>
        <v>0</v>
      </c>
      <c r="J402" s="62">
        <f>IFERROR(VLOOKUP(B402,Tableau5[#All],6,FALSE),"Matricule!")</f>
        <v>0</v>
      </c>
      <c r="K402" s="62">
        <f>IFERROR(VLOOKUP(B402,Tableau5[#All],7,FALSE),"Matricule!")</f>
        <v>20</v>
      </c>
      <c r="L402" s="62" t="e">
        <f>VLOOKUP(Tableau242[[#This Row],[Company number]],#REF!,25,FALSE)</f>
        <v>#REF!</v>
      </c>
      <c r="M402" s="62" t="str">
        <f>IFERROR(VLOOKUP(Tableau242[[#This Row],[Company number]],#REF!,30,FALSE),"")</f>
        <v/>
      </c>
      <c r="N402" s="62" t="str">
        <f>IFERROR(VLOOKUP(Tableau242[[#This Row],[Company number]],#REF!,31,FALSE),"")</f>
        <v/>
      </c>
      <c r="O402" s="62" t="str">
        <f>IFERROR(VLOOKUP(Tableau242[[#This Row],[Company number]],#REF!,32,FALSE),"")</f>
        <v/>
      </c>
      <c r="P402" s="62">
        <f>IFERROR(VLOOKUP(B402,Tableau3[#All],5,FALSE),"Matricule!")</f>
        <v>0</v>
      </c>
      <c r="Q402" s="62">
        <f>IFERROR(SUM(VLOOKUP(B402,Tableau3[#All],6,FALSE),VLOOKUP(B402,Tableau3[#All],8,FALSE)),"Matricule!")</f>
        <v>0</v>
      </c>
      <c r="R402" s="62">
        <f>IFERROR(VLOOKUP(B402,Tableau3[#All],7,FALSE),"Matricule!")</f>
        <v>0</v>
      </c>
      <c r="S402" s="62">
        <f>IFERROR(Tableau242[[#This Row],[Prod. days WK]]-Tableau242[[#This Row],[Prod PXX]],"Matricule")</f>
        <v>0</v>
      </c>
      <c r="T402" s="62">
        <f>IFERROR(Tableau242[[#This Row],[Non prod. days WK]]-Tableau242[[#This Row],[Improd PXX]],"Matricule")</f>
        <v>0</v>
      </c>
      <c r="U402" s="62">
        <f>IFERROR(Tableau242[[#This Row],[Paid leave days WK]]-Tableau242[[#This Row],[Congé PXX]],"Matricule")</f>
        <v>0</v>
      </c>
      <c r="V402" s="63">
        <f>IFERROR(VLOOKUP($B402,#REF!,4,FALSE),0)</f>
        <v>0</v>
      </c>
      <c r="W40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02" s="63">
        <f>IF(AND(Tableau242[[#This Row],[Paid leave days]]&gt;0,Tableau242[[#This Row],[Prod. days]]&lt;0),MIN(Tableau242[[#This Row],[Paid leave days]],-Tableau242[[#This Row],[Prod. days]]),0)</f>
        <v>0</v>
      </c>
      <c r="Z402" s="63">
        <f>IFERROR(_xlfn.XLOOKUP(Tableau242[[#This Row],[Consultant]],Tableau2[Collaborateur/Nom affiché],Tableau2[Montant imputé],0),0)</f>
        <v>0</v>
      </c>
      <c r="AA402" s="64">
        <f t="shared" si="7"/>
        <v>0</v>
      </c>
      <c r="AB402" s="65"/>
      <c r="AC402" s="66"/>
      <c r="AD402" s="66"/>
      <c r="AE402" s="105"/>
      <c r="AF402" s="90"/>
    </row>
    <row r="403" spans="1:32">
      <c r="A403" s="15">
        <f>Tableau242[[#This Row],[Company number]]+0</f>
        <v>14512</v>
      </c>
      <c r="B403" s="60" t="s">
        <v>934</v>
      </c>
      <c r="C403" s="61" t="s">
        <v>935</v>
      </c>
      <c r="D403" s="61" t="s">
        <v>93</v>
      </c>
      <c r="E403" s="62" t="str">
        <f>IFERROR(VLOOKUP(Tableau242[[#This Row],[Manager ou CDM concerné]],Parametres!B:C,2,FALSE),"")</f>
        <v>Squad H</v>
      </c>
      <c r="F403" s="62" t="str">
        <f>IF(Tableau242[[#This Row],[Consultant]]=Tableau242[[#This Row],[Manager ou CDM concerné]],"Non",IF(IFERROR(VLOOKUP(Tableau242[[#This Row],[Consultant]],Parametres!B:C,2,FALSE),0)=0,"Non","Oui"))</f>
        <v>Non</v>
      </c>
      <c r="G403" s="62">
        <f>IFERROR(VLOOKUP(B403,Tableau5[#All],4,FALSE),"Matricule!")</f>
        <v>20</v>
      </c>
      <c r="H403" s="62" t="str">
        <f>IFERROR(VLOOKUP(Tableau242[[#This Row],[Company number]],#REF!,6,FALSE),"")</f>
        <v/>
      </c>
      <c r="I403" s="62">
        <f>IFERROR(VLOOKUP(B403,Tableau5[#All],5,FALSE),"Matricule!")</f>
        <v>0</v>
      </c>
      <c r="J403" s="62">
        <f>IFERROR(VLOOKUP(B403,Tableau5[#All],6,FALSE),"Matricule!")</f>
        <v>0</v>
      </c>
      <c r="K403" s="62">
        <f>IFERROR(VLOOKUP(B403,Tableau5[#All],7,FALSE),"Matricule!")</f>
        <v>0</v>
      </c>
      <c r="L403" s="62" t="e">
        <f>VLOOKUP(Tableau242[[#This Row],[Company number]],#REF!,25,FALSE)</f>
        <v>#REF!</v>
      </c>
      <c r="M403" s="62" t="str">
        <f>IFERROR(VLOOKUP(Tableau242[[#This Row],[Company number]],#REF!,30,FALSE),"")</f>
        <v/>
      </c>
      <c r="N403" s="62" t="str">
        <f>IFERROR(VLOOKUP(Tableau242[[#This Row],[Company number]],#REF!,31,FALSE),"")</f>
        <v/>
      </c>
      <c r="O403" s="62" t="str">
        <f>IFERROR(VLOOKUP(Tableau242[[#This Row],[Company number]],#REF!,32,FALSE),"")</f>
        <v/>
      </c>
      <c r="P403" s="62">
        <f>IFERROR(VLOOKUP(B403,Tableau3[#All],5,FALSE),"Matricule!")</f>
        <v>20</v>
      </c>
      <c r="Q403" s="62">
        <f>IFERROR(SUM(VLOOKUP(B403,Tableau3[#All],6,FALSE),VLOOKUP(B403,Tableau3[#All],8,FALSE)),"Matricule!")</f>
        <v>0</v>
      </c>
      <c r="R403" s="62">
        <f>IFERROR(VLOOKUP(B403,Tableau3[#All],7,FALSE),"Matricule!")</f>
        <v>0</v>
      </c>
      <c r="S403" s="62">
        <f>IFERROR(Tableau242[[#This Row],[Prod. days WK]]-Tableau242[[#This Row],[Prod PXX]],"Matricule")</f>
        <v>0</v>
      </c>
      <c r="T403" s="62">
        <f>IFERROR(Tableau242[[#This Row],[Non prod. days WK]]-Tableau242[[#This Row],[Improd PXX]],"Matricule")</f>
        <v>0</v>
      </c>
      <c r="U403" s="62">
        <f>IFERROR(Tableau242[[#This Row],[Paid leave days WK]]-Tableau242[[#This Row],[Congé PXX]],"Matricule")</f>
        <v>0</v>
      </c>
      <c r="V403" s="63">
        <f>IFERROR(VLOOKUP($B403,#REF!,4,FALSE),0)</f>
        <v>0</v>
      </c>
      <c r="W40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03" s="63">
        <f>IF(AND(Tableau242[[#This Row],[Paid leave days]]&gt;0,Tableau242[[#This Row],[Prod. days]]&lt;0),MIN(Tableau242[[#This Row],[Paid leave days]],-Tableau242[[#This Row],[Prod. days]]),0)</f>
        <v>0</v>
      </c>
      <c r="Z403" s="63">
        <f>IFERROR(_xlfn.XLOOKUP(Tableau242[[#This Row],[Consultant]],Tableau2[Collaborateur/Nom affiché],Tableau2[Montant imputé],0),0)</f>
        <v>0</v>
      </c>
      <c r="AA403" s="64">
        <f t="shared" si="7"/>
        <v>0</v>
      </c>
      <c r="AB403" s="65"/>
      <c r="AC403" s="66"/>
      <c r="AD403" s="66"/>
      <c r="AE403" s="105"/>
      <c r="AF403" s="90"/>
    </row>
    <row r="404" spans="1:32">
      <c r="A404" s="15">
        <f>Tableau242[[#This Row],[Company number]]+0</f>
        <v>21783</v>
      </c>
      <c r="B404" s="60" t="s">
        <v>936</v>
      </c>
      <c r="C404" s="61" t="s">
        <v>937</v>
      </c>
      <c r="D404" s="61" t="s">
        <v>48</v>
      </c>
      <c r="E404" s="62" t="str">
        <f>IFERROR(VLOOKUP(Tableau242[[#This Row],[Manager ou CDM concerné]],Parametres!B:C,2,FALSE),"")</f>
        <v>Squad A</v>
      </c>
      <c r="F404" s="62" t="str">
        <f>IF(Tableau242[[#This Row],[Consultant]]=Tableau242[[#This Row],[Manager ou CDM concerné]],"Non",IF(IFERROR(VLOOKUP(Tableau242[[#This Row],[Consultant]],Parametres!B:C,2,FALSE),0)=0,"Non","Oui"))</f>
        <v>Non</v>
      </c>
      <c r="G404" s="62">
        <f>IFERROR(VLOOKUP(B404,Tableau5[#All],4,FALSE),"Matricule!")</f>
        <v>18</v>
      </c>
      <c r="H404" s="62" t="str">
        <f>IFERROR(VLOOKUP(Tableau242[[#This Row],[Company number]],#REF!,6,FALSE),"")</f>
        <v/>
      </c>
      <c r="I404" s="62">
        <f>IFERROR(VLOOKUP(B404,Tableau5[#All],5,FALSE),"Matricule!")</f>
        <v>1</v>
      </c>
      <c r="J404" s="62">
        <f>IFERROR(VLOOKUP(B404,Tableau5[#All],6,FALSE),"Matricule!")</f>
        <v>1</v>
      </c>
      <c r="K404" s="62">
        <f>IFERROR(VLOOKUP(B404,Tableau5[#All],7,FALSE),"Matricule!")</f>
        <v>0</v>
      </c>
      <c r="L404" s="62" t="e">
        <f>VLOOKUP(Tableau242[[#This Row],[Company number]],#REF!,25,FALSE)</f>
        <v>#REF!</v>
      </c>
      <c r="M404" s="62" t="str">
        <f>IFERROR(VLOOKUP(Tableau242[[#This Row],[Company number]],#REF!,30,FALSE),"")</f>
        <v/>
      </c>
      <c r="N404" s="62" t="str">
        <f>IFERROR(VLOOKUP(Tableau242[[#This Row],[Company number]],#REF!,31,FALSE),"")</f>
        <v/>
      </c>
      <c r="O404" s="62" t="str">
        <f>IFERROR(VLOOKUP(Tableau242[[#This Row],[Company number]],#REF!,32,FALSE),"")</f>
        <v/>
      </c>
      <c r="P404" s="62">
        <f>IFERROR(VLOOKUP(B404,Tableau3[#All],5,FALSE),"Matricule!")</f>
        <v>19</v>
      </c>
      <c r="Q404" s="62">
        <f>IFERROR(SUM(VLOOKUP(B404,Tableau3[#All],6,FALSE),VLOOKUP(B404,Tableau3[#All],8,FALSE)),"Matricule!")</f>
        <v>0</v>
      </c>
      <c r="R404" s="62">
        <f>IFERROR(VLOOKUP(B404,Tableau3[#All],7,FALSE),"Matricule!")</f>
        <v>1</v>
      </c>
      <c r="S404" s="62">
        <f>IFERROR(Tableau242[[#This Row],[Prod. days WK]]-Tableau242[[#This Row],[Prod PXX]],"Matricule")</f>
        <v>-1</v>
      </c>
      <c r="T404" s="62">
        <f>IFERROR(Tableau242[[#This Row],[Non prod. days WK]]-Tableau242[[#This Row],[Improd PXX]],"Matricule")</f>
        <v>1</v>
      </c>
      <c r="U404" s="62">
        <f>IFERROR(Tableau242[[#This Row],[Paid leave days WK]]-Tableau242[[#This Row],[Congé PXX]],"Matricule")</f>
        <v>0</v>
      </c>
      <c r="V404" s="63">
        <f>IFERROR(VLOOKUP($B404,#REF!,4,FALSE),0)</f>
        <v>0</v>
      </c>
      <c r="W40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04" s="63">
        <f>IF(AND(Tableau242[[#This Row],[Paid leave days]]&gt;0,Tableau242[[#This Row],[Prod. days]]&lt;0),MIN(Tableau242[[#This Row],[Paid leave days]],-Tableau242[[#This Row],[Prod. days]]),0)</f>
        <v>0</v>
      </c>
      <c r="Z404" s="63">
        <f>IFERROR(_xlfn.XLOOKUP(Tableau242[[#This Row],[Consultant]],Tableau2[Collaborateur/Nom affiché],Tableau2[Montant imputé],0),0)</f>
        <v>0</v>
      </c>
      <c r="AA404" s="64">
        <f t="shared" si="7"/>
        <v>-1</v>
      </c>
      <c r="AB404" s="65" t="s">
        <v>165</v>
      </c>
      <c r="AC404" s="66"/>
      <c r="AD404" s="66"/>
      <c r="AE404" s="105"/>
      <c r="AF404" s="90"/>
    </row>
    <row r="405" spans="1:32">
      <c r="A405" s="15">
        <f>Tableau242[[#This Row],[Company number]]+0</f>
        <v>15872</v>
      </c>
      <c r="B405" s="60" t="s">
        <v>938</v>
      </c>
      <c r="C405" s="61" t="s">
        <v>939</v>
      </c>
      <c r="D405" s="61" t="s">
        <v>98</v>
      </c>
      <c r="E405" s="62" t="str">
        <f>IFERROR(VLOOKUP(Tableau242[[#This Row],[Manager ou CDM concerné]],Parametres!B:C,2,FALSE),"")</f>
        <v/>
      </c>
      <c r="F405" s="62" t="str">
        <f>IF(Tableau242[[#This Row],[Consultant]]=Tableau242[[#This Row],[Manager ou CDM concerné]],"Non",IF(IFERROR(VLOOKUP(Tableau242[[#This Row],[Consultant]],Parametres!B:C,2,FALSE),0)=0,"Non","Oui"))</f>
        <v>Non</v>
      </c>
      <c r="G405" s="62">
        <f>IFERROR(VLOOKUP(B405,Tableau5[#All],4,FALSE),"Matricule!")</f>
        <v>0</v>
      </c>
      <c r="H405" s="62" t="str">
        <f>IFERROR(VLOOKUP(Tableau242[[#This Row],[Company number]],#REF!,6,FALSE),"")</f>
        <v/>
      </c>
      <c r="I405" s="62">
        <f>IFERROR(VLOOKUP(B405,Tableau5[#All],5,FALSE),"Matricule!")</f>
        <v>20</v>
      </c>
      <c r="J405" s="62">
        <f>IFERROR(VLOOKUP(B405,Tableau5[#All],6,FALSE),"Matricule!")</f>
        <v>0</v>
      </c>
      <c r="K405" s="62">
        <f>IFERROR(VLOOKUP(B405,Tableau5[#All],7,FALSE),"Matricule!")</f>
        <v>0</v>
      </c>
      <c r="L405" s="62" t="e">
        <f>VLOOKUP(Tableau242[[#This Row],[Company number]],#REF!,25,FALSE)</f>
        <v>#REF!</v>
      </c>
      <c r="M405" s="62" t="str">
        <f>IFERROR(VLOOKUP(Tableau242[[#This Row],[Company number]],#REF!,30,FALSE),"")</f>
        <v/>
      </c>
      <c r="N405" s="62" t="str">
        <f>IFERROR(VLOOKUP(Tableau242[[#This Row],[Company number]],#REF!,31,FALSE),"")</f>
        <v/>
      </c>
      <c r="O405" s="62" t="str">
        <f>IFERROR(VLOOKUP(Tableau242[[#This Row],[Company number]],#REF!,32,FALSE),"")</f>
        <v/>
      </c>
      <c r="P405" s="68">
        <f>IFERROR(VLOOKUP(B405,Tableau3[#All],5,FALSE),"Matricule!")</f>
        <v>0</v>
      </c>
      <c r="Q405" s="68">
        <f>IFERROR(SUM(VLOOKUP(B405,Tableau3[#All],6,FALSE),VLOOKUP(B405,Tableau3[#All],8,FALSE)),"Matricule!")</f>
        <v>20</v>
      </c>
      <c r="R405" s="68">
        <f>IFERROR(VLOOKUP(B405,Tableau3[#All],7,FALSE),"Matricule!")</f>
        <v>0</v>
      </c>
      <c r="S405" s="62">
        <f>IFERROR(Tableau242[[#This Row],[Prod. days WK]]-Tableau242[[#This Row],[Prod PXX]],"Matricule")</f>
        <v>0</v>
      </c>
      <c r="T405" s="62">
        <f>IFERROR(Tableau242[[#This Row],[Non prod. days WK]]-Tableau242[[#This Row],[Improd PXX]],"Matricule")</f>
        <v>0</v>
      </c>
      <c r="U405" s="62">
        <f>IFERROR(Tableau242[[#This Row],[Paid leave days WK]]-Tableau242[[#This Row],[Congé PXX]],"Matricule")</f>
        <v>0</v>
      </c>
      <c r="V405" s="63">
        <f>IFERROR(VLOOKUP($B405,#REF!,4,FALSE),0)</f>
        <v>0</v>
      </c>
      <c r="W40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05" s="63">
        <f>IF(AND(Tableau242[[#This Row],[Paid leave days]]&gt;0,Tableau242[[#This Row],[Prod. days]]&lt;0),MIN(Tableau242[[#This Row],[Paid leave days]],-Tableau242[[#This Row],[Prod. days]]),0)</f>
        <v>0</v>
      </c>
      <c r="Z405" s="63">
        <f>IFERROR(_xlfn.XLOOKUP(Tableau242[[#This Row],[Consultant]],Tableau2[Collaborateur/Nom affiché],Tableau2[Montant imputé],0),0)</f>
        <v>0</v>
      </c>
      <c r="AA405" s="64">
        <f t="shared" si="7"/>
        <v>0</v>
      </c>
      <c r="AB405" s="65"/>
      <c r="AC405" s="66"/>
      <c r="AD405" s="66"/>
      <c r="AE405" s="105"/>
      <c r="AF405" s="90"/>
    </row>
    <row r="406" spans="1:32">
      <c r="A406" s="15">
        <f>Tableau242[[#This Row],[Company number]]+0</f>
        <v>14511</v>
      </c>
      <c r="B406" s="60" t="s">
        <v>940</v>
      </c>
      <c r="C406" s="61" t="s">
        <v>941</v>
      </c>
      <c r="D406" s="61" t="s">
        <v>45</v>
      </c>
      <c r="E406" s="62" t="str">
        <f>IFERROR(VLOOKUP(Tableau242[[#This Row],[Manager ou CDM concerné]],Parametres!B:C,2,FALSE),"")</f>
        <v>Squad F</v>
      </c>
      <c r="F406" s="62" t="str">
        <f>IF(Tableau242[[#This Row],[Consultant]]=Tableau242[[#This Row],[Manager ou CDM concerné]],"Non",IF(IFERROR(VLOOKUP(Tableau242[[#This Row],[Consultant]],Parametres!B:C,2,FALSE),0)=0,"Non","Oui"))</f>
        <v>Non</v>
      </c>
      <c r="G406" s="62">
        <f>IFERROR(VLOOKUP(B406,Tableau5[#All],4,FALSE),"Matricule!")</f>
        <v>18</v>
      </c>
      <c r="H406" s="62" t="str">
        <f>IFERROR(VLOOKUP(Tableau242[[#This Row],[Company number]],#REF!,6,FALSE),"")</f>
        <v/>
      </c>
      <c r="I406" s="62">
        <f>IFERROR(VLOOKUP(B406,Tableau5[#All],5,FALSE),"Matricule!")</f>
        <v>0</v>
      </c>
      <c r="J406" s="62">
        <f>IFERROR(VLOOKUP(B406,Tableau5[#All],6,FALSE),"Matricule!")</f>
        <v>2</v>
      </c>
      <c r="K406" s="62">
        <f>IFERROR(VLOOKUP(B406,Tableau5[#All],7,FALSE),"Matricule!")</f>
        <v>0</v>
      </c>
      <c r="L406" s="62" t="e">
        <f>VLOOKUP(Tableau242[[#This Row],[Company number]],#REF!,25,FALSE)</f>
        <v>#REF!</v>
      </c>
      <c r="M406" s="62" t="str">
        <f>IFERROR(VLOOKUP(Tableau242[[#This Row],[Company number]],#REF!,30,FALSE),"")</f>
        <v/>
      </c>
      <c r="N406" s="62" t="str">
        <f>IFERROR(VLOOKUP(Tableau242[[#This Row],[Company number]],#REF!,31,FALSE),"")</f>
        <v/>
      </c>
      <c r="O406" s="62" t="str">
        <f>IFERROR(VLOOKUP(Tableau242[[#This Row],[Company number]],#REF!,32,FALSE),"")</f>
        <v/>
      </c>
      <c r="P406" s="62">
        <f>IFERROR(VLOOKUP(B406,Tableau3[#All],5,FALSE),"Matricule!")</f>
        <v>18</v>
      </c>
      <c r="Q406" s="62">
        <f>IFERROR(SUM(VLOOKUP(B406,Tableau3[#All],6,FALSE),VLOOKUP(B406,Tableau3[#All],8,FALSE)),"Matricule!")</f>
        <v>0</v>
      </c>
      <c r="R406" s="62">
        <f>IFERROR(VLOOKUP(B406,Tableau3[#All],7,FALSE),"Matricule!")</f>
        <v>2</v>
      </c>
      <c r="S406" s="62">
        <f>IFERROR(Tableau242[[#This Row],[Prod. days WK]]-Tableau242[[#This Row],[Prod PXX]],"Matricule")</f>
        <v>0</v>
      </c>
      <c r="T406" s="62">
        <f>IFERROR(Tableau242[[#This Row],[Non prod. days WK]]-Tableau242[[#This Row],[Improd PXX]],"Matricule")</f>
        <v>0</v>
      </c>
      <c r="U406" s="62">
        <f>IFERROR(Tableau242[[#This Row],[Paid leave days WK]]-Tableau242[[#This Row],[Congé PXX]],"Matricule")</f>
        <v>0</v>
      </c>
      <c r="V406" s="63">
        <f>IFERROR(VLOOKUP($B406,#REF!,4,FALSE),0)</f>
        <v>0</v>
      </c>
      <c r="W40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06" s="63">
        <f>IF(AND(Tableau242[[#This Row],[Paid leave days]]&gt;0,Tableau242[[#This Row],[Prod. days]]&lt;0),MIN(Tableau242[[#This Row],[Paid leave days]],-Tableau242[[#This Row],[Prod. days]]),0)</f>
        <v>0</v>
      </c>
      <c r="Z406" s="63">
        <f>IFERROR(_xlfn.XLOOKUP(Tableau242[[#This Row],[Consultant]],Tableau2[Collaborateur/Nom affiché],Tableau2[Montant imputé],0),0)</f>
        <v>0</v>
      </c>
      <c r="AA406" s="64">
        <f t="shared" si="7"/>
        <v>0</v>
      </c>
      <c r="AB406" s="65"/>
      <c r="AC406" s="65"/>
      <c r="AD406" s="66"/>
      <c r="AE406" s="39"/>
      <c r="AF406" s="90"/>
    </row>
    <row r="407" spans="1:32">
      <c r="A407" s="15">
        <f>Tableau242[[#This Row],[Company number]]+0</f>
        <v>13431</v>
      </c>
      <c r="B407" s="60" t="s">
        <v>942</v>
      </c>
      <c r="C407" s="61" t="s">
        <v>943</v>
      </c>
      <c r="D407" s="61" t="s">
        <v>45</v>
      </c>
      <c r="E407" s="62" t="str">
        <f>IFERROR(VLOOKUP(Tableau242[[#This Row],[Manager ou CDM concerné]],Parametres!B:C,2,FALSE),"")</f>
        <v>Squad F</v>
      </c>
      <c r="F407" s="62" t="str">
        <f>IF(Tableau242[[#This Row],[Consultant]]=Tableau242[[#This Row],[Manager ou CDM concerné]],"Non",IF(IFERROR(VLOOKUP(Tableau242[[#This Row],[Consultant]],Parametres!B:C,2,FALSE),0)=0,"Non","Oui"))</f>
        <v>Non</v>
      </c>
      <c r="G407" s="62">
        <f>IFERROR(VLOOKUP(B407,Tableau5[#All],4,FALSE),"Matricule!")</f>
        <v>0</v>
      </c>
      <c r="H407" s="62" t="str">
        <f>IFERROR(VLOOKUP(Tableau242[[#This Row],[Company number]],#REF!,6,FALSE),"")</f>
        <v/>
      </c>
      <c r="I407" s="62">
        <f>IFERROR(VLOOKUP(B407,Tableau5[#All],5,FALSE),"Matricule!")</f>
        <v>18</v>
      </c>
      <c r="J407" s="62">
        <f>IFERROR(VLOOKUP(B407,Tableau5[#All],6,FALSE),"Matricule!")</f>
        <v>2</v>
      </c>
      <c r="K407" s="62">
        <f>IFERROR(VLOOKUP(B407,Tableau5[#All],7,FALSE),"Matricule!")</f>
        <v>0</v>
      </c>
      <c r="L407" s="62" t="e">
        <f>VLOOKUP(Tableau242[[#This Row],[Company number]],#REF!,25,FALSE)</f>
        <v>#REF!</v>
      </c>
      <c r="M407" s="62" t="str">
        <f>IFERROR(VLOOKUP(Tableau242[[#This Row],[Company number]],#REF!,30,FALSE),"")</f>
        <v/>
      </c>
      <c r="N407" s="62" t="str">
        <f>IFERROR(VLOOKUP(Tableau242[[#This Row],[Company number]],#REF!,31,FALSE),"")</f>
        <v/>
      </c>
      <c r="O407" s="62" t="str">
        <f>IFERROR(VLOOKUP(Tableau242[[#This Row],[Company number]],#REF!,32,FALSE),"")</f>
        <v/>
      </c>
      <c r="P407" s="62">
        <f>IFERROR(VLOOKUP(B407,Tableau3[#All],5,FALSE),"Matricule!")</f>
        <v>0</v>
      </c>
      <c r="Q407" s="62">
        <f>IFERROR(SUM(VLOOKUP(B407,Tableau3[#All],6,FALSE),VLOOKUP(B407,Tableau3[#All],8,FALSE)),"Matricule!")</f>
        <v>18</v>
      </c>
      <c r="R407" s="62">
        <f>IFERROR(VLOOKUP(B407,Tableau3[#All],7,FALSE),"Matricule!")</f>
        <v>2</v>
      </c>
      <c r="S407" s="62">
        <f>IFERROR(Tableau242[[#This Row],[Prod. days WK]]-Tableau242[[#This Row],[Prod PXX]],"Matricule")</f>
        <v>0</v>
      </c>
      <c r="T407" s="62">
        <f>IFERROR(Tableau242[[#This Row],[Non prod. days WK]]-Tableau242[[#This Row],[Improd PXX]],"Matricule")</f>
        <v>0</v>
      </c>
      <c r="U407" s="62">
        <f>IFERROR(Tableau242[[#This Row],[Paid leave days WK]]-Tableau242[[#This Row],[Congé PXX]],"Matricule")</f>
        <v>0</v>
      </c>
      <c r="V407" s="63">
        <f>IFERROR(VLOOKUP($B407,#REF!,4,FALSE),0)</f>
        <v>0</v>
      </c>
      <c r="W40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07" s="63">
        <f>IF(AND(Tableau242[[#This Row],[Paid leave days]]&gt;0,Tableau242[[#This Row],[Prod. days]]&lt;0),MIN(Tableau242[[#This Row],[Paid leave days]],-Tableau242[[#This Row],[Prod. days]]),0)</f>
        <v>0</v>
      </c>
      <c r="Z407" s="63">
        <f>IFERROR(_xlfn.XLOOKUP(Tableau242[[#This Row],[Consultant]],Tableau2[Collaborateur/Nom affiché],Tableau2[Montant imputé],0),0)</f>
        <v>0</v>
      </c>
      <c r="AA407" s="64">
        <f t="shared" si="7"/>
        <v>0</v>
      </c>
      <c r="AB407" s="65"/>
      <c r="AC407" s="66"/>
      <c r="AD407" s="66"/>
      <c r="AE407" s="105"/>
      <c r="AF407" s="92"/>
    </row>
    <row r="408" spans="1:32">
      <c r="A408" s="15">
        <f>Tableau242[[#This Row],[Company number]]+0</f>
        <v>21478</v>
      </c>
      <c r="B408" s="60" t="s">
        <v>944</v>
      </c>
      <c r="C408" s="61" t="s">
        <v>945</v>
      </c>
      <c r="D408" s="61" t="s">
        <v>45</v>
      </c>
      <c r="E408" s="62" t="str">
        <f>IFERROR(VLOOKUP(Tableau242[[#This Row],[Manager ou CDM concerné]],Parametres!B:C,2,FALSE),"")</f>
        <v>Squad F</v>
      </c>
      <c r="F408" s="62" t="str">
        <f>IF(Tableau242[[#This Row],[Consultant]]=Tableau242[[#This Row],[Manager ou CDM concerné]],"Non",IF(IFERROR(VLOOKUP(Tableau242[[#This Row],[Consultant]],Parametres!B:C,2,FALSE),0)=0,"Non","Oui"))</f>
        <v>Non</v>
      </c>
      <c r="G408" s="62">
        <f>IFERROR(VLOOKUP(B408,Tableau5[#All],4,FALSE),"Matricule!")</f>
        <v>15</v>
      </c>
      <c r="H408" s="62" t="str">
        <f>IFERROR(VLOOKUP(Tableau242[[#This Row],[Company number]],#REF!,6,FALSE),"")</f>
        <v/>
      </c>
      <c r="I408" s="62">
        <f>IFERROR(VLOOKUP(B408,Tableau5[#All],5,FALSE),"Matricule!")</f>
        <v>0</v>
      </c>
      <c r="J408" s="62">
        <f>IFERROR(VLOOKUP(B408,Tableau5[#All],6,FALSE),"Matricule!")</f>
        <v>5</v>
      </c>
      <c r="K408" s="62">
        <f>IFERROR(VLOOKUP(B408,Tableau5[#All],7,FALSE),"Matricule!")</f>
        <v>0</v>
      </c>
      <c r="L408" s="62" t="e">
        <f>VLOOKUP(Tableau242[[#This Row],[Company number]],#REF!,25,FALSE)</f>
        <v>#REF!</v>
      </c>
      <c r="M408" s="62" t="str">
        <f>IFERROR(VLOOKUP(Tableau242[[#This Row],[Company number]],#REF!,30,FALSE),"")</f>
        <v/>
      </c>
      <c r="N408" s="62" t="str">
        <f>IFERROR(VLOOKUP(Tableau242[[#This Row],[Company number]],#REF!,31,FALSE),"")</f>
        <v/>
      </c>
      <c r="O408" s="62" t="str">
        <f>IFERROR(VLOOKUP(Tableau242[[#This Row],[Company number]],#REF!,32,FALSE),"")</f>
        <v/>
      </c>
      <c r="P408" s="62">
        <f>IFERROR(VLOOKUP(B408,Tableau3[#All],5,FALSE),"Matricule!")</f>
        <v>15</v>
      </c>
      <c r="Q408" s="62">
        <f>IFERROR(SUM(VLOOKUP(B408,Tableau3[#All],6,FALSE),VLOOKUP(B408,Tableau3[#All],8,FALSE)),"Matricule!")</f>
        <v>0</v>
      </c>
      <c r="R408" s="62">
        <f>IFERROR(VLOOKUP(B408,Tableau3[#All],7,FALSE),"Matricule!")</f>
        <v>5</v>
      </c>
      <c r="S408" s="62">
        <f>IFERROR(Tableau242[[#This Row],[Prod. days WK]]-Tableau242[[#This Row],[Prod PXX]],"Matricule")</f>
        <v>0</v>
      </c>
      <c r="T408" s="62">
        <f>IFERROR(Tableau242[[#This Row],[Non prod. days WK]]-Tableau242[[#This Row],[Improd PXX]],"Matricule")</f>
        <v>0</v>
      </c>
      <c r="U408" s="62">
        <f>IFERROR(Tableau242[[#This Row],[Paid leave days WK]]-Tableau242[[#This Row],[Congé PXX]],"Matricule")</f>
        <v>0</v>
      </c>
      <c r="V408" s="63">
        <f>IFERROR(VLOOKUP($B408,#REF!,4,FALSE),0)</f>
        <v>0</v>
      </c>
      <c r="W40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08" s="63">
        <f>IF(AND(Tableau242[[#This Row],[Paid leave days]]&gt;0,Tableau242[[#This Row],[Prod. days]]&lt;0),MIN(Tableau242[[#This Row],[Paid leave days]],-Tableau242[[#This Row],[Prod. days]]),0)</f>
        <v>0</v>
      </c>
      <c r="Z408" s="63">
        <f>IFERROR(_xlfn.XLOOKUP(Tableau242[[#This Row],[Consultant]],Tableau2[Collaborateur/Nom affiché],Tableau2[Montant imputé],0),0)</f>
        <v>0</v>
      </c>
      <c r="AA408" s="64">
        <f t="shared" si="7"/>
        <v>0</v>
      </c>
      <c r="AB408" s="65"/>
      <c r="AC408" s="66"/>
      <c r="AD408" s="66"/>
      <c r="AE408" s="105"/>
      <c r="AF408" s="90"/>
    </row>
    <row r="409" spans="1:32">
      <c r="A409" s="15">
        <f>Tableau242[[#This Row],[Company number]]+0</f>
        <v>14276</v>
      </c>
      <c r="B409" s="60" t="s">
        <v>946</v>
      </c>
      <c r="C409" s="61" t="s">
        <v>947</v>
      </c>
      <c r="D409" s="61" t="s">
        <v>45</v>
      </c>
      <c r="E409" s="62" t="str">
        <f>IFERROR(VLOOKUP(Tableau242[[#This Row],[Manager ou CDM concerné]],Parametres!B:C,2,FALSE),"")</f>
        <v>Squad F</v>
      </c>
      <c r="F409" s="62" t="str">
        <f>IF(Tableau242[[#This Row],[Consultant]]=Tableau242[[#This Row],[Manager ou CDM concerné]],"Non",IF(IFERROR(VLOOKUP(Tableau242[[#This Row],[Consultant]],Parametres!B:C,2,FALSE),0)=0,"Non","Oui"))</f>
        <v>Non</v>
      </c>
      <c r="G409" s="62">
        <f>IFERROR(VLOOKUP(B409,Tableau5[#All],4,FALSE),"Matricule!")</f>
        <v>20</v>
      </c>
      <c r="H409" s="62" t="str">
        <f>IFERROR(VLOOKUP(Tableau242[[#This Row],[Company number]],#REF!,6,FALSE),"")</f>
        <v/>
      </c>
      <c r="I409" s="62">
        <f>IFERROR(VLOOKUP(B409,Tableau5[#All],5,FALSE),"Matricule!")</f>
        <v>0</v>
      </c>
      <c r="J409" s="62">
        <f>IFERROR(VLOOKUP(B409,Tableau5[#All],6,FALSE),"Matricule!")</f>
        <v>0</v>
      </c>
      <c r="K409" s="62">
        <f>IFERROR(VLOOKUP(B409,Tableau5[#All],7,FALSE),"Matricule!")</f>
        <v>0</v>
      </c>
      <c r="L409" s="62" t="e">
        <f>VLOOKUP(Tableau242[[#This Row],[Company number]],#REF!,25,FALSE)</f>
        <v>#REF!</v>
      </c>
      <c r="M409" s="62" t="str">
        <f>IFERROR(VLOOKUP(Tableau242[[#This Row],[Company number]],#REF!,30,FALSE),"")</f>
        <v/>
      </c>
      <c r="N409" s="62" t="str">
        <f>IFERROR(VLOOKUP(Tableau242[[#This Row],[Company number]],#REF!,31,FALSE),"")</f>
        <v/>
      </c>
      <c r="O409" s="62" t="str">
        <f>IFERROR(VLOOKUP(Tableau242[[#This Row],[Company number]],#REF!,32,FALSE),"")</f>
        <v/>
      </c>
      <c r="P409" s="62">
        <f>IFERROR(VLOOKUP(B409,Tableau3[#All],5,FALSE),"Matricule!")</f>
        <v>20</v>
      </c>
      <c r="Q409" s="62">
        <f>IFERROR(SUM(VLOOKUP(B409,Tableau3[#All],6,FALSE),VLOOKUP(B409,Tableau3[#All],8,FALSE)),"Matricule!")</f>
        <v>0</v>
      </c>
      <c r="R409" s="62">
        <f>IFERROR(VLOOKUP(B409,Tableau3[#All],7,FALSE),"Matricule!")</f>
        <v>0</v>
      </c>
      <c r="S409" s="62">
        <f>IFERROR(Tableau242[[#This Row],[Prod. days WK]]-Tableau242[[#This Row],[Prod PXX]],"Matricule")</f>
        <v>0</v>
      </c>
      <c r="T409" s="62">
        <f>IFERROR(Tableau242[[#This Row],[Non prod. days WK]]-Tableau242[[#This Row],[Improd PXX]],"Matricule")</f>
        <v>0</v>
      </c>
      <c r="U409" s="62">
        <f>IFERROR(Tableau242[[#This Row],[Paid leave days WK]]-Tableau242[[#This Row],[Congé PXX]],"Matricule")</f>
        <v>0</v>
      </c>
      <c r="V409" s="63">
        <f>IFERROR(VLOOKUP($B409,#REF!,4,FALSE),0)</f>
        <v>0</v>
      </c>
      <c r="W40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0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09" s="63">
        <f>IF(AND(Tableau242[[#This Row],[Paid leave days]]&gt;0,Tableau242[[#This Row],[Prod. days]]&lt;0),MIN(Tableau242[[#This Row],[Paid leave days]],-Tableau242[[#This Row],[Prod. days]]),0)</f>
        <v>0</v>
      </c>
      <c r="Z409" s="63">
        <f>IFERROR(_xlfn.XLOOKUP(Tableau242[[#This Row],[Consultant]],Tableau2[Collaborateur/Nom affiché],Tableau2[Montant imputé],0),0)</f>
        <v>0</v>
      </c>
      <c r="AA409" s="64">
        <f t="shared" si="7"/>
        <v>0</v>
      </c>
      <c r="AB409" s="70"/>
      <c r="AC409" s="66"/>
      <c r="AD409" s="66"/>
      <c r="AE409" s="105"/>
      <c r="AF409" s="90"/>
    </row>
    <row r="410" spans="1:32">
      <c r="A410" s="15">
        <f>Tableau242[[#This Row],[Company number]]+0</f>
        <v>15601</v>
      </c>
      <c r="B410" s="60" t="s">
        <v>948</v>
      </c>
      <c r="C410" s="61" t="s">
        <v>949</v>
      </c>
      <c r="D410" s="61" t="s">
        <v>45</v>
      </c>
      <c r="E410" s="62" t="str">
        <f>IFERROR(VLOOKUP(Tableau242[[#This Row],[Manager ou CDM concerné]],Parametres!B:C,2,FALSE),"")</f>
        <v>Squad F</v>
      </c>
      <c r="F410" s="62" t="str">
        <f>IF(Tableau242[[#This Row],[Consultant]]=Tableau242[[#This Row],[Manager ou CDM concerné]],"Non",IF(IFERROR(VLOOKUP(Tableau242[[#This Row],[Consultant]],Parametres!B:C,2,FALSE),0)=0,"Non","Oui"))</f>
        <v>Non</v>
      </c>
      <c r="G410" s="62">
        <f>IFERROR(VLOOKUP(B410,Tableau5[#All],4,FALSE),"Matricule!")</f>
        <v>20</v>
      </c>
      <c r="H410" s="62" t="str">
        <f>IFERROR(VLOOKUP(Tableau242[[#This Row],[Company number]],#REF!,6,FALSE),"")</f>
        <v/>
      </c>
      <c r="I410" s="62">
        <f>IFERROR(VLOOKUP(B410,Tableau5[#All],5,FALSE),"Matricule!")</f>
        <v>0</v>
      </c>
      <c r="J410" s="62">
        <f>IFERROR(VLOOKUP(B410,Tableau5[#All],6,FALSE),"Matricule!")</f>
        <v>0</v>
      </c>
      <c r="K410" s="62">
        <f>IFERROR(VLOOKUP(B410,Tableau5[#All],7,FALSE),"Matricule!")</f>
        <v>0</v>
      </c>
      <c r="L410" s="62" t="e">
        <f>VLOOKUP(Tableau242[[#This Row],[Company number]],#REF!,25,FALSE)</f>
        <v>#REF!</v>
      </c>
      <c r="M410" s="62" t="str">
        <f>IFERROR(VLOOKUP(Tableau242[[#This Row],[Company number]],#REF!,30,FALSE),"")</f>
        <v/>
      </c>
      <c r="N410" s="62" t="str">
        <f>IFERROR(VLOOKUP(Tableau242[[#This Row],[Company number]],#REF!,31,FALSE),"")</f>
        <v/>
      </c>
      <c r="O410" s="62" t="str">
        <f>IFERROR(VLOOKUP(Tableau242[[#This Row],[Company number]],#REF!,32,FALSE),"")</f>
        <v/>
      </c>
      <c r="P410" s="62">
        <f>IFERROR(VLOOKUP(B410,Tableau3[#All],5,FALSE),"Matricule!")</f>
        <v>20</v>
      </c>
      <c r="Q410" s="62">
        <f>IFERROR(SUM(VLOOKUP(B410,Tableau3[#All],6,FALSE),VLOOKUP(B410,Tableau3[#All],8,FALSE)),"Matricule!")</f>
        <v>0</v>
      </c>
      <c r="R410" s="62">
        <f>IFERROR(VLOOKUP(B410,Tableau3[#All],7,FALSE),"Matricule!")</f>
        <v>0</v>
      </c>
      <c r="S410" s="62">
        <f>IFERROR(Tableau242[[#This Row],[Prod. days WK]]-Tableau242[[#This Row],[Prod PXX]],"Matricule")</f>
        <v>0</v>
      </c>
      <c r="T410" s="62">
        <f>IFERROR(Tableau242[[#This Row],[Non prod. days WK]]-Tableau242[[#This Row],[Improd PXX]],"Matricule")</f>
        <v>0</v>
      </c>
      <c r="U410" s="62">
        <f>IFERROR(Tableau242[[#This Row],[Paid leave days WK]]-Tableau242[[#This Row],[Congé PXX]],"Matricule")</f>
        <v>0</v>
      </c>
      <c r="V410" s="63">
        <f>IFERROR(VLOOKUP($B410,#REF!,4,FALSE),0)</f>
        <v>0</v>
      </c>
      <c r="W41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0" s="63" t="s">
        <v>235</v>
      </c>
      <c r="Y410" s="63">
        <f>IF(AND(Tableau242[[#This Row],[Paid leave days]]&gt;0,Tableau242[[#This Row],[Prod. days]]&lt;0),MIN(Tableau242[[#This Row],[Paid leave days]],-Tableau242[[#This Row],[Prod. days]]),0)</f>
        <v>0</v>
      </c>
      <c r="Z410" s="63">
        <f>IFERROR(_xlfn.XLOOKUP(Tableau242[[#This Row],[Consultant]],Tableau2[Collaborateur/Nom affiché],Tableau2[Montant imputé],0),0)</f>
        <v>0</v>
      </c>
      <c r="AA410" s="64">
        <f t="shared" si="7"/>
        <v>0</v>
      </c>
      <c r="AB410" s="65"/>
      <c r="AC410" s="66"/>
      <c r="AD410" s="66"/>
      <c r="AE410" s="105"/>
      <c r="AF410" s="90"/>
    </row>
    <row r="411" spans="1:32">
      <c r="A411" s="15">
        <f>Tableau242[[#This Row],[Company number]]+0</f>
        <v>20849</v>
      </c>
      <c r="B411" s="60" t="s">
        <v>950</v>
      </c>
      <c r="C411" s="61" t="s">
        <v>951</v>
      </c>
      <c r="D411" s="61" t="s">
        <v>45</v>
      </c>
      <c r="E411" s="62" t="str">
        <f>IFERROR(VLOOKUP(Tableau242[[#This Row],[Manager ou CDM concerné]],Parametres!B:C,2,FALSE),"")</f>
        <v>Squad F</v>
      </c>
      <c r="F411" s="62" t="str">
        <f>IF(Tableau242[[#This Row],[Consultant]]=Tableau242[[#This Row],[Manager ou CDM concerné]],"Non",IF(IFERROR(VLOOKUP(Tableau242[[#This Row],[Consultant]],Parametres!B:C,2,FALSE),0)=0,"Non","Oui"))</f>
        <v>Non</v>
      </c>
      <c r="G411" s="62">
        <f>IFERROR(VLOOKUP(B411,Tableau5[#All],4,FALSE),"Matricule!")</f>
        <v>20</v>
      </c>
      <c r="H411" s="62" t="str">
        <f>IFERROR(VLOOKUP(Tableau242[[#This Row],[Company number]],#REF!,6,FALSE),"")</f>
        <v/>
      </c>
      <c r="I411" s="62">
        <f>IFERROR(VLOOKUP(B411,Tableau5[#All],5,FALSE),"Matricule!")</f>
        <v>0</v>
      </c>
      <c r="J411" s="62">
        <f>IFERROR(VLOOKUP(B411,Tableau5[#All],6,FALSE),"Matricule!")</f>
        <v>0</v>
      </c>
      <c r="K411" s="62">
        <f>IFERROR(VLOOKUP(B411,Tableau5[#All],7,FALSE),"Matricule!")</f>
        <v>0</v>
      </c>
      <c r="L411" s="62" t="e">
        <f>VLOOKUP(Tableau242[[#This Row],[Company number]],#REF!,25,FALSE)</f>
        <v>#REF!</v>
      </c>
      <c r="M411" s="62" t="str">
        <f>IFERROR(VLOOKUP(Tableau242[[#This Row],[Company number]],#REF!,30,FALSE),"")</f>
        <v/>
      </c>
      <c r="N411" s="62" t="str">
        <f>IFERROR(VLOOKUP(Tableau242[[#This Row],[Company number]],#REF!,31,FALSE),"")</f>
        <v/>
      </c>
      <c r="O411" s="62" t="str">
        <f>IFERROR(VLOOKUP(Tableau242[[#This Row],[Company number]],#REF!,32,FALSE),"")</f>
        <v/>
      </c>
      <c r="P411" s="62">
        <f>IFERROR(VLOOKUP(B411,Tableau3[#All],5,FALSE),"Matricule!")</f>
        <v>20</v>
      </c>
      <c r="Q411" s="62">
        <f>IFERROR(SUM(VLOOKUP(B411,Tableau3[#All],6,FALSE),VLOOKUP(B411,Tableau3[#All],8,FALSE)),"Matricule!")</f>
        <v>0</v>
      </c>
      <c r="R411" s="62">
        <f>IFERROR(VLOOKUP(B411,Tableau3[#All],7,FALSE),"Matricule!")</f>
        <v>0</v>
      </c>
      <c r="S411" s="62">
        <f>IFERROR(Tableau242[[#This Row],[Prod. days WK]]-Tableau242[[#This Row],[Prod PXX]],"Matricule")</f>
        <v>0</v>
      </c>
      <c r="T411" s="62">
        <f>IFERROR(Tableau242[[#This Row],[Non prod. days WK]]-Tableau242[[#This Row],[Improd PXX]],"Matricule")</f>
        <v>0</v>
      </c>
      <c r="U411" s="62">
        <f>IFERROR(Tableau242[[#This Row],[Paid leave days WK]]-Tableau242[[#This Row],[Congé PXX]],"Matricule")</f>
        <v>0</v>
      </c>
      <c r="V411" s="63">
        <f>IFERROR(VLOOKUP($B411,#REF!,4,FALSE),0)</f>
        <v>0</v>
      </c>
      <c r="W41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11" s="63">
        <f>IF(AND(Tableau242[[#This Row],[Paid leave days]]&gt;0,Tableau242[[#This Row],[Prod. days]]&lt;0),MIN(Tableau242[[#This Row],[Paid leave days]],-Tableau242[[#This Row],[Prod. days]]),0)</f>
        <v>0</v>
      </c>
      <c r="Z411" s="63">
        <f>IFERROR(_xlfn.XLOOKUP(Tableau242[[#This Row],[Consultant]],Tableau2[Collaborateur/Nom affiché],Tableau2[Montant imputé],0),0)</f>
        <v>0</v>
      </c>
      <c r="AA411" s="64">
        <f t="shared" si="7"/>
        <v>0</v>
      </c>
      <c r="AB411" s="65"/>
      <c r="AC411" s="67"/>
      <c r="AD411" s="66"/>
      <c r="AE411" s="105"/>
      <c r="AF411" s="93"/>
    </row>
    <row r="412" spans="1:32">
      <c r="A412" s="15">
        <f>Tableau242[[#This Row],[Company number]]+0</f>
        <v>21602</v>
      </c>
      <c r="B412" s="60" t="s">
        <v>952</v>
      </c>
      <c r="C412" s="61" t="s">
        <v>953</v>
      </c>
      <c r="D412" s="61" t="s">
        <v>45</v>
      </c>
      <c r="E412" s="62" t="str">
        <f>IFERROR(VLOOKUP(Tableau242[[#This Row],[Manager ou CDM concerné]],Parametres!B:C,2,FALSE),"")</f>
        <v>Squad F</v>
      </c>
      <c r="F412" s="62" t="str">
        <f>IF(Tableau242[[#This Row],[Consultant]]=Tableau242[[#This Row],[Manager ou CDM concerné]],"Non",IF(IFERROR(VLOOKUP(Tableau242[[#This Row],[Consultant]],Parametres!B:C,2,FALSE),0)=0,"Non","Oui"))</f>
        <v>Non</v>
      </c>
      <c r="G412" s="62">
        <f>IFERROR(VLOOKUP(B412,Tableau5[#All],4,FALSE),"Matricule!")</f>
        <v>17</v>
      </c>
      <c r="H412" s="62" t="str">
        <f>IFERROR(VLOOKUP(Tableau242[[#This Row],[Company number]],#REF!,6,FALSE),"")</f>
        <v/>
      </c>
      <c r="I412" s="62">
        <f>IFERROR(VLOOKUP(B412,Tableau5[#All],5,FALSE),"Matricule!")</f>
        <v>0</v>
      </c>
      <c r="J412" s="62">
        <f>IFERROR(VLOOKUP(B412,Tableau5[#All],6,FALSE),"Matricule!")</f>
        <v>3</v>
      </c>
      <c r="K412" s="62">
        <f>IFERROR(VLOOKUP(B412,Tableau5[#All],7,FALSE),"Matricule!")</f>
        <v>0</v>
      </c>
      <c r="L412" s="62" t="e">
        <f>VLOOKUP(Tableau242[[#This Row],[Company number]],#REF!,25,FALSE)</f>
        <v>#REF!</v>
      </c>
      <c r="M412" s="62" t="str">
        <f>IFERROR(VLOOKUP(Tableau242[[#This Row],[Company number]],#REF!,30,FALSE),"")</f>
        <v/>
      </c>
      <c r="N412" s="62" t="str">
        <f>IFERROR(VLOOKUP(Tableau242[[#This Row],[Company number]],#REF!,31,FALSE),"")</f>
        <v/>
      </c>
      <c r="O412" s="62" t="str">
        <f>IFERROR(VLOOKUP(Tableau242[[#This Row],[Company number]],#REF!,32,FALSE),"")</f>
        <v/>
      </c>
      <c r="P412" s="62">
        <f>IFERROR(VLOOKUP(B412,Tableau3[#All],5,FALSE),"Matricule!")</f>
        <v>17</v>
      </c>
      <c r="Q412" s="62">
        <f>IFERROR(SUM(VLOOKUP(B412,Tableau3[#All],6,FALSE),VLOOKUP(B412,Tableau3[#All],8,FALSE)),"Matricule!")</f>
        <v>0</v>
      </c>
      <c r="R412" s="62">
        <f>IFERROR(VLOOKUP(B412,Tableau3[#All],7,FALSE),"Matricule!")</f>
        <v>3</v>
      </c>
      <c r="S412" s="62">
        <f>IFERROR(Tableau242[[#This Row],[Prod. days WK]]-Tableau242[[#This Row],[Prod PXX]],"Matricule")</f>
        <v>0</v>
      </c>
      <c r="T412" s="62">
        <f>IFERROR(Tableau242[[#This Row],[Non prod. days WK]]-Tableau242[[#This Row],[Improd PXX]],"Matricule")</f>
        <v>0</v>
      </c>
      <c r="U412" s="62">
        <f>IFERROR(Tableau242[[#This Row],[Paid leave days WK]]-Tableau242[[#This Row],[Congé PXX]],"Matricule")</f>
        <v>0</v>
      </c>
      <c r="V412" s="63">
        <f>IFERROR(VLOOKUP($B412,#REF!,4,FALSE),0)</f>
        <v>0</v>
      </c>
      <c r="W41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12" s="63">
        <f>IF(AND(Tableau242[[#This Row],[Paid leave days]]&gt;0,Tableau242[[#This Row],[Prod. days]]&lt;0),MIN(Tableau242[[#This Row],[Paid leave days]],-Tableau242[[#This Row],[Prod. days]]),0)</f>
        <v>0</v>
      </c>
      <c r="Z412" s="63">
        <f>IFERROR(_xlfn.XLOOKUP(Tableau242[[#This Row],[Consultant]],Tableau2[Collaborateur/Nom affiché],Tableau2[Montant imputé],0),0)</f>
        <v>0</v>
      </c>
      <c r="AA412" s="64">
        <f t="shared" si="7"/>
        <v>0</v>
      </c>
      <c r="AB412" s="65"/>
      <c r="AC412" s="66"/>
      <c r="AD412" s="66"/>
      <c r="AE412" s="105"/>
      <c r="AF412" s="90"/>
    </row>
    <row r="413" spans="1:32">
      <c r="A413" s="15">
        <f>Tableau242[[#This Row],[Company number]]+0</f>
        <v>14266</v>
      </c>
      <c r="B413" s="60" t="s">
        <v>954</v>
      </c>
      <c r="C413" s="61" t="s">
        <v>955</v>
      </c>
      <c r="D413" s="61" t="s">
        <v>45</v>
      </c>
      <c r="E413" s="62" t="str">
        <f>IFERROR(VLOOKUP(Tableau242[[#This Row],[Manager ou CDM concerné]],Parametres!B:C,2,FALSE),"")</f>
        <v>Squad F</v>
      </c>
      <c r="F413" s="62" t="str">
        <f>IF(Tableau242[[#This Row],[Consultant]]=Tableau242[[#This Row],[Manager ou CDM concerné]],"Non",IF(IFERROR(VLOOKUP(Tableau242[[#This Row],[Consultant]],Parametres!B:C,2,FALSE),0)=0,"Non","Oui"))</f>
        <v>Non</v>
      </c>
      <c r="G413" s="62">
        <f>IFERROR(VLOOKUP(B413,Tableau5[#All],4,FALSE),"Matricule!")</f>
        <v>20</v>
      </c>
      <c r="H413" s="62" t="str">
        <f>IFERROR(VLOOKUP(Tableau242[[#This Row],[Company number]],#REF!,6,FALSE),"")</f>
        <v/>
      </c>
      <c r="I413" s="62">
        <f>IFERROR(VLOOKUP(B413,Tableau5[#All],5,FALSE),"Matricule!")</f>
        <v>0</v>
      </c>
      <c r="J413" s="62">
        <f>IFERROR(VLOOKUP(B413,Tableau5[#All],6,FALSE),"Matricule!")</f>
        <v>0</v>
      </c>
      <c r="K413" s="62">
        <f>IFERROR(VLOOKUP(B413,Tableau5[#All],7,FALSE),"Matricule!")</f>
        <v>0</v>
      </c>
      <c r="L413" s="62" t="e">
        <f>VLOOKUP(Tableau242[[#This Row],[Company number]],#REF!,25,FALSE)</f>
        <v>#REF!</v>
      </c>
      <c r="M413" s="62" t="str">
        <f>IFERROR(VLOOKUP(Tableau242[[#This Row],[Company number]],#REF!,30,FALSE),"")</f>
        <v/>
      </c>
      <c r="N413" s="62" t="str">
        <f>IFERROR(VLOOKUP(Tableau242[[#This Row],[Company number]],#REF!,31,FALSE),"")</f>
        <v/>
      </c>
      <c r="O413" s="62" t="str">
        <f>IFERROR(VLOOKUP(Tableau242[[#This Row],[Company number]],#REF!,32,FALSE),"")</f>
        <v/>
      </c>
      <c r="P413" s="62">
        <f>IFERROR(VLOOKUP(B413,Tableau3[#All],5,FALSE),"Matricule!")</f>
        <v>20</v>
      </c>
      <c r="Q413" s="62">
        <f>IFERROR(SUM(VLOOKUP(B413,Tableau3[#All],6,FALSE),VLOOKUP(B413,Tableau3[#All],8,FALSE)),"Matricule!")</f>
        <v>0</v>
      </c>
      <c r="R413" s="62">
        <f>IFERROR(VLOOKUP(B413,Tableau3[#All],7,FALSE),"Matricule!")</f>
        <v>0</v>
      </c>
      <c r="S413" s="62">
        <f>IFERROR(Tableau242[[#This Row],[Prod. days WK]]-Tableau242[[#This Row],[Prod PXX]],"Matricule")</f>
        <v>0</v>
      </c>
      <c r="T413" s="62">
        <f>IFERROR(Tableau242[[#This Row],[Non prod. days WK]]-Tableau242[[#This Row],[Improd PXX]],"Matricule")</f>
        <v>0</v>
      </c>
      <c r="U413" s="62">
        <f>IFERROR(Tableau242[[#This Row],[Paid leave days WK]]-Tableau242[[#This Row],[Congé PXX]],"Matricule")</f>
        <v>0</v>
      </c>
      <c r="V413" s="63">
        <f>IFERROR(VLOOKUP($B413,#REF!,4,FALSE),0)</f>
        <v>0</v>
      </c>
      <c r="W41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13" s="63">
        <f>IF(AND(Tableau242[[#This Row],[Paid leave days]]&gt;0,Tableau242[[#This Row],[Prod. days]]&lt;0),MIN(Tableau242[[#This Row],[Paid leave days]],-Tableau242[[#This Row],[Prod. days]]),0)</f>
        <v>0</v>
      </c>
      <c r="Z413" s="63">
        <f>IFERROR(_xlfn.XLOOKUP(Tableau242[[#This Row],[Consultant]],Tableau2[Collaborateur/Nom affiché],Tableau2[Montant imputé],0),0)</f>
        <v>0</v>
      </c>
      <c r="AA413" s="64">
        <f t="shared" si="7"/>
        <v>0</v>
      </c>
      <c r="AB413" s="65"/>
      <c r="AC413" s="66"/>
      <c r="AD413" s="66"/>
      <c r="AE413" s="105"/>
      <c r="AF413" s="93"/>
    </row>
    <row r="414" spans="1:32">
      <c r="A414" s="15">
        <f>Tableau242[[#This Row],[Company number]]+0</f>
        <v>13057</v>
      </c>
      <c r="B414" s="60" t="s">
        <v>956</v>
      </c>
      <c r="C414" s="61" t="s">
        <v>957</v>
      </c>
      <c r="D414" s="61" t="s">
        <v>45</v>
      </c>
      <c r="E414" s="62" t="str">
        <f>IFERROR(VLOOKUP(Tableau242[[#This Row],[Manager ou CDM concerné]],Parametres!B:C,2,FALSE),"")</f>
        <v>Squad F</v>
      </c>
      <c r="F414" s="62" t="str">
        <f>IF(Tableau242[[#This Row],[Consultant]]=Tableau242[[#This Row],[Manager ou CDM concerné]],"Non",IF(IFERROR(VLOOKUP(Tableau242[[#This Row],[Consultant]],Parametres!B:C,2,FALSE),0)=0,"Non","Oui"))</f>
        <v>Non</v>
      </c>
      <c r="G414" s="62">
        <f>IFERROR(VLOOKUP(B414,Tableau5[#All],4,FALSE),"Matricule!")</f>
        <v>20</v>
      </c>
      <c r="H414" s="62" t="str">
        <f>IFERROR(VLOOKUP(Tableau242[[#This Row],[Company number]],#REF!,6,FALSE),"")</f>
        <v/>
      </c>
      <c r="I414" s="62">
        <f>IFERROR(VLOOKUP(B414,Tableau5[#All],5,FALSE),"Matricule!")</f>
        <v>0</v>
      </c>
      <c r="J414" s="62">
        <f>IFERROR(VLOOKUP(B414,Tableau5[#All],6,FALSE),"Matricule!")</f>
        <v>0</v>
      </c>
      <c r="K414" s="62">
        <f>IFERROR(VLOOKUP(B414,Tableau5[#All],7,FALSE),"Matricule!")</f>
        <v>0</v>
      </c>
      <c r="L414" s="62" t="e">
        <f>VLOOKUP(Tableau242[[#This Row],[Company number]],#REF!,25,FALSE)</f>
        <v>#REF!</v>
      </c>
      <c r="M414" s="62" t="str">
        <f>IFERROR(VLOOKUP(Tableau242[[#This Row],[Company number]],#REF!,30,FALSE),"")</f>
        <v/>
      </c>
      <c r="N414" s="62" t="str">
        <f>IFERROR(VLOOKUP(Tableau242[[#This Row],[Company number]],#REF!,31,FALSE),"")</f>
        <v/>
      </c>
      <c r="O414" s="62" t="str">
        <f>IFERROR(VLOOKUP(Tableau242[[#This Row],[Company number]],#REF!,32,FALSE),"")</f>
        <v/>
      </c>
      <c r="P414" s="62">
        <f>IFERROR(VLOOKUP(B414,Tableau3[#All],5,FALSE),"Matricule!")</f>
        <v>20</v>
      </c>
      <c r="Q414" s="62">
        <f>IFERROR(SUM(VLOOKUP(B414,Tableau3[#All],6,FALSE),VLOOKUP(B414,Tableau3[#All],8,FALSE)),"Matricule!")</f>
        <v>0</v>
      </c>
      <c r="R414" s="62">
        <f>IFERROR(VLOOKUP(B414,Tableau3[#All],7,FALSE),"Matricule!")</f>
        <v>0</v>
      </c>
      <c r="S414" s="62">
        <f>IFERROR(Tableau242[[#This Row],[Prod. days WK]]-Tableau242[[#This Row],[Prod PXX]],"Matricule")</f>
        <v>0</v>
      </c>
      <c r="T414" s="62">
        <f>IFERROR(Tableau242[[#This Row],[Non prod. days WK]]-Tableau242[[#This Row],[Improd PXX]],"Matricule")</f>
        <v>0</v>
      </c>
      <c r="U414" s="62">
        <f>IFERROR(Tableau242[[#This Row],[Paid leave days WK]]-Tableau242[[#This Row],[Congé PXX]],"Matricule")</f>
        <v>0</v>
      </c>
      <c r="V414" s="63">
        <f>IFERROR(VLOOKUP($B414,#REF!,4,FALSE),0)</f>
        <v>0</v>
      </c>
      <c r="W41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14" s="63">
        <f>IF(AND(Tableau242[[#This Row],[Paid leave days]]&gt;0,Tableau242[[#This Row],[Prod. days]]&lt;0),MIN(Tableau242[[#This Row],[Paid leave days]],-Tableau242[[#This Row],[Prod. days]]),0)</f>
        <v>0</v>
      </c>
      <c r="Z414" s="63">
        <f>IFERROR(_xlfn.XLOOKUP(Tableau242[[#This Row],[Consultant]],Tableau2[Collaborateur/Nom affiché],Tableau2[Montant imputé],0),0)</f>
        <v>0</v>
      </c>
      <c r="AA414" s="64">
        <f t="shared" si="7"/>
        <v>0</v>
      </c>
      <c r="AB414" s="65"/>
      <c r="AC414" s="73"/>
      <c r="AD414" s="66"/>
      <c r="AE414" s="105"/>
      <c r="AF414" s="90"/>
    </row>
    <row r="415" spans="1:32">
      <c r="A415" s="15">
        <f>Tableau242[[#This Row],[Company number]]+0</f>
        <v>22022</v>
      </c>
      <c r="B415" s="60" t="s">
        <v>958</v>
      </c>
      <c r="C415" s="61" t="s">
        <v>959</v>
      </c>
      <c r="D415" s="61" t="s">
        <v>45</v>
      </c>
      <c r="E415" s="62" t="str">
        <f>IFERROR(VLOOKUP(Tableau242[[#This Row],[Manager ou CDM concerné]],Parametres!B:C,2,FALSE),"")</f>
        <v>Squad F</v>
      </c>
      <c r="F415" s="62" t="str">
        <f>IF(Tableau242[[#This Row],[Consultant]]=Tableau242[[#This Row],[Manager ou CDM concerné]],"Non",IF(IFERROR(VLOOKUP(Tableau242[[#This Row],[Consultant]],Parametres!B:C,2,FALSE),0)=0,"Non","Oui"))</f>
        <v>Non</v>
      </c>
      <c r="G415" s="62">
        <f>IFERROR(VLOOKUP(B415,Tableau5[#All],4,FALSE),"Matricule!")</f>
        <v>0</v>
      </c>
      <c r="H415" s="62" t="str">
        <f>IFERROR(VLOOKUP(Tableau242[[#This Row],[Company number]],#REF!,6,FALSE),"")</f>
        <v/>
      </c>
      <c r="I415" s="62">
        <f>IFERROR(VLOOKUP(B415,Tableau5[#All],5,FALSE),"Matricule!")</f>
        <v>20</v>
      </c>
      <c r="J415" s="62">
        <f>IFERROR(VLOOKUP(B415,Tableau5[#All],6,FALSE),"Matricule!")</f>
        <v>0</v>
      </c>
      <c r="K415" s="62">
        <f>IFERROR(VLOOKUP(B415,Tableau5[#All],7,FALSE),"Matricule!")</f>
        <v>0</v>
      </c>
      <c r="L415" s="62" t="e">
        <f>VLOOKUP(Tableau242[[#This Row],[Company number]],#REF!,25,FALSE)</f>
        <v>#REF!</v>
      </c>
      <c r="M415" s="62" t="str">
        <f>IFERROR(VLOOKUP(Tableau242[[#This Row],[Company number]],#REF!,30,FALSE),"")</f>
        <v/>
      </c>
      <c r="N415" s="62" t="str">
        <f>IFERROR(VLOOKUP(Tableau242[[#This Row],[Company number]],#REF!,31,FALSE),"")</f>
        <v/>
      </c>
      <c r="O415" s="62" t="str">
        <f>IFERROR(VLOOKUP(Tableau242[[#This Row],[Company number]],#REF!,32,FALSE),"")</f>
        <v/>
      </c>
      <c r="P415" s="62">
        <f>IFERROR(VLOOKUP(B415,Tableau3[#All],5,FALSE),"Matricule!")</f>
        <v>0</v>
      </c>
      <c r="Q415" s="62">
        <f>IFERROR(SUM(VLOOKUP(B415,Tableau3[#All],6,FALSE),VLOOKUP(B415,Tableau3[#All],8,FALSE)),"Matricule!")</f>
        <v>20</v>
      </c>
      <c r="R415" s="62">
        <f>IFERROR(VLOOKUP(B415,Tableau3[#All],7,FALSE),"Matricule!")</f>
        <v>0</v>
      </c>
      <c r="S415" s="62">
        <f>IFERROR(Tableau242[[#This Row],[Prod. days WK]]-Tableau242[[#This Row],[Prod PXX]],"Matricule")</f>
        <v>0</v>
      </c>
      <c r="T415" s="62">
        <f>IFERROR(Tableau242[[#This Row],[Non prod. days WK]]-Tableau242[[#This Row],[Improd PXX]],"Matricule")</f>
        <v>0</v>
      </c>
      <c r="U415" s="62">
        <f>IFERROR(Tableau242[[#This Row],[Paid leave days WK]]-Tableau242[[#This Row],[Congé PXX]],"Matricule")</f>
        <v>0</v>
      </c>
      <c r="V415" s="63">
        <f>IFERROR(VLOOKUP($B415,#REF!,4,FALSE),0)</f>
        <v>0</v>
      </c>
      <c r="W41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15" s="63">
        <f>IF(AND(Tableau242[[#This Row],[Paid leave days]]&gt;0,Tableau242[[#This Row],[Prod. days]]&lt;0),MIN(Tableau242[[#This Row],[Paid leave days]],-Tableau242[[#This Row],[Prod. days]]),0)</f>
        <v>0</v>
      </c>
      <c r="Z415" s="63">
        <f>IFERROR(_xlfn.XLOOKUP(Tableau242[[#This Row],[Consultant]],Tableau2[Collaborateur/Nom affiché],Tableau2[Montant imputé],0),0)</f>
        <v>0</v>
      </c>
      <c r="AA415" s="64">
        <f t="shared" si="7"/>
        <v>0</v>
      </c>
      <c r="AB415" s="65"/>
      <c r="AC415" s="67"/>
      <c r="AD415" s="66"/>
      <c r="AE415" s="105"/>
      <c r="AF415" s="93"/>
    </row>
    <row r="416" spans="1:32">
      <c r="A416" s="15">
        <f>Tableau242[[#This Row],[Company number]]+0</f>
        <v>17017</v>
      </c>
      <c r="B416" s="60" t="s">
        <v>960</v>
      </c>
      <c r="C416" s="61" t="s">
        <v>961</v>
      </c>
      <c r="D416" s="61" t="s">
        <v>49</v>
      </c>
      <c r="E416" s="62" t="str">
        <f>IFERROR(VLOOKUP(Tableau242[[#This Row],[Manager ou CDM concerné]],Parametres!B:C,2,FALSE),"")</f>
        <v>Squad F</v>
      </c>
      <c r="F416" s="62" t="str">
        <f>IF(Tableau242[[#This Row],[Consultant]]=Tableau242[[#This Row],[Manager ou CDM concerné]],"Non",IF(IFERROR(VLOOKUP(Tableau242[[#This Row],[Consultant]],Parametres!B:C,2,FALSE),0)=0,"Non","Oui"))</f>
        <v>Non</v>
      </c>
      <c r="G416" s="62">
        <f>IFERROR(VLOOKUP(B416,Tableau5[#All],4,FALSE),"Matricule!")</f>
        <v>0</v>
      </c>
      <c r="H416" s="62" t="str">
        <f>IFERROR(VLOOKUP(Tableau242[[#This Row],[Company number]],#REF!,6,FALSE),"")</f>
        <v/>
      </c>
      <c r="I416" s="62">
        <f>IFERROR(VLOOKUP(B416,Tableau5[#All],5,FALSE),"Matricule!")</f>
        <v>20</v>
      </c>
      <c r="J416" s="62">
        <f>IFERROR(VLOOKUP(B416,Tableau5[#All],6,FALSE),"Matricule!")</f>
        <v>0</v>
      </c>
      <c r="K416" s="62">
        <f>IFERROR(VLOOKUP(B416,Tableau5[#All],7,FALSE),"Matricule!")</f>
        <v>0</v>
      </c>
      <c r="L416" s="62" t="e">
        <f>VLOOKUP(Tableau242[[#This Row],[Company number]],#REF!,25,FALSE)</f>
        <v>#REF!</v>
      </c>
      <c r="M416" s="62" t="str">
        <f>IFERROR(VLOOKUP(Tableau242[[#This Row],[Company number]],#REF!,30,FALSE),"")</f>
        <v/>
      </c>
      <c r="N416" s="62" t="str">
        <f>IFERROR(VLOOKUP(Tableau242[[#This Row],[Company number]],#REF!,31,FALSE),"")</f>
        <v/>
      </c>
      <c r="O416" s="62" t="str">
        <f>IFERROR(VLOOKUP(Tableau242[[#This Row],[Company number]],#REF!,32,FALSE),"")</f>
        <v/>
      </c>
      <c r="P416" s="62">
        <f>IFERROR(VLOOKUP(B416,Tableau3[#All],5,FALSE),"Matricule!")</f>
        <v>0</v>
      </c>
      <c r="Q416" s="62">
        <f>IFERROR(SUM(VLOOKUP(B416,Tableau3[#All],6,FALSE),VLOOKUP(B416,Tableau3[#All],8,FALSE)),"Matricule!")</f>
        <v>20</v>
      </c>
      <c r="R416" s="62">
        <f>IFERROR(VLOOKUP(B416,Tableau3[#All],7,FALSE),"Matricule!")</f>
        <v>0</v>
      </c>
      <c r="S416" s="62">
        <f>IFERROR(Tableau242[[#This Row],[Prod. days WK]]-Tableau242[[#This Row],[Prod PXX]],"Matricule")</f>
        <v>0</v>
      </c>
      <c r="T416" s="62">
        <f>IFERROR(Tableau242[[#This Row],[Non prod. days WK]]-Tableau242[[#This Row],[Improd PXX]],"Matricule")</f>
        <v>0</v>
      </c>
      <c r="U416" s="62">
        <f>IFERROR(Tableau242[[#This Row],[Paid leave days WK]]-Tableau242[[#This Row],[Congé PXX]],"Matricule")</f>
        <v>0</v>
      </c>
      <c r="V416" s="63">
        <f>IFERROR(VLOOKUP($B416,#REF!,4,FALSE),0)</f>
        <v>0</v>
      </c>
      <c r="W41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16" s="63">
        <f>IF(AND(Tableau242[[#This Row],[Paid leave days]]&gt;0,Tableau242[[#This Row],[Prod. days]]&lt;0),MIN(Tableau242[[#This Row],[Paid leave days]],-Tableau242[[#This Row],[Prod. days]]),0)</f>
        <v>0</v>
      </c>
      <c r="Z416" s="63">
        <f>IFERROR(_xlfn.XLOOKUP(Tableau242[[#This Row],[Consultant]],Tableau2[Collaborateur/Nom affiché],Tableau2[Montant imputé],0),0)</f>
        <v>0</v>
      </c>
      <c r="AA416" s="64">
        <f t="shared" si="7"/>
        <v>0</v>
      </c>
      <c r="AB416" s="65"/>
      <c r="AC416" s="66"/>
      <c r="AD416" s="66"/>
      <c r="AE416" s="39"/>
      <c r="AF416" s="90"/>
    </row>
    <row r="417" spans="1:32">
      <c r="A417" s="15">
        <f>Tableau242[[#This Row],[Company number]]+0</f>
        <v>20488</v>
      </c>
      <c r="B417" s="60" t="s">
        <v>962</v>
      </c>
      <c r="C417" s="61" t="s">
        <v>963</v>
      </c>
      <c r="D417" s="61" t="s">
        <v>49</v>
      </c>
      <c r="E417" s="62" t="str">
        <f>IFERROR(VLOOKUP(Tableau242[[#This Row],[Manager ou CDM concerné]],Parametres!B:C,2,FALSE),"")</f>
        <v>Squad F</v>
      </c>
      <c r="F417" s="62" t="str">
        <f>IF(Tableau242[[#This Row],[Consultant]]=Tableau242[[#This Row],[Manager ou CDM concerné]],"Non",IF(IFERROR(VLOOKUP(Tableau242[[#This Row],[Consultant]],Parametres!B:C,2,FALSE),0)=0,"Non","Oui"))</f>
        <v>Non</v>
      </c>
      <c r="G417" s="62">
        <f>IFERROR(VLOOKUP(B417,Tableau5[#All],4,FALSE),"Matricule!")</f>
        <v>20</v>
      </c>
      <c r="H417" s="62" t="str">
        <f>IFERROR(VLOOKUP(Tableau242[[#This Row],[Company number]],#REF!,6,FALSE),"")</f>
        <v/>
      </c>
      <c r="I417" s="62">
        <f>IFERROR(VLOOKUP(B417,Tableau5[#All],5,FALSE),"Matricule!")</f>
        <v>0</v>
      </c>
      <c r="J417" s="62">
        <f>IFERROR(VLOOKUP(B417,Tableau5[#All],6,FALSE),"Matricule!")</f>
        <v>0</v>
      </c>
      <c r="K417" s="62">
        <f>IFERROR(VLOOKUP(B417,Tableau5[#All],7,FALSE),"Matricule!")</f>
        <v>0</v>
      </c>
      <c r="L417" s="62" t="e">
        <f>VLOOKUP(Tableau242[[#This Row],[Company number]],#REF!,25,FALSE)</f>
        <v>#REF!</v>
      </c>
      <c r="M417" s="62" t="str">
        <f>IFERROR(VLOOKUP(Tableau242[[#This Row],[Company number]],#REF!,30,FALSE),"")</f>
        <v/>
      </c>
      <c r="N417" s="62" t="str">
        <f>IFERROR(VLOOKUP(Tableau242[[#This Row],[Company number]],#REF!,31,FALSE),"")</f>
        <v/>
      </c>
      <c r="O417" s="62" t="str">
        <f>IFERROR(VLOOKUP(Tableau242[[#This Row],[Company number]],#REF!,32,FALSE),"")</f>
        <v/>
      </c>
      <c r="P417" s="62">
        <f>IFERROR(VLOOKUP(B417,Tableau3[#All],5,FALSE),"Matricule!")</f>
        <v>20</v>
      </c>
      <c r="Q417" s="62">
        <f>IFERROR(SUM(VLOOKUP(B417,Tableau3[#All],6,FALSE),VLOOKUP(B417,Tableau3[#All],8,FALSE)),"Matricule!")</f>
        <v>0</v>
      </c>
      <c r="R417" s="62">
        <f>IFERROR(VLOOKUP(B417,Tableau3[#All],7,FALSE),"Matricule!")</f>
        <v>0</v>
      </c>
      <c r="S417" s="62">
        <f>IFERROR(Tableau242[[#This Row],[Prod. days WK]]-Tableau242[[#This Row],[Prod PXX]],"Matricule")</f>
        <v>0</v>
      </c>
      <c r="T417" s="62">
        <f>IFERROR(Tableau242[[#This Row],[Non prod. days WK]]-Tableau242[[#This Row],[Improd PXX]],"Matricule")</f>
        <v>0</v>
      </c>
      <c r="U417" s="62">
        <f>IFERROR(Tableau242[[#This Row],[Paid leave days WK]]-Tableau242[[#This Row],[Congé PXX]],"Matricule")</f>
        <v>0</v>
      </c>
      <c r="V417" s="63">
        <f>IFERROR(VLOOKUP($B417,#REF!,4,FALSE),0)</f>
        <v>0</v>
      </c>
      <c r="W41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17" s="63">
        <f>IF(AND(Tableau242[[#This Row],[Paid leave days]]&gt;0,Tableau242[[#This Row],[Prod. days]]&lt;0),MIN(Tableau242[[#This Row],[Paid leave days]],-Tableau242[[#This Row],[Prod. days]]),0)</f>
        <v>0</v>
      </c>
      <c r="Z417" s="63">
        <f>IFERROR(_xlfn.XLOOKUP(Tableau242[[#This Row],[Consultant]],Tableau2[Collaborateur/Nom affiché],Tableau2[Montant imputé],0),0)</f>
        <v>0</v>
      </c>
      <c r="AA417" s="64">
        <f t="shared" si="7"/>
        <v>0</v>
      </c>
      <c r="AB417" s="65"/>
      <c r="AC417" s="66"/>
      <c r="AD417" s="66"/>
      <c r="AE417" s="105"/>
      <c r="AF417" s="90"/>
    </row>
    <row r="418" spans="1:32" ht="29.1">
      <c r="A418" s="15">
        <f>Tableau242[[#This Row],[Company number]]+0</f>
        <v>17242</v>
      </c>
      <c r="B418" s="60" t="s">
        <v>964</v>
      </c>
      <c r="C418" s="61" t="s">
        <v>965</v>
      </c>
      <c r="D418" s="61" t="s">
        <v>5</v>
      </c>
      <c r="E418" s="62" t="str">
        <f>IFERROR(VLOOKUP(Tableau242[[#This Row],[Manager ou CDM concerné]],Parametres!B:C,2,FALSE),"")</f>
        <v>Squad C</v>
      </c>
      <c r="F418" s="62" t="str">
        <f>IF(Tableau242[[#This Row],[Consultant]]=Tableau242[[#This Row],[Manager ou CDM concerné]],"Non",IF(IFERROR(VLOOKUP(Tableau242[[#This Row],[Consultant]],Parametres!B:C,2,FALSE),0)=0,"Non","Oui"))</f>
        <v>Non</v>
      </c>
      <c r="G418" s="62">
        <f>IFERROR(VLOOKUP(B418,Tableau5[#All],4,FALSE),"Matricule!")</f>
        <v>16</v>
      </c>
      <c r="H418" s="62" t="str">
        <f>IFERROR(VLOOKUP(Tableau242[[#This Row],[Company number]],#REF!,6,FALSE),"")</f>
        <v/>
      </c>
      <c r="I418" s="62">
        <f>IFERROR(VLOOKUP(B418,Tableau5[#All],5,FALSE),"Matricule!")</f>
        <v>0</v>
      </c>
      <c r="J418" s="62">
        <f>IFERROR(VLOOKUP(B418,Tableau5[#All],6,FALSE),"Matricule!")</f>
        <v>4</v>
      </c>
      <c r="K418" s="62">
        <f>IFERROR(VLOOKUP(B418,Tableau5[#All],7,FALSE),"Matricule!")</f>
        <v>0</v>
      </c>
      <c r="L418" s="62" t="e">
        <f>VLOOKUP(Tableau242[[#This Row],[Company number]],#REF!,25,FALSE)</f>
        <v>#REF!</v>
      </c>
      <c r="M418" s="62" t="str">
        <f>IFERROR(VLOOKUP(Tableau242[[#This Row],[Company number]],#REF!,30,FALSE),"")</f>
        <v/>
      </c>
      <c r="N418" s="62" t="str">
        <f>IFERROR(VLOOKUP(Tableau242[[#This Row],[Company number]],#REF!,31,FALSE),"")</f>
        <v/>
      </c>
      <c r="O418" s="62" t="str">
        <f>IFERROR(VLOOKUP(Tableau242[[#This Row],[Company number]],#REF!,32,FALSE),"")</f>
        <v/>
      </c>
      <c r="P418" s="68">
        <f>IFERROR(VLOOKUP(B418,Tableau3[#All],5,FALSE),"Matricule!")</f>
        <v>16</v>
      </c>
      <c r="Q418" s="68">
        <f>IFERROR(SUM(VLOOKUP(B418,Tableau3[#All],6,FALSE),VLOOKUP(B418,Tableau3[#All],8,FALSE)),"Matricule!")</f>
        <v>0</v>
      </c>
      <c r="R418" s="68">
        <f>IFERROR(VLOOKUP(B418,Tableau3[#All],7,FALSE),"Matricule!")</f>
        <v>4</v>
      </c>
      <c r="S418" s="62">
        <f>IFERROR(Tableau242[[#This Row],[Prod. days WK]]-Tableau242[[#This Row],[Prod PXX]],"Matricule")</f>
        <v>0</v>
      </c>
      <c r="T418" s="62">
        <f>IFERROR(Tableau242[[#This Row],[Non prod. days WK]]-Tableau242[[#This Row],[Improd PXX]],"Matricule")</f>
        <v>0</v>
      </c>
      <c r="U418" s="62">
        <f>IFERROR(Tableau242[[#This Row],[Paid leave days WK]]-Tableau242[[#This Row],[Congé PXX]],"Matricule")</f>
        <v>0</v>
      </c>
      <c r="V418" s="63">
        <f>IFERROR(VLOOKUP($B418,#REF!,4,FALSE),0)</f>
        <v>0</v>
      </c>
      <c r="W41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18" s="63">
        <f>IF(AND(Tableau242[[#This Row],[Paid leave days]]&gt;0,Tableau242[[#This Row],[Prod. days]]&lt;0),MIN(Tableau242[[#This Row],[Paid leave days]],-Tableau242[[#This Row],[Prod. days]]),0)</f>
        <v>0</v>
      </c>
      <c r="Z418" s="63">
        <f>IFERROR(_xlfn.XLOOKUP(Tableau242[[#This Row],[Consultant]],Tableau2[Collaborateur/Nom affiché],Tableau2[Montant imputé],0),0)</f>
        <v>0</v>
      </c>
      <c r="AA418" s="64">
        <f t="shared" si="7"/>
        <v>0</v>
      </c>
      <c r="AB418" s="65"/>
      <c r="AC418" s="66"/>
      <c r="AD418" s="66"/>
      <c r="AE418" s="105"/>
      <c r="AF418" s="90"/>
    </row>
    <row r="419" spans="1:32">
      <c r="A419" s="15">
        <f>Tableau242[[#This Row],[Company number]]+0</f>
        <v>16509</v>
      </c>
      <c r="B419" s="60" t="s">
        <v>966</v>
      </c>
      <c r="C419" s="61" t="s">
        <v>967</v>
      </c>
      <c r="D419" s="61" t="s">
        <v>5</v>
      </c>
      <c r="E419" s="62" t="str">
        <f>IFERROR(VLOOKUP(Tableau242[[#This Row],[Manager ou CDM concerné]],Parametres!B:C,2,FALSE),"")</f>
        <v>Squad C</v>
      </c>
      <c r="F419" s="62" t="str">
        <f>IF(Tableau242[[#This Row],[Consultant]]=Tableau242[[#This Row],[Manager ou CDM concerné]],"Non",IF(IFERROR(VLOOKUP(Tableau242[[#This Row],[Consultant]],Parametres!B:C,2,FALSE),0)=0,"Non","Oui"))</f>
        <v>Non</v>
      </c>
      <c r="G419" s="62">
        <f>IFERROR(VLOOKUP(B419,Tableau5[#All],4,FALSE),"Matricule!")</f>
        <v>20</v>
      </c>
      <c r="H419" s="62" t="str">
        <f>IFERROR(VLOOKUP(Tableau242[[#This Row],[Company number]],#REF!,6,FALSE),"")</f>
        <v/>
      </c>
      <c r="I419" s="62">
        <f>IFERROR(VLOOKUP(B419,Tableau5[#All],5,FALSE),"Matricule!")</f>
        <v>0</v>
      </c>
      <c r="J419" s="62">
        <f>IFERROR(VLOOKUP(B419,Tableau5[#All],6,FALSE),"Matricule!")</f>
        <v>0</v>
      </c>
      <c r="K419" s="62">
        <f>IFERROR(VLOOKUP(B419,Tableau5[#All],7,FALSE),"Matricule!")</f>
        <v>0</v>
      </c>
      <c r="L419" s="62" t="e">
        <f>VLOOKUP(Tableau242[[#This Row],[Company number]],#REF!,25,FALSE)</f>
        <v>#REF!</v>
      </c>
      <c r="M419" s="62" t="str">
        <f>IFERROR(VLOOKUP(Tableau242[[#This Row],[Company number]],#REF!,30,FALSE),"")</f>
        <v/>
      </c>
      <c r="N419" s="62" t="str">
        <f>IFERROR(VLOOKUP(Tableau242[[#This Row],[Company number]],#REF!,31,FALSE),"")</f>
        <v/>
      </c>
      <c r="O419" s="62" t="str">
        <f>IFERROR(VLOOKUP(Tableau242[[#This Row],[Company number]],#REF!,32,FALSE),"")</f>
        <v/>
      </c>
      <c r="P419" s="62">
        <f>IFERROR(VLOOKUP(B419,Tableau3[#All],5,FALSE),"Matricule!")</f>
        <v>20</v>
      </c>
      <c r="Q419" s="62">
        <f>IFERROR(SUM(VLOOKUP(B419,Tableau3[#All],6,FALSE),VLOOKUP(B419,Tableau3[#All],8,FALSE)),"Matricule!")</f>
        <v>0</v>
      </c>
      <c r="R419" s="62">
        <f>IFERROR(VLOOKUP(B419,Tableau3[#All],7,FALSE),"Matricule!")</f>
        <v>0</v>
      </c>
      <c r="S419" s="62">
        <f>IFERROR(Tableau242[[#This Row],[Prod. days WK]]-Tableau242[[#This Row],[Prod PXX]],"Matricule")</f>
        <v>0</v>
      </c>
      <c r="T419" s="62">
        <f>IFERROR(Tableau242[[#This Row],[Non prod. days WK]]-Tableau242[[#This Row],[Improd PXX]],"Matricule")</f>
        <v>0</v>
      </c>
      <c r="U419" s="62">
        <f>IFERROR(Tableau242[[#This Row],[Paid leave days WK]]-Tableau242[[#This Row],[Congé PXX]],"Matricule")</f>
        <v>0</v>
      </c>
      <c r="V419" s="63">
        <f>IFERROR(VLOOKUP($B419,#REF!,4,FALSE),0)</f>
        <v>0</v>
      </c>
      <c r="W41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1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19" s="63">
        <f>IF(AND(Tableau242[[#This Row],[Paid leave days]]&gt;0,Tableau242[[#This Row],[Prod. days]]&lt;0),MIN(Tableau242[[#This Row],[Paid leave days]],-Tableau242[[#This Row],[Prod. days]]),0)</f>
        <v>0</v>
      </c>
      <c r="Z419" s="63">
        <f>IFERROR(_xlfn.XLOOKUP(Tableau242[[#This Row],[Consultant]],Tableau2[Collaborateur/Nom affiché],Tableau2[Montant imputé],0),0)</f>
        <v>0</v>
      </c>
      <c r="AA419" s="64">
        <f t="shared" si="7"/>
        <v>0</v>
      </c>
      <c r="AB419" s="65"/>
      <c r="AC419" s="66"/>
      <c r="AD419" s="66"/>
      <c r="AE419" s="105"/>
      <c r="AF419" s="90"/>
    </row>
    <row r="420" spans="1:32">
      <c r="A420" s="15">
        <f>Tableau242[[#This Row],[Company number]]+0</f>
        <v>20739</v>
      </c>
      <c r="B420" s="60" t="s">
        <v>968</v>
      </c>
      <c r="C420" s="61" t="s">
        <v>969</v>
      </c>
      <c r="D420" s="61" t="s">
        <v>5</v>
      </c>
      <c r="E420" s="62" t="str">
        <f>IFERROR(VLOOKUP(Tableau242[[#This Row],[Manager ou CDM concerné]],Parametres!B:C,2,FALSE),"")</f>
        <v>Squad C</v>
      </c>
      <c r="F420" s="62" t="str">
        <f>IF(Tableau242[[#This Row],[Consultant]]=Tableau242[[#This Row],[Manager ou CDM concerné]],"Non",IF(IFERROR(VLOOKUP(Tableau242[[#This Row],[Consultant]],Parametres!B:C,2,FALSE),0)=0,"Non","Oui"))</f>
        <v>Non</v>
      </c>
      <c r="G420" s="62">
        <f>IFERROR(VLOOKUP(B420,Tableau5[#All],4,FALSE),"Matricule!")</f>
        <v>19</v>
      </c>
      <c r="H420" s="62" t="str">
        <f>IFERROR(VLOOKUP(Tableau242[[#This Row],[Company number]],#REF!,6,FALSE),"")</f>
        <v/>
      </c>
      <c r="I420" s="62">
        <f>IFERROR(VLOOKUP(B420,Tableau5[#All],5,FALSE),"Matricule!")</f>
        <v>0</v>
      </c>
      <c r="J420" s="62">
        <f>IFERROR(VLOOKUP(B420,Tableau5[#All],6,FALSE),"Matricule!")</f>
        <v>1</v>
      </c>
      <c r="K420" s="62">
        <f>IFERROR(VLOOKUP(B420,Tableau5[#All],7,FALSE),"Matricule!")</f>
        <v>0</v>
      </c>
      <c r="L420" s="62" t="e">
        <f>VLOOKUP(Tableau242[[#This Row],[Company number]],#REF!,25,FALSE)</f>
        <v>#REF!</v>
      </c>
      <c r="M420" s="62" t="str">
        <f>IFERROR(VLOOKUP(Tableau242[[#This Row],[Company number]],#REF!,30,FALSE),"")</f>
        <v/>
      </c>
      <c r="N420" s="62" t="str">
        <f>IFERROR(VLOOKUP(Tableau242[[#This Row],[Company number]],#REF!,31,FALSE),"")</f>
        <v/>
      </c>
      <c r="O420" s="62" t="str">
        <f>IFERROR(VLOOKUP(Tableau242[[#This Row],[Company number]],#REF!,32,FALSE),"")</f>
        <v/>
      </c>
      <c r="P420" s="62">
        <f>IFERROR(VLOOKUP(B420,Tableau3[#All],5,FALSE),"Matricule!")</f>
        <v>20</v>
      </c>
      <c r="Q420" s="62">
        <f>IFERROR(SUM(VLOOKUP(B420,Tableau3[#All],6,FALSE),VLOOKUP(B420,Tableau3[#All],8,FALSE)),"Matricule!")</f>
        <v>0</v>
      </c>
      <c r="R420" s="62">
        <f>IFERROR(VLOOKUP(B420,Tableau3[#All],7,FALSE),"Matricule!")</f>
        <v>0</v>
      </c>
      <c r="S420" s="62">
        <f>IFERROR(Tableau242[[#This Row],[Prod. days WK]]-Tableau242[[#This Row],[Prod PXX]],"Matricule")</f>
        <v>-1</v>
      </c>
      <c r="T420" s="62">
        <f>IFERROR(Tableau242[[#This Row],[Non prod. days WK]]-Tableau242[[#This Row],[Improd PXX]],"Matricule")</f>
        <v>0</v>
      </c>
      <c r="U420" s="62">
        <f>IFERROR(Tableau242[[#This Row],[Paid leave days WK]]-Tableau242[[#This Row],[Congé PXX]],"Matricule")</f>
        <v>1</v>
      </c>
      <c r="V420" s="63">
        <f>IFERROR(VLOOKUP($B420,#REF!,4,FALSE),0)</f>
        <v>0</v>
      </c>
      <c r="W42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20" s="63">
        <f>IF(AND(Tableau242[[#This Row],[Paid leave days]]&gt;0,Tableau242[[#This Row],[Prod. days]]&lt;0),MIN(Tableau242[[#This Row],[Paid leave days]],-Tableau242[[#This Row],[Prod. days]]),0)</f>
        <v>1</v>
      </c>
      <c r="Z420" s="63">
        <f>IFERROR(_xlfn.XLOOKUP(Tableau242[[#This Row],[Consultant]],Tableau2[Collaborateur/Nom affiché],Tableau2[Montant imputé],0),0)</f>
        <v>0</v>
      </c>
      <c r="AA420" s="64">
        <f t="shared" si="7"/>
        <v>-1</v>
      </c>
      <c r="AB420" s="65" t="s">
        <v>299</v>
      </c>
      <c r="AC420" s="66"/>
      <c r="AD420" s="66"/>
      <c r="AE420" s="105"/>
      <c r="AF420" s="90"/>
    </row>
    <row r="421" spans="1:32" ht="21.95">
      <c r="A421" s="15">
        <f>Tableau242[[#This Row],[Company number]]+0</f>
        <v>20303</v>
      </c>
      <c r="B421" s="60" t="s">
        <v>970</v>
      </c>
      <c r="C421" s="61" t="s">
        <v>971</v>
      </c>
      <c r="D421" s="61" t="s">
        <v>86</v>
      </c>
      <c r="E421" s="62" t="str">
        <f>IFERROR(VLOOKUP(Tableau242[[#This Row],[Manager ou CDM concerné]],Parametres!B:C,2,FALSE),"")</f>
        <v>Squad G</v>
      </c>
      <c r="F421" s="62" t="str">
        <f>IF(Tableau242[[#This Row],[Consultant]]=Tableau242[[#This Row],[Manager ou CDM concerné]],"Non",IF(IFERROR(VLOOKUP(Tableau242[[#This Row],[Consultant]],Parametres!B:C,2,FALSE),0)=0,"Non","Oui"))</f>
        <v>Non</v>
      </c>
      <c r="G421" s="62">
        <f>IFERROR(VLOOKUP(B421,Tableau5[#All],4,FALSE),"Matricule!")</f>
        <v>17</v>
      </c>
      <c r="H421" s="62" t="str">
        <f>IFERROR(VLOOKUP(Tableau242[[#This Row],[Company number]],#REF!,6,FALSE),"")</f>
        <v/>
      </c>
      <c r="I421" s="62">
        <f>IFERROR(VLOOKUP(B421,Tableau5[#All],5,FALSE),"Matricule!")</f>
        <v>3</v>
      </c>
      <c r="J421" s="62">
        <f>IFERROR(VLOOKUP(B421,Tableau5[#All],6,FALSE),"Matricule!")</f>
        <v>0</v>
      </c>
      <c r="K421" s="62">
        <f>IFERROR(VLOOKUP(B421,Tableau5[#All],7,FALSE),"Matricule!")</f>
        <v>0</v>
      </c>
      <c r="L421" s="62" t="e">
        <f>VLOOKUP(Tableau242[[#This Row],[Company number]],#REF!,25,FALSE)</f>
        <v>#REF!</v>
      </c>
      <c r="M421" s="62" t="str">
        <f>IFERROR(VLOOKUP(Tableau242[[#This Row],[Company number]],#REF!,30,FALSE),"")</f>
        <v/>
      </c>
      <c r="N421" s="62" t="str">
        <f>IFERROR(VLOOKUP(Tableau242[[#This Row],[Company number]],#REF!,31,FALSE),"")</f>
        <v/>
      </c>
      <c r="O421" s="62" t="str">
        <f>IFERROR(VLOOKUP(Tableau242[[#This Row],[Company number]],#REF!,32,FALSE),"")</f>
        <v/>
      </c>
      <c r="P421" s="62">
        <f>IFERROR(VLOOKUP(B421,Tableau3[#All],5,FALSE),"Matricule!")</f>
        <v>18</v>
      </c>
      <c r="Q421" s="62">
        <f>IFERROR(SUM(VLOOKUP(B421,Tableau3[#All],6,FALSE),VLOOKUP(B421,Tableau3[#All],8,FALSE)),"Matricule!")</f>
        <v>2</v>
      </c>
      <c r="R421" s="62">
        <f>IFERROR(VLOOKUP(B421,Tableau3[#All],7,FALSE),"Matricule!")</f>
        <v>0</v>
      </c>
      <c r="S421" s="62">
        <f>IFERROR(Tableau242[[#This Row],[Prod. days WK]]-Tableau242[[#This Row],[Prod PXX]],"Matricule")</f>
        <v>-1</v>
      </c>
      <c r="T421" s="62">
        <f>IFERROR(Tableau242[[#This Row],[Non prod. days WK]]-Tableau242[[#This Row],[Improd PXX]],"Matricule")</f>
        <v>1</v>
      </c>
      <c r="U421" s="62">
        <f>IFERROR(Tableau242[[#This Row],[Paid leave days WK]]-Tableau242[[#This Row],[Congé PXX]],"Matricule")</f>
        <v>0</v>
      </c>
      <c r="V421" s="63">
        <f>IFERROR(VLOOKUP($B421,#REF!,4,FALSE),0)</f>
        <v>0</v>
      </c>
      <c r="W42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21" s="63">
        <f>IF(AND(Tableau242[[#This Row],[Paid leave days]]&gt;0,Tableau242[[#This Row],[Prod. days]]&lt;0),MIN(Tableau242[[#This Row],[Paid leave days]],-Tableau242[[#This Row],[Prod. days]]),0)</f>
        <v>0</v>
      </c>
      <c r="Z421" s="63">
        <f>IFERROR(_xlfn.XLOOKUP(Tableau242[[#This Row],[Consultant]],Tableau2[Collaborateur/Nom affiché],Tableau2[Montant imputé],0),0)</f>
        <v>0</v>
      </c>
      <c r="AA421" s="64">
        <f t="shared" si="7"/>
        <v>-1</v>
      </c>
      <c r="AB421" s="65" t="s">
        <v>154</v>
      </c>
      <c r="AC421" s="66"/>
      <c r="AD421" s="66"/>
      <c r="AE421" s="105"/>
      <c r="AF421" s="90" t="s">
        <v>972</v>
      </c>
    </row>
    <row r="422" spans="1:32">
      <c r="A422" s="15">
        <f>Tableau242[[#This Row],[Company number]]+0</f>
        <v>11711</v>
      </c>
      <c r="B422" s="60" t="s">
        <v>973</v>
      </c>
      <c r="C422" s="61" t="s">
        <v>974</v>
      </c>
      <c r="D422" s="61" t="s">
        <v>55</v>
      </c>
      <c r="E422" s="62" t="str">
        <f>IFERROR(VLOOKUP(Tableau242[[#This Row],[Manager ou CDM concerné]],Parametres!B:C,2,FALSE),"")</f>
        <v>Squad H</v>
      </c>
      <c r="F422" s="62" t="str">
        <f>IF(Tableau242[[#This Row],[Consultant]]=Tableau242[[#This Row],[Manager ou CDM concerné]],"Non",IF(IFERROR(VLOOKUP(Tableau242[[#This Row],[Consultant]],Parametres!B:C,2,FALSE),0)=0,"Non","Oui"))</f>
        <v>Non</v>
      </c>
      <c r="G422" s="62">
        <f>IFERROR(VLOOKUP(B422,Tableau5[#All],4,FALSE),"Matricule!")</f>
        <v>13</v>
      </c>
      <c r="H422" s="62" t="str">
        <f>IFERROR(VLOOKUP(Tableau242[[#This Row],[Company number]],#REF!,6,FALSE),"")</f>
        <v/>
      </c>
      <c r="I422" s="62">
        <f>IFERROR(VLOOKUP(B422,Tableau5[#All],5,FALSE),"Matricule!")</f>
        <v>1</v>
      </c>
      <c r="J422" s="62">
        <f>IFERROR(VLOOKUP(B422,Tableau5[#All],6,FALSE),"Matricule!")</f>
        <v>6</v>
      </c>
      <c r="K422" s="62">
        <f>IFERROR(VLOOKUP(B422,Tableau5[#All],7,FALSE),"Matricule!")</f>
        <v>0</v>
      </c>
      <c r="L422" s="62" t="e">
        <f>VLOOKUP(Tableau242[[#This Row],[Company number]],#REF!,25,FALSE)</f>
        <v>#REF!</v>
      </c>
      <c r="M422" s="62" t="str">
        <f>IFERROR(VLOOKUP(Tableau242[[#This Row],[Company number]],#REF!,30,FALSE),"")</f>
        <v/>
      </c>
      <c r="N422" s="62" t="str">
        <f>IFERROR(VLOOKUP(Tableau242[[#This Row],[Company number]],#REF!,31,FALSE),"")</f>
        <v/>
      </c>
      <c r="O422" s="62" t="str">
        <f>IFERROR(VLOOKUP(Tableau242[[#This Row],[Company number]],#REF!,32,FALSE),"")</f>
        <v/>
      </c>
      <c r="P422" s="62">
        <f>IFERROR(VLOOKUP(B422,Tableau3[#All],5,FALSE),"Matricule!")</f>
        <v>14</v>
      </c>
      <c r="Q422" s="62">
        <f>IFERROR(SUM(VLOOKUP(B422,Tableau3[#All],6,FALSE),VLOOKUP(B422,Tableau3[#All],8,FALSE)),"Matricule!")</f>
        <v>0</v>
      </c>
      <c r="R422" s="62">
        <f>IFERROR(VLOOKUP(B422,Tableau3[#All],7,FALSE),"Matricule!")</f>
        <v>6</v>
      </c>
      <c r="S422" s="62">
        <f>IFERROR(Tableau242[[#This Row],[Prod. days WK]]-Tableau242[[#This Row],[Prod PXX]],"Matricule")</f>
        <v>-1</v>
      </c>
      <c r="T422" s="62">
        <f>IFERROR(Tableau242[[#This Row],[Non prod. days WK]]-Tableau242[[#This Row],[Improd PXX]],"Matricule")</f>
        <v>1</v>
      </c>
      <c r="U422" s="62">
        <f>IFERROR(Tableau242[[#This Row],[Paid leave days WK]]-Tableau242[[#This Row],[Congé PXX]],"Matricule")</f>
        <v>0</v>
      </c>
      <c r="V422" s="63">
        <f>IFERROR(VLOOKUP($B422,#REF!,4,FALSE),0)</f>
        <v>0</v>
      </c>
      <c r="W42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22" s="63">
        <f>IF(AND(Tableau242[[#This Row],[Paid leave days]]&gt;0,Tableau242[[#This Row],[Prod. days]]&lt;0),MIN(Tableau242[[#This Row],[Paid leave days]],-Tableau242[[#This Row],[Prod. days]]),0)</f>
        <v>0</v>
      </c>
      <c r="Z422" s="63">
        <f>IFERROR(_xlfn.XLOOKUP(Tableau242[[#This Row],[Consultant]],Tableau2[Collaborateur/Nom affiché],Tableau2[Montant imputé],0),0)</f>
        <v>0</v>
      </c>
      <c r="AA422" s="64">
        <f t="shared" si="7"/>
        <v>-1</v>
      </c>
      <c r="AB422" s="65" t="s">
        <v>147</v>
      </c>
      <c r="AC422" s="66"/>
      <c r="AD422" s="66"/>
      <c r="AE422" s="39"/>
      <c r="AF422" s="90"/>
    </row>
    <row r="423" spans="1:32">
      <c r="A423" s="15">
        <f>Tableau242[[#This Row],[Company number]]+0</f>
        <v>21443</v>
      </c>
      <c r="B423" s="60" t="s">
        <v>975</v>
      </c>
      <c r="C423" s="61" t="s">
        <v>976</v>
      </c>
      <c r="D423" s="61" t="s">
        <v>5</v>
      </c>
      <c r="E423" s="62" t="str">
        <f>IFERROR(VLOOKUP(Tableau242[[#This Row],[Manager ou CDM concerné]],Parametres!B:C,2,FALSE),"")</f>
        <v>Squad C</v>
      </c>
      <c r="F423" s="62" t="str">
        <f>IF(Tableau242[[#This Row],[Consultant]]=Tableau242[[#This Row],[Manager ou CDM concerné]],"Non",IF(IFERROR(VLOOKUP(Tableau242[[#This Row],[Consultant]],Parametres!B:C,2,FALSE),0)=0,"Non","Oui"))</f>
        <v>Non</v>
      </c>
      <c r="G423" s="62">
        <f>IFERROR(VLOOKUP(B423,Tableau5[#All],4,FALSE),"Matricule!")</f>
        <v>0</v>
      </c>
      <c r="H423" s="62" t="str">
        <f>IFERROR(VLOOKUP(Tableau242[[#This Row],[Company number]],#REF!,6,FALSE),"")</f>
        <v/>
      </c>
      <c r="I423" s="62">
        <f>IFERROR(VLOOKUP(B423,Tableau5[#All],5,FALSE),"Matricule!")</f>
        <v>20</v>
      </c>
      <c r="J423" s="62">
        <f>IFERROR(VLOOKUP(B423,Tableau5[#All],6,FALSE),"Matricule!")</f>
        <v>0</v>
      </c>
      <c r="K423" s="62">
        <f>IFERROR(VLOOKUP(B423,Tableau5[#All],7,FALSE),"Matricule!")</f>
        <v>0</v>
      </c>
      <c r="L423" s="62" t="e">
        <f>VLOOKUP(Tableau242[[#This Row],[Company number]],#REF!,25,FALSE)</f>
        <v>#REF!</v>
      </c>
      <c r="M423" s="62" t="str">
        <f>IFERROR(VLOOKUP(Tableau242[[#This Row],[Company number]],#REF!,30,FALSE),"")</f>
        <v/>
      </c>
      <c r="N423" s="62" t="str">
        <f>IFERROR(VLOOKUP(Tableau242[[#This Row],[Company number]],#REF!,31,FALSE),"")</f>
        <v/>
      </c>
      <c r="O423" s="62" t="str">
        <f>IFERROR(VLOOKUP(Tableau242[[#This Row],[Company number]],#REF!,32,FALSE),"")</f>
        <v/>
      </c>
      <c r="P423" s="62">
        <f>IFERROR(VLOOKUP(B423,Tableau3[#All],5,FALSE),"Matricule!")</f>
        <v>0</v>
      </c>
      <c r="Q423" s="62">
        <f>IFERROR(SUM(VLOOKUP(B423,Tableau3[#All],6,FALSE),VLOOKUP(B423,Tableau3[#All],8,FALSE)),"Matricule!")</f>
        <v>20</v>
      </c>
      <c r="R423" s="62">
        <f>IFERROR(VLOOKUP(B423,Tableau3[#All],7,FALSE),"Matricule!")</f>
        <v>0</v>
      </c>
      <c r="S423" s="62">
        <f>IFERROR(Tableau242[[#This Row],[Prod. days WK]]-Tableau242[[#This Row],[Prod PXX]],"Matricule")</f>
        <v>0</v>
      </c>
      <c r="T423" s="62">
        <f>IFERROR(Tableau242[[#This Row],[Non prod. days WK]]-Tableau242[[#This Row],[Improd PXX]],"Matricule")</f>
        <v>0</v>
      </c>
      <c r="U423" s="62">
        <f>IFERROR(Tableau242[[#This Row],[Paid leave days WK]]-Tableau242[[#This Row],[Congé PXX]],"Matricule")</f>
        <v>0</v>
      </c>
      <c r="V423" s="63">
        <f>IFERROR(VLOOKUP($B423,#REF!,4,FALSE),0)</f>
        <v>0</v>
      </c>
      <c r="W42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23" s="63">
        <f>IF(AND(Tableau242[[#This Row],[Paid leave days]]&gt;0,Tableau242[[#This Row],[Prod. days]]&lt;0),MIN(Tableau242[[#This Row],[Paid leave days]],-Tableau242[[#This Row],[Prod. days]]),0)</f>
        <v>0</v>
      </c>
      <c r="Z423" s="63">
        <f>IFERROR(_xlfn.XLOOKUP(Tableau242[[#This Row],[Consultant]],Tableau2[Collaborateur/Nom affiché],Tableau2[Montant imputé],0),0)</f>
        <v>0</v>
      </c>
      <c r="AA423" s="64">
        <f t="shared" si="7"/>
        <v>0</v>
      </c>
      <c r="AB423" s="65"/>
      <c r="AC423" s="66"/>
      <c r="AD423" s="67"/>
      <c r="AE423" s="39"/>
      <c r="AF423" s="90"/>
    </row>
    <row r="424" spans="1:32">
      <c r="A424" s="15">
        <f>Tableau242[[#This Row],[Company number]]+0</f>
        <v>18055</v>
      </c>
      <c r="B424" s="60" t="s">
        <v>977</v>
      </c>
      <c r="C424" s="61" t="s">
        <v>978</v>
      </c>
      <c r="D424" s="61" t="s">
        <v>5</v>
      </c>
      <c r="E424" s="62" t="str">
        <f>IFERROR(VLOOKUP(Tableau242[[#This Row],[Manager ou CDM concerné]],Parametres!B:C,2,FALSE),"")</f>
        <v>Squad C</v>
      </c>
      <c r="F424" s="62" t="str">
        <f>IF(Tableau242[[#This Row],[Consultant]]=Tableau242[[#This Row],[Manager ou CDM concerné]],"Non",IF(IFERROR(VLOOKUP(Tableau242[[#This Row],[Consultant]],Parametres!B:C,2,FALSE),0)=0,"Non","Oui"))</f>
        <v>Non</v>
      </c>
      <c r="G424" s="62">
        <f>IFERROR(VLOOKUP(B424,Tableau5[#All],4,FALSE),"Matricule!")</f>
        <v>20</v>
      </c>
      <c r="H424" s="62" t="str">
        <f>IFERROR(VLOOKUP(Tableau242[[#This Row],[Company number]],#REF!,6,FALSE),"")</f>
        <v/>
      </c>
      <c r="I424" s="62">
        <f>IFERROR(VLOOKUP(B424,Tableau5[#All],5,FALSE),"Matricule!")</f>
        <v>0</v>
      </c>
      <c r="J424" s="62">
        <f>IFERROR(VLOOKUP(B424,Tableau5[#All],6,FALSE),"Matricule!")</f>
        <v>0</v>
      </c>
      <c r="K424" s="62">
        <f>IFERROR(VLOOKUP(B424,Tableau5[#All],7,FALSE),"Matricule!")</f>
        <v>0</v>
      </c>
      <c r="L424" s="62" t="e">
        <f>VLOOKUP(Tableau242[[#This Row],[Company number]],#REF!,25,FALSE)</f>
        <v>#REF!</v>
      </c>
      <c r="M424" s="62" t="str">
        <f>IFERROR(VLOOKUP(Tableau242[[#This Row],[Company number]],#REF!,30,FALSE),"")</f>
        <v/>
      </c>
      <c r="N424" s="62" t="str">
        <f>IFERROR(VLOOKUP(Tableau242[[#This Row],[Company number]],#REF!,31,FALSE),"")</f>
        <v/>
      </c>
      <c r="O424" s="62" t="str">
        <f>IFERROR(VLOOKUP(Tableau242[[#This Row],[Company number]],#REF!,32,FALSE),"")</f>
        <v/>
      </c>
      <c r="P424" s="62">
        <f>IFERROR(VLOOKUP(B424,Tableau3[#All],5,FALSE),"Matricule!")</f>
        <v>20</v>
      </c>
      <c r="Q424" s="62">
        <f>IFERROR(SUM(VLOOKUP(B424,Tableau3[#All],6,FALSE),VLOOKUP(B424,Tableau3[#All],8,FALSE)),"Matricule!")</f>
        <v>0</v>
      </c>
      <c r="R424" s="62">
        <f>IFERROR(VLOOKUP(B424,Tableau3[#All],7,FALSE),"Matricule!")</f>
        <v>0</v>
      </c>
      <c r="S424" s="62">
        <f>IFERROR(Tableau242[[#This Row],[Prod. days WK]]-Tableau242[[#This Row],[Prod PXX]],"Matricule")</f>
        <v>0</v>
      </c>
      <c r="T424" s="62">
        <f>IFERROR(Tableau242[[#This Row],[Non prod. days WK]]-Tableau242[[#This Row],[Improd PXX]],"Matricule")</f>
        <v>0</v>
      </c>
      <c r="U424" s="62">
        <f>IFERROR(Tableau242[[#This Row],[Paid leave days WK]]-Tableau242[[#This Row],[Congé PXX]],"Matricule")</f>
        <v>0</v>
      </c>
      <c r="V424" s="63">
        <f>IFERROR(VLOOKUP($B424,#REF!,4,FALSE),0)</f>
        <v>0</v>
      </c>
      <c r="W42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24" s="63">
        <f>IF(AND(Tableau242[[#This Row],[Paid leave days]]&gt;0,Tableau242[[#This Row],[Prod. days]]&lt;0),MIN(Tableau242[[#This Row],[Paid leave days]],-Tableau242[[#This Row],[Prod. days]]),0)</f>
        <v>0</v>
      </c>
      <c r="Z424" s="63">
        <f>IFERROR(_xlfn.XLOOKUP(Tableau242[[#This Row],[Consultant]],Tableau2[Collaborateur/Nom affiché],Tableau2[Montant imputé],0),0)</f>
        <v>0</v>
      </c>
      <c r="AA424" s="64">
        <f t="shared" si="7"/>
        <v>0</v>
      </c>
      <c r="AB424" s="65"/>
      <c r="AC424" s="67"/>
      <c r="AD424" s="67"/>
      <c r="AE424" s="106"/>
      <c r="AF424" s="92"/>
    </row>
    <row r="425" spans="1:32" ht="29.1">
      <c r="A425" s="15">
        <f>Tableau242[[#This Row],[Company number]]+0</f>
        <v>13439</v>
      </c>
      <c r="B425" s="60" t="s">
        <v>979</v>
      </c>
      <c r="C425" s="61" t="s">
        <v>980</v>
      </c>
      <c r="D425" s="61" t="s">
        <v>55</v>
      </c>
      <c r="E425" s="62" t="str">
        <f>IFERROR(VLOOKUP(Tableau242[[#This Row],[Manager ou CDM concerné]],Parametres!B:C,2,FALSE),"")</f>
        <v>Squad H</v>
      </c>
      <c r="F425" s="62" t="str">
        <f>IF(Tableau242[[#This Row],[Consultant]]=Tableau242[[#This Row],[Manager ou CDM concerné]],"Non",IF(IFERROR(VLOOKUP(Tableau242[[#This Row],[Consultant]],Parametres!B:C,2,FALSE),0)=0,"Non","Oui"))</f>
        <v>Non</v>
      </c>
      <c r="G425" s="62">
        <f>IFERROR(VLOOKUP(B425,Tableau5[#All],4,FALSE),"Matricule!")</f>
        <v>17</v>
      </c>
      <c r="H425" s="62" t="str">
        <f>IFERROR(VLOOKUP(Tableau242[[#This Row],[Company number]],#REF!,6,FALSE),"")</f>
        <v/>
      </c>
      <c r="I425" s="62">
        <f>IFERROR(VLOOKUP(B425,Tableau5[#All],5,FALSE),"Matricule!")</f>
        <v>1</v>
      </c>
      <c r="J425" s="62">
        <f>IFERROR(VLOOKUP(B425,Tableau5[#All],6,FALSE),"Matricule!")</f>
        <v>2</v>
      </c>
      <c r="K425" s="62">
        <f>IFERROR(VLOOKUP(B425,Tableau5[#All],7,FALSE),"Matricule!")</f>
        <v>0</v>
      </c>
      <c r="L425" s="62" t="e">
        <f>VLOOKUP(Tableau242[[#This Row],[Company number]],#REF!,25,FALSE)</f>
        <v>#REF!</v>
      </c>
      <c r="M425" s="62" t="str">
        <f>IFERROR(VLOOKUP(Tableau242[[#This Row],[Company number]],#REF!,30,FALSE),"")</f>
        <v/>
      </c>
      <c r="N425" s="62" t="str">
        <f>IFERROR(VLOOKUP(Tableau242[[#This Row],[Company number]],#REF!,31,FALSE),"")</f>
        <v/>
      </c>
      <c r="O425" s="62" t="str">
        <f>IFERROR(VLOOKUP(Tableau242[[#This Row],[Company number]],#REF!,32,FALSE),"")</f>
        <v/>
      </c>
      <c r="P425" s="62">
        <f>IFERROR(VLOOKUP(B425,Tableau3[#All],5,FALSE),"Matricule!")</f>
        <v>18</v>
      </c>
      <c r="Q425" s="62">
        <f>IFERROR(SUM(VLOOKUP(B425,Tableau3[#All],6,FALSE),VLOOKUP(B425,Tableau3[#All],8,FALSE)),"Matricule!")</f>
        <v>0</v>
      </c>
      <c r="R425" s="62">
        <f>IFERROR(VLOOKUP(B425,Tableau3[#All],7,FALSE),"Matricule!")</f>
        <v>2</v>
      </c>
      <c r="S425" s="62">
        <f>IFERROR(Tableau242[[#This Row],[Prod. days WK]]-Tableau242[[#This Row],[Prod PXX]],"Matricule")</f>
        <v>-1</v>
      </c>
      <c r="T425" s="62">
        <f>IFERROR(Tableau242[[#This Row],[Non prod. days WK]]-Tableau242[[#This Row],[Improd PXX]],"Matricule")</f>
        <v>1</v>
      </c>
      <c r="U425" s="62">
        <f>IFERROR(Tableau242[[#This Row],[Paid leave days WK]]-Tableau242[[#This Row],[Congé PXX]],"Matricule")</f>
        <v>0</v>
      </c>
      <c r="V425" s="63">
        <f>IFERROR(VLOOKUP($B425,#REF!,4,FALSE),0)</f>
        <v>0</v>
      </c>
      <c r="W42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25" s="63">
        <f>IF(AND(Tableau242[[#This Row],[Paid leave days]]&gt;0,Tableau242[[#This Row],[Prod. days]]&lt;0),MIN(Tableau242[[#This Row],[Paid leave days]],-Tableau242[[#This Row],[Prod. days]]),0)</f>
        <v>0</v>
      </c>
      <c r="Z425" s="63">
        <f>IFERROR(_xlfn.XLOOKUP(Tableau242[[#This Row],[Consultant]],Tableau2[Collaborateur/Nom affiché],Tableau2[Montant imputé],0),0)</f>
        <v>0</v>
      </c>
      <c r="AA425" s="64">
        <f t="shared" si="7"/>
        <v>-1</v>
      </c>
      <c r="AB425" s="65" t="s">
        <v>147</v>
      </c>
      <c r="AC425" s="66"/>
      <c r="AD425" s="66"/>
      <c r="AE425" s="105"/>
      <c r="AF425" s="90"/>
    </row>
    <row r="426" spans="1:32">
      <c r="A426" s="15">
        <f>Tableau242[[#This Row],[Company number]]+0</f>
        <v>17899</v>
      </c>
      <c r="B426" s="60" t="s">
        <v>981</v>
      </c>
      <c r="C426" s="61" t="s">
        <v>982</v>
      </c>
      <c r="D426" s="61" t="s">
        <v>5</v>
      </c>
      <c r="E426" s="62" t="str">
        <f>IFERROR(VLOOKUP(Tableau242[[#This Row],[Manager ou CDM concerné]],Parametres!B:C,2,FALSE),"")</f>
        <v>Squad C</v>
      </c>
      <c r="F426" s="62" t="str">
        <f>IF(Tableau242[[#This Row],[Consultant]]=Tableau242[[#This Row],[Manager ou CDM concerné]],"Non",IF(IFERROR(VLOOKUP(Tableau242[[#This Row],[Consultant]],Parametres!B:C,2,FALSE),0)=0,"Non","Oui"))</f>
        <v>Non</v>
      </c>
      <c r="G426" s="62">
        <f>IFERROR(VLOOKUP(B426,Tableau5[#All],4,FALSE),"Matricule!")</f>
        <v>20</v>
      </c>
      <c r="H426" s="62" t="str">
        <f>IFERROR(VLOOKUP(Tableau242[[#This Row],[Company number]],#REF!,6,FALSE),"")</f>
        <v/>
      </c>
      <c r="I426" s="62">
        <f>IFERROR(VLOOKUP(B426,Tableau5[#All],5,FALSE),"Matricule!")</f>
        <v>0</v>
      </c>
      <c r="J426" s="62">
        <f>IFERROR(VLOOKUP(B426,Tableau5[#All],6,FALSE),"Matricule!")</f>
        <v>0</v>
      </c>
      <c r="K426" s="62">
        <f>IFERROR(VLOOKUP(B426,Tableau5[#All],7,FALSE),"Matricule!")</f>
        <v>0</v>
      </c>
      <c r="L426" s="62" t="e">
        <f>VLOOKUP(Tableau242[[#This Row],[Company number]],#REF!,25,FALSE)</f>
        <v>#REF!</v>
      </c>
      <c r="M426" s="62" t="str">
        <f>IFERROR(VLOOKUP(Tableau242[[#This Row],[Company number]],#REF!,30,FALSE),"")</f>
        <v/>
      </c>
      <c r="N426" s="62" t="str">
        <f>IFERROR(VLOOKUP(Tableau242[[#This Row],[Company number]],#REF!,31,FALSE),"")</f>
        <v/>
      </c>
      <c r="O426" s="62" t="str">
        <f>IFERROR(VLOOKUP(Tableau242[[#This Row],[Company number]],#REF!,32,FALSE),"")</f>
        <v/>
      </c>
      <c r="P426" s="62">
        <f>IFERROR(VLOOKUP(B426,Tableau3[#All],5,FALSE),"Matricule!")</f>
        <v>20</v>
      </c>
      <c r="Q426" s="62">
        <f>IFERROR(SUM(VLOOKUP(B426,Tableau3[#All],6,FALSE),VLOOKUP(B426,Tableau3[#All],8,FALSE)),"Matricule!")</f>
        <v>0</v>
      </c>
      <c r="R426" s="62">
        <f>IFERROR(VLOOKUP(B426,Tableau3[#All],7,FALSE),"Matricule!")</f>
        <v>0</v>
      </c>
      <c r="S426" s="62">
        <f>IFERROR(Tableau242[[#This Row],[Prod. days WK]]-Tableau242[[#This Row],[Prod PXX]],"Matricule")</f>
        <v>0</v>
      </c>
      <c r="T426" s="62">
        <f>IFERROR(Tableau242[[#This Row],[Non prod. days WK]]-Tableau242[[#This Row],[Improd PXX]],"Matricule")</f>
        <v>0</v>
      </c>
      <c r="U426" s="62">
        <f>IFERROR(Tableau242[[#This Row],[Paid leave days WK]]-Tableau242[[#This Row],[Congé PXX]],"Matricule")</f>
        <v>0</v>
      </c>
      <c r="V426" s="63">
        <f>IFERROR(VLOOKUP($B426,#REF!,4,FALSE),0)</f>
        <v>0</v>
      </c>
      <c r="W42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26" s="63">
        <f>IF(AND(Tableau242[[#This Row],[Paid leave days]]&gt;0,Tableau242[[#This Row],[Prod. days]]&lt;0),MIN(Tableau242[[#This Row],[Paid leave days]],-Tableau242[[#This Row],[Prod. days]]),0)</f>
        <v>0</v>
      </c>
      <c r="Z426" s="63">
        <f>IFERROR(_xlfn.XLOOKUP(Tableau242[[#This Row],[Consultant]],Tableau2[Collaborateur/Nom affiché],Tableau2[Montant imputé],0),0)</f>
        <v>0</v>
      </c>
      <c r="AA426" s="64">
        <f t="shared" si="7"/>
        <v>0</v>
      </c>
      <c r="AB426" s="65"/>
      <c r="AC426" s="66"/>
      <c r="AD426" s="66"/>
      <c r="AE426" s="105"/>
      <c r="AF426" s="90"/>
    </row>
    <row r="427" spans="1:32">
      <c r="A427" s="15">
        <f>Tableau242[[#This Row],[Company number]]+0</f>
        <v>21807</v>
      </c>
      <c r="B427" s="60" t="s">
        <v>983</v>
      </c>
      <c r="C427" s="61" t="s">
        <v>984</v>
      </c>
      <c r="D427" s="61" t="s">
        <v>57</v>
      </c>
      <c r="E427" s="62" t="str">
        <f>IFERROR(VLOOKUP(Tableau242[[#This Row],[Manager ou CDM concerné]],Parametres!B:C,2,FALSE),"")</f>
        <v>Squad C</v>
      </c>
      <c r="F427" s="62" t="str">
        <f>IF(Tableau242[[#This Row],[Consultant]]=Tableau242[[#This Row],[Manager ou CDM concerné]],"Non",IF(IFERROR(VLOOKUP(Tableau242[[#This Row],[Consultant]],Parametres!B:C,2,FALSE),0)=0,"Non","Oui"))</f>
        <v>Non</v>
      </c>
      <c r="G427" s="62">
        <f>IFERROR(VLOOKUP(B427,Tableau5[#All],4,FALSE),"Matricule!")</f>
        <v>0</v>
      </c>
      <c r="H427" s="62" t="str">
        <f>IFERROR(VLOOKUP(Tableau242[[#This Row],[Company number]],#REF!,6,FALSE),"")</f>
        <v/>
      </c>
      <c r="I427" s="62">
        <f>IFERROR(VLOOKUP(B427,Tableau5[#All],5,FALSE),"Matricule!")</f>
        <v>20</v>
      </c>
      <c r="J427" s="62">
        <f>IFERROR(VLOOKUP(B427,Tableau5[#All],6,FALSE),"Matricule!")</f>
        <v>0</v>
      </c>
      <c r="K427" s="62">
        <f>IFERROR(VLOOKUP(B427,Tableau5[#All],7,FALSE),"Matricule!")</f>
        <v>0</v>
      </c>
      <c r="L427" s="62" t="e">
        <f>VLOOKUP(Tableau242[[#This Row],[Company number]],#REF!,25,FALSE)</f>
        <v>#REF!</v>
      </c>
      <c r="M427" s="62" t="str">
        <f>IFERROR(VLOOKUP(Tableau242[[#This Row],[Company number]],#REF!,30,FALSE),"")</f>
        <v/>
      </c>
      <c r="N427" s="62" t="str">
        <f>IFERROR(VLOOKUP(Tableau242[[#This Row],[Company number]],#REF!,31,FALSE),"")</f>
        <v/>
      </c>
      <c r="O427" s="62" t="str">
        <f>IFERROR(VLOOKUP(Tableau242[[#This Row],[Company number]],#REF!,32,FALSE),"")</f>
        <v/>
      </c>
      <c r="P427" s="62">
        <f>IFERROR(VLOOKUP(B427,Tableau3[#All],5,FALSE),"Matricule!")</f>
        <v>0</v>
      </c>
      <c r="Q427" s="62">
        <f>IFERROR(SUM(VLOOKUP(B427,Tableau3[#All],6,FALSE),VLOOKUP(B427,Tableau3[#All],8,FALSE)),"Matricule!")</f>
        <v>20</v>
      </c>
      <c r="R427" s="62">
        <f>IFERROR(VLOOKUP(B427,Tableau3[#All],7,FALSE),"Matricule!")</f>
        <v>0</v>
      </c>
      <c r="S427" s="62">
        <f>IFERROR(Tableau242[[#This Row],[Prod. days WK]]-Tableau242[[#This Row],[Prod PXX]],"Matricule")</f>
        <v>0</v>
      </c>
      <c r="T427" s="62">
        <f>IFERROR(Tableau242[[#This Row],[Non prod. days WK]]-Tableau242[[#This Row],[Improd PXX]],"Matricule")</f>
        <v>0</v>
      </c>
      <c r="U427" s="62">
        <f>IFERROR(Tableau242[[#This Row],[Paid leave days WK]]-Tableau242[[#This Row],[Congé PXX]],"Matricule")</f>
        <v>0</v>
      </c>
      <c r="V427" s="63">
        <f>IFERROR(VLOOKUP($B427,#REF!,4,FALSE),0)</f>
        <v>0</v>
      </c>
      <c r="W42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27" s="63">
        <f>IF(AND(Tableau242[[#This Row],[Paid leave days]]&gt;0,Tableau242[[#This Row],[Prod. days]]&lt;0),MIN(Tableau242[[#This Row],[Paid leave days]],-Tableau242[[#This Row],[Prod. days]]),0)</f>
        <v>0</v>
      </c>
      <c r="Z427" s="63">
        <f>IFERROR(_xlfn.XLOOKUP(Tableau242[[#This Row],[Consultant]],Tableau2[Collaborateur/Nom affiché],Tableau2[Montant imputé],0),0)</f>
        <v>0</v>
      </c>
      <c r="AA427" s="64">
        <f t="shared" si="7"/>
        <v>0</v>
      </c>
      <c r="AB427" s="65"/>
      <c r="AC427" s="66"/>
      <c r="AD427" s="66"/>
      <c r="AE427" s="90"/>
      <c r="AF427" s="92"/>
    </row>
    <row r="428" spans="1:32">
      <c r="A428" s="15">
        <f>Tableau242[[#This Row],[Company number]]+0</f>
        <v>21801</v>
      </c>
      <c r="B428" s="60" t="s">
        <v>985</v>
      </c>
      <c r="C428" s="61" t="s">
        <v>986</v>
      </c>
      <c r="D428" s="61" t="s">
        <v>55</v>
      </c>
      <c r="E428" s="62" t="str">
        <f>IFERROR(VLOOKUP(Tableau242[[#This Row],[Manager ou CDM concerné]],Parametres!B:C,2,FALSE),"")</f>
        <v>Squad H</v>
      </c>
      <c r="F428" s="62" t="str">
        <f>IF(Tableau242[[#This Row],[Consultant]]=Tableau242[[#This Row],[Manager ou CDM concerné]],"Non",IF(IFERROR(VLOOKUP(Tableau242[[#This Row],[Consultant]],Parametres!B:C,2,FALSE),0)=0,"Non","Oui"))</f>
        <v>Non</v>
      </c>
      <c r="G428" s="62">
        <f>IFERROR(VLOOKUP(B428,Tableau5[#All],4,FALSE),"Matricule!")</f>
        <v>17</v>
      </c>
      <c r="H428" s="62" t="str">
        <f>IFERROR(VLOOKUP(Tableau242[[#This Row],[Company number]],#REF!,6,FALSE),"")</f>
        <v/>
      </c>
      <c r="I428" s="62">
        <f>IFERROR(VLOOKUP(B428,Tableau5[#All],5,FALSE),"Matricule!")</f>
        <v>1</v>
      </c>
      <c r="J428" s="62">
        <f>IFERROR(VLOOKUP(B428,Tableau5[#All],6,FALSE),"Matricule!")</f>
        <v>2</v>
      </c>
      <c r="K428" s="62">
        <f>IFERROR(VLOOKUP(B428,Tableau5[#All],7,FALSE),"Matricule!")</f>
        <v>0</v>
      </c>
      <c r="L428" s="62" t="e">
        <f>VLOOKUP(Tableau242[[#This Row],[Company number]],#REF!,25,FALSE)</f>
        <v>#REF!</v>
      </c>
      <c r="M428" s="62" t="str">
        <f>IFERROR(VLOOKUP(Tableau242[[#This Row],[Company number]],#REF!,30,FALSE),"")</f>
        <v/>
      </c>
      <c r="N428" s="62" t="str">
        <f>IFERROR(VLOOKUP(Tableau242[[#This Row],[Company number]],#REF!,31,FALSE),"")</f>
        <v/>
      </c>
      <c r="O428" s="62" t="str">
        <f>IFERROR(VLOOKUP(Tableau242[[#This Row],[Company number]],#REF!,32,FALSE),"")</f>
        <v/>
      </c>
      <c r="P428" s="62">
        <f>IFERROR(VLOOKUP(B428,Tableau3[#All],5,FALSE),"Matricule!")</f>
        <v>18</v>
      </c>
      <c r="Q428" s="62">
        <f>IFERROR(SUM(VLOOKUP(B428,Tableau3[#All],6,FALSE),VLOOKUP(B428,Tableau3[#All],8,FALSE)),"Matricule!")</f>
        <v>0</v>
      </c>
      <c r="R428" s="62">
        <f>IFERROR(VLOOKUP(B428,Tableau3[#All],7,FALSE),"Matricule!")</f>
        <v>2</v>
      </c>
      <c r="S428" s="62">
        <f>IFERROR(Tableau242[[#This Row],[Prod. days WK]]-Tableau242[[#This Row],[Prod PXX]],"Matricule")</f>
        <v>-1</v>
      </c>
      <c r="T428" s="62">
        <f>IFERROR(Tableau242[[#This Row],[Non prod. days WK]]-Tableau242[[#This Row],[Improd PXX]],"Matricule")</f>
        <v>1</v>
      </c>
      <c r="U428" s="62">
        <f>IFERROR(Tableau242[[#This Row],[Paid leave days WK]]-Tableau242[[#This Row],[Congé PXX]],"Matricule")</f>
        <v>0</v>
      </c>
      <c r="V428" s="63">
        <f>IFERROR(VLOOKUP($B428,#REF!,4,FALSE),0)</f>
        <v>0</v>
      </c>
      <c r="W42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28" s="63">
        <f>IF(AND(Tableau242[[#This Row],[Paid leave days]]&gt;0,Tableau242[[#This Row],[Prod. days]]&lt;0),MIN(Tableau242[[#This Row],[Paid leave days]],-Tableau242[[#This Row],[Prod. days]]),0)</f>
        <v>0</v>
      </c>
      <c r="Z428" s="63">
        <f>IFERROR(_xlfn.XLOOKUP(Tableau242[[#This Row],[Consultant]],Tableau2[Collaborateur/Nom affiché],Tableau2[Montant imputé],0),0)</f>
        <v>0</v>
      </c>
      <c r="AA428" s="64">
        <f t="shared" si="7"/>
        <v>-1</v>
      </c>
      <c r="AB428" s="65" t="s">
        <v>165</v>
      </c>
      <c r="AC428" s="67"/>
      <c r="AD428" s="66" t="s">
        <v>987</v>
      </c>
      <c r="AE428" s="39"/>
      <c r="AF428" s="93"/>
    </row>
    <row r="429" spans="1:32" ht="14.45" customHeight="1">
      <c r="A429" s="15">
        <f>Tableau242[[#This Row],[Company number]]+0</f>
        <v>11480</v>
      </c>
      <c r="B429" s="60" t="s">
        <v>988</v>
      </c>
      <c r="C429" s="61" t="s">
        <v>989</v>
      </c>
      <c r="D429" s="61" t="s">
        <v>38</v>
      </c>
      <c r="E429" s="62" t="str">
        <f>IFERROR(VLOOKUP(Tableau242[[#This Row],[Manager ou CDM concerné]],Parametres!B:C,2,FALSE),"")</f>
        <v>Squad H</v>
      </c>
      <c r="F429" s="62" t="str">
        <f>IF(Tableau242[[#This Row],[Consultant]]=Tableau242[[#This Row],[Manager ou CDM concerné]],"Non",IF(IFERROR(VLOOKUP(Tableau242[[#This Row],[Consultant]],Parametres!B:C,2,FALSE),0)=0,"Non","Oui"))</f>
        <v>Non</v>
      </c>
      <c r="G429" s="62">
        <f>IFERROR(VLOOKUP(B429,Tableau5[#All],4,FALSE),"Matricule!")</f>
        <v>2</v>
      </c>
      <c r="H429" s="62" t="str">
        <f>IFERROR(VLOOKUP(Tableau242[[#This Row],[Company number]],#REF!,6,FALSE),"")</f>
        <v/>
      </c>
      <c r="I429" s="62">
        <f>IFERROR(VLOOKUP(B429,Tableau5[#All],5,FALSE),"Matricule!")</f>
        <v>15</v>
      </c>
      <c r="J429" s="62">
        <f>IFERROR(VLOOKUP(B429,Tableau5[#All],6,FALSE),"Matricule!")</f>
        <v>3</v>
      </c>
      <c r="K429" s="62">
        <f>IFERROR(VLOOKUP(B429,Tableau5[#All],7,FALSE),"Matricule!")</f>
        <v>0</v>
      </c>
      <c r="L429" s="62" t="e">
        <f>VLOOKUP(Tableau242[[#This Row],[Company number]],#REF!,25,FALSE)</f>
        <v>#REF!</v>
      </c>
      <c r="M429" s="62" t="str">
        <f>IFERROR(VLOOKUP(Tableau242[[#This Row],[Company number]],#REF!,30,FALSE),"")</f>
        <v/>
      </c>
      <c r="N429" s="62" t="str">
        <f>IFERROR(VLOOKUP(Tableau242[[#This Row],[Company number]],#REF!,31,FALSE),"")</f>
        <v/>
      </c>
      <c r="O429" s="62" t="str">
        <f>IFERROR(VLOOKUP(Tableau242[[#This Row],[Company number]],#REF!,32,FALSE),"")</f>
        <v/>
      </c>
      <c r="P429" s="62">
        <f>IFERROR(VLOOKUP(B429,Tableau3[#All],5,FALSE),"Matricule!")</f>
        <v>3</v>
      </c>
      <c r="Q429" s="62">
        <f>IFERROR(SUM(VLOOKUP(B429,Tableau3[#All],6,FALSE),VLOOKUP(B429,Tableau3[#All],8,FALSE)),"Matricule!")</f>
        <v>14</v>
      </c>
      <c r="R429" s="62">
        <f>IFERROR(VLOOKUP(B429,Tableau3[#All],7,FALSE),"Matricule!")</f>
        <v>3</v>
      </c>
      <c r="S429" s="62">
        <f>IFERROR(Tableau242[[#This Row],[Prod. days WK]]-Tableau242[[#This Row],[Prod PXX]],"Matricule")</f>
        <v>-1</v>
      </c>
      <c r="T429" s="62">
        <f>IFERROR(Tableau242[[#This Row],[Non prod. days WK]]-Tableau242[[#This Row],[Improd PXX]],"Matricule")</f>
        <v>1</v>
      </c>
      <c r="U429" s="62">
        <f>IFERROR(Tableau242[[#This Row],[Paid leave days WK]]-Tableau242[[#This Row],[Congé PXX]],"Matricule")</f>
        <v>0</v>
      </c>
      <c r="V429" s="63">
        <f>IFERROR(VLOOKUP($B429,#REF!,4,FALSE),0)</f>
        <v>0</v>
      </c>
      <c r="W42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2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29" s="63">
        <f>IF(AND(Tableau242[[#This Row],[Paid leave days]]&gt;0,Tableau242[[#This Row],[Prod. days]]&lt;0),MIN(Tableau242[[#This Row],[Paid leave days]],-Tableau242[[#This Row],[Prod. days]]),0)</f>
        <v>0</v>
      </c>
      <c r="Z429" s="63">
        <f>IFERROR(_xlfn.XLOOKUP(Tableau242[[#This Row],[Consultant]],Tableau2[Collaborateur/Nom affiché],Tableau2[Montant imputé],0),0)</f>
        <v>0</v>
      </c>
      <c r="AA429" s="64">
        <f t="shared" si="7"/>
        <v>-1</v>
      </c>
      <c r="AB429" s="65" t="s">
        <v>147</v>
      </c>
      <c r="AC429" s="66"/>
      <c r="AD429" s="66"/>
      <c r="AE429" s="105"/>
      <c r="AF429" s="90"/>
    </row>
    <row r="430" spans="1:32" ht="14.45" customHeight="1">
      <c r="A430" s="15">
        <f>Tableau242[[#This Row],[Company number]]+0</f>
        <v>22286</v>
      </c>
      <c r="B430" s="60" t="s">
        <v>990</v>
      </c>
      <c r="C430" s="61" t="s">
        <v>991</v>
      </c>
      <c r="D430" s="61" t="s">
        <v>96</v>
      </c>
      <c r="E430" s="62" t="str">
        <f>IFERROR(VLOOKUP(Tableau242[[#This Row],[Manager ou CDM concerné]],Parametres!B:C,2,FALSE),"")</f>
        <v>Squad G</v>
      </c>
      <c r="F430" s="62" t="str">
        <f>IF(Tableau242[[#This Row],[Consultant]]=Tableau242[[#This Row],[Manager ou CDM concerné]],"Non",IF(IFERROR(VLOOKUP(Tableau242[[#This Row],[Consultant]],Parametres!B:C,2,FALSE),0)=0,"Non","Oui"))</f>
        <v>Non</v>
      </c>
      <c r="G430" s="62">
        <f>IFERROR(VLOOKUP(B430,Tableau5[#All],4,FALSE),"Matricule!")</f>
        <v>19</v>
      </c>
      <c r="H430" s="62" t="str">
        <f>IFERROR(VLOOKUP(Tableau242[[#This Row],[Company number]],#REF!,6,FALSE),"")</f>
        <v/>
      </c>
      <c r="I430" s="62">
        <f>IFERROR(VLOOKUP(B430,Tableau5[#All],5,FALSE),"Matricule!")</f>
        <v>1</v>
      </c>
      <c r="J430" s="62">
        <f>IFERROR(VLOOKUP(B430,Tableau5[#All],6,FALSE),"Matricule!")</f>
        <v>0</v>
      </c>
      <c r="K430" s="62">
        <f>IFERROR(VLOOKUP(B430,Tableau5[#All],7,FALSE),"Matricule!")</f>
        <v>0</v>
      </c>
      <c r="L430" s="62" t="e">
        <f>VLOOKUP(Tableau242[[#This Row],[Company number]],#REF!,25,FALSE)</f>
        <v>#REF!</v>
      </c>
      <c r="M430" s="62" t="str">
        <f>IFERROR(VLOOKUP(Tableau242[[#This Row],[Company number]],#REF!,30,FALSE),"")</f>
        <v/>
      </c>
      <c r="N430" s="62" t="str">
        <f>IFERROR(VLOOKUP(Tableau242[[#This Row],[Company number]],#REF!,31,FALSE),"")</f>
        <v/>
      </c>
      <c r="O430" s="62" t="str">
        <f>IFERROR(VLOOKUP(Tableau242[[#This Row],[Company number]],#REF!,32,FALSE),"")</f>
        <v/>
      </c>
      <c r="P430" s="62">
        <f>IFERROR(VLOOKUP(B430,Tableau3[#All],5,FALSE),"Matricule!")</f>
        <v>19</v>
      </c>
      <c r="Q430" s="62">
        <f>IFERROR(SUM(VLOOKUP(B430,Tableau3[#All],6,FALSE),VLOOKUP(B430,Tableau3[#All],8,FALSE)),"Matricule!")</f>
        <v>1</v>
      </c>
      <c r="R430" s="62">
        <f>IFERROR(VLOOKUP(B430,Tableau3[#All],7,FALSE),"Matricule!")</f>
        <v>0</v>
      </c>
      <c r="S430" s="62">
        <f>IFERROR(Tableau242[[#This Row],[Prod. days WK]]-Tableau242[[#This Row],[Prod PXX]],"Matricule")</f>
        <v>0</v>
      </c>
      <c r="T430" s="62">
        <f>IFERROR(Tableau242[[#This Row],[Non prod. days WK]]-Tableau242[[#This Row],[Improd PXX]],"Matricule")</f>
        <v>0</v>
      </c>
      <c r="U430" s="62">
        <f>IFERROR(Tableau242[[#This Row],[Paid leave days WK]]-Tableau242[[#This Row],[Congé PXX]],"Matricule")</f>
        <v>0</v>
      </c>
      <c r="V430" s="63">
        <f>IFERROR(VLOOKUP($B430,#REF!,4,FALSE),0)</f>
        <v>0</v>
      </c>
      <c r="W43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30" s="63">
        <f>IF(AND(Tableau242[[#This Row],[Paid leave days]]&gt;0,Tableau242[[#This Row],[Prod. days]]&lt;0),MIN(Tableau242[[#This Row],[Paid leave days]],-Tableau242[[#This Row],[Prod. days]]),0)</f>
        <v>0</v>
      </c>
      <c r="Z430" s="63">
        <f>IFERROR(_xlfn.XLOOKUP(Tableau242[[#This Row],[Consultant]],Tableau2[Collaborateur/Nom affiché],Tableau2[Montant imputé],0),0)</f>
        <v>0</v>
      </c>
      <c r="AA430" s="64">
        <f t="shared" si="7"/>
        <v>0</v>
      </c>
      <c r="AB430" s="65"/>
      <c r="AC430" s="66"/>
      <c r="AD430" s="66"/>
      <c r="AE430" s="105"/>
      <c r="AF430" s="90"/>
    </row>
    <row r="431" spans="1:32" ht="14.45" customHeight="1">
      <c r="A431" s="15">
        <f>Tableau242[[#This Row],[Company number]]+0</f>
        <v>21439</v>
      </c>
      <c r="B431" s="60" t="s">
        <v>992</v>
      </c>
      <c r="C431" s="61" t="s">
        <v>993</v>
      </c>
      <c r="D431" s="61" t="s">
        <v>96</v>
      </c>
      <c r="E431" s="62" t="str">
        <f>IFERROR(VLOOKUP(Tableau242[[#This Row],[Manager ou CDM concerné]],Parametres!B:C,2,FALSE),"")</f>
        <v>Squad G</v>
      </c>
      <c r="F431" s="62" t="str">
        <f>IF(Tableau242[[#This Row],[Consultant]]=Tableau242[[#This Row],[Manager ou CDM concerné]],"Non",IF(IFERROR(VLOOKUP(Tableau242[[#This Row],[Consultant]],Parametres!B:C,2,FALSE),0)=0,"Non","Oui"))</f>
        <v>Non</v>
      </c>
      <c r="G431" s="62">
        <f>IFERROR(VLOOKUP(B431,Tableau5[#All],4,FALSE),"Matricule!")</f>
        <v>20</v>
      </c>
      <c r="H431" s="62" t="str">
        <f>IFERROR(VLOOKUP(Tableau242[[#This Row],[Company number]],#REF!,6,FALSE),"")</f>
        <v/>
      </c>
      <c r="I431" s="62">
        <f>IFERROR(VLOOKUP(B431,Tableau5[#All],5,FALSE),"Matricule!")</f>
        <v>0</v>
      </c>
      <c r="J431" s="62">
        <f>IFERROR(VLOOKUP(B431,Tableau5[#All],6,FALSE),"Matricule!")</f>
        <v>0</v>
      </c>
      <c r="K431" s="62">
        <f>IFERROR(VLOOKUP(B431,Tableau5[#All],7,FALSE),"Matricule!")</f>
        <v>0</v>
      </c>
      <c r="L431" s="62" t="e">
        <f>VLOOKUP(Tableau242[[#This Row],[Company number]],#REF!,25,FALSE)</f>
        <v>#REF!</v>
      </c>
      <c r="M431" s="62" t="str">
        <f>IFERROR(VLOOKUP(Tableau242[[#This Row],[Company number]],#REF!,30,FALSE),"")</f>
        <v/>
      </c>
      <c r="N431" s="62" t="str">
        <f>IFERROR(VLOOKUP(Tableau242[[#This Row],[Company number]],#REF!,31,FALSE),"")</f>
        <v/>
      </c>
      <c r="O431" s="62" t="str">
        <f>IFERROR(VLOOKUP(Tableau242[[#This Row],[Company number]],#REF!,32,FALSE),"")</f>
        <v/>
      </c>
      <c r="P431" s="68">
        <f>IFERROR(VLOOKUP(B431,Tableau3[#All],5,FALSE),"Matricule!")</f>
        <v>20</v>
      </c>
      <c r="Q431" s="68">
        <f>IFERROR(SUM(VLOOKUP(B431,Tableau3[#All],6,FALSE),VLOOKUP(B431,Tableau3[#All],8,FALSE)),"Matricule!")</f>
        <v>0</v>
      </c>
      <c r="R431" s="68">
        <f>IFERROR(VLOOKUP(B431,Tableau3[#All],7,FALSE),"Matricule!")</f>
        <v>0</v>
      </c>
      <c r="S431" s="62">
        <f>IFERROR(Tableau242[[#This Row],[Prod. days WK]]-Tableau242[[#This Row],[Prod PXX]],"Matricule")</f>
        <v>0</v>
      </c>
      <c r="T431" s="62">
        <f>IFERROR(Tableau242[[#This Row],[Non prod. days WK]]-Tableau242[[#This Row],[Improd PXX]],"Matricule")</f>
        <v>0</v>
      </c>
      <c r="U431" s="62">
        <f>IFERROR(Tableau242[[#This Row],[Paid leave days WK]]-Tableau242[[#This Row],[Congé PXX]],"Matricule")</f>
        <v>0</v>
      </c>
      <c r="V431" s="63">
        <f>IFERROR(VLOOKUP($B431,#REF!,4,FALSE),0)</f>
        <v>0</v>
      </c>
      <c r="W43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31" s="63">
        <f>IF(AND(Tableau242[[#This Row],[Paid leave days]]&gt;0,Tableau242[[#This Row],[Prod. days]]&lt;0),MIN(Tableau242[[#This Row],[Paid leave days]],-Tableau242[[#This Row],[Prod. days]]),0)</f>
        <v>0</v>
      </c>
      <c r="Z431" s="63">
        <f>IFERROR(_xlfn.XLOOKUP(Tableau242[[#This Row],[Consultant]],Tableau2[Collaborateur/Nom affiché],Tableau2[Montant imputé],0),0)</f>
        <v>0</v>
      </c>
      <c r="AA431" s="64">
        <f t="shared" si="7"/>
        <v>0</v>
      </c>
      <c r="AB431" s="65"/>
      <c r="AC431" s="66"/>
      <c r="AD431" s="66"/>
      <c r="AE431" s="105"/>
      <c r="AF431" s="90"/>
    </row>
    <row r="432" spans="1:32">
      <c r="A432" s="15">
        <f>Tableau242[[#This Row],[Company number]]+0</f>
        <v>21555</v>
      </c>
      <c r="B432" s="60" t="s">
        <v>994</v>
      </c>
      <c r="C432" s="61" t="s">
        <v>995</v>
      </c>
      <c r="D432" s="61" t="s">
        <v>96</v>
      </c>
      <c r="E432" s="62" t="str">
        <f>IFERROR(VLOOKUP(Tableau242[[#This Row],[Manager ou CDM concerné]],Parametres!B:C,2,FALSE),"")</f>
        <v>Squad G</v>
      </c>
      <c r="F432" s="62" t="str">
        <f>IF(Tableau242[[#This Row],[Consultant]]=Tableau242[[#This Row],[Manager ou CDM concerné]],"Non",IF(IFERROR(VLOOKUP(Tableau242[[#This Row],[Consultant]],Parametres!B:C,2,FALSE),0)=0,"Non","Oui"))</f>
        <v>Non</v>
      </c>
      <c r="G432" s="62">
        <f>IFERROR(VLOOKUP(B432,Tableau5[#All],4,FALSE),"Matricule!")</f>
        <v>0</v>
      </c>
      <c r="H432" s="62" t="str">
        <f>IFERROR(VLOOKUP(Tableau242[[#This Row],[Company number]],#REF!,6,FALSE),"")</f>
        <v/>
      </c>
      <c r="I432" s="62">
        <f>IFERROR(VLOOKUP(B432,Tableau5[#All],5,FALSE),"Matricule!")</f>
        <v>20</v>
      </c>
      <c r="J432" s="62">
        <f>IFERROR(VLOOKUP(B432,Tableau5[#All],6,FALSE),"Matricule!")</f>
        <v>0</v>
      </c>
      <c r="K432" s="62">
        <f>IFERROR(VLOOKUP(B432,Tableau5[#All],7,FALSE),"Matricule!")</f>
        <v>0</v>
      </c>
      <c r="L432" s="62" t="e">
        <f>VLOOKUP(Tableau242[[#This Row],[Company number]],#REF!,25,FALSE)</f>
        <v>#REF!</v>
      </c>
      <c r="M432" s="62" t="str">
        <f>IFERROR(VLOOKUP(Tableau242[[#This Row],[Company number]],#REF!,30,FALSE),"")</f>
        <v/>
      </c>
      <c r="N432" s="62" t="str">
        <f>IFERROR(VLOOKUP(Tableau242[[#This Row],[Company number]],#REF!,31,FALSE),"")</f>
        <v/>
      </c>
      <c r="O432" s="62" t="str">
        <f>IFERROR(VLOOKUP(Tableau242[[#This Row],[Company number]],#REF!,32,FALSE),"")</f>
        <v/>
      </c>
      <c r="P432" s="62">
        <f>IFERROR(VLOOKUP(B432,Tableau3[#All],5,FALSE),"Matricule!")</f>
        <v>0</v>
      </c>
      <c r="Q432" s="62">
        <f>IFERROR(SUM(VLOOKUP(B432,Tableau3[#All],6,FALSE),VLOOKUP(B432,Tableau3[#All],8,FALSE)),"Matricule!")</f>
        <v>20</v>
      </c>
      <c r="R432" s="62">
        <f>IFERROR(VLOOKUP(B432,Tableau3[#All],7,FALSE),"Matricule!")</f>
        <v>0</v>
      </c>
      <c r="S432" s="62">
        <f>IFERROR(Tableau242[[#This Row],[Prod. days WK]]-Tableau242[[#This Row],[Prod PXX]],"Matricule")</f>
        <v>0</v>
      </c>
      <c r="T432" s="62">
        <f>IFERROR(Tableau242[[#This Row],[Non prod. days WK]]-Tableau242[[#This Row],[Improd PXX]],"Matricule")</f>
        <v>0</v>
      </c>
      <c r="U432" s="62">
        <f>IFERROR(Tableau242[[#This Row],[Paid leave days WK]]-Tableau242[[#This Row],[Congé PXX]],"Matricule")</f>
        <v>0</v>
      </c>
      <c r="V432" s="63">
        <f>IFERROR(VLOOKUP($B432,#REF!,4,FALSE),0)</f>
        <v>0</v>
      </c>
      <c r="W43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32" s="63">
        <f>IF(AND(Tableau242[[#This Row],[Paid leave days]]&gt;0,Tableau242[[#This Row],[Prod. days]]&lt;0),MIN(Tableau242[[#This Row],[Paid leave days]],-Tableau242[[#This Row],[Prod. days]]),0)</f>
        <v>0</v>
      </c>
      <c r="Z432" s="63">
        <f>IFERROR(_xlfn.XLOOKUP(Tableau242[[#This Row],[Consultant]],Tableau2[Collaborateur/Nom affiché],Tableau2[Montant imputé],0),0)</f>
        <v>0</v>
      </c>
      <c r="AA432" s="64">
        <f t="shared" si="7"/>
        <v>0</v>
      </c>
      <c r="AB432" s="65"/>
      <c r="AC432" s="66"/>
      <c r="AD432" s="66"/>
      <c r="AE432" s="105"/>
      <c r="AF432" s="90"/>
    </row>
    <row r="433" spans="1:32">
      <c r="A433" s="15">
        <f>Tableau242[[#This Row],[Company number]]+0</f>
        <v>21893</v>
      </c>
      <c r="B433" s="60" t="s">
        <v>996</v>
      </c>
      <c r="C433" s="61" t="s">
        <v>997</v>
      </c>
      <c r="D433" s="61" t="s">
        <v>96</v>
      </c>
      <c r="E433" s="62" t="str">
        <f>IFERROR(VLOOKUP(Tableau242[[#This Row],[Manager ou CDM concerné]],Parametres!B:C,2,FALSE),"")</f>
        <v>Squad G</v>
      </c>
      <c r="F433" s="62" t="str">
        <f>IF(Tableau242[[#This Row],[Consultant]]=Tableau242[[#This Row],[Manager ou CDM concerné]],"Non",IF(IFERROR(VLOOKUP(Tableau242[[#This Row],[Consultant]],Parametres!B:C,2,FALSE),0)=0,"Non","Oui"))</f>
        <v>Non</v>
      </c>
      <c r="G433" s="62">
        <f>IFERROR(VLOOKUP(B433,Tableau5[#All],4,FALSE),"Matricule!")</f>
        <v>0</v>
      </c>
      <c r="H433" s="62" t="str">
        <f>IFERROR(VLOOKUP(Tableau242[[#This Row],[Company number]],#REF!,6,FALSE),"")</f>
        <v/>
      </c>
      <c r="I433" s="62">
        <f>IFERROR(VLOOKUP(B433,Tableau5[#All],5,FALSE),"Matricule!")</f>
        <v>20</v>
      </c>
      <c r="J433" s="62">
        <f>IFERROR(VLOOKUP(B433,Tableau5[#All],6,FALSE),"Matricule!")</f>
        <v>0</v>
      </c>
      <c r="K433" s="62">
        <f>IFERROR(VLOOKUP(B433,Tableau5[#All],7,FALSE),"Matricule!")</f>
        <v>0</v>
      </c>
      <c r="L433" s="62" t="e">
        <f>VLOOKUP(Tableau242[[#This Row],[Company number]],#REF!,25,FALSE)</f>
        <v>#REF!</v>
      </c>
      <c r="M433" s="62" t="str">
        <f>IFERROR(VLOOKUP(Tableau242[[#This Row],[Company number]],#REF!,30,FALSE),"")</f>
        <v/>
      </c>
      <c r="N433" s="62" t="str">
        <f>IFERROR(VLOOKUP(Tableau242[[#This Row],[Company number]],#REF!,31,FALSE),"")</f>
        <v/>
      </c>
      <c r="O433" s="62" t="str">
        <f>IFERROR(VLOOKUP(Tableau242[[#This Row],[Company number]],#REF!,32,FALSE),"")</f>
        <v/>
      </c>
      <c r="P433" s="62">
        <f>IFERROR(VLOOKUP(B433,Tableau3[#All],5,FALSE),"Matricule!")</f>
        <v>6</v>
      </c>
      <c r="Q433" s="62">
        <f>IFERROR(SUM(VLOOKUP(B433,Tableau3[#All],6,FALSE),VLOOKUP(B433,Tableau3[#All],8,FALSE)),"Matricule!")</f>
        <v>14</v>
      </c>
      <c r="R433" s="62">
        <f>IFERROR(VLOOKUP(B433,Tableau3[#All],7,FALSE),"Matricule!")</f>
        <v>0</v>
      </c>
      <c r="S433" s="62">
        <f>IFERROR(Tableau242[[#This Row],[Prod. days WK]]-Tableau242[[#This Row],[Prod PXX]],"Matricule")</f>
        <v>-6</v>
      </c>
      <c r="T433" s="62">
        <f>IFERROR(Tableau242[[#This Row],[Non prod. days WK]]-Tableau242[[#This Row],[Improd PXX]],"Matricule")</f>
        <v>6</v>
      </c>
      <c r="U433" s="62">
        <f>IFERROR(Tableau242[[#This Row],[Paid leave days WK]]-Tableau242[[#This Row],[Congé PXX]],"Matricule")</f>
        <v>0</v>
      </c>
      <c r="V433" s="63">
        <f>IFERROR(VLOOKUP($B433,#REF!,4,FALSE),0)</f>
        <v>0</v>
      </c>
      <c r="W43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433" s="63">
        <f>IF(AND(Tableau242[[#This Row],[Paid leave days]]&gt;0,Tableau242[[#This Row],[Prod. days]]&lt;0),MIN(Tableau242[[#This Row],[Paid leave days]],-Tableau242[[#This Row],[Prod. days]]),0)</f>
        <v>0</v>
      </c>
      <c r="Z433" s="63">
        <f>IFERROR(_xlfn.XLOOKUP(Tableau242[[#This Row],[Consultant]],Tableau2[Collaborateur/Nom affiché],Tableau2[Montant imputé],0),0)</f>
        <v>1</v>
      </c>
      <c r="AA433" s="64">
        <f t="shared" si="7"/>
        <v>-5</v>
      </c>
      <c r="AB433" s="65"/>
      <c r="AC433" s="67"/>
      <c r="AD433" s="66"/>
      <c r="AE433" s="105"/>
      <c r="AF433" s="93"/>
    </row>
    <row r="434" spans="1:32">
      <c r="A434" s="15">
        <f>Tableau242[[#This Row],[Company number]]+0</f>
        <v>17914</v>
      </c>
      <c r="B434" s="60" t="s">
        <v>998</v>
      </c>
      <c r="C434" s="61" t="s">
        <v>999</v>
      </c>
      <c r="D434" s="61" t="s">
        <v>577</v>
      </c>
      <c r="E434" s="62" t="str">
        <f>IFERROR(VLOOKUP(Tableau242[[#This Row],[Manager ou CDM concerné]],Parametres!B:C,2,FALSE),"")</f>
        <v>Squad E</v>
      </c>
      <c r="F434" s="62" t="str">
        <f>IF(Tableau242[[#This Row],[Consultant]]=Tableau242[[#This Row],[Manager ou CDM concerné]],"Non",IF(IFERROR(VLOOKUP(Tableau242[[#This Row],[Consultant]],Parametres!B:C,2,FALSE),0)=0,"Non","Oui"))</f>
        <v>Non</v>
      </c>
      <c r="G434" s="62">
        <f>IFERROR(VLOOKUP(B434,Tableau5[#All],4,FALSE),"Matricule!")</f>
        <v>20</v>
      </c>
      <c r="H434" s="62" t="str">
        <f>IFERROR(VLOOKUP(Tableau242[[#This Row],[Company number]],#REF!,6,FALSE),"")</f>
        <v/>
      </c>
      <c r="I434" s="62">
        <f>IFERROR(VLOOKUP(B434,Tableau5[#All],5,FALSE),"Matricule!")</f>
        <v>0</v>
      </c>
      <c r="J434" s="62">
        <f>IFERROR(VLOOKUP(B434,Tableau5[#All],6,FALSE),"Matricule!")</f>
        <v>0</v>
      </c>
      <c r="K434" s="62">
        <f>IFERROR(VLOOKUP(B434,Tableau5[#All],7,FALSE),"Matricule!")</f>
        <v>0</v>
      </c>
      <c r="L434" s="62" t="e">
        <f>VLOOKUP(Tableau242[[#This Row],[Company number]],#REF!,25,FALSE)</f>
        <v>#REF!</v>
      </c>
      <c r="M434" s="62" t="str">
        <f>IFERROR(VLOOKUP(Tableau242[[#This Row],[Company number]],#REF!,30,FALSE),"")</f>
        <v/>
      </c>
      <c r="N434" s="62" t="str">
        <f>IFERROR(VLOOKUP(Tableau242[[#This Row],[Company number]],#REF!,31,FALSE),"")</f>
        <v/>
      </c>
      <c r="O434" s="62" t="str">
        <f>IFERROR(VLOOKUP(Tableau242[[#This Row],[Company number]],#REF!,32,FALSE),"")</f>
        <v/>
      </c>
      <c r="P434" s="62">
        <f>IFERROR(VLOOKUP(B434,Tableau3[#All],5,FALSE),"Matricule!")</f>
        <v>20</v>
      </c>
      <c r="Q434" s="62">
        <f>IFERROR(SUM(VLOOKUP(B434,Tableau3[#All],6,FALSE),VLOOKUP(B434,Tableau3[#All],8,FALSE)),"Matricule!")</f>
        <v>0</v>
      </c>
      <c r="R434" s="62">
        <f>IFERROR(VLOOKUP(B434,Tableau3[#All],7,FALSE),"Matricule!")</f>
        <v>0</v>
      </c>
      <c r="S434" s="62">
        <f>IFERROR(Tableau242[[#This Row],[Prod. days WK]]-Tableau242[[#This Row],[Prod PXX]],"Matricule")</f>
        <v>0</v>
      </c>
      <c r="T434" s="62">
        <f>IFERROR(Tableau242[[#This Row],[Non prod. days WK]]-Tableau242[[#This Row],[Improd PXX]],"Matricule")</f>
        <v>0</v>
      </c>
      <c r="U434" s="62">
        <f>IFERROR(Tableau242[[#This Row],[Paid leave days WK]]-Tableau242[[#This Row],[Congé PXX]],"Matricule")</f>
        <v>0</v>
      </c>
      <c r="V434" s="63">
        <f>IFERROR(VLOOKUP($B434,#REF!,4,FALSE),0)</f>
        <v>0</v>
      </c>
      <c r="W43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34" s="63">
        <f>IF(AND(Tableau242[[#This Row],[Paid leave days]]&gt;0,Tableau242[[#This Row],[Prod. days]]&lt;0),MIN(Tableau242[[#This Row],[Paid leave days]],-Tableau242[[#This Row],[Prod. days]]),0)</f>
        <v>0</v>
      </c>
      <c r="Z434" s="63">
        <f>IFERROR(_xlfn.XLOOKUP(Tableau242[[#This Row],[Consultant]],Tableau2[Collaborateur/Nom affiché],Tableau2[Montant imputé],0),0)</f>
        <v>0</v>
      </c>
      <c r="AA434" s="64">
        <f t="shared" si="7"/>
        <v>0</v>
      </c>
      <c r="AB434" s="65"/>
      <c r="AC434" s="67"/>
      <c r="AD434" s="66"/>
      <c r="AE434" s="39"/>
      <c r="AF434" s="93"/>
    </row>
    <row r="435" spans="1:32">
      <c r="A435" s="15">
        <f>Tableau242[[#This Row],[Company number]]+0</f>
        <v>18067</v>
      </c>
      <c r="B435" s="60" t="s">
        <v>1000</v>
      </c>
      <c r="C435" s="61" t="s">
        <v>1001</v>
      </c>
      <c r="D435" s="61" t="s">
        <v>577</v>
      </c>
      <c r="E435" s="62" t="str">
        <f>IFERROR(VLOOKUP(Tableau242[[#This Row],[Manager ou CDM concerné]],Parametres!B:C,2,FALSE),"")</f>
        <v>Squad E</v>
      </c>
      <c r="F435" s="62" t="str">
        <f>IF(Tableau242[[#This Row],[Consultant]]=Tableau242[[#This Row],[Manager ou CDM concerné]],"Non",IF(IFERROR(VLOOKUP(Tableau242[[#This Row],[Consultant]],Parametres!B:C,2,FALSE),0)=0,"Non","Oui"))</f>
        <v>Non</v>
      </c>
      <c r="G435" s="62">
        <f>IFERROR(VLOOKUP(B435,Tableau5[#All],4,FALSE),"Matricule!")</f>
        <v>18</v>
      </c>
      <c r="H435" s="62" t="str">
        <f>IFERROR(VLOOKUP(Tableau242[[#This Row],[Company number]],#REF!,6,FALSE),"")</f>
        <v/>
      </c>
      <c r="I435" s="62">
        <f>IFERROR(VLOOKUP(B435,Tableau5[#All],5,FALSE),"Matricule!")</f>
        <v>0</v>
      </c>
      <c r="J435" s="62">
        <f>IFERROR(VLOOKUP(B435,Tableau5[#All],6,FALSE),"Matricule!")</f>
        <v>2</v>
      </c>
      <c r="K435" s="62">
        <f>IFERROR(VLOOKUP(B435,Tableau5[#All],7,FALSE),"Matricule!")</f>
        <v>0</v>
      </c>
      <c r="L435" s="62" t="e">
        <f>VLOOKUP(Tableau242[[#This Row],[Company number]],#REF!,25,FALSE)</f>
        <v>#REF!</v>
      </c>
      <c r="M435" s="62" t="str">
        <f>IFERROR(VLOOKUP(Tableau242[[#This Row],[Company number]],#REF!,30,FALSE),"")</f>
        <v/>
      </c>
      <c r="N435" s="62" t="str">
        <f>IFERROR(VLOOKUP(Tableau242[[#This Row],[Company number]],#REF!,31,FALSE),"")</f>
        <v/>
      </c>
      <c r="O435" s="62" t="str">
        <f>IFERROR(VLOOKUP(Tableau242[[#This Row],[Company number]],#REF!,32,FALSE),"")</f>
        <v/>
      </c>
      <c r="P435" s="62">
        <f>IFERROR(VLOOKUP(B435,Tableau3[#All],5,FALSE),"Matricule!")</f>
        <v>18</v>
      </c>
      <c r="Q435" s="62">
        <f>IFERROR(SUM(VLOOKUP(B435,Tableau3[#All],6,FALSE),VLOOKUP(B435,Tableau3[#All],8,FALSE)),"Matricule!")</f>
        <v>0</v>
      </c>
      <c r="R435" s="62">
        <f>IFERROR(VLOOKUP(B435,Tableau3[#All],7,FALSE),"Matricule!")</f>
        <v>2</v>
      </c>
      <c r="S435" s="62">
        <f>IFERROR(Tableau242[[#This Row],[Prod. days WK]]-Tableau242[[#This Row],[Prod PXX]],"Matricule")</f>
        <v>0</v>
      </c>
      <c r="T435" s="62">
        <f>IFERROR(Tableau242[[#This Row],[Non prod. days WK]]-Tableau242[[#This Row],[Improd PXX]],"Matricule")</f>
        <v>0</v>
      </c>
      <c r="U435" s="62">
        <f>IFERROR(Tableau242[[#This Row],[Paid leave days WK]]-Tableau242[[#This Row],[Congé PXX]],"Matricule")</f>
        <v>0</v>
      </c>
      <c r="V435" s="63">
        <f>IFERROR(VLOOKUP($B435,#REF!,4,FALSE),0)</f>
        <v>0</v>
      </c>
      <c r="W43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35" s="63">
        <f>IF(AND(Tableau242[[#This Row],[Paid leave days]]&gt;0,Tableau242[[#This Row],[Prod. days]]&lt;0),MIN(Tableau242[[#This Row],[Paid leave days]],-Tableau242[[#This Row],[Prod. days]]),0)</f>
        <v>0</v>
      </c>
      <c r="Z435" s="63">
        <f>IFERROR(_xlfn.XLOOKUP(Tableau242[[#This Row],[Consultant]],Tableau2[Collaborateur/Nom affiché],Tableau2[Montant imputé],0),0)</f>
        <v>0</v>
      </c>
      <c r="AA435" s="64">
        <f t="shared" si="7"/>
        <v>0</v>
      </c>
      <c r="AB435" s="65"/>
      <c r="AC435" s="66"/>
      <c r="AD435" s="66"/>
      <c r="AE435" s="105"/>
      <c r="AF435" s="90"/>
    </row>
    <row r="436" spans="1:32" ht="29.1">
      <c r="A436" s="15">
        <f>Tableau242[[#This Row],[Company number]]+0</f>
        <v>16955</v>
      </c>
      <c r="B436" s="60" t="s">
        <v>1002</v>
      </c>
      <c r="C436" s="61" t="s">
        <v>1003</v>
      </c>
      <c r="D436" s="61" t="s">
        <v>577</v>
      </c>
      <c r="E436" s="62" t="str">
        <f>IFERROR(VLOOKUP(Tableau242[[#This Row],[Manager ou CDM concerné]],Parametres!B:C,2,FALSE),"")</f>
        <v>Squad E</v>
      </c>
      <c r="F436" s="62" t="str">
        <f>IF(Tableau242[[#This Row],[Consultant]]=Tableau242[[#This Row],[Manager ou CDM concerné]],"Non",IF(IFERROR(VLOOKUP(Tableau242[[#This Row],[Consultant]],Parametres!B:C,2,FALSE),0)=0,"Non","Oui"))</f>
        <v>Non</v>
      </c>
      <c r="G436" s="62">
        <f>IFERROR(VLOOKUP(B436,Tableau5[#All],4,FALSE),"Matricule!")</f>
        <v>20</v>
      </c>
      <c r="H436" s="62" t="str">
        <f>IFERROR(VLOOKUP(Tableau242[[#This Row],[Company number]],#REF!,6,FALSE),"")</f>
        <v/>
      </c>
      <c r="I436" s="62">
        <f>IFERROR(VLOOKUP(B436,Tableau5[#All],5,FALSE),"Matricule!")</f>
        <v>0</v>
      </c>
      <c r="J436" s="62">
        <f>IFERROR(VLOOKUP(B436,Tableau5[#All],6,FALSE),"Matricule!")</f>
        <v>0</v>
      </c>
      <c r="K436" s="62">
        <f>IFERROR(VLOOKUP(B436,Tableau5[#All],7,FALSE),"Matricule!")</f>
        <v>0</v>
      </c>
      <c r="L436" s="62" t="e">
        <f>VLOOKUP(Tableau242[[#This Row],[Company number]],#REF!,25,FALSE)</f>
        <v>#REF!</v>
      </c>
      <c r="M436" s="62" t="str">
        <f>IFERROR(VLOOKUP(Tableau242[[#This Row],[Company number]],#REF!,30,FALSE),"")</f>
        <v/>
      </c>
      <c r="N436" s="62" t="str">
        <f>IFERROR(VLOOKUP(Tableau242[[#This Row],[Company number]],#REF!,31,FALSE),"")</f>
        <v/>
      </c>
      <c r="O436" s="62" t="str">
        <f>IFERROR(VLOOKUP(Tableau242[[#This Row],[Company number]],#REF!,32,FALSE),"")</f>
        <v/>
      </c>
      <c r="P436" s="68">
        <f>IFERROR(VLOOKUP(B436,Tableau3[#All],5,FALSE),"Matricule!")</f>
        <v>20</v>
      </c>
      <c r="Q436" s="68">
        <f>IFERROR(SUM(VLOOKUP(B436,Tableau3[#All],6,FALSE),VLOOKUP(B436,Tableau3[#All],8,FALSE)),"Matricule!")</f>
        <v>0</v>
      </c>
      <c r="R436" s="68">
        <f>IFERROR(VLOOKUP(B436,Tableau3[#All],7,FALSE),"Matricule!")</f>
        <v>0</v>
      </c>
      <c r="S436" s="62">
        <f>IFERROR(Tableau242[[#This Row],[Prod. days WK]]-Tableau242[[#This Row],[Prod PXX]],"Matricule")</f>
        <v>0</v>
      </c>
      <c r="T436" s="62">
        <f>IFERROR(Tableau242[[#This Row],[Non prod. days WK]]-Tableau242[[#This Row],[Improd PXX]],"Matricule")</f>
        <v>0</v>
      </c>
      <c r="U436" s="62">
        <f>IFERROR(Tableau242[[#This Row],[Paid leave days WK]]-Tableau242[[#This Row],[Congé PXX]],"Matricule")</f>
        <v>0</v>
      </c>
      <c r="V436" s="63">
        <f>IFERROR(VLOOKUP($B436,#REF!,4,FALSE),0)</f>
        <v>0</v>
      </c>
      <c r="W43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36" s="63">
        <f>IF(AND(Tableau242[[#This Row],[Paid leave days]]&gt;0,Tableau242[[#This Row],[Prod. days]]&lt;0),MIN(Tableau242[[#This Row],[Paid leave days]],-Tableau242[[#This Row],[Prod. days]]),0)</f>
        <v>0</v>
      </c>
      <c r="Z436" s="63">
        <f>IFERROR(_xlfn.XLOOKUP(Tableau242[[#This Row],[Consultant]],Tableau2[Collaborateur/Nom affiché],Tableau2[Montant imputé],0),0)</f>
        <v>0</v>
      </c>
      <c r="AA436" s="64">
        <f t="shared" si="7"/>
        <v>0</v>
      </c>
      <c r="AB436" s="65"/>
      <c r="AC436" s="66"/>
      <c r="AD436" s="66"/>
      <c r="AE436" s="105"/>
      <c r="AF436" s="90"/>
    </row>
    <row r="437" spans="1:32">
      <c r="A437" s="15">
        <f>Tableau242[[#This Row],[Company number]]+0</f>
        <v>20734</v>
      </c>
      <c r="B437" s="60" t="s">
        <v>1004</v>
      </c>
      <c r="C437" s="61" t="s">
        <v>1005</v>
      </c>
      <c r="D437" s="61" t="s">
        <v>577</v>
      </c>
      <c r="E437" s="62" t="str">
        <f>IFERROR(VLOOKUP(Tableau242[[#This Row],[Manager ou CDM concerné]],Parametres!B:C,2,FALSE),"")</f>
        <v>Squad E</v>
      </c>
      <c r="F437" s="62" t="str">
        <f>IF(Tableau242[[#This Row],[Consultant]]=Tableau242[[#This Row],[Manager ou CDM concerné]],"Non",IF(IFERROR(VLOOKUP(Tableau242[[#This Row],[Consultant]],Parametres!B:C,2,FALSE),0)=0,"Non","Oui"))</f>
        <v>Non</v>
      </c>
      <c r="G437" s="62">
        <f>IFERROR(VLOOKUP(B437,Tableau5[#All],4,FALSE),"Matricule!")</f>
        <v>20</v>
      </c>
      <c r="H437" s="62" t="str">
        <f>IFERROR(VLOOKUP(Tableau242[[#This Row],[Company number]],#REF!,6,FALSE),"")</f>
        <v/>
      </c>
      <c r="I437" s="62">
        <f>IFERROR(VLOOKUP(B437,Tableau5[#All],5,FALSE),"Matricule!")</f>
        <v>0</v>
      </c>
      <c r="J437" s="62">
        <f>IFERROR(VLOOKUP(B437,Tableau5[#All],6,FALSE),"Matricule!")</f>
        <v>0</v>
      </c>
      <c r="K437" s="62">
        <f>IFERROR(VLOOKUP(B437,Tableau5[#All],7,FALSE),"Matricule!")</f>
        <v>0</v>
      </c>
      <c r="L437" s="62" t="e">
        <f>VLOOKUP(Tableau242[[#This Row],[Company number]],#REF!,25,FALSE)</f>
        <v>#REF!</v>
      </c>
      <c r="M437" s="62" t="str">
        <f>IFERROR(VLOOKUP(Tableau242[[#This Row],[Company number]],#REF!,30,FALSE),"")</f>
        <v/>
      </c>
      <c r="N437" s="62" t="str">
        <f>IFERROR(VLOOKUP(Tableau242[[#This Row],[Company number]],#REF!,31,FALSE),"")</f>
        <v/>
      </c>
      <c r="O437" s="62" t="str">
        <f>IFERROR(VLOOKUP(Tableau242[[#This Row],[Company number]],#REF!,32,FALSE),"")</f>
        <v/>
      </c>
      <c r="P437" s="62">
        <f>IFERROR(VLOOKUP(B437,Tableau3[#All],5,FALSE),"Matricule!")</f>
        <v>20</v>
      </c>
      <c r="Q437" s="62">
        <f>IFERROR(SUM(VLOOKUP(B437,Tableau3[#All],6,FALSE),VLOOKUP(B437,Tableau3[#All],8,FALSE)),"Matricule!")</f>
        <v>0</v>
      </c>
      <c r="R437" s="62">
        <f>IFERROR(VLOOKUP(B437,Tableau3[#All],7,FALSE),"Matricule!")</f>
        <v>0</v>
      </c>
      <c r="S437" s="62">
        <f>IFERROR(Tableau242[[#This Row],[Prod. days WK]]-Tableau242[[#This Row],[Prod PXX]],"Matricule")</f>
        <v>0</v>
      </c>
      <c r="T437" s="62">
        <f>IFERROR(Tableau242[[#This Row],[Non prod. days WK]]-Tableau242[[#This Row],[Improd PXX]],"Matricule")</f>
        <v>0</v>
      </c>
      <c r="U437" s="62">
        <f>IFERROR(Tableau242[[#This Row],[Paid leave days WK]]-Tableau242[[#This Row],[Congé PXX]],"Matricule")</f>
        <v>0</v>
      </c>
      <c r="V437" s="63">
        <f>IFERROR(VLOOKUP($B437,#REF!,4,FALSE),0)</f>
        <v>0</v>
      </c>
      <c r="W43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37" s="63">
        <f>IF(AND(Tableau242[[#This Row],[Paid leave days]]&gt;0,Tableau242[[#This Row],[Prod. days]]&lt;0),MIN(Tableau242[[#This Row],[Paid leave days]],-Tableau242[[#This Row],[Prod. days]]),0)</f>
        <v>0</v>
      </c>
      <c r="Z437" s="63">
        <f>IFERROR(_xlfn.XLOOKUP(Tableau242[[#This Row],[Consultant]],Tableau2[Collaborateur/Nom affiché],Tableau2[Montant imputé],0),0)</f>
        <v>0</v>
      </c>
      <c r="AA437" s="64">
        <f t="shared" si="7"/>
        <v>0</v>
      </c>
      <c r="AB437" s="65"/>
      <c r="AC437" s="66"/>
      <c r="AD437" s="66"/>
      <c r="AE437" s="39"/>
      <c r="AF437" s="90"/>
    </row>
    <row r="438" spans="1:32">
      <c r="A438" s="15">
        <f>Tableau242[[#This Row],[Company number]]+0</f>
        <v>13621</v>
      </c>
      <c r="B438" s="60" t="s">
        <v>1006</v>
      </c>
      <c r="C438" s="61" t="s">
        <v>1007</v>
      </c>
      <c r="D438" s="61" t="s">
        <v>49</v>
      </c>
      <c r="E438" s="62" t="str">
        <f>IFERROR(VLOOKUP(Tableau242[[#This Row],[Manager ou CDM concerné]],Parametres!B:C,2,FALSE),"")</f>
        <v>Squad F</v>
      </c>
      <c r="F438" s="62" t="str">
        <f>IF(Tableau242[[#This Row],[Consultant]]=Tableau242[[#This Row],[Manager ou CDM concerné]],"Non",IF(IFERROR(VLOOKUP(Tableau242[[#This Row],[Consultant]],Parametres!B:C,2,FALSE),0)=0,"Non","Oui"))</f>
        <v>Non</v>
      </c>
      <c r="G438" s="62">
        <f>IFERROR(VLOOKUP(B438,Tableau5[#All],4,FALSE),"Matricule!")</f>
        <v>18</v>
      </c>
      <c r="H438" s="62" t="str">
        <f>IFERROR(VLOOKUP(Tableau242[[#This Row],[Company number]],#REF!,6,FALSE),"")</f>
        <v/>
      </c>
      <c r="I438" s="62">
        <f>IFERROR(VLOOKUP(B438,Tableau5[#All],5,FALSE),"Matricule!")</f>
        <v>0</v>
      </c>
      <c r="J438" s="62">
        <f>IFERROR(VLOOKUP(B438,Tableau5[#All],6,FALSE),"Matricule!")</f>
        <v>2</v>
      </c>
      <c r="K438" s="62">
        <f>IFERROR(VLOOKUP(B438,Tableau5[#All],7,FALSE),"Matricule!")</f>
        <v>0</v>
      </c>
      <c r="L438" s="62" t="e">
        <f>VLOOKUP(Tableau242[[#This Row],[Company number]],#REF!,25,FALSE)</f>
        <v>#REF!</v>
      </c>
      <c r="M438" s="62" t="str">
        <f>IFERROR(VLOOKUP(Tableau242[[#This Row],[Company number]],#REF!,30,FALSE),"")</f>
        <v/>
      </c>
      <c r="N438" s="62" t="str">
        <f>IFERROR(VLOOKUP(Tableau242[[#This Row],[Company number]],#REF!,31,FALSE),"")</f>
        <v/>
      </c>
      <c r="O438" s="62" t="str">
        <f>IFERROR(VLOOKUP(Tableau242[[#This Row],[Company number]],#REF!,32,FALSE),"")</f>
        <v/>
      </c>
      <c r="P438" s="62">
        <f>IFERROR(VLOOKUP(B438,Tableau3[#All],5,FALSE),"Matricule!")</f>
        <v>18</v>
      </c>
      <c r="Q438" s="62">
        <f>IFERROR(SUM(VLOOKUP(B438,Tableau3[#All],6,FALSE),VLOOKUP(B438,Tableau3[#All],8,FALSE)),"Matricule!")</f>
        <v>0</v>
      </c>
      <c r="R438" s="62">
        <f>IFERROR(VLOOKUP(B438,Tableau3[#All],7,FALSE),"Matricule!")</f>
        <v>2</v>
      </c>
      <c r="S438" s="62">
        <f>IFERROR(Tableau242[[#This Row],[Prod. days WK]]-Tableau242[[#This Row],[Prod PXX]],"Matricule")</f>
        <v>0</v>
      </c>
      <c r="T438" s="62">
        <f>IFERROR(Tableau242[[#This Row],[Non prod. days WK]]-Tableau242[[#This Row],[Improd PXX]],"Matricule")</f>
        <v>0</v>
      </c>
      <c r="U438" s="62">
        <f>IFERROR(Tableau242[[#This Row],[Paid leave days WK]]-Tableau242[[#This Row],[Congé PXX]],"Matricule")</f>
        <v>0</v>
      </c>
      <c r="V438" s="63">
        <f>IFERROR(VLOOKUP($B438,#REF!,4,FALSE),0)</f>
        <v>0</v>
      </c>
      <c r="W43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38" s="63">
        <f>IF(AND(Tableau242[[#This Row],[Paid leave days]]&gt;0,Tableau242[[#This Row],[Prod. days]]&lt;0),MIN(Tableau242[[#This Row],[Paid leave days]],-Tableau242[[#This Row],[Prod. days]]),0)</f>
        <v>0</v>
      </c>
      <c r="Z438" s="63">
        <f>IFERROR(_xlfn.XLOOKUP(Tableau242[[#This Row],[Consultant]],Tableau2[Collaborateur/Nom affiché],Tableau2[Montant imputé],0),0)</f>
        <v>0</v>
      </c>
      <c r="AA438" s="64">
        <f t="shared" si="7"/>
        <v>0</v>
      </c>
      <c r="AB438" s="78"/>
      <c r="AC438" s="66"/>
      <c r="AD438" s="66"/>
      <c r="AE438" s="105"/>
      <c r="AF438" s="90"/>
    </row>
    <row r="439" spans="1:32">
      <c r="A439" s="15">
        <f>Tableau242[[#This Row],[Company number]]+0</f>
        <v>13681</v>
      </c>
      <c r="B439" s="60" t="s">
        <v>1008</v>
      </c>
      <c r="C439" s="61" t="s">
        <v>1009</v>
      </c>
      <c r="D439" s="61" t="s">
        <v>13</v>
      </c>
      <c r="E439" s="62" t="str">
        <f>IFERROR(VLOOKUP(Tableau242[[#This Row],[Manager ou CDM concerné]],Parametres!B:C,2,FALSE),"")</f>
        <v>Squad F</v>
      </c>
      <c r="F439" s="62" t="str">
        <f>IF(Tableau242[[#This Row],[Consultant]]=Tableau242[[#This Row],[Manager ou CDM concerné]],"Non",IF(IFERROR(VLOOKUP(Tableau242[[#This Row],[Consultant]],Parametres!B:C,2,FALSE),0)=0,"Non","Oui"))</f>
        <v>Non</v>
      </c>
      <c r="G439" s="62">
        <f>IFERROR(VLOOKUP(B439,Tableau5[#All],4,FALSE),"Matricule!")</f>
        <v>17</v>
      </c>
      <c r="H439" s="62" t="str">
        <f>IFERROR(VLOOKUP(Tableau242[[#This Row],[Company number]],#REF!,6,FALSE),"")</f>
        <v/>
      </c>
      <c r="I439" s="62">
        <f>IFERROR(VLOOKUP(B439,Tableau5[#All],5,FALSE),"Matricule!")</f>
        <v>0</v>
      </c>
      <c r="J439" s="62">
        <f>IFERROR(VLOOKUP(B439,Tableau5[#All],6,FALSE),"Matricule!")</f>
        <v>3</v>
      </c>
      <c r="K439" s="62">
        <f>IFERROR(VLOOKUP(B439,Tableau5[#All],7,FALSE),"Matricule!")</f>
        <v>0</v>
      </c>
      <c r="L439" s="62" t="e">
        <f>VLOOKUP(Tableau242[[#This Row],[Company number]],#REF!,25,FALSE)</f>
        <v>#REF!</v>
      </c>
      <c r="M439" s="62" t="str">
        <f>IFERROR(VLOOKUP(Tableau242[[#This Row],[Company number]],#REF!,30,FALSE),"")</f>
        <v/>
      </c>
      <c r="N439" s="62" t="str">
        <f>IFERROR(VLOOKUP(Tableau242[[#This Row],[Company number]],#REF!,31,FALSE),"")</f>
        <v/>
      </c>
      <c r="O439" s="62" t="str">
        <f>IFERROR(VLOOKUP(Tableau242[[#This Row],[Company number]],#REF!,32,FALSE),"")</f>
        <v/>
      </c>
      <c r="P439" s="62">
        <f>IFERROR(VLOOKUP(B439,Tableau3[#All],5,FALSE),"Matricule!")</f>
        <v>17</v>
      </c>
      <c r="Q439" s="62">
        <f>IFERROR(SUM(VLOOKUP(B439,Tableau3[#All],6,FALSE),VLOOKUP(B439,Tableau3[#All],8,FALSE)),"Matricule!")</f>
        <v>0</v>
      </c>
      <c r="R439" s="62">
        <f>IFERROR(VLOOKUP(B439,Tableau3[#All],7,FALSE),"Matricule!")</f>
        <v>3</v>
      </c>
      <c r="S439" s="62">
        <f>IFERROR(Tableau242[[#This Row],[Prod. days WK]]-Tableau242[[#This Row],[Prod PXX]],"Matricule")</f>
        <v>0</v>
      </c>
      <c r="T439" s="62">
        <f>IFERROR(Tableau242[[#This Row],[Non prod. days WK]]-Tableau242[[#This Row],[Improd PXX]],"Matricule")</f>
        <v>0</v>
      </c>
      <c r="U439" s="62">
        <f>IFERROR(Tableau242[[#This Row],[Paid leave days WK]]-Tableau242[[#This Row],[Congé PXX]],"Matricule")</f>
        <v>0</v>
      </c>
      <c r="V439" s="63">
        <f>IFERROR(VLOOKUP($B439,#REF!,4,FALSE),0)</f>
        <v>0</v>
      </c>
      <c r="W43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3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39" s="63">
        <f>IF(AND(Tableau242[[#This Row],[Paid leave days]]&gt;0,Tableau242[[#This Row],[Prod. days]]&lt;0),MIN(Tableau242[[#This Row],[Paid leave days]],-Tableau242[[#This Row],[Prod. days]]),0)</f>
        <v>0</v>
      </c>
      <c r="Z439" s="63">
        <f>IFERROR(_xlfn.XLOOKUP(Tableau242[[#This Row],[Consultant]],Tableau2[Collaborateur/Nom affiché],Tableau2[Montant imputé],0),0)</f>
        <v>0</v>
      </c>
      <c r="AA439" s="64">
        <f t="shared" si="7"/>
        <v>0</v>
      </c>
      <c r="AB439" s="65"/>
      <c r="AC439" s="66"/>
      <c r="AD439" s="66"/>
      <c r="AE439" s="105"/>
      <c r="AF439" s="90"/>
    </row>
    <row r="440" spans="1:32">
      <c r="A440" s="15">
        <f>Tableau242[[#This Row],[Company number]]+0</f>
        <v>14495</v>
      </c>
      <c r="B440" s="60" t="s">
        <v>1010</v>
      </c>
      <c r="C440" s="61" t="s">
        <v>1011</v>
      </c>
      <c r="D440" s="61" t="s">
        <v>13</v>
      </c>
      <c r="E440" s="62" t="str">
        <f>IFERROR(VLOOKUP(Tableau242[[#This Row],[Manager ou CDM concerné]],Parametres!B:C,2,FALSE),"")</f>
        <v>Squad F</v>
      </c>
      <c r="F440" s="62" t="str">
        <f>IF(Tableau242[[#This Row],[Consultant]]=Tableau242[[#This Row],[Manager ou CDM concerné]],"Non",IF(IFERROR(VLOOKUP(Tableau242[[#This Row],[Consultant]],Parametres!B:C,2,FALSE),0)=0,"Non","Oui"))</f>
        <v>Non</v>
      </c>
      <c r="G440" s="62">
        <f>IFERROR(VLOOKUP(B440,Tableau5[#All],4,FALSE),"Matricule!")</f>
        <v>0</v>
      </c>
      <c r="H440" s="62" t="str">
        <f>IFERROR(VLOOKUP(Tableau242[[#This Row],[Company number]],#REF!,6,FALSE),"")</f>
        <v/>
      </c>
      <c r="I440" s="62">
        <f>IFERROR(VLOOKUP(B440,Tableau5[#All],5,FALSE),"Matricule!")</f>
        <v>0</v>
      </c>
      <c r="J440" s="62">
        <f>IFERROR(VLOOKUP(B440,Tableau5[#All],6,FALSE),"Matricule!")</f>
        <v>0</v>
      </c>
      <c r="K440" s="62">
        <f>IFERROR(VLOOKUP(B440,Tableau5[#All],7,FALSE),"Matricule!")</f>
        <v>20</v>
      </c>
      <c r="L440" s="62" t="e">
        <f>VLOOKUP(Tableau242[[#This Row],[Company number]],#REF!,25,FALSE)</f>
        <v>#REF!</v>
      </c>
      <c r="M440" s="62" t="str">
        <f>IFERROR(VLOOKUP(Tableau242[[#This Row],[Company number]],#REF!,30,FALSE),"")</f>
        <v/>
      </c>
      <c r="N440" s="62" t="str">
        <f>IFERROR(VLOOKUP(Tableau242[[#This Row],[Company number]],#REF!,31,FALSE),"")</f>
        <v/>
      </c>
      <c r="O440" s="62" t="str">
        <f>IFERROR(VLOOKUP(Tableau242[[#This Row],[Company number]],#REF!,32,FALSE),"")</f>
        <v/>
      </c>
      <c r="P440" s="62">
        <f>IFERROR(VLOOKUP(B440,Tableau3[#All],5,FALSE),"Matricule!")</f>
        <v>0</v>
      </c>
      <c r="Q440" s="62">
        <f>IFERROR(SUM(VLOOKUP(B440,Tableau3[#All],6,FALSE),VLOOKUP(B440,Tableau3[#All],8,FALSE)),"Matricule!")</f>
        <v>0</v>
      </c>
      <c r="R440" s="62">
        <f>IFERROR(VLOOKUP(B440,Tableau3[#All],7,FALSE),"Matricule!")</f>
        <v>0</v>
      </c>
      <c r="S440" s="62">
        <f>IFERROR(Tableau242[[#This Row],[Prod. days WK]]-Tableau242[[#This Row],[Prod PXX]],"Matricule")</f>
        <v>0</v>
      </c>
      <c r="T440" s="62">
        <f>IFERROR(Tableau242[[#This Row],[Non prod. days WK]]-Tableau242[[#This Row],[Improd PXX]],"Matricule")</f>
        <v>0</v>
      </c>
      <c r="U440" s="62">
        <f>IFERROR(Tableau242[[#This Row],[Paid leave days WK]]-Tableau242[[#This Row],[Congé PXX]],"Matricule")</f>
        <v>0</v>
      </c>
      <c r="V440" s="63">
        <f>IFERROR(VLOOKUP($B440,#REF!,4,FALSE),0)</f>
        <v>0</v>
      </c>
      <c r="W44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40" s="63">
        <f>IF(AND(Tableau242[[#This Row],[Paid leave days]]&gt;0,Tableau242[[#This Row],[Prod. days]]&lt;0),MIN(Tableau242[[#This Row],[Paid leave days]],-Tableau242[[#This Row],[Prod. days]]),0)</f>
        <v>0</v>
      </c>
      <c r="Z440" s="63">
        <f>IFERROR(_xlfn.XLOOKUP(Tableau242[[#This Row],[Consultant]],Tableau2[Collaborateur/Nom affiché],Tableau2[Montant imputé],0),0)</f>
        <v>0</v>
      </c>
      <c r="AA440" s="64">
        <f t="shared" si="7"/>
        <v>0</v>
      </c>
      <c r="AB440" s="65"/>
      <c r="AC440" s="66"/>
      <c r="AD440" s="66"/>
      <c r="AE440" s="105"/>
      <c r="AF440" s="90"/>
    </row>
    <row r="441" spans="1:32">
      <c r="A441" s="15">
        <f>Tableau242[[#This Row],[Company number]]+0</f>
        <v>16292</v>
      </c>
      <c r="B441" s="60" t="s">
        <v>1012</v>
      </c>
      <c r="C441" s="61" t="s">
        <v>1013</v>
      </c>
      <c r="D441" s="61" t="s">
        <v>13</v>
      </c>
      <c r="E441" s="62" t="str">
        <f>IFERROR(VLOOKUP(Tableau242[[#This Row],[Manager ou CDM concerné]],Parametres!B:C,2,FALSE),"")</f>
        <v>Squad F</v>
      </c>
      <c r="F441" s="62" t="str">
        <f>IF(Tableau242[[#This Row],[Consultant]]=Tableau242[[#This Row],[Manager ou CDM concerné]],"Non",IF(IFERROR(VLOOKUP(Tableau242[[#This Row],[Consultant]],Parametres!B:C,2,FALSE),0)=0,"Non","Oui"))</f>
        <v>Non</v>
      </c>
      <c r="G441" s="62">
        <f>IFERROR(VLOOKUP(B441,Tableau5[#All],4,FALSE),"Matricule!")</f>
        <v>20</v>
      </c>
      <c r="H441" s="62" t="str">
        <f>IFERROR(VLOOKUP(Tableau242[[#This Row],[Company number]],#REF!,6,FALSE),"")</f>
        <v/>
      </c>
      <c r="I441" s="62">
        <f>IFERROR(VLOOKUP(B441,Tableau5[#All],5,FALSE),"Matricule!")</f>
        <v>0</v>
      </c>
      <c r="J441" s="62">
        <f>IFERROR(VLOOKUP(B441,Tableau5[#All],6,FALSE),"Matricule!")</f>
        <v>0</v>
      </c>
      <c r="K441" s="62">
        <f>IFERROR(VLOOKUP(B441,Tableau5[#All],7,FALSE),"Matricule!")</f>
        <v>0</v>
      </c>
      <c r="L441" s="62" t="e">
        <f>VLOOKUP(Tableau242[[#This Row],[Company number]],#REF!,25,FALSE)</f>
        <v>#REF!</v>
      </c>
      <c r="M441" s="62" t="str">
        <f>IFERROR(VLOOKUP(Tableau242[[#This Row],[Company number]],#REF!,30,FALSE),"")</f>
        <v/>
      </c>
      <c r="N441" s="62" t="str">
        <f>IFERROR(VLOOKUP(Tableau242[[#This Row],[Company number]],#REF!,31,FALSE),"")</f>
        <v/>
      </c>
      <c r="O441" s="62" t="str">
        <f>IFERROR(VLOOKUP(Tableau242[[#This Row],[Company number]],#REF!,32,FALSE),"")</f>
        <v/>
      </c>
      <c r="P441" s="62">
        <f>IFERROR(VLOOKUP(B441,Tableau3[#All],5,FALSE),"Matricule!")</f>
        <v>20</v>
      </c>
      <c r="Q441" s="62">
        <f>IFERROR(SUM(VLOOKUP(B441,Tableau3[#All],6,FALSE),VLOOKUP(B441,Tableau3[#All],8,FALSE)),"Matricule!")</f>
        <v>0</v>
      </c>
      <c r="R441" s="62">
        <f>IFERROR(VLOOKUP(B441,Tableau3[#All],7,FALSE),"Matricule!")</f>
        <v>0</v>
      </c>
      <c r="S441" s="62">
        <f>IFERROR(Tableau242[[#This Row],[Prod. days WK]]-Tableau242[[#This Row],[Prod PXX]],"Matricule")</f>
        <v>0</v>
      </c>
      <c r="T441" s="62">
        <f>IFERROR(Tableau242[[#This Row],[Non prod. days WK]]-Tableau242[[#This Row],[Improd PXX]],"Matricule")</f>
        <v>0</v>
      </c>
      <c r="U441" s="62">
        <f>IFERROR(Tableau242[[#This Row],[Paid leave days WK]]-Tableau242[[#This Row],[Congé PXX]],"Matricule")</f>
        <v>0</v>
      </c>
      <c r="V441" s="63">
        <f>IFERROR(VLOOKUP($B441,#REF!,4,FALSE),0)</f>
        <v>0</v>
      </c>
      <c r="W44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41" s="63">
        <f>IF(AND(Tableau242[[#This Row],[Paid leave days]]&gt;0,Tableau242[[#This Row],[Prod. days]]&lt;0),MIN(Tableau242[[#This Row],[Paid leave days]],-Tableau242[[#This Row],[Prod. days]]),0)</f>
        <v>0</v>
      </c>
      <c r="Z441" s="63">
        <f>IFERROR(_xlfn.XLOOKUP(Tableau242[[#This Row],[Consultant]],Tableau2[Collaborateur/Nom affiché],Tableau2[Montant imputé],0),0)</f>
        <v>0</v>
      </c>
      <c r="AA441" s="64">
        <f t="shared" si="7"/>
        <v>0</v>
      </c>
      <c r="AB441" s="65"/>
      <c r="AC441" s="66"/>
      <c r="AD441" s="66"/>
      <c r="AE441" s="105"/>
      <c r="AF441" s="90"/>
    </row>
    <row r="442" spans="1:32">
      <c r="A442" s="15">
        <f>Tableau242[[#This Row],[Company number]]+0</f>
        <v>15158</v>
      </c>
      <c r="B442" s="60" t="s">
        <v>1014</v>
      </c>
      <c r="C442" s="61" t="s">
        <v>1015</v>
      </c>
      <c r="D442" s="61" t="s">
        <v>13</v>
      </c>
      <c r="E442" s="62" t="str">
        <f>IFERROR(VLOOKUP(Tableau242[[#This Row],[Manager ou CDM concerné]],Parametres!B:C,2,FALSE),"")</f>
        <v>Squad F</v>
      </c>
      <c r="F442" s="62" t="str">
        <f>IF(Tableau242[[#This Row],[Consultant]]=Tableau242[[#This Row],[Manager ou CDM concerné]],"Non",IF(IFERROR(VLOOKUP(Tableau242[[#This Row],[Consultant]],Parametres!B:C,2,FALSE),0)=0,"Non","Oui"))</f>
        <v>Non</v>
      </c>
      <c r="G442" s="62">
        <f>IFERROR(VLOOKUP(B442,Tableau5[#All],4,FALSE),"Matricule!")</f>
        <v>20</v>
      </c>
      <c r="H442" s="62" t="str">
        <f>IFERROR(VLOOKUP(Tableau242[[#This Row],[Company number]],#REF!,6,FALSE),"")</f>
        <v/>
      </c>
      <c r="I442" s="62">
        <f>IFERROR(VLOOKUP(B442,Tableau5[#All],5,FALSE),"Matricule!")</f>
        <v>0</v>
      </c>
      <c r="J442" s="62">
        <f>IFERROR(VLOOKUP(B442,Tableau5[#All],6,FALSE),"Matricule!")</f>
        <v>0</v>
      </c>
      <c r="K442" s="62">
        <f>IFERROR(VLOOKUP(B442,Tableau5[#All],7,FALSE),"Matricule!")</f>
        <v>0</v>
      </c>
      <c r="L442" s="62" t="e">
        <f>VLOOKUP(Tableau242[[#This Row],[Company number]],#REF!,25,FALSE)</f>
        <v>#REF!</v>
      </c>
      <c r="M442" s="62" t="str">
        <f>IFERROR(VLOOKUP(Tableau242[[#This Row],[Company number]],#REF!,30,FALSE),"")</f>
        <v/>
      </c>
      <c r="N442" s="62" t="str">
        <f>IFERROR(VLOOKUP(Tableau242[[#This Row],[Company number]],#REF!,31,FALSE),"")</f>
        <v/>
      </c>
      <c r="O442" s="62" t="str">
        <f>IFERROR(VLOOKUP(Tableau242[[#This Row],[Company number]],#REF!,32,FALSE),"")</f>
        <v/>
      </c>
      <c r="P442" s="62">
        <f>IFERROR(VLOOKUP(B442,Tableau3[#All],5,FALSE),"Matricule!")</f>
        <v>20</v>
      </c>
      <c r="Q442" s="62">
        <f>IFERROR(SUM(VLOOKUP(B442,Tableau3[#All],6,FALSE),VLOOKUP(B442,Tableau3[#All],8,FALSE)),"Matricule!")</f>
        <v>0</v>
      </c>
      <c r="R442" s="62">
        <f>IFERROR(VLOOKUP(B442,Tableau3[#All],7,FALSE),"Matricule!")</f>
        <v>0</v>
      </c>
      <c r="S442" s="62">
        <f>IFERROR(Tableau242[[#This Row],[Prod. days WK]]-Tableau242[[#This Row],[Prod PXX]],"Matricule")</f>
        <v>0</v>
      </c>
      <c r="T442" s="62">
        <f>IFERROR(Tableau242[[#This Row],[Non prod. days WK]]-Tableau242[[#This Row],[Improd PXX]],"Matricule")</f>
        <v>0</v>
      </c>
      <c r="U442" s="62">
        <f>IFERROR(Tableau242[[#This Row],[Paid leave days WK]]-Tableau242[[#This Row],[Congé PXX]],"Matricule")</f>
        <v>0</v>
      </c>
      <c r="V442" s="63">
        <f>IFERROR(VLOOKUP($B442,#REF!,4,FALSE),0)</f>
        <v>0</v>
      </c>
      <c r="W44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42" s="63">
        <f>IF(AND(Tableau242[[#This Row],[Paid leave days]]&gt;0,Tableau242[[#This Row],[Prod. days]]&lt;0),MIN(Tableau242[[#This Row],[Paid leave days]],-Tableau242[[#This Row],[Prod. days]]),0)</f>
        <v>0</v>
      </c>
      <c r="Z442" s="63">
        <f>IFERROR(_xlfn.XLOOKUP(Tableau242[[#This Row],[Consultant]],Tableau2[Collaborateur/Nom affiché],Tableau2[Montant imputé],0),0)</f>
        <v>0</v>
      </c>
      <c r="AA442" s="64">
        <f t="shared" si="7"/>
        <v>0</v>
      </c>
      <c r="AB442" s="65"/>
      <c r="AC442" s="66"/>
      <c r="AD442" s="66"/>
      <c r="AE442" s="105"/>
      <c r="AF442" s="90"/>
    </row>
    <row r="443" spans="1:32">
      <c r="A443" s="15">
        <f>Tableau242[[#This Row],[Company number]]+0</f>
        <v>15055</v>
      </c>
      <c r="B443" s="60" t="s">
        <v>1016</v>
      </c>
      <c r="C443" s="61" t="s">
        <v>1017</v>
      </c>
      <c r="D443" s="61" t="s">
        <v>13</v>
      </c>
      <c r="E443" s="62" t="str">
        <f>IFERROR(VLOOKUP(Tableau242[[#This Row],[Manager ou CDM concerné]],Parametres!B:C,2,FALSE),"")</f>
        <v>Squad F</v>
      </c>
      <c r="F443" s="62" t="str">
        <f>IF(Tableau242[[#This Row],[Consultant]]=Tableau242[[#This Row],[Manager ou CDM concerné]],"Non",IF(IFERROR(VLOOKUP(Tableau242[[#This Row],[Consultant]],Parametres!B:C,2,FALSE),0)=0,"Non","Oui"))</f>
        <v>Non</v>
      </c>
      <c r="G443" s="62">
        <f>IFERROR(VLOOKUP(B443,Tableau5[#All],4,FALSE),"Matricule!")</f>
        <v>18</v>
      </c>
      <c r="H443" s="62" t="str">
        <f>IFERROR(VLOOKUP(Tableau242[[#This Row],[Company number]],#REF!,6,FALSE),"")</f>
        <v/>
      </c>
      <c r="I443" s="62">
        <f>IFERROR(VLOOKUP(B443,Tableau5[#All],5,FALSE),"Matricule!")</f>
        <v>2</v>
      </c>
      <c r="J443" s="62">
        <f>IFERROR(VLOOKUP(B443,Tableau5[#All],6,FALSE),"Matricule!")</f>
        <v>0</v>
      </c>
      <c r="K443" s="62">
        <f>IFERROR(VLOOKUP(B443,Tableau5[#All],7,FALSE),"Matricule!")</f>
        <v>0</v>
      </c>
      <c r="L443" s="62" t="e">
        <f>VLOOKUP(Tableau242[[#This Row],[Company number]],#REF!,25,FALSE)</f>
        <v>#REF!</v>
      </c>
      <c r="M443" s="62" t="str">
        <f>IFERROR(VLOOKUP(Tableau242[[#This Row],[Company number]],#REF!,30,FALSE),"")</f>
        <v/>
      </c>
      <c r="N443" s="62" t="str">
        <f>IFERROR(VLOOKUP(Tableau242[[#This Row],[Company number]],#REF!,31,FALSE),"")</f>
        <v/>
      </c>
      <c r="O443" s="62" t="str">
        <f>IFERROR(VLOOKUP(Tableau242[[#This Row],[Company number]],#REF!,32,FALSE),"")</f>
        <v/>
      </c>
      <c r="P443" s="62">
        <f>IFERROR(VLOOKUP(B443,Tableau3[#All],5,FALSE),"Matricule!")</f>
        <v>18</v>
      </c>
      <c r="Q443" s="62">
        <f>IFERROR(SUM(VLOOKUP(B443,Tableau3[#All],6,FALSE),VLOOKUP(B443,Tableau3[#All],8,FALSE)),"Matricule!")</f>
        <v>2</v>
      </c>
      <c r="R443" s="62">
        <f>IFERROR(VLOOKUP(B443,Tableau3[#All],7,FALSE),"Matricule!")</f>
        <v>0</v>
      </c>
      <c r="S443" s="62">
        <f>IFERROR(Tableau242[[#This Row],[Prod. days WK]]-Tableau242[[#This Row],[Prod PXX]],"Matricule")</f>
        <v>0</v>
      </c>
      <c r="T443" s="62">
        <f>IFERROR(Tableau242[[#This Row],[Non prod. days WK]]-Tableau242[[#This Row],[Improd PXX]],"Matricule")</f>
        <v>0</v>
      </c>
      <c r="U443" s="62">
        <f>IFERROR(Tableau242[[#This Row],[Paid leave days WK]]-Tableau242[[#This Row],[Congé PXX]],"Matricule")</f>
        <v>0</v>
      </c>
      <c r="V443" s="63">
        <f>IFERROR(VLOOKUP($B443,#REF!,4,FALSE),0)</f>
        <v>0</v>
      </c>
      <c r="W44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43" s="63">
        <f>IF(AND(Tableau242[[#This Row],[Paid leave days]]&gt;0,Tableau242[[#This Row],[Prod. days]]&lt;0),MIN(Tableau242[[#This Row],[Paid leave days]],-Tableau242[[#This Row],[Prod. days]]),0)</f>
        <v>0</v>
      </c>
      <c r="Z443" s="63">
        <f>IFERROR(_xlfn.XLOOKUP(Tableau242[[#This Row],[Consultant]],Tableau2[Collaborateur/Nom affiché],Tableau2[Montant imputé],0),0)</f>
        <v>0</v>
      </c>
      <c r="AA443" s="64">
        <f t="shared" si="7"/>
        <v>0</v>
      </c>
      <c r="AB443" s="65"/>
      <c r="AC443" s="66"/>
      <c r="AD443" s="66"/>
      <c r="AE443" s="105"/>
      <c r="AF443" s="90"/>
    </row>
    <row r="444" spans="1:32">
      <c r="A444" s="15">
        <f>Tableau242[[#This Row],[Company number]]+0</f>
        <v>5528</v>
      </c>
      <c r="B444" s="60" t="s">
        <v>1018</v>
      </c>
      <c r="C444" s="61" t="s">
        <v>1019</v>
      </c>
      <c r="D444" s="61" t="s">
        <v>54</v>
      </c>
      <c r="E444" s="62" t="str">
        <f>IFERROR(VLOOKUP(Tableau242[[#This Row],[Manager ou CDM concerné]],Parametres!B:C,2,FALSE),"")</f>
        <v>Squad F</v>
      </c>
      <c r="F444" s="62" t="str">
        <f>IF(Tableau242[[#This Row],[Consultant]]=Tableau242[[#This Row],[Manager ou CDM concerné]],"Non",IF(IFERROR(VLOOKUP(Tableau242[[#This Row],[Consultant]],Parametres!B:C,2,FALSE),0)=0,"Non","Oui"))</f>
        <v>Non</v>
      </c>
      <c r="G444" s="62">
        <f>IFERROR(VLOOKUP(B444,Tableau5[#All],4,FALSE),"Matricule!")</f>
        <v>7</v>
      </c>
      <c r="H444" s="62" t="str">
        <f>IFERROR(VLOOKUP(Tableau242[[#This Row],[Company number]],#REF!,6,FALSE),"")</f>
        <v/>
      </c>
      <c r="I444" s="62">
        <f>IFERROR(VLOOKUP(B444,Tableau5[#All],5,FALSE),"Matricule!")</f>
        <v>4</v>
      </c>
      <c r="J444" s="62">
        <f>IFERROR(VLOOKUP(B444,Tableau5[#All],6,FALSE),"Matricule!")</f>
        <v>1</v>
      </c>
      <c r="K444" s="62">
        <f>IFERROR(VLOOKUP(B444,Tableau5[#All],7,FALSE),"Matricule!")</f>
        <v>8</v>
      </c>
      <c r="L444" s="62" t="e">
        <f>VLOOKUP(Tableau242[[#This Row],[Company number]],#REF!,25,FALSE)</f>
        <v>#REF!</v>
      </c>
      <c r="M444" s="62" t="str">
        <f>IFERROR(VLOOKUP(Tableau242[[#This Row],[Company number]],#REF!,30,FALSE),"")</f>
        <v/>
      </c>
      <c r="N444" s="62" t="str">
        <f>IFERROR(VLOOKUP(Tableau242[[#This Row],[Company number]],#REF!,31,FALSE),"")</f>
        <v/>
      </c>
      <c r="O444" s="62" t="str">
        <f>IFERROR(VLOOKUP(Tableau242[[#This Row],[Company number]],#REF!,32,FALSE),"")</f>
        <v/>
      </c>
      <c r="P444" s="62">
        <f>IFERROR(VLOOKUP(B444,Tableau3[#All],5,FALSE),"Matricule!")</f>
        <v>7</v>
      </c>
      <c r="Q444" s="62">
        <f>IFERROR(SUM(VLOOKUP(B444,Tableau3[#All],6,FALSE),VLOOKUP(B444,Tableau3[#All],8,FALSE)),"Matricule!")</f>
        <v>4</v>
      </c>
      <c r="R444" s="62">
        <f>IFERROR(VLOOKUP(B444,Tableau3[#All],7,FALSE),"Matricule!")</f>
        <v>1</v>
      </c>
      <c r="S444" s="62">
        <f>IFERROR(Tableau242[[#This Row],[Prod. days WK]]-Tableau242[[#This Row],[Prod PXX]],"Matricule")</f>
        <v>0</v>
      </c>
      <c r="T444" s="62">
        <f>IFERROR(Tableau242[[#This Row],[Non prod. days WK]]-Tableau242[[#This Row],[Improd PXX]],"Matricule")</f>
        <v>0</v>
      </c>
      <c r="U444" s="62">
        <f>IFERROR(Tableau242[[#This Row],[Paid leave days WK]]-Tableau242[[#This Row],[Congé PXX]],"Matricule")</f>
        <v>0</v>
      </c>
      <c r="V444" s="63">
        <f>IFERROR(VLOOKUP($B444,#REF!,4,FALSE),0)</f>
        <v>0</v>
      </c>
      <c r="W44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44" s="63">
        <f>IF(AND(Tableau242[[#This Row],[Paid leave days]]&gt;0,Tableau242[[#This Row],[Prod. days]]&lt;0),MIN(Tableau242[[#This Row],[Paid leave days]],-Tableau242[[#This Row],[Prod. days]]),0)</f>
        <v>0</v>
      </c>
      <c r="Z444" s="63">
        <f>IFERROR(_xlfn.XLOOKUP(Tableau242[[#This Row],[Consultant]],Tableau2[Collaborateur/Nom affiché],Tableau2[Montant imputé],0),0)</f>
        <v>0</v>
      </c>
      <c r="AA444" s="64">
        <f t="shared" si="7"/>
        <v>0</v>
      </c>
      <c r="AB444" s="65"/>
      <c r="AC444" s="66"/>
      <c r="AD444" s="66"/>
      <c r="AE444" s="105"/>
      <c r="AF444" s="90"/>
    </row>
    <row r="445" spans="1:32">
      <c r="A445" s="15">
        <f>Tableau242[[#This Row],[Company number]]+0</f>
        <v>9731</v>
      </c>
      <c r="B445" s="60" t="s">
        <v>1020</v>
      </c>
      <c r="C445" s="61" t="s">
        <v>20</v>
      </c>
      <c r="D445" s="61" t="s">
        <v>54</v>
      </c>
      <c r="E445" s="62" t="str">
        <f>IFERROR(VLOOKUP(Tableau242[[#This Row],[Manager ou CDM concerné]],Parametres!B:C,2,FALSE),"")</f>
        <v>Squad F</v>
      </c>
      <c r="F445" s="62" t="str">
        <f>IF(Tableau242[[#This Row],[Consultant]]=Tableau242[[#This Row],[Manager ou CDM concerné]],"Non",IF(IFERROR(VLOOKUP(Tableau242[[#This Row],[Consultant]],Parametres!B:C,2,FALSE),0)=0,"Non","Oui"))</f>
        <v>Oui</v>
      </c>
      <c r="G445" s="62">
        <f>IFERROR(VLOOKUP(B445,Tableau5[#All],4,FALSE),"Matricule!")</f>
        <v>0</v>
      </c>
      <c r="H445" s="62" t="str">
        <f>IFERROR(VLOOKUP(Tableau242[[#This Row],[Company number]],#REF!,6,FALSE),"")</f>
        <v/>
      </c>
      <c r="I445" s="62">
        <f>IFERROR(VLOOKUP(B445,Tableau5[#All],5,FALSE),"Matricule!")</f>
        <v>20</v>
      </c>
      <c r="J445" s="62">
        <f>IFERROR(VLOOKUP(B445,Tableau5[#All],6,FALSE),"Matricule!")</f>
        <v>0</v>
      </c>
      <c r="K445" s="62">
        <f>IFERROR(VLOOKUP(B445,Tableau5[#All],7,FALSE),"Matricule!")</f>
        <v>0</v>
      </c>
      <c r="L445" s="62" t="e">
        <f>VLOOKUP(Tableau242[[#This Row],[Company number]],#REF!,25,FALSE)</f>
        <v>#REF!</v>
      </c>
      <c r="M445" s="62" t="str">
        <f>IFERROR(VLOOKUP(Tableau242[[#This Row],[Company number]],#REF!,30,FALSE),"")</f>
        <v/>
      </c>
      <c r="N445" s="62" t="str">
        <f>IFERROR(VLOOKUP(Tableau242[[#This Row],[Company number]],#REF!,31,FALSE),"")</f>
        <v/>
      </c>
      <c r="O445" s="62" t="str">
        <f>IFERROR(VLOOKUP(Tableau242[[#This Row],[Company number]],#REF!,32,FALSE),"")</f>
        <v/>
      </c>
      <c r="P445" s="62">
        <f>IFERROR(VLOOKUP(B445,Tableau3[#All],5,FALSE),"Matricule!")</f>
        <v>0</v>
      </c>
      <c r="Q445" s="62">
        <f>IFERROR(SUM(VLOOKUP(B445,Tableau3[#All],6,FALSE),VLOOKUP(B445,Tableau3[#All],8,FALSE)),"Matricule!")</f>
        <v>20</v>
      </c>
      <c r="R445" s="62">
        <f>IFERROR(VLOOKUP(B445,Tableau3[#All],7,FALSE),"Matricule!")</f>
        <v>0</v>
      </c>
      <c r="S445" s="62">
        <f>IFERROR(Tableau242[[#This Row],[Prod. days WK]]-Tableau242[[#This Row],[Prod PXX]],"Matricule")</f>
        <v>0</v>
      </c>
      <c r="T445" s="62">
        <f>IFERROR(Tableau242[[#This Row],[Non prod. days WK]]-Tableau242[[#This Row],[Improd PXX]],"Matricule")</f>
        <v>0</v>
      </c>
      <c r="U445" s="62">
        <f>IFERROR(Tableau242[[#This Row],[Paid leave days WK]]-Tableau242[[#This Row],[Congé PXX]],"Matricule")</f>
        <v>0</v>
      </c>
      <c r="V445" s="63">
        <f>IFERROR(VLOOKUP($B445,#REF!,4,FALSE),0)</f>
        <v>0</v>
      </c>
      <c r="W44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45" s="63">
        <f>IF(AND(Tableau242[[#This Row],[Paid leave days]]&gt;0,Tableau242[[#This Row],[Prod. days]]&lt;0),MIN(Tableau242[[#This Row],[Paid leave days]],-Tableau242[[#This Row],[Prod. days]]),0)</f>
        <v>0</v>
      </c>
      <c r="Z445" s="63">
        <f>IFERROR(_xlfn.XLOOKUP(Tableau242[[#This Row],[Consultant]],Tableau2[Collaborateur/Nom affiché],Tableau2[Montant imputé],0),0)</f>
        <v>0</v>
      </c>
      <c r="AA445" s="64">
        <f t="shared" si="7"/>
        <v>0</v>
      </c>
      <c r="AB445" s="65"/>
      <c r="AC445" s="67"/>
      <c r="AD445" s="66"/>
      <c r="AE445" s="105"/>
      <c r="AF445" s="93"/>
    </row>
    <row r="446" spans="1:32">
      <c r="A446" s="15">
        <f>Tableau242[[#This Row],[Company number]]+0</f>
        <v>22410</v>
      </c>
      <c r="B446" s="60" t="s">
        <v>1021</v>
      </c>
      <c r="C446" s="61" t="s">
        <v>1022</v>
      </c>
      <c r="D446" s="61" t="s">
        <v>24</v>
      </c>
      <c r="E446" s="62" t="str">
        <f>IFERROR(VLOOKUP(Tableau242[[#This Row],[Manager ou CDM concerné]],Parametres!B:C,2,FALSE),"")</f>
        <v>Squad E</v>
      </c>
      <c r="F446" s="62" t="str">
        <f>IF(Tableau242[[#This Row],[Consultant]]=Tableau242[[#This Row],[Manager ou CDM concerné]],"Non",IF(IFERROR(VLOOKUP(Tableau242[[#This Row],[Consultant]],Parametres!B:C,2,FALSE),0)=0,"Non","Oui"))</f>
        <v>Non</v>
      </c>
      <c r="G446" s="62">
        <f>IFERROR(VLOOKUP(B446,Tableau5[#All],4,FALSE),"Matricule!")</f>
        <v>0</v>
      </c>
      <c r="H446" s="62" t="str">
        <f>IFERROR(VLOOKUP(Tableau242[[#This Row],[Company number]],#REF!,6,FALSE),"")</f>
        <v/>
      </c>
      <c r="I446" s="62">
        <f>IFERROR(VLOOKUP(B446,Tableau5[#All],5,FALSE),"Matricule!")</f>
        <v>20</v>
      </c>
      <c r="J446" s="62">
        <f>IFERROR(VLOOKUP(B446,Tableau5[#All],6,FALSE),"Matricule!")</f>
        <v>0</v>
      </c>
      <c r="K446" s="62">
        <f>IFERROR(VLOOKUP(B446,Tableau5[#All],7,FALSE),"Matricule!")</f>
        <v>0</v>
      </c>
      <c r="L446" s="62" t="e">
        <f>VLOOKUP(Tableau242[[#This Row],[Company number]],#REF!,25,FALSE)</f>
        <v>#REF!</v>
      </c>
      <c r="M446" s="62" t="str">
        <f>IFERROR(VLOOKUP(Tableau242[[#This Row],[Company number]],#REF!,30,FALSE),"")</f>
        <v/>
      </c>
      <c r="N446" s="62" t="str">
        <f>IFERROR(VLOOKUP(Tableau242[[#This Row],[Company number]],#REF!,31,FALSE),"")</f>
        <v/>
      </c>
      <c r="O446" s="62" t="str">
        <f>IFERROR(VLOOKUP(Tableau242[[#This Row],[Company number]],#REF!,32,FALSE),"")</f>
        <v/>
      </c>
      <c r="P446" s="62">
        <f>IFERROR(VLOOKUP(B446,Tableau3[#All],5,FALSE),"Matricule!")</f>
        <v>0</v>
      </c>
      <c r="Q446" s="62">
        <f>IFERROR(SUM(VLOOKUP(B446,Tableau3[#All],6,FALSE),VLOOKUP(B446,Tableau3[#All],8,FALSE)),"Matricule!")</f>
        <v>20</v>
      </c>
      <c r="R446" s="62">
        <f>IFERROR(VLOOKUP(B446,Tableau3[#All],7,FALSE),"Matricule!")</f>
        <v>0</v>
      </c>
      <c r="S446" s="62">
        <f>IFERROR(Tableau242[[#This Row],[Prod. days WK]]-Tableau242[[#This Row],[Prod PXX]],"Matricule")</f>
        <v>0</v>
      </c>
      <c r="T446" s="62">
        <f>IFERROR(Tableau242[[#This Row],[Non prod. days WK]]-Tableau242[[#This Row],[Improd PXX]],"Matricule")</f>
        <v>0</v>
      </c>
      <c r="U446" s="62">
        <f>IFERROR(Tableau242[[#This Row],[Paid leave days WK]]-Tableau242[[#This Row],[Congé PXX]],"Matricule")</f>
        <v>0</v>
      </c>
      <c r="V446" s="63">
        <f>IFERROR(VLOOKUP($B446,#REF!,4,FALSE),0)</f>
        <v>0</v>
      </c>
      <c r="W44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46" s="63">
        <f>IF(AND(Tableau242[[#This Row],[Paid leave days]]&gt;0,Tableau242[[#This Row],[Prod. days]]&lt;0),MIN(Tableau242[[#This Row],[Paid leave days]],-Tableau242[[#This Row],[Prod. days]]),0)</f>
        <v>0</v>
      </c>
      <c r="Z446" s="63">
        <f>IFERROR(_xlfn.XLOOKUP(Tableau242[[#This Row],[Consultant]],Tableau2[Collaborateur/Nom affiché],Tableau2[Montant imputé],0),0)</f>
        <v>0</v>
      </c>
      <c r="AA446" s="64">
        <f t="shared" si="7"/>
        <v>0</v>
      </c>
      <c r="AB446" s="65"/>
      <c r="AC446" s="66"/>
      <c r="AD446" s="66"/>
      <c r="AE446" s="105"/>
      <c r="AF446" s="90"/>
    </row>
    <row r="447" spans="1:32">
      <c r="A447" s="15">
        <f>Tableau242[[#This Row],[Company number]]+0</f>
        <v>12946</v>
      </c>
      <c r="B447" s="60" t="s">
        <v>1023</v>
      </c>
      <c r="C447" s="61" t="s">
        <v>1024</v>
      </c>
      <c r="D447" s="61" t="s">
        <v>41</v>
      </c>
      <c r="E447" s="62" t="str">
        <f>IFERROR(VLOOKUP(Tableau242[[#This Row],[Manager ou CDM concerné]],Parametres!B:C,2,FALSE),"")</f>
        <v>Squad B</v>
      </c>
      <c r="F447" s="62" t="str">
        <f>IF(Tableau242[[#This Row],[Consultant]]=Tableau242[[#This Row],[Manager ou CDM concerné]],"Non",IF(IFERROR(VLOOKUP(Tableau242[[#This Row],[Consultant]],Parametres!B:C,2,FALSE),0)=0,"Non","Oui"))</f>
        <v>Non</v>
      </c>
      <c r="G447" s="62">
        <f>IFERROR(VLOOKUP(B447,Tableau5[#All],4,FALSE),"Matricule!")</f>
        <v>10</v>
      </c>
      <c r="H447" s="62" t="str">
        <f>IFERROR(VLOOKUP(Tableau242[[#This Row],[Company number]],#REF!,6,FALSE),"")</f>
        <v/>
      </c>
      <c r="I447" s="62">
        <f>IFERROR(VLOOKUP(B447,Tableau5[#All],5,FALSE),"Matricule!")</f>
        <v>1</v>
      </c>
      <c r="J447" s="62">
        <f>IFERROR(VLOOKUP(B447,Tableau5[#All],6,FALSE),"Matricule!")</f>
        <v>9</v>
      </c>
      <c r="K447" s="62">
        <f>IFERROR(VLOOKUP(B447,Tableau5[#All],7,FALSE),"Matricule!")</f>
        <v>0</v>
      </c>
      <c r="L447" s="62" t="e">
        <f>VLOOKUP(Tableau242[[#This Row],[Company number]],#REF!,25,FALSE)</f>
        <v>#REF!</v>
      </c>
      <c r="M447" s="62" t="str">
        <f>IFERROR(VLOOKUP(Tableau242[[#This Row],[Company number]],#REF!,30,FALSE),"")</f>
        <v/>
      </c>
      <c r="N447" s="62" t="str">
        <f>IFERROR(VLOOKUP(Tableau242[[#This Row],[Company number]],#REF!,31,FALSE),"")</f>
        <v/>
      </c>
      <c r="O447" s="62" t="str">
        <f>IFERROR(VLOOKUP(Tableau242[[#This Row],[Company number]],#REF!,32,FALSE),"")</f>
        <v/>
      </c>
      <c r="P447" s="62">
        <f>IFERROR(VLOOKUP(B447,Tableau3[#All],5,FALSE),"Matricule!")</f>
        <v>11</v>
      </c>
      <c r="Q447" s="62">
        <f>IFERROR(SUM(VLOOKUP(B447,Tableau3[#All],6,FALSE),VLOOKUP(B447,Tableau3[#All],8,FALSE)),"Matricule!")</f>
        <v>0</v>
      </c>
      <c r="R447" s="62">
        <f>IFERROR(VLOOKUP(B447,Tableau3[#All],7,FALSE),"Matricule!")</f>
        <v>9</v>
      </c>
      <c r="S447" s="62">
        <f>IFERROR(Tableau242[[#This Row],[Prod. days WK]]-Tableau242[[#This Row],[Prod PXX]],"Matricule")</f>
        <v>-1</v>
      </c>
      <c r="T447" s="62">
        <f>IFERROR(Tableau242[[#This Row],[Non prod. days WK]]-Tableau242[[#This Row],[Improd PXX]],"Matricule")</f>
        <v>1</v>
      </c>
      <c r="U447" s="62">
        <f>IFERROR(Tableau242[[#This Row],[Paid leave days WK]]-Tableau242[[#This Row],[Congé PXX]],"Matricule")</f>
        <v>0</v>
      </c>
      <c r="V447" s="63">
        <f>IFERROR(VLOOKUP($B447,#REF!,4,FALSE),0)</f>
        <v>0</v>
      </c>
      <c r="W44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47" s="63">
        <f>IF(AND(Tableau242[[#This Row],[Paid leave days]]&gt;0,Tableau242[[#This Row],[Prod. days]]&lt;0),MIN(Tableau242[[#This Row],[Paid leave days]],-Tableau242[[#This Row],[Prod. days]]),0)</f>
        <v>0</v>
      </c>
      <c r="Z447" s="63">
        <f>IFERROR(_xlfn.XLOOKUP(Tableau242[[#This Row],[Consultant]],Tableau2[Collaborateur/Nom affiché],Tableau2[Montant imputé],0),0)</f>
        <v>0</v>
      </c>
      <c r="AA447" s="64">
        <f t="shared" si="7"/>
        <v>-1</v>
      </c>
      <c r="AB447" s="65" t="s">
        <v>165</v>
      </c>
      <c r="AC447" s="66">
        <v>1</v>
      </c>
      <c r="AD447" s="66"/>
      <c r="AE447" s="105"/>
      <c r="AF447" s="90" t="s">
        <v>1025</v>
      </c>
    </row>
    <row r="448" spans="1:32">
      <c r="A448" s="15">
        <f>Tableau242[[#This Row],[Company number]]+0</f>
        <v>13824</v>
      </c>
      <c r="B448" s="60" t="s">
        <v>1026</v>
      </c>
      <c r="C448" s="61" t="s">
        <v>1027</v>
      </c>
      <c r="D448" s="61" t="s">
        <v>3</v>
      </c>
      <c r="E448" s="62" t="str">
        <f>IFERROR(VLOOKUP(Tableau242[[#This Row],[Manager ou CDM concerné]],Parametres!B:C,2,FALSE),"")</f>
        <v>Squad B</v>
      </c>
      <c r="F448" s="62" t="str">
        <f>IF(Tableau242[[#This Row],[Consultant]]=Tableau242[[#This Row],[Manager ou CDM concerné]],"Non",IF(IFERROR(VLOOKUP(Tableau242[[#This Row],[Consultant]],Parametres!B:C,2,FALSE),0)=0,"Non","Oui"))</f>
        <v>Non</v>
      </c>
      <c r="G448" s="62">
        <f>IFERROR(VLOOKUP(B448,Tableau5[#All],4,FALSE),"Matricule!")</f>
        <v>19.5</v>
      </c>
      <c r="H448" s="62" t="str">
        <f>IFERROR(VLOOKUP(Tableau242[[#This Row],[Company number]],#REF!,6,FALSE),"")</f>
        <v/>
      </c>
      <c r="I448" s="62">
        <f>IFERROR(VLOOKUP(B448,Tableau5[#All],5,FALSE),"Matricule!")</f>
        <v>0.5</v>
      </c>
      <c r="J448" s="62">
        <f>IFERROR(VLOOKUP(B448,Tableau5[#All],6,FALSE),"Matricule!")</f>
        <v>0</v>
      </c>
      <c r="K448" s="62">
        <f>IFERROR(VLOOKUP(B448,Tableau5[#All],7,FALSE),"Matricule!")</f>
        <v>0</v>
      </c>
      <c r="L448" s="62" t="e">
        <f>VLOOKUP(Tableau242[[#This Row],[Company number]],#REF!,25,FALSE)</f>
        <v>#REF!</v>
      </c>
      <c r="M448" s="62" t="str">
        <f>IFERROR(VLOOKUP(Tableau242[[#This Row],[Company number]],#REF!,30,FALSE),"")</f>
        <v/>
      </c>
      <c r="N448" s="62" t="str">
        <f>IFERROR(VLOOKUP(Tableau242[[#This Row],[Company number]],#REF!,31,FALSE),"")</f>
        <v/>
      </c>
      <c r="O448" s="62" t="str">
        <f>IFERROR(VLOOKUP(Tableau242[[#This Row],[Company number]],#REF!,32,FALSE),"")</f>
        <v/>
      </c>
      <c r="P448" s="62">
        <f>IFERROR(VLOOKUP(B448,Tableau3[#All],5,FALSE),"Matricule!")</f>
        <v>20</v>
      </c>
      <c r="Q448" s="62">
        <f>IFERROR(SUM(VLOOKUP(B448,Tableau3[#All],6,FALSE),VLOOKUP(B448,Tableau3[#All],8,FALSE)),"Matricule!")</f>
        <v>0</v>
      </c>
      <c r="R448" s="62">
        <f>IFERROR(VLOOKUP(B448,Tableau3[#All],7,FALSE),"Matricule!")</f>
        <v>0</v>
      </c>
      <c r="S448" s="62">
        <f>IFERROR(Tableau242[[#This Row],[Prod. days WK]]-Tableau242[[#This Row],[Prod PXX]],"Matricule")</f>
        <v>-0.5</v>
      </c>
      <c r="T448" s="62">
        <f>IFERROR(Tableau242[[#This Row],[Non prod. days WK]]-Tableau242[[#This Row],[Improd PXX]],"Matricule")</f>
        <v>0.5</v>
      </c>
      <c r="U448" s="62">
        <f>IFERROR(Tableau242[[#This Row],[Paid leave days WK]]-Tableau242[[#This Row],[Congé PXX]],"Matricule")</f>
        <v>0</v>
      </c>
      <c r="V448" s="63">
        <f>IFERROR(VLOOKUP($B448,#REF!,4,FALSE),0)</f>
        <v>0</v>
      </c>
      <c r="W44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48" s="63">
        <f>IF(AND(Tableau242[[#This Row],[Paid leave days]]&gt;0,Tableau242[[#This Row],[Prod. days]]&lt;0),MIN(Tableau242[[#This Row],[Paid leave days]],-Tableau242[[#This Row],[Prod. days]]),0)</f>
        <v>0</v>
      </c>
      <c r="Z448" s="63">
        <f>IFERROR(_xlfn.XLOOKUP(Tableau242[[#This Row],[Consultant]],Tableau2[Collaborateur/Nom affiché],Tableau2[Montant imputé],0),0)</f>
        <v>0</v>
      </c>
      <c r="AA448" s="64">
        <f t="shared" si="7"/>
        <v>-0.5</v>
      </c>
      <c r="AB448" s="65" t="s">
        <v>165</v>
      </c>
      <c r="AC448" s="67"/>
      <c r="AD448" s="67"/>
      <c r="AE448" s="39"/>
      <c r="AF448" s="90" t="s">
        <v>1028</v>
      </c>
    </row>
    <row r="449" spans="1:32">
      <c r="A449" s="15">
        <f>Tableau242[[#This Row],[Company number]]+0</f>
        <v>21730</v>
      </c>
      <c r="B449" s="60" t="s">
        <v>1029</v>
      </c>
      <c r="C449" s="61" t="s">
        <v>1030</v>
      </c>
      <c r="D449" s="61" t="s">
        <v>24</v>
      </c>
      <c r="E449" s="62" t="str">
        <f>IFERROR(VLOOKUP(Tableau242[[#This Row],[Manager ou CDM concerné]],Parametres!B:C,2,FALSE),"")</f>
        <v>Squad E</v>
      </c>
      <c r="F449" s="62" t="str">
        <f>IF(Tableau242[[#This Row],[Consultant]]=Tableau242[[#This Row],[Manager ou CDM concerné]],"Non",IF(IFERROR(VLOOKUP(Tableau242[[#This Row],[Consultant]],Parametres!B:C,2,FALSE),0)=0,"Non","Oui"))</f>
        <v>Non</v>
      </c>
      <c r="G449" s="62">
        <f>IFERROR(VLOOKUP(B449,Tableau5[#All],4,FALSE),"Matricule!")</f>
        <v>16</v>
      </c>
      <c r="H449" s="62" t="str">
        <f>IFERROR(VLOOKUP(Tableau242[[#This Row],[Company number]],#REF!,6,FALSE),"")</f>
        <v/>
      </c>
      <c r="I449" s="62">
        <f>IFERROR(VLOOKUP(B449,Tableau5[#All],5,FALSE),"Matricule!")</f>
        <v>0</v>
      </c>
      <c r="J449" s="62">
        <f>IFERROR(VLOOKUP(B449,Tableau5[#All],6,FALSE),"Matricule!")</f>
        <v>4</v>
      </c>
      <c r="K449" s="62">
        <f>IFERROR(VLOOKUP(B449,Tableau5[#All],7,FALSE),"Matricule!")</f>
        <v>0</v>
      </c>
      <c r="L449" s="62" t="e">
        <f>VLOOKUP(Tableau242[[#This Row],[Company number]],#REF!,25,FALSE)</f>
        <v>#REF!</v>
      </c>
      <c r="M449" s="62" t="str">
        <f>IFERROR(VLOOKUP(Tableau242[[#This Row],[Company number]],#REF!,30,FALSE),"")</f>
        <v/>
      </c>
      <c r="N449" s="62" t="str">
        <f>IFERROR(VLOOKUP(Tableau242[[#This Row],[Company number]],#REF!,31,FALSE),"")</f>
        <v/>
      </c>
      <c r="O449" s="62" t="str">
        <f>IFERROR(VLOOKUP(Tableau242[[#This Row],[Company number]],#REF!,32,FALSE),"")</f>
        <v/>
      </c>
      <c r="P449" s="62">
        <f>IFERROR(VLOOKUP(B449,Tableau3[#All],5,FALSE),"Matricule!")</f>
        <v>16</v>
      </c>
      <c r="Q449" s="62">
        <f>IFERROR(SUM(VLOOKUP(B449,Tableau3[#All],6,FALSE),VLOOKUP(B449,Tableau3[#All],8,FALSE)),"Matricule!")</f>
        <v>0</v>
      </c>
      <c r="R449" s="62">
        <f>IFERROR(VLOOKUP(B449,Tableau3[#All],7,FALSE),"Matricule!")</f>
        <v>4</v>
      </c>
      <c r="S449" s="62">
        <f>IFERROR(Tableau242[[#This Row],[Prod. days WK]]-Tableau242[[#This Row],[Prod PXX]],"Matricule")</f>
        <v>0</v>
      </c>
      <c r="T449" s="62">
        <f>IFERROR(Tableau242[[#This Row],[Non prod. days WK]]-Tableau242[[#This Row],[Improd PXX]],"Matricule")</f>
        <v>0</v>
      </c>
      <c r="U449" s="62">
        <f>IFERROR(Tableau242[[#This Row],[Paid leave days WK]]-Tableau242[[#This Row],[Congé PXX]],"Matricule")</f>
        <v>0</v>
      </c>
      <c r="V449" s="63">
        <f>IFERROR(VLOOKUP($B449,#REF!,4,FALSE),0)</f>
        <v>0</v>
      </c>
      <c r="W44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4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49" s="63">
        <f>IF(AND(Tableau242[[#This Row],[Paid leave days]]&gt;0,Tableau242[[#This Row],[Prod. days]]&lt;0),MIN(Tableau242[[#This Row],[Paid leave days]],-Tableau242[[#This Row],[Prod. days]]),0)</f>
        <v>0</v>
      </c>
      <c r="Z449" s="63">
        <f>IFERROR(_xlfn.XLOOKUP(Tableau242[[#This Row],[Consultant]],Tableau2[Collaborateur/Nom affiché],Tableau2[Montant imputé],0),0)</f>
        <v>0</v>
      </c>
      <c r="AA449" s="64">
        <f t="shared" si="7"/>
        <v>0</v>
      </c>
      <c r="AB449" s="70"/>
      <c r="AC449" s="66"/>
      <c r="AD449" s="66"/>
      <c r="AE449" s="105"/>
      <c r="AF449" s="90"/>
    </row>
    <row r="450" spans="1:32">
      <c r="A450" s="15">
        <f>Tableau242[[#This Row],[Company number]]+0</f>
        <v>21217</v>
      </c>
      <c r="B450" s="60" t="s">
        <v>1031</v>
      </c>
      <c r="C450" s="61" t="s">
        <v>1032</v>
      </c>
      <c r="D450" s="61" t="s">
        <v>44</v>
      </c>
      <c r="E450" s="62" t="str">
        <f>IFERROR(VLOOKUP(Tableau242[[#This Row],[Manager ou CDM concerné]],Parametres!B:C,2,FALSE),"")</f>
        <v>Squad A</v>
      </c>
      <c r="F450" s="62" t="str">
        <f>IF(Tableau242[[#This Row],[Consultant]]=Tableau242[[#This Row],[Manager ou CDM concerné]],"Non",IF(IFERROR(VLOOKUP(Tableau242[[#This Row],[Consultant]],Parametres!B:C,2,FALSE),0)=0,"Non","Oui"))</f>
        <v>Non</v>
      </c>
      <c r="G450" s="62">
        <f>IFERROR(VLOOKUP(B450,Tableau5[#All],4,FALSE),"Matricule!")</f>
        <v>20</v>
      </c>
      <c r="H450" s="62" t="str">
        <f>IFERROR(VLOOKUP(Tableau242[[#This Row],[Company number]],#REF!,6,FALSE),"")</f>
        <v/>
      </c>
      <c r="I450" s="62">
        <f>IFERROR(VLOOKUP(B450,Tableau5[#All],5,FALSE),"Matricule!")</f>
        <v>0</v>
      </c>
      <c r="J450" s="62">
        <f>IFERROR(VLOOKUP(B450,Tableau5[#All],6,FALSE),"Matricule!")</f>
        <v>0</v>
      </c>
      <c r="K450" s="62">
        <f>IFERROR(VLOOKUP(B450,Tableau5[#All],7,FALSE),"Matricule!")</f>
        <v>0</v>
      </c>
      <c r="L450" s="62" t="e">
        <f>VLOOKUP(Tableau242[[#This Row],[Company number]],#REF!,25,FALSE)</f>
        <v>#REF!</v>
      </c>
      <c r="M450" s="62" t="str">
        <f>IFERROR(VLOOKUP(Tableau242[[#This Row],[Company number]],#REF!,30,FALSE),"")</f>
        <v/>
      </c>
      <c r="N450" s="62" t="str">
        <f>IFERROR(VLOOKUP(Tableau242[[#This Row],[Company number]],#REF!,31,FALSE),"")</f>
        <v/>
      </c>
      <c r="O450" s="62" t="str">
        <f>IFERROR(VLOOKUP(Tableau242[[#This Row],[Company number]],#REF!,32,FALSE),"")</f>
        <v/>
      </c>
      <c r="P450" s="62">
        <f>IFERROR(VLOOKUP(B450,Tableau3[#All],5,FALSE),"Matricule!")</f>
        <v>20</v>
      </c>
      <c r="Q450" s="62">
        <f>IFERROR(SUM(VLOOKUP(B450,Tableau3[#All],6,FALSE),VLOOKUP(B450,Tableau3[#All],8,FALSE)),"Matricule!")</f>
        <v>0</v>
      </c>
      <c r="R450" s="62">
        <f>IFERROR(VLOOKUP(B450,Tableau3[#All],7,FALSE),"Matricule!")</f>
        <v>0</v>
      </c>
      <c r="S450" s="62">
        <f>IFERROR(Tableau242[[#This Row],[Prod. days WK]]-Tableau242[[#This Row],[Prod PXX]],"Matricule")</f>
        <v>0</v>
      </c>
      <c r="T450" s="62">
        <f>IFERROR(Tableau242[[#This Row],[Non prod. days WK]]-Tableau242[[#This Row],[Improd PXX]],"Matricule")</f>
        <v>0</v>
      </c>
      <c r="U450" s="62">
        <f>IFERROR(Tableau242[[#This Row],[Paid leave days WK]]-Tableau242[[#This Row],[Congé PXX]],"Matricule")</f>
        <v>0</v>
      </c>
      <c r="V450" s="63">
        <f>IFERROR(VLOOKUP($B450,#REF!,4,FALSE),0)</f>
        <v>0</v>
      </c>
      <c r="W45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50" s="63">
        <f>IF(AND(Tableau242[[#This Row],[Paid leave days]]&gt;0,Tableau242[[#This Row],[Prod. days]]&lt;0),MIN(Tableau242[[#This Row],[Paid leave days]],-Tableau242[[#This Row],[Prod. days]]),0)</f>
        <v>0</v>
      </c>
      <c r="Z450" s="63">
        <f>IFERROR(_xlfn.XLOOKUP(Tableau242[[#This Row],[Consultant]],Tableau2[Collaborateur/Nom affiché],Tableau2[Montant imputé],0),0)</f>
        <v>0</v>
      </c>
      <c r="AA450" s="64">
        <f t="shared" si="7"/>
        <v>0</v>
      </c>
      <c r="AB450" s="65"/>
      <c r="AC450" s="66"/>
      <c r="AD450" s="66"/>
      <c r="AE450" s="39"/>
      <c r="AF450" s="90"/>
    </row>
    <row r="451" spans="1:32">
      <c r="A451" s="15">
        <f>Tableau242[[#This Row],[Company number]]+0</f>
        <v>20990</v>
      </c>
      <c r="B451" s="60" t="s">
        <v>1033</v>
      </c>
      <c r="C451" s="61" t="s">
        <v>1034</v>
      </c>
      <c r="D451" s="61" t="s">
        <v>44</v>
      </c>
      <c r="E451" s="62" t="str">
        <f>IFERROR(VLOOKUP(Tableau242[[#This Row],[Manager ou CDM concerné]],Parametres!B:C,2,FALSE),"")</f>
        <v>Squad A</v>
      </c>
      <c r="F451" s="62" t="str">
        <f>IF(Tableau242[[#This Row],[Consultant]]=Tableau242[[#This Row],[Manager ou CDM concerné]],"Non",IF(IFERROR(VLOOKUP(Tableau242[[#This Row],[Consultant]],Parametres!B:C,2,FALSE),0)=0,"Non","Oui"))</f>
        <v>Non</v>
      </c>
      <c r="G451" s="62">
        <f>IFERROR(VLOOKUP(B451,Tableau5[#All],4,FALSE),"Matricule!")</f>
        <v>20</v>
      </c>
      <c r="H451" s="62" t="str">
        <f>IFERROR(VLOOKUP(Tableau242[[#This Row],[Company number]],#REF!,6,FALSE),"")</f>
        <v/>
      </c>
      <c r="I451" s="62">
        <f>IFERROR(VLOOKUP(B451,Tableau5[#All],5,FALSE),"Matricule!")</f>
        <v>0</v>
      </c>
      <c r="J451" s="62">
        <f>IFERROR(VLOOKUP(B451,Tableau5[#All],6,FALSE),"Matricule!")</f>
        <v>0</v>
      </c>
      <c r="K451" s="62">
        <f>IFERROR(VLOOKUP(B451,Tableau5[#All],7,FALSE),"Matricule!")</f>
        <v>0</v>
      </c>
      <c r="L451" s="62" t="e">
        <f>VLOOKUP(Tableau242[[#This Row],[Company number]],#REF!,25,FALSE)</f>
        <v>#REF!</v>
      </c>
      <c r="M451" s="62" t="str">
        <f>IFERROR(VLOOKUP(Tableau242[[#This Row],[Company number]],#REF!,30,FALSE),"")</f>
        <v/>
      </c>
      <c r="N451" s="62" t="str">
        <f>IFERROR(VLOOKUP(Tableau242[[#This Row],[Company number]],#REF!,31,FALSE),"")</f>
        <v/>
      </c>
      <c r="O451" s="62" t="str">
        <f>IFERROR(VLOOKUP(Tableau242[[#This Row],[Company number]],#REF!,32,FALSE),"")</f>
        <v/>
      </c>
      <c r="P451" s="62">
        <f>IFERROR(VLOOKUP(B451,Tableau3[#All],5,FALSE),"Matricule!")</f>
        <v>20</v>
      </c>
      <c r="Q451" s="62">
        <f>IFERROR(SUM(VLOOKUP(B451,Tableau3[#All],6,FALSE),VLOOKUP(B451,Tableau3[#All],8,FALSE)),"Matricule!")</f>
        <v>0</v>
      </c>
      <c r="R451" s="62">
        <f>IFERROR(VLOOKUP(B451,Tableau3[#All],7,FALSE),"Matricule!")</f>
        <v>0</v>
      </c>
      <c r="S451" s="62">
        <f>IFERROR(Tableau242[[#This Row],[Prod. days WK]]-Tableau242[[#This Row],[Prod PXX]],"Matricule")</f>
        <v>0</v>
      </c>
      <c r="T451" s="62">
        <f>IFERROR(Tableau242[[#This Row],[Non prod. days WK]]-Tableau242[[#This Row],[Improd PXX]],"Matricule")</f>
        <v>0</v>
      </c>
      <c r="U451" s="62">
        <f>IFERROR(Tableau242[[#This Row],[Paid leave days WK]]-Tableau242[[#This Row],[Congé PXX]],"Matricule")</f>
        <v>0</v>
      </c>
      <c r="V451" s="63">
        <f>IFERROR(VLOOKUP($B451,#REF!,4,FALSE),0)</f>
        <v>0</v>
      </c>
      <c r="W45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51" s="63">
        <f>IF(AND(Tableau242[[#This Row],[Paid leave days]]&gt;0,Tableau242[[#This Row],[Prod. days]]&lt;0),MIN(Tableau242[[#This Row],[Paid leave days]],-Tableau242[[#This Row],[Prod. days]]),0)</f>
        <v>0</v>
      </c>
      <c r="Z451" s="63">
        <f>IFERROR(_xlfn.XLOOKUP(Tableau242[[#This Row],[Consultant]],Tableau2[Collaborateur/Nom affiché],Tableau2[Montant imputé],0),0)</f>
        <v>0</v>
      </c>
      <c r="AA451" s="64">
        <f t="shared" si="7"/>
        <v>0</v>
      </c>
      <c r="AB451" s="65"/>
      <c r="AC451" s="66"/>
      <c r="AD451" s="66"/>
      <c r="AE451" s="105"/>
      <c r="AF451" s="90"/>
    </row>
    <row r="452" spans="1:32">
      <c r="A452" s="15">
        <f>Tableau242[[#This Row],[Company number]]+0</f>
        <v>21844</v>
      </c>
      <c r="B452" s="60" t="s">
        <v>1035</v>
      </c>
      <c r="C452" s="61" t="s">
        <v>1036</v>
      </c>
      <c r="D452" s="61" t="s">
        <v>44</v>
      </c>
      <c r="E452" s="62" t="str">
        <f>IFERROR(VLOOKUP(Tableau242[[#This Row],[Manager ou CDM concerné]],Parametres!B:C,2,FALSE),"")</f>
        <v>Squad A</v>
      </c>
      <c r="F452" s="62" t="str">
        <f>IF(Tableau242[[#This Row],[Consultant]]=Tableau242[[#This Row],[Manager ou CDM concerné]],"Non",IF(IFERROR(VLOOKUP(Tableau242[[#This Row],[Consultant]],Parametres!B:C,2,FALSE),0)=0,"Non","Oui"))</f>
        <v>Non</v>
      </c>
      <c r="G452" s="62">
        <f>IFERROR(VLOOKUP(B452,Tableau5[#All],4,FALSE),"Matricule!")</f>
        <v>19</v>
      </c>
      <c r="H452" s="62" t="str">
        <f>IFERROR(VLOOKUP(Tableau242[[#This Row],[Company number]],#REF!,6,FALSE),"")</f>
        <v/>
      </c>
      <c r="I452" s="62">
        <f>IFERROR(VLOOKUP(B452,Tableau5[#All],5,FALSE),"Matricule!")</f>
        <v>0</v>
      </c>
      <c r="J452" s="62">
        <f>IFERROR(VLOOKUP(B452,Tableau5[#All],6,FALSE),"Matricule!")</f>
        <v>1</v>
      </c>
      <c r="K452" s="62">
        <f>IFERROR(VLOOKUP(B452,Tableau5[#All],7,FALSE),"Matricule!")</f>
        <v>0</v>
      </c>
      <c r="L452" s="62" t="e">
        <f>VLOOKUP(Tableau242[[#This Row],[Company number]],#REF!,25,FALSE)</f>
        <v>#REF!</v>
      </c>
      <c r="M452" s="62" t="str">
        <f>IFERROR(VLOOKUP(Tableau242[[#This Row],[Company number]],#REF!,30,FALSE),"")</f>
        <v/>
      </c>
      <c r="N452" s="62" t="str">
        <f>IFERROR(VLOOKUP(Tableau242[[#This Row],[Company number]],#REF!,31,FALSE),"")</f>
        <v/>
      </c>
      <c r="O452" s="62" t="str">
        <f>IFERROR(VLOOKUP(Tableau242[[#This Row],[Company number]],#REF!,32,FALSE),"")</f>
        <v/>
      </c>
      <c r="P452" s="62">
        <f>IFERROR(VLOOKUP(B452,Tableau3[#All],5,FALSE),"Matricule!")</f>
        <v>19</v>
      </c>
      <c r="Q452" s="62">
        <f>IFERROR(SUM(VLOOKUP(B452,Tableau3[#All],6,FALSE),VLOOKUP(B452,Tableau3[#All],8,FALSE)),"Matricule!")</f>
        <v>0</v>
      </c>
      <c r="R452" s="62">
        <f>IFERROR(VLOOKUP(B452,Tableau3[#All],7,FALSE),"Matricule!")</f>
        <v>1</v>
      </c>
      <c r="S452" s="62">
        <f>IFERROR(Tableau242[[#This Row],[Prod. days WK]]-Tableau242[[#This Row],[Prod PXX]],"Matricule")</f>
        <v>0</v>
      </c>
      <c r="T452" s="62">
        <f>IFERROR(Tableau242[[#This Row],[Non prod. days WK]]-Tableau242[[#This Row],[Improd PXX]],"Matricule")</f>
        <v>0</v>
      </c>
      <c r="U452" s="62">
        <f>IFERROR(Tableau242[[#This Row],[Paid leave days WK]]-Tableau242[[#This Row],[Congé PXX]],"Matricule")</f>
        <v>0</v>
      </c>
      <c r="V452" s="63">
        <f>IFERROR(VLOOKUP($B452,#REF!,4,FALSE),0)</f>
        <v>0</v>
      </c>
      <c r="W45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52" s="63">
        <f>IF(AND(Tableau242[[#This Row],[Paid leave days]]&gt;0,Tableau242[[#This Row],[Prod. days]]&lt;0),MIN(Tableau242[[#This Row],[Paid leave days]],-Tableau242[[#This Row],[Prod. days]]),0)</f>
        <v>0</v>
      </c>
      <c r="Z452" s="63">
        <f>IFERROR(_xlfn.XLOOKUP(Tableau242[[#This Row],[Consultant]],Tableau2[Collaborateur/Nom affiché],Tableau2[Montant imputé],0),0)</f>
        <v>0</v>
      </c>
      <c r="AA452" s="64">
        <f t="shared" si="7"/>
        <v>0</v>
      </c>
      <c r="AB452" s="65"/>
      <c r="AC452" s="66"/>
      <c r="AD452" s="66"/>
      <c r="AE452" s="105"/>
      <c r="AF452" s="90"/>
    </row>
    <row r="453" spans="1:32">
      <c r="A453" s="15">
        <f>Tableau242[[#This Row],[Company number]]+0</f>
        <v>17829</v>
      </c>
      <c r="B453" s="60" t="s">
        <v>1037</v>
      </c>
      <c r="C453" s="61" t="s">
        <v>1038</v>
      </c>
      <c r="D453" s="61" t="s">
        <v>64</v>
      </c>
      <c r="E453" s="62" t="str">
        <f>IFERROR(VLOOKUP(Tableau242[[#This Row],[Manager ou CDM concerné]],Parametres!B:C,2,FALSE),"")</f>
        <v>Squad C</v>
      </c>
      <c r="F453" s="62" t="str">
        <f>IF(Tableau242[[#This Row],[Consultant]]=Tableau242[[#This Row],[Manager ou CDM concerné]],"Non",IF(IFERROR(VLOOKUP(Tableau242[[#This Row],[Consultant]],Parametres!B:C,2,FALSE),0)=0,"Non","Oui"))</f>
        <v>Non</v>
      </c>
      <c r="G453" s="62">
        <f>IFERROR(VLOOKUP(B453,Tableau5[#All],4,FALSE),"Matricule!")</f>
        <v>19.5</v>
      </c>
      <c r="H453" s="62" t="str">
        <f>IFERROR(VLOOKUP(Tableau242[[#This Row],[Company number]],#REF!,6,FALSE),"")</f>
        <v/>
      </c>
      <c r="I453" s="62">
        <f>IFERROR(VLOOKUP(B453,Tableau5[#All],5,FALSE),"Matricule!")</f>
        <v>0.5</v>
      </c>
      <c r="J453" s="62">
        <f>IFERROR(VLOOKUP(B453,Tableau5[#All],6,FALSE),"Matricule!")</f>
        <v>0</v>
      </c>
      <c r="K453" s="62">
        <f>IFERROR(VLOOKUP(B453,Tableau5[#All],7,FALSE),"Matricule!")</f>
        <v>0</v>
      </c>
      <c r="L453" s="62" t="e">
        <f>VLOOKUP(Tableau242[[#This Row],[Company number]],#REF!,25,FALSE)</f>
        <v>#REF!</v>
      </c>
      <c r="M453" s="62" t="str">
        <f>IFERROR(VLOOKUP(Tableau242[[#This Row],[Company number]],#REF!,30,FALSE),"")</f>
        <v/>
      </c>
      <c r="N453" s="62" t="str">
        <f>IFERROR(VLOOKUP(Tableau242[[#This Row],[Company number]],#REF!,31,FALSE),"")</f>
        <v/>
      </c>
      <c r="O453" s="62" t="str">
        <f>IFERROR(VLOOKUP(Tableau242[[#This Row],[Company number]],#REF!,32,FALSE),"")</f>
        <v/>
      </c>
      <c r="P453" s="62">
        <f>IFERROR(VLOOKUP(B453,Tableau3[#All],5,FALSE),"Matricule!")</f>
        <v>20</v>
      </c>
      <c r="Q453" s="62">
        <f>IFERROR(SUM(VLOOKUP(B453,Tableau3[#All],6,FALSE),VLOOKUP(B453,Tableau3[#All],8,FALSE)),"Matricule!")</f>
        <v>0</v>
      </c>
      <c r="R453" s="62">
        <f>IFERROR(VLOOKUP(B453,Tableau3[#All],7,FALSE),"Matricule!")</f>
        <v>0</v>
      </c>
      <c r="S453" s="62">
        <f>IFERROR(Tableau242[[#This Row],[Prod. days WK]]-Tableau242[[#This Row],[Prod PXX]],"Matricule")</f>
        <v>-0.5</v>
      </c>
      <c r="T453" s="62">
        <f>IFERROR(Tableau242[[#This Row],[Non prod. days WK]]-Tableau242[[#This Row],[Improd PXX]],"Matricule")</f>
        <v>0.5</v>
      </c>
      <c r="U453" s="62">
        <f>IFERROR(Tableau242[[#This Row],[Paid leave days WK]]-Tableau242[[#This Row],[Congé PXX]],"Matricule")</f>
        <v>0</v>
      </c>
      <c r="V453" s="63">
        <f>IFERROR(VLOOKUP($B453,#REF!,4,FALSE),0)</f>
        <v>0</v>
      </c>
      <c r="W45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53" s="63">
        <f>IF(AND(Tableau242[[#This Row],[Paid leave days]]&gt;0,Tableau242[[#This Row],[Prod. days]]&lt;0),MIN(Tableau242[[#This Row],[Paid leave days]],-Tableau242[[#This Row],[Prod. days]]),0)</f>
        <v>0</v>
      </c>
      <c r="Z453" s="63">
        <f>IFERROR(_xlfn.XLOOKUP(Tableau242[[#This Row],[Consultant]],Tableau2[Collaborateur/Nom affiché],Tableau2[Montant imputé],0),0)</f>
        <v>0</v>
      </c>
      <c r="AA453" s="64">
        <f t="shared" si="7"/>
        <v>-0.5</v>
      </c>
      <c r="AB453" s="65" t="s">
        <v>147</v>
      </c>
      <c r="AC453" s="66"/>
      <c r="AD453" s="66"/>
      <c r="AE453" s="105"/>
      <c r="AF453" s="90"/>
    </row>
    <row r="454" spans="1:32">
      <c r="A454" s="15">
        <f>Tableau242[[#This Row],[Company number]]+0</f>
        <v>14993</v>
      </c>
      <c r="B454" s="60" t="s">
        <v>1039</v>
      </c>
      <c r="C454" s="61" t="s">
        <v>1040</v>
      </c>
      <c r="D454" s="61" t="s">
        <v>44</v>
      </c>
      <c r="E454" s="62" t="str">
        <f>IFERROR(VLOOKUP(Tableau242[[#This Row],[Manager ou CDM concerné]],Parametres!B:C,2,FALSE),"")</f>
        <v>Squad A</v>
      </c>
      <c r="F454" s="62" t="str">
        <f>IF(Tableau242[[#This Row],[Consultant]]=Tableau242[[#This Row],[Manager ou CDM concerné]],"Non",IF(IFERROR(VLOOKUP(Tableau242[[#This Row],[Consultant]],Parametres!B:C,2,FALSE),0)=0,"Non","Oui"))</f>
        <v>Non</v>
      </c>
      <c r="G454" s="62">
        <f>IFERROR(VLOOKUP(B454,Tableau5[#All],4,FALSE),"Matricule!")</f>
        <v>16</v>
      </c>
      <c r="H454" s="62" t="str">
        <f>IFERROR(VLOOKUP(Tableau242[[#This Row],[Company number]],#REF!,6,FALSE),"")</f>
        <v/>
      </c>
      <c r="I454" s="62">
        <f>IFERROR(VLOOKUP(B454,Tableau5[#All],5,FALSE),"Matricule!")</f>
        <v>0</v>
      </c>
      <c r="J454" s="62">
        <f>IFERROR(VLOOKUP(B454,Tableau5[#All],6,FALSE),"Matricule!")</f>
        <v>4</v>
      </c>
      <c r="K454" s="62">
        <f>IFERROR(VLOOKUP(B454,Tableau5[#All],7,FALSE),"Matricule!")</f>
        <v>0</v>
      </c>
      <c r="L454" s="62" t="e">
        <f>VLOOKUP(Tableau242[[#This Row],[Company number]],#REF!,25,FALSE)</f>
        <v>#REF!</v>
      </c>
      <c r="M454" s="62" t="str">
        <f>IFERROR(VLOOKUP(Tableau242[[#This Row],[Company number]],#REF!,30,FALSE),"")</f>
        <v/>
      </c>
      <c r="N454" s="62" t="str">
        <f>IFERROR(VLOOKUP(Tableau242[[#This Row],[Company number]],#REF!,31,FALSE),"")</f>
        <v/>
      </c>
      <c r="O454" s="62" t="str">
        <f>IFERROR(VLOOKUP(Tableau242[[#This Row],[Company number]],#REF!,32,FALSE),"")</f>
        <v/>
      </c>
      <c r="P454" s="62">
        <f>IFERROR(VLOOKUP(B454,Tableau3[#All],5,FALSE),"Matricule!")</f>
        <v>16</v>
      </c>
      <c r="Q454" s="62">
        <f>IFERROR(SUM(VLOOKUP(B454,Tableau3[#All],6,FALSE),VLOOKUP(B454,Tableau3[#All],8,FALSE)),"Matricule!")</f>
        <v>0</v>
      </c>
      <c r="R454" s="62">
        <f>IFERROR(VLOOKUP(B454,Tableau3[#All],7,FALSE),"Matricule!")</f>
        <v>4</v>
      </c>
      <c r="S454" s="62">
        <f>IFERROR(Tableau242[[#This Row],[Prod. days WK]]-Tableau242[[#This Row],[Prod PXX]],"Matricule")</f>
        <v>0</v>
      </c>
      <c r="T454" s="62">
        <f>IFERROR(Tableau242[[#This Row],[Non prod. days WK]]-Tableau242[[#This Row],[Improd PXX]],"Matricule")</f>
        <v>0</v>
      </c>
      <c r="U454" s="62">
        <f>IFERROR(Tableau242[[#This Row],[Paid leave days WK]]-Tableau242[[#This Row],[Congé PXX]],"Matricule")</f>
        <v>0</v>
      </c>
      <c r="V454" s="63">
        <f>IFERROR(VLOOKUP($B454,#REF!,4,FALSE),0)</f>
        <v>0</v>
      </c>
      <c r="W45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54" s="63">
        <f>IF(AND(Tableau242[[#This Row],[Paid leave days]]&gt;0,Tableau242[[#This Row],[Prod. days]]&lt;0),MIN(Tableau242[[#This Row],[Paid leave days]],-Tableau242[[#This Row],[Prod. days]]),0)</f>
        <v>0</v>
      </c>
      <c r="Z454" s="63">
        <f>IFERROR(_xlfn.XLOOKUP(Tableau242[[#This Row],[Consultant]],Tableau2[Collaborateur/Nom affiché],Tableau2[Montant imputé],0),0)</f>
        <v>0</v>
      </c>
      <c r="AA454" s="64">
        <f t="shared" si="7"/>
        <v>0</v>
      </c>
      <c r="AB454" s="65"/>
      <c r="AC454" s="66"/>
      <c r="AD454" s="66"/>
      <c r="AE454" s="105"/>
      <c r="AF454" s="90"/>
    </row>
    <row r="455" spans="1:32" ht="29.1">
      <c r="A455" s="15">
        <f>Tableau242[[#This Row],[Company number]]+0</f>
        <v>21759</v>
      </c>
      <c r="B455" s="60" t="s">
        <v>1041</v>
      </c>
      <c r="C455" s="61" t="s">
        <v>1042</v>
      </c>
      <c r="D455" s="61" t="s">
        <v>44</v>
      </c>
      <c r="E455" s="62" t="str">
        <f>IFERROR(VLOOKUP(Tableau242[[#This Row],[Manager ou CDM concerné]],Parametres!B:C,2,FALSE),"")</f>
        <v>Squad A</v>
      </c>
      <c r="F455" s="62" t="str">
        <f>IF(Tableau242[[#This Row],[Consultant]]=Tableau242[[#This Row],[Manager ou CDM concerné]],"Non",IF(IFERROR(VLOOKUP(Tableau242[[#This Row],[Consultant]],Parametres!B:C,2,FALSE),0)=0,"Non","Oui"))</f>
        <v>Non</v>
      </c>
      <c r="G455" s="62">
        <f>IFERROR(VLOOKUP(B455,Tableau5[#All],4,FALSE),"Matricule!")</f>
        <v>0</v>
      </c>
      <c r="H455" s="62" t="str">
        <f>IFERROR(VLOOKUP(Tableau242[[#This Row],[Company number]],#REF!,6,FALSE),"")</f>
        <v/>
      </c>
      <c r="I455" s="62">
        <f>IFERROR(VLOOKUP(B455,Tableau5[#All],5,FALSE),"Matricule!")</f>
        <v>20</v>
      </c>
      <c r="J455" s="62">
        <f>IFERROR(VLOOKUP(B455,Tableau5[#All],6,FALSE),"Matricule!")</f>
        <v>0</v>
      </c>
      <c r="K455" s="62">
        <f>IFERROR(VLOOKUP(B455,Tableau5[#All],7,FALSE),"Matricule!")</f>
        <v>0</v>
      </c>
      <c r="L455" s="62" t="e">
        <f>VLOOKUP(Tableau242[[#This Row],[Company number]],#REF!,25,FALSE)</f>
        <v>#REF!</v>
      </c>
      <c r="M455" s="62" t="str">
        <f>IFERROR(VLOOKUP(Tableau242[[#This Row],[Company number]],#REF!,30,FALSE),"")</f>
        <v/>
      </c>
      <c r="N455" s="62" t="str">
        <f>IFERROR(VLOOKUP(Tableau242[[#This Row],[Company number]],#REF!,31,FALSE),"")</f>
        <v/>
      </c>
      <c r="O455" s="62" t="str">
        <f>IFERROR(VLOOKUP(Tableau242[[#This Row],[Company number]],#REF!,32,FALSE),"")</f>
        <v/>
      </c>
      <c r="P455" s="62">
        <f>IFERROR(VLOOKUP(B455,Tableau3[#All],5,FALSE),"Matricule!")</f>
        <v>0</v>
      </c>
      <c r="Q455" s="62">
        <f>IFERROR(SUM(VLOOKUP(B455,Tableau3[#All],6,FALSE),VLOOKUP(B455,Tableau3[#All],8,FALSE)),"Matricule!")</f>
        <v>20</v>
      </c>
      <c r="R455" s="62">
        <f>IFERROR(VLOOKUP(B455,Tableau3[#All],7,FALSE),"Matricule!")</f>
        <v>0</v>
      </c>
      <c r="S455" s="62">
        <f>IFERROR(Tableau242[[#This Row],[Prod. days WK]]-Tableau242[[#This Row],[Prod PXX]],"Matricule")</f>
        <v>0</v>
      </c>
      <c r="T455" s="62">
        <f>IFERROR(Tableau242[[#This Row],[Non prod. days WK]]-Tableau242[[#This Row],[Improd PXX]],"Matricule")</f>
        <v>0</v>
      </c>
      <c r="U455" s="62">
        <f>IFERROR(Tableau242[[#This Row],[Paid leave days WK]]-Tableau242[[#This Row],[Congé PXX]],"Matricule")</f>
        <v>0</v>
      </c>
      <c r="V455" s="63">
        <f>IFERROR(VLOOKUP($B455,#REF!,4,FALSE),0)</f>
        <v>0</v>
      </c>
      <c r="W45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55" s="63">
        <f>IF(AND(Tableau242[[#This Row],[Paid leave days]]&gt;0,Tableau242[[#This Row],[Prod. days]]&lt;0),MIN(Tableau242[[#This Row],[Paid leave days]],-Tableau242[[#This Row],[Prod. days]]),0)</f>
        <v>0</v>
      </c>
      <c r="Z455" s="63">
        <f>IFERROR(_xlfn.XLOOKUP(Tableau242[[#This Row],[Consultant]],Tableau2[Collaborateur/Nom affiché],Tableau2[Montant imputé],0),0)</f>
        <v>0</v>
      </c>
      <c r="AA455" s="64">
        <f t="shared" si="7"/>
        <v>0</v>
      </c>
      <c r="AB455" s="65"/>
      <c r="AC455" s="66"/>
      <c r="AD455" s="66"/>
      <c r="AE455" s="105"/>
      <c r="AF455" s="90"/>
    </row>
    <row r="456" spans="1:32">
      <c r="A456" s="15">
        <f>Tableau242[[#This Row],[Company number]]+0</f>
        <v>21027</v>
      </c>
      <c r="B456" s="60" t="s">
        <v>1043</v>
      </c>
      <c r="C456" s="61" t="s">
        <v>1044</v>
      </c>
      <c r="D456" s="61" t="s">
        <v>61</v>
      </c>
      <c r="E456" s="62" t="str">
        <f>IFERROR(VLOOKUP(Tableau242[[#This Row],[Manager ou CDM concerné]],Parametres!B:C,2,FALSE),"")</f>
        <v>Squad D</v>
      </c>
      <c r="F456" s="62" t="str">
        <f>IF(Tableau242[[#This Row],[Consultant]]=Tableau242[[#This Row],[Manager ou CDM concerné]],"Non",IF(IFERROR(VLOOKUP(Tableau242[[#This Row],[Consultant]],Parametres!B:C,2,FALSE),0)=0,"Non","Oui"))</f>
        <v>Non</v>
      </c>
      <c r="G456" s="62">
        <f>IFERROR(VLOOKUP(B456,Tableau5[#All],4,FALSE),"Matricule!")</f>
        <v>19.5</v>
      </c>
      <c r="H456" s="62" t="str">
        <f>IFERROR(VLOOKUP(Tableau242[[#This Row],[Company number]],#REF!,6,FALSE),"")</f>
        <v/>
      </c>
      <c r="I456" s="62">
        <f>IFERROR(VLOOKUP(B456,Tableau5[#All],5,FALSE),"Matricule!")</f>
        <v>0.5</v>
      </c>
      <c r="J456" s="62">
        <f>IFERROR(VLOOKUP(B456,Tableau5[#All],6,FALSE),"Matricule!")</f>
        <v>0</v>
      </c>
      <c r="K456" s="62">
        <f>IFERROR(VLOOKUP(B456,Tableau5[#All],7,FALSE),"Matricule!")</f>
        <v>0</v>
      </c>
      <c r="L456" s="62" t="e">
        <f>VLOOKUP(Tableau242[[#This Row],[Company number]],#REF!,25,FALSE)</f>
        <v>#REF!</v>
      </c>
      <c r="M456" s="62" t="str">
        <f>IFERROR(VLOOKUP(Tableau242[[#This Row],[Company number]],#REF!,30,FALSE),"")</f>
        <v/>
      </c>
      <c r="N456" s="62" t="str">
        <f>IFERROR(VLOOKUP(Tableau242[[#This Row],[Company number]],#REF!,31,FALSE),"")</f>
        <v/>
      </c>
      <c r="O456" s="62" t="str">
        <f>IFERROR(VLOOKUP(Tableau242[[#This Row],[Company number]],#REF!,32,FALSE),"")</f>
        <v/>
      </c>
      <c r="P456" s="62">
        <f>IFERROR(VLOOKUP(B456,Tableau3[#All],5,FALSE),"Matricule!")</f>
        <v>20</v>
      </c>
      <c r="Q456" s="62">
        <f>IFERROR(SUM(VLOOKUP(B456,Tableau3[#All],6,FALSE),VLOOKUP(B456,Tableau3[#All],8,FALSE)),"Matricule!")</f>
        <v>0</v>
      </c>
      <c r="R456" s="62">
        <f>IFERROR(VLOOKUP(B456,Tableau3[#All],7,FALSE),"Matricule!")</f>
        <v>0</v>
      </c>
      <c r="S456" s="62">
        <f>IFERROR(Tableau242[[#This Row],[Prod. days WK]]-Tableau242[[#This Row],[Prod PXX]],"Matricule")</f>
        <v>-0.5</v>
      </c>
      <c r="T456" s="62">
        <f>IFERROR(Tableau242[[#This Row],[Non prod. days WK]]-Tableau242[[#This Row],[Improd PXX]],"Matricule")</f>
        <v>0.5</v>
      </c>
      <c r="U456" s="62">
        <f>IFERROR(Tableau242[[#This Row],[Paid leave days WK]]-Tableau242[[#This Row],[Congé PXX]],"Matricule")</f>
        <v>0</v>
      </c>
      <c r="V456" s="63">
        <f>IFERROR(VLOOKUP($B456,#REF!,4,FALSE),0)</f>
        <v>0</v>
      </c>
      <c r="W45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56" s="63">
        <f>IF(AND(Tableau242[[#This Row],[Paid leave days]]&gt;0,Tableau242[[#This Row],[Prod. days]]&lt;0),MIN(Tableau242[[#This Row],[Paid leave days]],-Tableau242[[#This Row],[Prod. days]]),0)</f>
        <v>0</v>
      </c>
      <c r="Z456" s="63">
        <f>IFERROR(_xlfn.XLOOKUP(Tableau242[[#This Row],[Consultant]],Tableau2[Collaborateur/Nom affiché],Tableau2[Montant imputé],0),0)</f>
        <v>0</v>
      </c>
      <c r="AA456" s="64">
        <f t="shared" si="7"/>
        <v>-0.5</v>
      </c>
      <c r="AB456" s="65" t="s">
        <v>154</v>
      </c>
      <c r="AC456" s="66"/>
      <c r="AD456" s="66"/>
      <c r="AE456" s="105"/>
      <c r="AF456" s="90"/>
    </row>
    <row r="457" spans="1:32">
      <c r="A457" s="15">
        <f>Tableau242[[#This Row],[Company number]]+0</f>
        <v>17957</v>
      </c>
      <c r="B457" s="60" t="s">
        <v>1045</v>
      </c>
      <c r="C457" s="61" t="s">
        <v>1046</v>
      </c>
      <c r="D457" s="61" t="s">
        <v>44</v>
      </c>
      <c r="E457" s="62" t="str">
        <f>IFERROR(VLOOKUP(Tableau242[[#This Row],[Manager ou CDM concerné]],Parametres!B:C,2,FALSE),"")</f>
        <v>Squad A</v>
      </c>
      <c r="F457" s="62" t="str">
        <f>IF(Tableau242[[#This Row],[Consultant]]=Tableau242[[#This Row],[Manager ou CDM concerné]],"Non",IF(IFERROR(VLOOKUP(Tableau242[[#This Row],[Consultant]],Parametres!B:C,2,FALSE),0)=0,"Non","Oui"))</f>
        <v>Non</v>
      </c>
      <c r="G457" s="62">
        <f>IFERROR(VLOOKUP(B457,Tableau5[#All],4,FALSE),"Matricule!")</f>
        <v>19.5</v>
      </c>
      <c r="H457" s="62" t="str">
        <f>IFERROR(VLOOKUP(Tableau242[[#This Row],[Company number]],#REF!,6,FALSE),"")</f>
        <v/>
      </c>
      <c r="I457" s="62">
        <f>IFERROR(VLOOKUP(B457,Tableau5[#All],5,FALSE),"Matricule!")</f>
        <v>0</v>
      </c>
      <c r="J457" s="62">
        <f>IFERROR(VLOOKUP(B457,Tableau5[#All],6,FALSE),"Matricule!")</f>
        <v>0.5</v>
      </c>
      <c r="K457" s="62">
        <f>IFERROR(VLOOKUP(B457,Tableau5[#All],7,FALSE),"Matricule!")</f>
        <v>0</v>
      </c>
      <c r="L457" s="62" t="e">
        <f>VLOOKUP(Tableau242[[#This Row],[Company number]],#REF!,25,FALSE)</f>
        <v>#REF!</v>
      </c>
      <c r="M457" s="62" t="str">
        <f>IFERROR(VLOOKUP(Tableau242[[#This Row],[Company number]],#REF!,30,FALSE),"")</f>
        <v/>
      </c>
      <c r="N457" s="62" t="str">
        <f>IFERROR(VLOOKUP(Tableau242[[#This Row],[Company number]],#REF!,31,FALSE),"")</f>
        <v/>
      </c>
      <c r="O457" s="62" t="str">
        <f>IFERROR(VLOOKUP(Tableau242[[#This Row],[Company number]],#REF!,32,FALSE),"")</f>
        <v/>
      </c>
      <c r="P457" s="62">
        <f>IFERROR(VLOOKUP(B457,Tableau3[#All],5,FALSE),"Matricule!")</f>
        <v>20</v>
      </c>
      <c r="Q457" s="62">
        <f>IFERROR(SUM(VLOOKUP(B457,Tableau3[#All],6,FALSE),VLOOKUP(B457,Tableau3[#All],8,FALSE)),"Matricule!")</f>
        <v>0</v>
      </c>
      <c r="R457" s="62">
        <f>IFERROR(VLOOKUP(B457,Tableau3[#All],7,FALSE),"Matricule!")</f>
        <v>0</v>
      </c>
      <c r="S457" s="62">
        <f>IFERROR(Tableau242[[#This Row],[Prod. days WK]]-Tableau242[[#This Row],[Prod PXX]],"Matricule")</f>
        <v>-0.5</v>
      </c>
      <c r="T457" s="62">
        <f>IFERROR(Tableau242[[#This Row],[Non prod. days WK]]-Tableau242[[#This Row],[Improd PXX]],"Matricule")</f>
        <v>0</v>
      </c>
      <c r="U457" s="62">
        <f>IFERROR(Tableau242[[#This Row],[Paid leave days WK]]-Tableau242[[#This Row],[Congé PXX]],"Matricule")</f>
        <v>0.5</v>
      </c>
      <c r="V457" s="63">
        <f>IFERROR(VLOOKUP($B457,#REF!,4,FALSE),0)</f>
        <v>0</v>
      </c>
      <c r="W45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57" s="63">
        <f>IF(AND(Tableau242[[#This Row],[Paid leave days]]&gt;0,Tableau242[[#This Row],[Prod. days]]&lt;0),MIN(Tableau242[[#This Row],[Paid leave days]],-Tableau242[[#This Row],[Prod. days]]),0)</f>
        <v>0.5</v>
      </c>
      <c r="Z457" s="63">
        <f>IFERROR(_xlfn.XLOOKUP(Tableau242[[#This Row],[Consultant]],Tableau2[Collaborateur/Nom affiché],Tableau2[Montant imputé],0),0)</f>
        <v>0</v>
      </c>
      <c r="AA457" s="64">
        <f t="shared" si="7"/>
        <v>-0.5</v>
      </c>
      <c r="AB457" s="65"/>
      <c r="AC457" s="66"/>
      <c r="AD457" s="66"/>
      <c r="AE457" s="105"/>
      <c r="AF457" s="90"/>
    </row>
    <row r="458" spans="1:32">
      <c r="A458" s="15">
        <f>Tableau242[[#This Row],[Company number]]+0</f>
        <v>21604</v>
      </c>
      <c r="B458" s="60" t="s">
        <v>1047</v>
      </c>
      <c r="C458" s="61" t="s">
        <v>1048</v>
      </c>
      <c r="D458" s="61" t="s">
        <v>44</v>
      </c>
      <c r="E458" s="62" t="str">
        <f>IFERROR(VLOOKUP(Tableau242[[#This Row],[Manager ou CDM concerné]],Parametres!B:C,2,FALSE),"")</f>
        <v>Squad A</v>
      </c>
      <c r="F458" s="62" t="str">
        <f>IF(Tableau242[[#This Row],[Consultant]]=Tableau242[[#This Row],[Manager ou CDM concerné]],"Non",IF(IFERROR(VLOOKUP(Tableau242[[#This Row],[Consultant]],Parametres!B:C,2,FALSE),0)=0,"Non","Oui"))</f>
        <v>Non</v>
      </c>
      <c r="G458" s="62">
        <f>IFERROR(VLOOKUP(B458,Tableau5[#All],4,FALSE),"Matricule!")</f>
        <v>20</v>
      </c>
      <c r="H458" s="62" t="str">
        <f>IFERROR(VLOOKUP(Tableau242[[#This Row],[Company number]],#REF!,6,FALSE),"")</f>
        <v/>
      </c>
      <c r="I458" s="62">
        <f>IFERROR(VLOOKUP(B458,Tableau5[#All],5,FALSE),"Matricule!")</f>
        <v>0</v>
      </c>
      <c r="J458" s="62">
        <f>IFERROR(VLOOKUP(B458,Tableau5[#All],6,FALSE),"Matricule!")</f>
        <v>0</v>
      </c>
      <c r="K458" s="62">
        <f>IFERROR(VLOOKUP(B458,Tableau5[#All],7,FALSE),"Matricule!")</f>
        <v>0</v>
      </c>
      <c r="L458" s="62" t="e">
        <f>VLOOKUP(Tableau242[[#This Row],[Company number]],#REF!,25,FALSE)</f>
        <v>#REF!</v>
      </c>
      <c r="M458" s="62" t="str">
        <f>IFERROR(VLOOKUP(Tableau242[[#This Row],[Company number]],#REF!,30,FALSE),"")</f>
        <v/>
      </c>
      <c r="N458" s="62" t="str">
        <f>IFERROR(VLOOKUP(Tableau242[[#This Row],[Company number]],#REF!,31,FALSE),"")</f>
        <v/>
      </c>
      <c r="O458" s="62" t="str">
        <f>IFERROR(VLOOKUP(Tableau242[[#This Row],[Company number]],#REF!,32,FALSE),"")</f>
        <v/>
      </c>
      <c r="P458" s="62">
        <f>IFERROR(VLOOKUP(B458,Tableau3[#All],5,FALSE),"Matricule!")</f>
        <v>20</v>
      </c>
      <c r="Q458" s="62">
        <f>IFERROR(SUM(VLOOKUP(B458,Tableau3[#All],6,FALSE),VLOOKUP(B458,Tableau3[#All],8,FALSE)),"Matricule!")</f>
        <v>0</v>
      </c>
      <c r="R458" s="62">
        <f>IFERROR(VLOOKUP(B458,Tableau3[#All],7,FALSE),"Matricule!")</f>
        <v>0</v>
      </c>
      <c r="S458" s="62">
        <f>IFERROR(Tableau242[[#This Row],[Prod. days WK]]-Tableau242[[#This Row],[Prod PXX]],"Matricule")</f>
        <v>0</v>
      </c>
      <c r="T458" s="62">
        <f>IFERROR(Tableau242[[#This Row],[Non prod. days WK]]-Tableau242[[#This Row],[Improd PXX]],"Matricule")</f>
        <v>0</v>
      </c>
      <c r="U458" s="62">
        <f>IFERROR(Tableau242[[#This Row],[Paid leave days WK]]-Tableau242[[#This Row],[Congé PXX]],"Matricule")</f>
        <v>0</v>
      </c>
      <c r="V458" s="63">
        <f>IFERROR(VLOOKUP($B458,#REF!,4,FALSE),0)</f>
        <v>0</v>
      </c>
      <c r="W45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58" s="63">
        <f>IF(AND(Tableau242[[#This Row],[Paid leave days]]&gt;0,Tableau242[[#This Row],[Prod. days]]&lt;0),MIN(Tableau242[[#This Row],[Paid leave days]],-Tableau242[[#This Row],[Prod. days]]),0)</f>
        <v>0</v>
      </c>
      <c r="Z458" s="63">
        <f>IFERROR(_xlfn.XLOOKUP(Tableau242[[#This Row],[Consultant]],Tableau2[Collaborateur/Nom affiché],Tableau2[Montant imputé],0),0)</f>
        <v>0</v>
      </c>
      <c r="AA458" s="64">
        <f t="shared" si="7"/>
        <v>0</v>
      </c>
      <c r="AB458" s="70"/>
      <c r="AC458" s="71"/>
      <c r="AD458" s="66"/>
      <c r="AE458" s="114"/>
      <c r="AF458" s="104"/>
    </row>
    <row r="459" spans="1:32">
      <c r="A459" s="15">
        <f>Tableau242[[#This Row],[Company number]]+0</f>
        <v>20609</v>
      </c>
      <c r="B459" s="60" t="s">
        <v>1049</v>
      </c>
      <c r="C459" s="61" t="s">
        <v>1050</v>
      </c>
      <c r="D459" s="61" t="s">
        <v>44</v>
      </c>
      <c r="E459" s="62" t="str">
        <f>IFERROR(VLOOKUP(Tableau242[[#This Row],[Manager ou CDM concerné]],Parametres!B:C,2,FALSE),"")</f>
        <v>Squad A</v>
      </c>
      <c r="F459" s="62" t="str">
        <f>IF(Tableau242[[#This Row],[Consultant]]=Tableau242[[#This Row],[Manager ou CDM concerné]],"Non",IF(IFERROR(VLOOKUP(Tableau242[[#This Row],[Consultant]],Parametres!B:C,2,FALSE),0)=0,"Non","Oui"))</f>
        <v>Non</v>
      </c>
      <c r="G459" s="62">
        <f>IFERROR(VLOOKUP(B459,Tableau5[#All],4,FALSE),"Matricule!")</f>
        <v>20</v>
      </c>
      <c r="H459" s="62" t="str">
        <f>IFERROR(VLOOKUP(Tableau242[[#This Row],[Company number]],#REF!,6,FALSE),"")</f>
        <v/>
      </c>
      <c r="I459" s="62">
        <f>IFERROR(VLOOKUP(B459,Tableau5[#All],5,FALSE),"Matricule!")</f>
        <v>0</v>
      </c>
      <c r="J459" s="62">
        <f>IFERROR(VLOOKUP(B459,Tableau5[#All],6,FALSE),"Matricule!")</f>
        <v>0</v>
      </c>
      <c r="K459" s="62">
        <f>IFERROR(VLOOKUP(B459,Tableau5[#All],7,FALSE),"Matricule!")</f>
        <v>0</v>
      </c>
      <c r="L459" s="62" t="e">
        <f>VLOOKUP(Tableau242[[#This Row],[Company number]],#REF!,25,FALSE)</f>
        <v>#REF!</v>
      </c>
      <c r="M459" s="62" t="str">
        <f>IFERROR(VLOOKUP(Tableau242[[#This Row],[Company number]],#REF!,30,FALSE),"")</f>
        <v/>
      </c>
      <c r="N459" s="62" t="str">
        <f>IFERROR(VLOOKUP(Tableau242[[#This Row],[Company number]],#REF!,31,FALSE),"")</f>
        <v/>
      </c>
      <c r="O459" s="62" t="str">
        <f>IFERROR(VLOOKUP(Tableau242[[#This Row],[Company number]],#REF!,32,FALSE),"")</f>
        <v/>
      </c>
      <c r="P459" s="62">
        <f>IFERROR(VLOOKUP(B459,Tableau3[#All],5,FALSE),"Matricule!")</f>
        <v>20</v>
      </c>
      <c r="Q459" s="62">
        <f>IFERROR(SUM(VLOOKUP(B459,Tableau3[#All],6,FALSE),VLOOKUP(B459,Tableau3[#All],8,FALSE)),"Matricule!")</f>
        <v>0</v>
      </c>
      <c r="R459" s="62">
        <f>IFERROR(VLOOKUP(B459,Tableau3[#All],7,FALSE),"Matricule!")</f>
        <v>0</v>
      </c>
      <c r="S459" s="62">
        <f>IFERROR(Tableau242[[#This Row],[Prod. days WK]]-Tableau242[[#This Row],[Prod PXX]],"Matricule")</f>
        <v>0</v>
      </c>
      <c r="T459" s="62">
        <f>IFERROR(Tableau242[[#This Row],[Non prod. days WK]]-Tableau242[[#This Row],[Improd PXX]],"Matricule")</f>
        <v>0</v>
      </c>
      <c r="U459" s="62">
        <f>IFERROR(Tableau242[[#This Row],[Paid leave days WK]]-Tableau242[[#This Row],[Congé PXX]],"Matricule")</f>
        <v>0</v>
      </c>
      <c r="V459" s="63">
        <f>IFERROR(VLOOKUP($B459,#REF!,4,FALSE),0)</f>
        <v>0</v>
      </c>
      <c r="W45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5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59" s="63">
        <f>IF(AND(Tableau242[[#This Row],[Paid leave days]]&gt;0,Tableau242[[#This Row],[Prod. days]]&lt;0),MIN(Tableau242[[#This Row],[Paid leave days]],-Tableau242[[#This Row],[Prod. days]]),0)</f>
        <v>0</v>
      </c>
      <c r="Z459" s="63">
        <f>IFERROR(_xlfn.XLOOKUP(Tableau242[[#This Row],[Consultant]],Tableau2[Collaborateur/Nom affiché],Tableau2[Montant imputé],0),0)</f>
        <v>0</v>
      </c>
      <c r="AA459" s="64">
        <f t="shared" ref="AA459:AA522" si="8">IFERROR(S459+Z459,S459)</f>
        <v>0</v>
      </c>
      <c r="AB459" s="65"/>
      <c r="AC459" s="74"/>
      <c r="AD459" s="66"/>
      <c r="AE459" s="105"/>
      <c r="AF459" s="90"/>
    </row>
    <row r="460" spans="1:32">
      <c r="A460" s="15">
        <f>Tableau242[[#This Row],[Company number]]+0</f>
        <v>22309</v>
      </c>
      <c r="B460" s="60" t="s">
        <v>1051</v>
      </c>
      <c r="C460" s="61" t="s">
        <v>1052</v>
      </c>
      <c r="D460" s="61" t="s">
        <v>1053</v>
      </c>
      <c r="E460" s="62" t="str">
        <f>IFERROR(VLOOKUP(Tableau242[[#This Row],[Manager ou CDM concerné]],Parametres!B:C,2,FALSE),"")</f>
        <v>Squad H</v>
      </c>
      <c r="F460" s="62" t="str">
        <f>IF(Tableau242[[#This Row],[Consultant]]=Tableau242[[#This Row],[Manager ou CDM concerné]],"Non",IF(IFERROR(VLOOKUP(Tableau242[[#This Row],[Consultant]],Parametres!B:C,2,FALSE),0)=0,"Non","Oui"))</f>
        <v>Non</v>
      </c>
      <c r="G460" s="62">
        <f>IFERROR(VLOOKUP(B460,Tableau5[#All],4,FALSE),"Matricule!")</f>
        <v>0</v>
      </c>
      <c r="H460" s="62" t="str">
        <f>IFERROR(VLOOKUP(Tableau242[[#This Row],[Company number]],#REF!,6,FALSE),"")</f>
        <v/>
      </c>
      <c r="I460" s="62">
        <f>IFERROR(VLOOKUP(B460,Tableau5[#All],5,FALSE),"Matricule!")</f>
        <v>20</v>
      </c>
      <c r="J460" s="62">
        <f>IFERROR(VLOOKUP(B460,Tableau5[#All],6,FALSE),"Matricule!")</f>
        <v>0</v>
      </c>
      <c r="K460" s="62">
        <f>IFERROR(VLOOKUP(B460,Tableau5[#All],7,FALSE),"Matricule!")</f>
        <v>0</v>
      </c>
      <c r="L460" s="62" t="e">
        <f>VLOOKUP(Tableau242[[#This Row],[Company number]],#REF!,25,FALSE)</f>
        <v>#REF!</v>
      </c>
      <c r="M460" s="62" t="str">
        <f>IFERROR(VLOOKUP(Tableau242[[#This Row],[Company number]],#REF!,30,FALSE),"")</f>
        <v/>
      </c>
      <c r="N460" s="62" t="str">
        <f>IFERROR(VLOOKUP(Tableau242[[#This Row],[Company number]],#REF!,31,FALSE),"")</f>
        <v/>
      </c>
      <c r="O460" s="62" t="str">
        <f>IFERROR(VLOOKUP(Tableau242[[#This Row],[Company number]],#REF!,32,FALSE),"")</f>
        <v/>
      </c>
      <c r="P460" s="62">
        <f>IFERROR(VLOOKUP(B460,Tableau3[#All],5,FALSE),"Matricule!")</f>
        <v>0</v>
      </c>
      <c r="Q460" s="62">
        <f>IFERROR(SUM(VLOOKUP(B460,Tableau3[#All],6,FALSE),VLOOKUP(B460,Tableau3[#All],8,FALSE)),"Matricule!")</f>
        <v>20</v>
      </c>
      <c r="R460" s="62">
        <f>IFERROR(VLOOKUP(B460,Tableau3[#All],7,FALSE),"Matricule!")</f>
        <v>0</v>
      </c>
      <c r="S460" s="62">
        <f>IFERROR(Tableau242[[#This Row],[Prod. days WK]]-Tableau242[[#This Row],[Prod PXX]],"Matricule")</f>
        <v>0</v>
      </c>
      <c r="T460" s="62">
        <f>IFERROR(Tableau242[[#This Row],[Non prod. days WK]]-Tableau242[[#This Row],[Improd PXX]],"Matricule")</f>
        <v>0</v>
      </c>
      <c r="U460" s="62">
        <f>IFERROR(Tableau242[[#This Row],[Paid leave days WK]]-Tableau242[[#This Row],[Congé PXX]],"Matricule")</f>
        <v>0</v>
      </c>
      <c r="V460" s="63">
        <f>IFERROR(VLOOKUP($B460,#REF!,4,FALSE),0)</f>
        <v>0</v>
      </c>
      <c r="W46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60" s="63">
        <f>IF(AND(Tableau242[[#This Row],[Paid leave days]]&gt;0,Tableau242[[#This Row],[Prod. days]]&lt;0),MIN(Tableau242[[#This Row],[Paid leave days]],-Tableau242[[#This Row],[Prod. days]]),0)</f>
        <v>0</v>
      </c>
      <c r="Z460" s="63">
        <f>IFERROR(_xlfn.XLOOKUP(Tableau242[[#This Row],[Consultant]],Tableau2[Collaborateur/Nom affiché],Tableau2[Montant imputé],0),0)</f>
        <v>0</v>
      </c>
      <c r="AA460" s="64">
        <f t="shared" si="8"/>
        <v>0</v>
      </c>
      <c r="AB460" s="65"/>
      <c r="AC460" s="66"/>
      <c r="AD460" s="66"/>
      <c r="AE460" s="105"/>
      <c r="AF460" s="90"/>
    </row>
    <row r="461" spans="1:32">
      <c r="A461" s="15">
        <f>Tableau242[[#This Row],[Company number]]+0</f>
        <v>14104</v>
      </c>
      <c r="B461" s="60" t="s">
        <v>1054</v>
      </c>
      <c r="C461" s="61" t="s">
        <v>1055</v>
      </c>
      <c r="D461" s="61" t="s">
        <v>67</v>
      </c>
      <c r="E461" s="62" t="str">
        <f>IFERROR(VLOOKUP(Tableau242[[#This Row],[Manager ou CDM concerné]],Parametres!B:C,2,FALSE),"")</f>
        <v>Squad C</v>
      </c>
      <c r="F461" s="62" t="str">
        <f>IF(Tableau242[[#This Row],[Consultant]]=Tableau242[[#This Row],[Manager ou CDM concerné]],"Non",IF(IFERROR(VLOOKUP(Tableau242[[#This Row],[Consultant]],Parametres!B:C,2,FALSE),0)=0,"Non","Oui"))</f>
        <v>Non</v>
      </c>
      <c r="G461" s="62">
        <f>IFERROR(VLOOKUP(B461,Tableau5[#All],4,FALSE),"Matricule!")</f>
        <v>14.5</v>
      </c>
      <c r="H461" s="62" t="str">
        <f>IFERROR(VLOOKUP(Tableau242[[#This Row],[Company number]],#REF!,6,FALSE),"")</f>
        <v/>
      </c>
      <c r="I461" s="62">
        <f>IFERROR(VLOOKUP(B461,Tableau5[#All],5,FALSE),"Matricule!")</f>
        <v>1</v>
      </c>
      <c r="J461" s="62">
        <f>IFERROR(VLOOKUP(B461,Tableau5[#All],6,FALSE),"Matricule!")</f>
        <v>4.5</v>
      </c>
      <c r="K461" s="62">
        <f>IFERROR(VLOOKUP(B461,Tableau5[#All],7,FALSE),"Matricule!")</f>
        <v>0</v>
      </c>
      <c r="L461" s="62" t="e">
        <f>VLOOKUP(Tableau242[[#This Row],[Company number]],#REF!,25,FALSE)</f>
        <v>#REF!</v>
      </c>
      <c r="M461" s="62" t="str">
        <f>IFERROR(VLOOKUP(Tableau242[[#This Row],[Company number]],#REF!,30,FALSE),"")</f>
        <v/>
      </c>
      <c r="N461" s="62" t="str">
        <f>IFERROR(VLOOKUP(Tableau242[[#This Row],[Company number]],#REF!,31,FALSE),"")</f>
        <v/>
      </c>
      <c r="O461" s="62" t="str">
        <f>IFERROR(VLOOKUP(Tableau242[[#This Row],[Company number]],#REF!,32,FALSE),"")</f>
        <v/>
      </c>
      <c r="P461" s="62">
        <f>IFERROR(VLOOKUP(B461,Tableau3[#All],5,FALSE),"Matricule!")</f>
        <v>15</v>
      </c>
      <c r="Q461" s="62">
        <f>IFERROR(SUM(VLOOKUP(B461,Tableau3[#All],6,FALSE),VLOOKUP(B461,Tableau3[#All],8,FALSE)),"Matricule!")</f>
        <v>0.5</v>
      </c>
      <c r="R461" s="62">
        <f>IFERROR(VLOOKUP(B461,Tableau3[#All],7,FALSE),"Matricule!")</f>
        <v>4.5</v>
      </c>
      <c r="S461" s="62">
        <f>IFERROR(Tableau242[[#This Row],[Prod. days WK]]-Tableau242[[#This Row],[Prod PXX]],"Matricule")</f>
        <v>-0.5</v>
      </c>
      <c r="T461" s="62">
        <f>IFERROR(Tableau242[[#This Row],[Non prod. days WK]]-Tableau242[[#This Row],[Improd PXX]],"Matricule")</f>
        <v>0.5</v>
      </c>
      <c r="U461" s="62">
        <f>IFERROR(Tableau242[[#This Row],[Paid leave days WK]]-Tableau242[[#This Row],[Congé PXX]],"Matricule")</f>
        <v>0</v>
      </c>
      <c r="V461" s="63">
        <f>IFERROR(VLOOKUP($B461,#REF!,4,FALSE),0)</f>
        <v>0</v>
      </c>
      <c r="W46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61" s="63">
        <f>IF(AND(Tableau242[[#This Row],[Paid leave days]]&gt;0,Tableau242[[#This Row],[Prod. days]]&lt;0),MIN(Tableau242[[#This Row],[Paid leave days]],-Tableau242[[#This Row],[Prod. days]]),0)</f>
        <v>0</v>
      </c>
      <c r="Z461" s="63">
        <f>IFERROR(_xlfn.XLOOKUP(Tableau242[[#This Row],[Consultant]],Tableau2[Collaborateur/Nom affiché],Tableau2[Montant imputé],0),0)</f>
        <v>0</v>
      </c>
      <c r="AA461" s="64">
        <f t="shared" si="8"/>
        <v>-0.5</v>
      </c>
      <c r="AB461" s="65" t="s">
        <v>154</v>
      </c>
      <c r="AC461" s="66"/>
      <c r="AD461" s="66"/>
      <c r="AE461" s="39"/>
      <c r="AF461" s="90"/>
    </row>
    <row r="462" spans="1:32">
      <c r="A462" s="15">
        <f>Tableau242[[#This Row],[Company number]]+0</f>
        <v>22234</v>
      </c>
      <c r="B462" s="60" t="s">
        <v>1056</v>
      </c>
      <c r="C462" s="61" t="s">
        <v>1057</v>
      </c>
      <c r="D462" s="61" t="s">
        <v>361</v>
      </c>
      <c r="E462" s="62" t="str">
        <f>IFERROR(VLOOKUP(Tableau242[[#This Row],[Manager ou CDM concerné]],Parametres!B:C,2,FALSE),"")</f>
        <v>Squad C</v>
      </c>
      <c r="F462" s="62" t="str">
        <f>IF(Tableau242[[#This Row],[Consultant]]=Tableau242[[#This Row],[Manager ou CDM concerné]],"Non",IF(IFERROR(VLOOKUP(Tableau242[[#This Row],[Consultant]],Parametres!B:C,2,FALSE),0)=0,"Non","Oui"))</f>
        <v>Non</v>
      </c>
      <c r="G462" s="62">
        <f>IFERROR(VLOOKUP(B462,Tableau5[#All],4,FALSE),"Matricule!")</f>
        <v>0</v>
      </c>
      <c r="H462" s="62" t="str">
        <f>IFERROR(VLOOKUP(Tableau242[[#This Row],[Company number]],#REF!,6,FALSE),"")</f>
        <v/>
      </c>
      <c r="I462" s="62">
        <f>IFERROR(VLOOKUP(B462,Tableau5[#All],5,FALSE),"Matricule!")</f>
        <v>20</v>
      </c>
      <c r="J462" s="62">
        <f>IFERROR(VLOOKUP(B462,Tableau5[#All],6,FALSE),"Matricule!")</f>
        <v>0</v>
      </c>
      <c r="K462" s="62">
        <f>IFERROR(VLOOKUP(B462,Tableau5[#All],7,FALSE),"Matricule!")</f>
        <v>0</v>
      </c>
      <c r="L462" s="62" t="e">
        <f>VLOOKUP(Tableau242[[#This Row],[Company number]],#REF!,25,FALSE)</f>
        <v>#REF!</v>
      </c>
      <c r="M462" s="62" t="str">
        <f>IFERROR(VLOOKUP(Tableau242[[#This Row],[Company number]],#REF!,30,FALSE),"")</f>
        <v/>
      </c>
      <c r="N462" s="62" t="str">
        <f>IFERROR(VLOOKUP(Tableau242[[#This Row],[Company number]],#REF!,31,FALSE),"")</f>
        <v/>
      </c>
      <c r="O462" s="62" t="str">
        <f>IFERROR(VLOOKUP(Tableau242[[#This Row],[Company number]],#REF!,32,FALSE),"")</f>
        <v/>
      </c>
      <c r="P462" s="62">
        <f>IFERROR(VLOOKUP(B462,Tableau3[#All],5,FALSE),"Matricule!")</f>
        <v>0</v>
      </c>
      <c r="Q462" s="62">
        <f>IFERROR(SUM(VLOOKUP(B462,Tableau3[#All],6,FALSE),VLOOKUP(B462,Tableau3[#All],8,FALSE)),"Matricule!")</f>
        <v>20</v>
      </c>
      <c r="R462" s="62">
        <f>IFERROR(VLOOKUP(B462,Tableau3[#All],7,FALSE),"Matricule!")</f>
        <v>0</v>
      </c>
      <c r="S462" s="62">
        <f>IFERROR(Tableau242[[#This Row],[Prod. days WK]]-Tableau242[[#This Row],[Prod PXX]],"Matricule")</f>
        <v>0</v>
      </c>
      <c r="T462" s="62">
        <f>IFERROR(Tableau242[[#This Row],[Non prod. days WK]]-Tableau242[[#This Row],[Improd PXX]],"Matricule")</f>
        <v>0</v>
      </c>
      <c r="U462" s="62">
        <f>IFERROR(Tableau242[[#This Row],[Paid leave days WK]]-Tableau242[[#This Row],[Congé PXX]],"Matricule")</f>
        <v>0</v>
      </c>
      <c r="V462" s="63">
        <f>IFERROR(VLOOKUP($B462,#REF!,4,FALSE),0)</f>
        <v>0</v>
      </c>
      <c r="W46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62" s="63">
        <f>IF(AND(Tableau242[[#This Row],[Paid leave days]]&gt;0,Tableau242[[#This Row],[Prod. days]]&lt;0),MIN(Tableau242[[#This Row],[Paid leave days]],-Tableau242[[#This Row],[Prod. days]]),0)</f>
        <v>0</v>
      </c>
      <c r="Z462" s="63">
        <f>IFERROR(_xlfn.XLOOKUP(Tableau242[[#This Row],[Consultant]],Tableau2[Collaborateur/Nom affiché],Tableau2[Montant imputé],0),0)</f>
        <v>0</v>
      </c>
      <c r="AA462" s="64">
        <f t="shared" si="8"/>
        <v>0</v>
      </c>
      <c r="AB462" s="65"/>
      <c r="AC462" s="66"/>
      <c r="AD462" s="66"/>
      <c r="AE462" s="105"/>
      <c r="AF462" s="92"/>
    </row>
    <row r="463" spans="1:32">
      <c r="A463" s="15">
        <f>Tableau242[[#This Row],[Company number]]+0</f>
        <v>22106</v>
      </c>
      <c r="B463" s="60" t="s">
        <v>1058</v>
      </c>
      <c r="C463" s="61" t="s">
        <v>1059</v>
      </c>
      <c r="D463" s="61" t="s">
        <v>77</v>
      </c>
      <c r="E463" s="62" t="str">
        <f>IFERROR(VLOOKUP(Tableau242[[#This Row],[Manager ou CDM concerné]],Parametres!B:C,2,FALSE),"")</f>
        <v>Squad A</v>
      </c>
      <c r="F463" s="62" t="str">
        <f>IF(Tableau242[[#This Row],[Consultant]]=Tableau242[[#This Row],[Manager ou CDM concerné]],"Non",IF(IFERROR(VLOOKUP(Tableau242[[#This Row],[Consultant]],Parametres!B:C,2,FALSE),0)=0,"Non","Oui"))</f>
        <v>Non</v>
      </c>
      <c r="G463" s="62">
        <f>IFERROR(VLOOKUP(B463,Tableau5[#All],4,FALSE),"Matricule!")</f>
        <v>0</v>
      </c>
      <c r="H463" s="62" t="str">
        <f>IFERROR(VLOOKUP(Tableau242[[#This Row],[Company number]],#REF!,6,FALSE),"")</f>
        <v/>
      </c>
      <c r="I463" s="62">
        <f>IFERROR(VLOOKUP(B463,Tableau5[#All],5,FALSE),"Matricule!")</f>
        <v>20</v>
      </c>
      <c r="J463" s="62">
        <f>IFERROR(VLOOKUP(B463,Tableau5[#All],6,FALSE),"Matricule!")</f>
        <v>0</v>
      </c>
      <c r="K463" s="62">
        <f>IFERROR(VLOOKUP(B463,Tableau5[#All],7,FALSE),"Matricule!")</f>
        <v>0</v>
      </c>
      <c r="L463" s="62" t="e">
        <f>VLOOKUP(Tableau242[[#This Row],[Company number]],#REF!,25,FALSE)</f>
        <v>#REF!</v>
      </c>
      <c r="M463" s="62" t="str">
        <f>IFERROR(VLOOKUP(Tableau242[[#This Row],[Company number]],#REF!,30,FALSE),"")</f>
        <v/>
      </c>
      <c r="N463" s="62" t="str">
        <f>IFERROR(VLOOKUP(Tableau242[[#This Row],[Company number]],#REF!,31,FALSE),"")</f>
        <v/>
      </c>
      <c r="O463" s="62" t="str">
        <f>IFERROR(VLOOKUP(Tableau242[[#This Row],[Company number]],#REF!,32,FALSE),"")</f>
        <v/>
      </c>
      <c r="P463" s="62">
        <f>IFERROR(VLOOKUP(B463,Tableau3[#All],5,FALSE),"Matricule!")</f>
        <v>0</v>
      </c>
      <c r="Q463" s="62">
        <f>IFERROR(SUM(VLOOKUP(B463,Tableau3[#All],6,FALSE),VLOOKUP(B463,Tableau3[#All],8,FALSE)),"Matricule!")</f>
        <v>20</v>
      </c>
      <c r="R463" s="62">
        <f>IFERROR(VLOOKUP(B463,Tableau3[#All],7,FALSE),"Matricule!")</f>
        <v>0</v>
      </c>
      <c r="S463" s="62">
        <f>IFERROR(Tableau242[[#This Row],[Prod. days WK]]-Tableau242[[#This Row],[Prod PXX]],"Matricule")</f>
        <v>0</v>
      </c>
      <c r="T463" s="62">
        <f>IFERROR(Tableau242[[#This Row],[Non prod. days WK]]-Tableau242[[#This Row],[Improd PXX]],"Matricule")</f>
        <v>0</v>
      </c>
      <c r="U463" s="62">
        <f>IFERROR(Tableau242[[#This Row],[Paid leave days WK]]-Tableau242[[#This Row],[Congé PXX]],"Matricule")</f>
        <v>0</v>
      </c>
      <c r="V463" s="63">
        <f>IFERROR(VLOOKUP($B463,#REF!,4,FALSE),0)</f>
        <v>0</v>
      </c>
      <c r="W46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63" s="63">
        <f>IF(AND(Tableau242[[#This Row],[Paid leave days]]&gt;0,Tableau242[[#This Row],[Prod. days]]&lt;0),MIN(Tableau242[[#This Row],[Paid leave days]],-Tableau242[[#This Row],[Prod. days]]),0)</f>
        <v>0</v>
      </c>
      <c r="Z463" s="63">
        <f>IFERROR(_xlfn.XLOOKUP(Tableau242[[#This Row],[Consultant]],Tableau2[Collaborateur/Nom affiché],Tableau2[Montant imputé],0),0)</f>
        <v>0</v>
      </c>
      <c r="AA463" s="64">
        <f t="shared" si="8"/>
        <v>0</v>
      </c>
      <c r="AB463" s="65"/>
      <c r="AC463" s="66"/>
      <c r="AD463" s="66"/>
      <c r="AE463" s="39"/>
      <c r="AF463" s="90"/>
    </row>
    <row r="464" spans="1:32">
      <c r="A464" s="15">
        <f>Tableau242[[#This Row],[Company number]]+0</f>
        <v>20518</v>
      </c>
      <c r="B464" s="60" t="s">
        <v>1060</v>
      </c>
      <c r="C464" s="61" t="s">
        <v>1061</v>
      </c>
      <c r="D464" s="61" t="s">
        <v>7</v>
      </c>
      <c r="E464" s="62" t="str">
        <f>IFERROR(VLOOKUP(Tableau242[[#This Row],[Manager ou CDM concerné]],Parametres!B:C,2,FALSE),"")</f>
        <v>Squad F</v>
      </c>
      <c r="F464" s="62" t="str">
        <f>IF(Tableau242[[#This Row],[Consultant]]=Tableau242[[#This Row],[Manager ou CDM concerné]],"Non",IF(IFERROR(VLOOKUP(Tableau242[[#This Row],[Consultant]],Parametres!B:C,2,FALSE),0)=0,"Non","Oui"))</f>
        <v>Non</v>
      </c>
      <c r="G464" s="62">
        <f>IFERROR(VLOOKUP(B464,Tableau5[#All],4,FALSE),"Matricule!")</f>
        <v>18.5</v>
      </c>
      <c r="H464" s="62" t="str">
        <f>IFERROR(VLOOKUP(Tableau242[[#This Row],[Company number]],#REF!,6,FALSE),"")</f>
        <v/>
      </c>
      <c r="I464" s="62">
        <f>IFERROR(VLOOKUP(B464,Tableau5[#All],5,FALSE),"Matricule!")</f>
        <v>0.5</v>
      </c>
      <c r="J464" s="62">
        <f>IFERROR(VLOOKUP(B464,Tableau5[#All],6,FALSE),"Matricule!")</f>
        <v>1</v>
      </c>
      <c r="K464" s="62">
        <f>IFERROR(VLOOKUP(B464,Tableau5[#All],7,FALSE),"Matricule!")</f>
        <v>0</v>
      </c>
      <c r="L464" s="62" t="e">
        <f>VLOOKUP(Tableau242[[#This Row],[Company number]],#REF!,25,FALSE)</f>
        <v>#REF!</v>
      </c>
      <c r="M464" s="62" t="str">
        <f>IFERROR(VLOOKUP(Tableau242[[#This Row],[Company number]],#REF!,30,FALSE),"")</f>
        <v/>
      </c>
      <c r="N464" s="62" t="str">
        <f>IFERROR(VLOOKUP(Tableau242[[#This Row],[Company number]],#REF!,31,FALSE),"")</f>
        <v/>
      </c>
      <c r="O464" s="62" t="str">
        <f>IFERROR(VLOOKUP(Tableau242[[#This Row],[Company number]],#REF!,32,FALSE),"")</f>
        <v/>
      </c>
      <c r="P464" s="62">
        <f>IFERROR(VLOOKUP(B464,Tableau3[#All],5,FALSE),"Matricule!")</f>
        <v>19</v>
      </c>
      <c r="Q464" s="62">
        <f>IFERROR(SUM(VLOOKUP(B464,Tableau3[#All],6,FALSE),VLOOKUP(B464,Tableau3[#All],8,FALSE)),"Matricule!")</f>
        <v>0</v>
      </c>
      <c r="R464" s="62">
        <f>IFERROR(VLOOKUP(B464,Tableau3[#All],7,FALSE),"Matricule!")</f>
        <v>1</v>
      </c>
      <c r="S464" s="62">
        <f>IFERROR(Tableau242[[#This Row],[Prod. days WK]]-Tableau242[[#This Row],[Prod PXX]],"Matricule")</f>
        <v>-0.5</v>
      </c>
      <c r="T464" s="62">
        <f>IFERROR(Tableau242[[#This Row],[Non prod. days WK]]-Tableau242[[#This Row],[Improd PXX]],"Matricule")</f>
        <v>0.5</v>
      </c>
      <c r="U464" s="62">
        <f>IFERROR(Tableau242[[#This Row],[Paid leave days WK]]-Tableau242[[#This Row],[Congé PXX]],"Matricule")</f>
        <v>0</v>
      </c>
      <c r="V464" s="63">
        <f>IFERROR(VLOOKUP($B464,#REF!,4,FALSE),0)</f>
        <v>0</v>
      </c>
      <c r="W46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64" s="63">
        <f>IF(AND(Tableau242[[#This Row],[Paid leave days]]&gt;0,Tableau242[[#This Row],[Prod. days]]&lt;0),MIN(Tableau242[[#This Row],[Paid leave days]],-Tableau242[[#This Row],[Prod. days]]),0)</f>
        <v>0</v>
      </c>
      <c r="Z464" s="63">
        <f>IFERROR(_xlfn.XLOOKUP(Tableau242[[#This Row],[Consultant]],Tableau2[Collaborateur/Nom affiché],Tableau2[Montant imputé],0),0)</f>
        <v>0</v>
      </c>
      <c r="AA464" s="64">
        <f t="shared" si="8"/>
        <v>-0.5</v>
      </c>
      <c r="AB464" s="78" t="s">
        <v>147</v>
      </c>
      <c r="AC464" s="67"/>
      <c r="AD464" s="67"/>
      <c r="AE464" s="106"/>
      <c r="AF464" s="92"/>
    </row>
    <row r="465" spans="1:32">
      <c r="A465" s="15">
        <f>Tableau242[[#This Row],[Company number]]+0</f>
        <v>21980</v>
      </c>
      <c r="B465" s="60" t="s">
        <v>1062</v>
      </c>
      <c r="C465" s="61" t="s">
        <v>1063</v>
      </c>
      <c r="D465" s="61" t="s">
        <v>21</v>
      </c>
      <c r="E465" s="62" t="str">
        <f>IFERROR(VLOOKUP(Tableau242[[#This Row],[Manager ou CDM concerné]],Parametres!B:C,2,FALSE),"")</f>
        <v>Squad E</v>
      </c>
      <c r="F465" s="62" t="str">
        <f>IF(Tableau242[[#This Row],[Consultant]]=Tableau242[[#This Row],[Manager ou CDM concerné]],"Non",IF(IFERROR(VLOOKUP(Tableau242[[#This Row],[Consultant]],Parametres!B:C,2,FALSE),0)=0,"Non","Oui"))</f>
        <v>Non</v>
      </c>
      <c r="G465" s="62">
        <f>IFERROR(VLOOKUP(B465,Tableau5[#All],4,FALSE),"Matricule!")</f>
        <v>9.5</v>
      </c>
      <c r="H465" s="62" t="str">
        <f>IFERROR(VLOOKUP(Tableau242[[#This Row],[Company number]],#REF!,6,FALSE),"")</f>
        <v/>
      </c>
      <c r="I465" s="62">
        <f>IFERROR(VLOOKUP(B465,Tableau5[#All],5,FALSE),"Matricule!")</f>
        <v>10.5</v>
      </c>
      <c r="J465" s="62">
        <f>IFERROR(VLOOKUP(B465,Tableau5[#All],6,FALSE),"Matricule!")</f>
        <v>0</v>
      </c>
      <c r="K465" s="62">
        <f>IFERROR(VLOOKUP(B465,Tableau5[#All],7,FALSE),"Matricule!")</f>
        <v>0</v>
      </c>
      <c r="L465" s="62" t="e">
        <f>VLOOKUP(Tableau242[[#This Row],[Company number]],#REF!,25,FALSE)</f>
        <v>#REF!</v>
      </c>
      <c r="M465" s="62" t="str">
        <f>IFERROR(VLOOKUP(Tableau242[[#This Row],[Company number]],#REF!,30,FALSE),"")</f>
        <v/>
      </c>
      <c r="N465" s="62" t="str">
        <f>IFERROR(VLOOKUP(Tableau242[[#This Row],[Company number]],#REF!,31,FALSE),"")</f>
        <v/>
      </c>
      <c r="O465" s="62" t="str">
        <f>IFERROR(VLOOKUP(Tableau242[[#This Row],[Company number]],#REF!,32,FALSE),"")</f>
        <v/>
      </c>
      <c r="P465" s="62">
        <f>IFERROR(VLOOKUP(B465,Tableau3[#All],5,FALSE),"Matricule!")</f>
        <v>10</v>
      </c>
      <c r="Q465" s="62">
        <f>IFERROR(SUM(VLOOKUP(B465,Tableau3[#All],6,FALSE),VLOOKUP(B465,Tableau3[#All],8,FALSE)),"Matricule!")</f>
        <v>10</v>
      </c>
      <c r="R465" s="62">
        <f>IFERROR(VLOOKUP(B465,Tableau3[#All],7,FALSE),"Matricule!")</f>
        <v>0</v>
      </c>
      <c r="S465" s="62">
        <f>IFERROR(Tableau242[[#This Row],[Prod. days WK]]-Tableau242[[#This Row],[Prod PXX]],"Matricule")</f>
        <v>-0.5</v>
      </c>
      <c r="T465" s="62">
        <f>IFERROR(Tableau242[[#This Row],[Non prod. days WK]]-Tableau242[[#This Row],[Improd PXX]],"Matricule")</f>
        <v>0.5</v>
      </c>
      <c r="U465" s="62">
        <f>IFERROR(Tableau242[[#This Row],[Paid leave days WK]]-Tableau242[[#This Row],[Congé PXX]],"Matricule")</f>
        <v>0</v>
      </c>
      <c r="V465" s="63">
        <f>IFERROR(VLOOKUP($B465,#REF!,4,FALSE),0)</f>
        <v>0</v>
      </c>
      <c r="W46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65" s="63">
        <f>IF(AND(Tableau242[[#This Row],[Paid leave days]]&gt;0,Tableau242[[#This Row],[Prod. days]]&lt;0),MIN(Tableau242[[#This Row],[Paid leave days]],-Tableau242[[#This Row],[Prod. days]]),0)</f>
        <v>0</v>
      </c>
      <c r="Z465" s="63">
        <f>IFERROR(_xlfn.XLOOKUP(Tableau242[[#This Row],[Consultant]],Tableau2[Collaborateur/Nom affiché],Tableau2[Montant imputé],0),0)</f>
        <v>0</v>
      </c>
      <c r="AA465" s="64">
        <f t="shared" si="8"/>
        <v>-0.5</v>
      </c>
      <c r="AB465" s="65" t="s">
        <v>165</v>
      </c>
      <c r="AC465" s="66"/>
      <c r="AD465" s="66" t="s">
        <v>987</v>
      </c>
      <c r="AE465" s="105"/>
      <c r="AF465" s="90"/>
    </row>
    <row r="466" spans="1:32">
      <c r="A466" s="15">
        <f>Tableau242[[#This Row],[Company number]]+0</f>
        <v>21167</v>
      </c>
      <c r="B466" s="60" t="s">
        <v>1064</v>
      </c>
      <c r="C466" s="61" t="s">
        <v>1065</v>
      </c>
      <c r="D466" s="61" t="s">
        <v>37</v>
      </c>
      <c r="E466" s="62" t="str">
        <f>IFERROR(VLOOKUP(Tableau242[[#This Row],[Manager ou CDM concerné]],Parametres!B:C,2,FALSE),"")</f>
        <v>Squad H</v>
      </c>
      <c r="F466" s="62" t="str">
        <f>IF(Tableau242[[#This Row],[Consultant]]=Tableau242[[#This Row],[Manager ou CDM concerné]],"Non",IF(IFERROR(VLOOKUP(Tableau242[[#This Row],[Consultant]],Parametres!B:C,2,FALSE),0)=0,"Non","Oui"))</f>
        <v>Non</v>
      </c>
      <c r="G466" s="62">
        <f>IFERROR(VLOOKUP(B466,Tableau5[#All],4,FALSE),"Matricule!")</f>
        <v>20</v>
      </c>
      <c r="H466" s="62" t="str">
        <f>IFERROR(VLOOKUP(Tableau242[[#This Row],[Company number]],#REF!,6,FALSE),"")</f>
        <v/>
      </c>
      <c r="I466" s="62">
        <f>IFERROR(VLOOKUP(B466,Tableau5[#All],5,FALSE),"Matricule!")</f>
        <v>0</v>
      </c>
      <c r="J466" s="62">
        <f>IFERROR(VLOOKUP(B466,Tableau5[#All],6,FALSE),"Matricule!")</f>
        <v>0</v>
      </c>
      <c r="K466" s="62">
        <f>IFERROR(VLOOKUP(B466,Tableau5[#All],7,FALSE),"Matricule!")</f>
        <v>0</v>
      </c>
      <c r="L466" s="62" t="e">
        <f>VLOOKUP(Tableau242[[#This Row],[Company number]],#REF!,25,FALSE)</f>
        <v>#REF!</v>
      </c>
      <c r="M466" s="62" t="str">
        <f>IFERROR(VLOOKUP(Tableau242[[#This Row],[Company number]],#REF!,30,FALSE),"")</f>
        <v/>
      </c>
      <c r="N466" s="62" t="str">
        <f>IFERROR(VLOOKUP(Tableau242[[#This Row],[Company number]],#REF!,31,FALSE),"")</f>
        <v/>
      </c>
      <c r="O466" s="62" t="str">
        <f>IFERROR(VLOOKUP(Tableau242[[#This Row],[Company number]],#REF!,32,FALSE),"")</f>
        <v/>
      </c>
      <c r="P466" s="62">
        <f>IFERROR(VLOOKUP(B466,Tableau3[#All],5,FALSE),"Matricule!")</f>
        <v>20</v>
      </c>
      <c r="Q466" s="62">
        <f>IFERROR(SUM(VLOOKUP(B466,Tableau3[#All],6,FALSE),VLOOKUP(B466,Tableau3[#All],8,FALSE)),"Matricule!")</f>
        <v>0</v>
      </c>
      <c r="R466" s="62">
        <f>IFERROR(VLOOKUP(B466,Tableau3[#All],7,FALSE),"Matricule!")</f>
        <v>0</v>
      </c>
      <c r="S466" s="62">
        <f>IFERROR(Tableau242[[#This Row],[Prod. days WK]]-Tableau242[[#This Row],[Prod PXX]],"Matricule")</f>
        <v>0</v>
      </c>
      <c r="T466" s="62">
        <f>IFERROR(Tableau242[[#This Row],[Non prod. days WK]]-Tableau242[[#This Row],[Improd PXX]],"Matricule")</f>
        <v>0</v>
      </c>
      <c r="U466" s="62">
        <f>IFERROR(Tableau242[[#This Row],[Paid leave days WK]]-Tableau242[[#This Row],[Congé PXX]],"Matricule")</f>
        <v>0</v>
      </c>
      <c r="V466" s="63">
        <f>IFERROR(VLOOKUP($B466,#REF!,4,FALSE),0)</f>
        <v>0</v>
      </c>
      <c r="W46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6" s="63" t="s">
        <v>235</v>
      </c>
      <c r="Y466" s="63">
        <f>IF(AND(Tableau242[[#This Row],[Paid leave days]]&gt;0,Tableau242[[#This Row],[Prod. days]]&lt;0),MIN(Tableau242[[#This Row],[Paid leave days]],-Tableau242[[#This Row],[Prod. days]]),0)</f>
        <v>0</v>
      </c>
      <c r="Z466" s="63">
        <f>IFERROR(_xlfn.XLOOKUP(Tableau242[[#This Row],[Consultant]],Tableau2[Collaborateur/Nom affiché],Tableau2[Montant imputé],0),0)</f>
        <v>0</v>
      </c>
      <c r="AA466" s="64">
        <f t="shared" si="8"/>
        <v>0</v>
      </c>
      <c r="AB466" s="65"/>
      <c r="AC466" s="66"/>
      <c r="AD466" s="66"/>
      <c r="AE466" s="39"/>
      <c r="AF466" s="90"/>
    </row>
    <row r="467" spans="1:32">
      <c r="A467" s="15">
        <f>Tableau242[[#This Row],[Company number]]+0</f>
        <v>21005</v>
      </c>
      <c r="B467" s="60" t="s">
        <v>1066</v>
      </c>
      <c r="C467" s="61" t="s">
        <v>1067</v>
      </c>
      <c r="D467" s="61" t="s">
        <v>37</v>
      </c>
      <c r="E467" s="62" t="str">
        <f>IFERROR(VLOOKUP(Tableau242[[#This Row],[Manager ou CDM concerné]],Parametres!B:C,2,FALSE),"")</f>
        <v>Squad H</v>
      </c>
      <c r="F467" s="62" t="str">
        <f>IF(Tableau242[[#This Row],[Consultant]]=Tableau242[[#This Row],[Manager ou CDM concerné]],"Non",IF(IFERROR(VLOOKUP(Tableau242[[#This Row],[Consultant]],Parametres!B:C,2,FALSE),0)=0,"Non","Oui"))</f>
        <v>Non</v>
      </c>
      <c r="G467" s="62">
        <f>IFERROR(VLOOKUP(B467,Tableau5[#All],4,FALSE),"Matricule!")</f>
        <v>18</v>
      </c>
      <c r="H467" s="62" t="str">
        <f>IFERROR(VLOOKUP(Tableau242[[#This Row],[Company number]],#REF!,6,FALSE),"")</f>
        <v/>
      </c>
      <c r="I467" s="62">
        <f>IFERROR(VLOOKUP(B467,Tableau5[#All],5,FALSE),"Matricule!")</f>
        <v>0</v>
      </c>
      <c r="J467" s="62">
        <f>IFERROR(VLOOKUP(B467,Tableau5[#All],6,FALSE),"Matricule!")</f>
        <v>2</v>
      </c>
      <c r="K467" s="62">
        <f>IFERROR(VLOOKUP(B467,Tableau5[#All],7,FALSE),"Matricule!")</f>
        <v>0</v>
      </c>
      <c r="L467" s="62" t="e">
        <f>VLOOKUP(Tableau242[[#This Row],[Company number]],#REF!,25,FALSE)</f>
        <v>#REF!</v>
      </c>
      <c r="M467" s="62" t="str">
        <f>IFERROR(VLOOKUP(Tableau242[[#This Row],[Company number]],#REF!,30,FALSE),"")</f>
        <v/>
      </c>
      <c r="N467" s="62" t="str">
        <f>IFERROR(VLOOKUP(Tableau242[[#This Row],[Company number]],#REF!,31,FALSE),"")</f>
        <v/>
      </c>
      <c r="O467" s="62" t="str">
        <f>IFERROR(VLOOKUP(Tableau242[[#This Row],[Company number]],#REF!,32,FALSE),"")</f>
        <v/>
      </c>
      <c r="P467" s="62">
        <f>IFERROR(VLOOKUP(B467,Tableau3[#All],5,FALSE),"Matricule!")</f>
        <v>18</v>
      </c>
      <c r="Q467" s="62">
        <f>IFERROR(SUM(VLOOKUP(B467,Tableau3[#All],6,FALSE),VLOOKUP(B467,Tableau3[#All],8,FALSE)),"Matricule!")</f>
        <v>0</v>
      </c>
      <c r="R467" s="62">
        <f>IFERROR(VLOOKUP(B467,Tableau3[#All],7,FALSE),"Matricule!")</f>
        <v>2</v>
      </c>
      <c r="S467" s="62">
        <f>IFERROR(Tableau242[[#This Row],[Prod. days WK]]-Tableau242[[#This Row],[Prod PXX]],"Matricule")</f>
        <v>0</v>
      </c>
      <c r="T467" s="62">
        <f>IFERROR(Tableau242[[#This Row],[Non prod. days WK]]-Tableau242[[#This Row],[Improd PXX]],"Matricule")</f>
        <v>0</v>
      </c>
      <c r="U467" s="62">
        <f>IFERROR(Tableau242[[#This Row],[Paid leave days WK]]-Tableau242[[#This Row],[Congé PXX]],"Matricule")</f>
        <v>0</v>
      </c>
      <c r="V467" s="63">
        <f>IFERROR(VLOOKUP($B467,#REF!,4,FALSE),0)</f>
        <v>0</v>
      </c>
      <c r="W46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67" s="63">
        <f>IF(AND(Tableau242[[#This Row],[Paid leave days]]&gt;0,Tableau242[[#This Row],[Prod. days]]&lt;0),MIN(Tableau242[[#This Row],[Paid leave days]],-Tableau242[[#This Row],[Prod. days]]),0)</f>
        <v>0</v>
      </c>
      <c r="Z467" s="63">
        <f>IFERROR(_xlfn.XLOOKUP(Tableau242[[#This Row],[Consultant]],Tableau2[Collaborateur/Nom affiché],Tableau2[Montant imputé],0),0)</f>
        <v>0</v>
      </c>
      <c r="AA467" s="64">
        <f t="shared" si="8"/>
        <v>0</v>
      </c>
      <c r="AB467" s="65"/>
      <c r="AC467" s="66"/>
      <c r="AD467" s="66"/>
      <c r="AE467" s="39"/>
      <c r="AF467" s="90"/>
    </row>
    <row r="468" spans="1:32">
      <c r="A468" s="15">
        <f>Tableau242[[#This Row],[Company number]]+0</f>
        <v>21948</v>
      </c>
      <c r="B468" s="60" t="s">
        <v>1068</v>
      </c>
      <c r="C468" s="61" t="s">
        <v>1069</v>
      </c>
      <c r="D468" s="61" t="s">
        <v>37</v>
      </c>
      <c r="E468" s="75" t="str">
        <f>IFERROR(VLOOKUP(Tableau242[[#This Row],[Manager ou CDM concerné]],Parametres!B:C,2,FALSE),"")</f>
        <v>Squad H</v>
      </c>
      <c r="F468" s="75" t="str">
        <f>IF(Tableau242[[#This Row],[Consultant]]=Tableau242[[#This Row],[Manager ou CDM concerné]],"Non",IF(IFERROR(VLOOKUP(Tableau242[[#This Row],[Consultant]],Parametres!B:C,2,FALSE),0)=0,"Non","Oui"))</f>
        <v>Non</v>
      </c>
      <c r="G468" s="62">
        <f>IFERROR(VLOOKUP(B468,Tableau5[#All],4,FALSE),"Matricule!")</f>
        <v>20</v>
      </c>
      <c r="H468" s="75" t="str">
        <f>IFERROR(VLOOKUP(Tableau242[[#This Row],[Company number]],#REF!,6,FALSE),"")</f>
        <v/>
      </c>
      <c r="I468" s="62">
        <f>IFERROR(VLOOKUP(B468,Tableau5[#All],5,FALSE),"Matricule!")</f>
        <v>0</v>
      </c>
      <c r="J468" s="62">
        <f>IFERROR(VLOOKUP(B468,Tableau5[#All],6,FALSE),"Matricule!")</f>
        <v>0</v>
      </c>
      <c r="K468" s="62">
        <f>IFERROR(VLOOKUP(B468,Tableau5[#All],7,FALSE),"Matricule!")</f>
        <v>0</v>
      </c>
      <c r="L468" s="75" t="e">
        <f>VLOOKUP(Tableau242[[#This Row],[Company number]],#REF!,25,FALSE)</f>
        <v>#REF!</v>
      </c>
      <c r="M468" s="75" t="str">
        <f>IFERROR(VLOOKUP(Tableau242[[#This Row],[Company number]],#REF!,30,FALSE),"")</f>
        <v/>
      </c>
      <c r="N468" s="75" t="str">
        <f>IFERROR(VLOOKUP(Tableau242[[#This Row],[Company number]],#REF!,31,FALSE),"")</f>
        <v/>
      </c>
      <c r="O468" s="75" t="str">
        <f>IFERROR(VLOOKUP(Tableau242[[#This Row],[Company number]],#REF!,32,FALSE),"")</f>
        <v/>
      </c>
      <c r="P468" s="62">
        <f>IFERROR(VLOOKUP(B468,Tableau3[#All],5,FALSE),"Matricule!")</f>
        <v>20</v>
      </c>
      <c r="Q468" s="62">
        <f>IFERROR(SUM(VLOOKUP(B468,Tableau3[#All],6,FALSE),VLOOKUP(B468,Tableau3[#All],8,FALSE)),"Matricule!")</f>
        <v>0</v>
      </c>
      <c r="R468" s="62">
        <f>IFERROR(VLOOKUP(B468,Tableau3[#All],7,FALSE),"Matricule!")</f>
        <v>0</v>
      </c>
      <c r="S468" s="62">
        <f>IFERROR(Tableau242[[#This Row],[Prod. days WK]]-Tableau242[[#This Row],[Prod PXX]],"Matricule")</f>
        <v>0</v>
      </c>
      <c r="T468" s="62">
        <f>IFERROR(Tableau242[[#This Row],[Non prod. days WK]]-Tableau242[[#This Row],[Improd PXX]],"Matricule")</f>
        <v>0</v>
      </c>
      <c r="U468" s="62">
        <f>IFERROR(Tableau242[[#This Row],[Paid leave days WK]]-Tableau242[[#This Row],[Congé PXX]],"Matricule")</f>
        <v>0</v>
      </c>
      <c r="V468" s="76">
        <f>IFERROR(VLOOKUP($B468,#REF!,4,FALSE),0)</f>
        <v>0</v>
      </c>
      <c r="W468" s="76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8" s="76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68" s="76">
        <f>IF(AND(Tableau242[[#This Row],[Paid leave days]]&gt;0,Tableau242[[#This Row],[Prod. days]]&lt;0),MIN(Tableau242[[#This Row],[Paid leave days]],-Tableau242[[#This Row],[Prod. days]]),0)</f>
        <v>0</v>
      </c>
      <c r="Z468" s="63">
        <f>IFERROR(_xlfn.XLOOKUP(Tableau242[[#This Row],[Consultant]],Tableau2[Collaborateur/Nom affiché],Tableau2[Montant imputé],0),0)</f>
        <v>0</v>
      </c>
      <c r="AA468" s="77">
        <f t="shared" si="8"/>
        <v>0</v>
      </c>
      <c r="AB468" s="65"/>
      <c r="AC468" s="72"/>
      <c r="AD468" s="72"/>
      <c r="AE468" s="39"/>
      <c r="AF468" s="90"/>
    </row>
    <row r="469" spans="1:32">
      <c r="A469" s="15">
        <f>Tableau242[[#This Row],[Company number]]+0</f>
        <v>20563</v>
      </c>
      <c r="B469" s="60" t="s">
        <v>1070</v>
      </c>
      <c r="C469" s="61" t="s">
        <v>1071</v>
      </c>
      <c r="D469" s="61" t="s">
        <v>37</v>
      </c>
      <c r="E469" s="62" t="str">
        <f>IFERROR(VLOOKUP(Tableau242[[#This Row],[Manager ou CDM concerné]],Parametres!B:C,2,FALSE),"")</f>
        <v>Squad H</v>
      </c>
      <c r="F469" s="62" t="str">
        <f>IF(Tableau242[[#This Row],[Consultant]]=Tableau242[[#This Row],[Manager ou CDM concerné]],"Non",IF(IFERROR(VLOOKUP(Tableau242[[#This Row],[Consultant]],Parametres!B:C,2,FALSE),0)=0,"Non","Oui"))</f>
        <v>Non</v>
      </c>
      <c r="G469" s="62">
        <f>IFERROR(VLOOKUP(B469,Tableau5[#All],4,FALSE),"Matricule!")</f>
        <v>18</v>
      </c>
      <c r="H469" s="62" t="str">
        <f>IFERROR(VLOOKUP(Tableau242[[#This Row],[Company number]],#REF!,6,FALSE),"")</f>
        <v/>
      </c>
      <c r="I469" s="62">
        <f>IFERROR(VLOOKUP(B469,Tableau5[#All],5,FALSE),"Matricule!")</f>
        <v>0</v>
      </c>
      <c r="J469" s="62">
        <f>IFERROR(VLOOKUP(B469,Tableau5[#All],6,FALSE),"Matricule!")</f>
        <v>2</v>
      </c>
      <c r="K469" s="62">
        <f>IFERROR(VLOOKUP(B469,Tableau5[#All],7,FALSE),"Matricule!")</f>
        <v>0</v>
      </c>
      <c r="L469" s="62" t="e">
        <f>VLOOKUP(Tableau242[[#This Row],[Company number]],#REF!,25,FALSE)</f>
        <v>#REF!</v>
      </c>
      <c r="M469" s="62" t="str">
        <f>IFERROR(VLOOKUP(Tableau242[[#This Row],[Company number]],#REF!,30,FALSE),"")</f>
        <v/>
      </c>
      <c r="N469" s="62" t="str">
        <f>IFERROR(VLOOKUP(Tableau242[[#This Row],[Company number]],#REF!,31,FALSE),"")</f>
        <v/>
      </c>
      <c r="O469" s="62" t="str">
        <f>IFERROR(VLOOKUP(Tableau242[[#This Row],[Company number]],#REF!,32,FALSE),"")</f>
        <v/>
      </c>
      <c r="P469" s="62">
        <f>IFERROR(VLOOKUP(B469,Tableau3[#All],5,FALSE),"Matricule!")</f>
        <v>18</v>
      </c>
      <c r="Q469" s="62">
        <f>IFERROR(SUM(VLOOKUP(B469,Tableau3[#All],6,FALSE),VLOOKUP(B469,Tableau3[#All],8,FALSE)),"Matricule!")</f>
        <v>0</v>
      </c>
      <c r="R469" s="62">
        <f>IFERROR(VLOOKUP(B469,Tableau3[#All],7,FALSE),"Matricule!")</f>
        <v>2</v>
      </c>
      <c r="S469" s="62">
        <f>IFERROR(Tableau242[[#This Row],[Prod. days WK]]-Tableau242[[#This Row],[Prod PXX]],"Matricule")</f>
        <v>0</v>
      </c>
      <c r="T469" s="62">
        <f>IFERROR(Tableau242[[#This Row],[Non prod. days WK]]-Tableau242[[#This Row],[Improd PXX]],"Matricule")</f>
        <v>0</v>
      </c>
      <c r="U469" s="62">
        <f>IFERROR(Tableau242[[#This Row],[Paid leave days WK]]-Tableau242[[#This Row],[Congé PXX]],"Matricule")</f>
        <v>0</v>
      </c>
      <c r="V469" s="63">
        <f>IFERROR(VLOOKUP($B469,#REF!,4,FALSE),0)</f>
        <v>0</v>
      </c>
      <c r="W46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6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69" s="63">
        <f>IF(AND(Tableau242[[#This Row],[Paid leave days]]&gt;0,Tableau242[[#This Row],[Prod. days]]&lt;0),MIN(Tableau242[[#This Row],[Paid leave days]],-Tableau242[[#This Row],[Prod. days]]),0)</f>
        <v>0</v>
      </c>
      <c r="Z469" s="63">
        <f>IFERROR(_xlfn.XLOOKUP(Tableau242[[#This Row],[Consultant]],Tableau2[Collaborateur/Nom affiché],Tableau2[Montant imputé],0),0)</f>
        <v>0</v>
      </c>
      <c r="AA469" s="64">
        <f t="shared" si="8"/>
        <v>0</v>
      </c>
      <c r="AB469" s="65"/>
      <c r="AC469" s="66"/>
      <c r="AD469" s="66"/>
      <c r="AE469" s="105"/>
      <c r="AF469" s="90"/>
    </row>
    <row r="470" spans="1:32">
      <c r="A470" s="15">
        <f>Tableau242[[#This Row],[Company number]]+0</f>
        <v>21900</v>
      </c>
      <c r="B470" s="60" t="s">
        <v>1072</v>
      </c>
      <c r="C470" s="61" t="s">
        <v>1073</v>
      </c>
      <c r="D470" s="61" t="s">
        <v>37</v>
      </c>
      <c r="E470" s="62" t="str">
        <f>IFERROR(VLOOKUP(Tableau242[[#This Row],[Manager ou CDM concerné]],Parametres!B:C,2,FALSE),"")</f>
        <v>Squad H</v>
      </c>
      <c r="F470" s="62" t="str">
        <f>IF(Tableau242[[#This Row],[Consultant]]=Tableau242[[#This Row],[Manager ou CDM concerné]],"Non",IF(IFERROR(VLOOKUP(Tableau242[[#This Row],[Consultant]],Parametres!B:C,2,FALSE),0)=0,"Non","Oui"))</f>
        <v>Non</v>
      </c>
      <c r="G470" s="62">
        <f>IFERROR(VLOOKUP(B470,Tableau5[#All],4,FALSE),"Matricule!")</f>
        <v>0</v>
      </c>
      <c r="H470" s="62" t="str">
        <f>IFERROR(VLOOKUP(Tableau242[[#This Row],[Company number]],#REF!,6,FALSE),"")</f>
        <v/>
      </c>
      <c r="I470" s="62">
        <f>IFERROR(VLOOKUP(B470,Tableau5[#All],5,FALSE),"Matricule!")</f>
        <v>20</v>
      </c>
      <c r="J470" s="62">
        <f>IFERROR(VLOOKUP(B470,Tableau5[#All],6,FALSE),"Matricule!")</f>
        <v>0</v>
      </c>
      <c r="K470" s="62">
        <f>IFERROR(VLOOKUP(B470,Tableau5[#All],7,FALSE),"Matricule!")</f>
        <v>0</v>
      </c>
      <c r="L470" s="62" t="e">
        <f>VLOOKUP(Tableau242[[#This Row],[Company number]],#REF!,25,FALSE)</f>
        <v>#REF!</v>
      </c>
      <c r="M470" s="62" t="str">
        <f>IFERROR(VLOOKUP(Tableau242[[#This Row],[Company number]],#REF!,30,FALSE),"")</f>
        <v/>
      </c>
      <c r="N470" s="62" t="str">
        <f>IFERROR(VLOOKUP(Tableau242[[#This Row],[Company number]],#REF!,31,FALSE),"")</f>
        <v/>
      </c>
      <c r="O470" s="62" t="str">
        <f>IFERROR(VLOOKUP(Tableau242[[#This Row],[Company number]],#REF!,32,FALSE),"")</f>
        <v/>
      </c>
      <c r="P470" s="68">
        <f>IFERROR(VLOOKUP(B470,Tableau3[#All],5,FALSE),"Matricule!")</f>
        <v>0</v>
      </c>
      <c r="Q470" s="68">
        <f>IFERROR(SUM(VLOOKUP(B470,Tableau3[#All],6,FALSE),VLOOKUP(B470,Tableau3[#All],8,FALSE)),"Matricule!")</f>
        <v>20</v>
      </c>
      <c r="R470" s="68">
        <f>IFERROR(VLOOKUP(B470,Tableau3[#All],7,FALSE),"Matricule!")</f>
        <v>0</v>
      </c>
      <c r="S470" s="62">
        <f>IFERROR(Tableau242[[#This Row],[Prod. days WK]]-Tableau242[[#This Row],[Prod PXX]],"Matricule")</f>
        <v>0</v>
      </c>
      <c r="T470" s="62">
        <f>IFERROR(Tableau242[[#This Row],[Non prod. days WK]]-Tableau242[[#This Row],[Improd PXX]],"Matricule")</f>
        <v>0</v>
      </c>
      <c r="U470" s="62">
        <f>IFERROR(Tableau242[[#This Row],[Paid leave days WK]]-Tableau242[[#This Row],[Congé PXX]],"Matricule")</f>
        <v>0</v>
      </c>
      <c r="V470" s="63">
        <f>IFERROR(VLOOKUP($B470,#REF!,4,FALSE),0)</f>
        <v>0</v>
      </c>
      <c r="W47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70" s="63">
        <f>IF(AND(Tableau242[[#This Row],[Paid leave days]]&gt;0,Tableau242[[#This Row],[Prod. days]]&lt;0),MIN(Tableau242[[#This Row],[Paid leave days]],-Tableau242[[#This Row],[Prod. days]]),0)</f>
        <v>0</v>
      </c>
      <c r="Z470" s="63">
        <f>IFERROR(_xlfn.XLOOKUP(Tableau242[[#This Row],[Consultant]],Tableau2[Collaborateur/Nom affiché],Tableau2[Montant imputé],0),0)</f>
        <v>0</v>
      </c>
      <c r="AA470" s="64">
        <f t="shared" si="8"/>
        <v>0</v>
      </c>
      <c r="AB470" s="65"/>
      <c r="AC470" s="66"/>
      <c r="AD470" s="66"/>
      <c r="AE470" s="105"/>
      <c r="AF470" s="90"/>
    </row>
    <row r="471" spans="1:32">
      <c r="A471" s="15">
        <f>Tableau242[[#This Row],[Company number]]+0</f>
        <v>21039</v>
      </c>
      <c r="B471" s="60" t="s">
        <v>1074</v>
      </c>
      <c r="C471" s="61" t="s">
        <v>1075</v>
      </c>
      <c r="D471" s="61" t="s">
        <v>37</v>
      </c>
      <c r="E471" s="62" t="str">
        <f>IFERROR(VLOOKUP(Tableau242[[#This Row],[Manager ou CDM concerné]],Parametres!B:C,2,FALSE),"")</f>
        <v>Squad H</v>
      </c>
      <c r="F471" s="62" t="str">
        <f>IF(Tableau242[[#This Row],[Consultant]]=Tableau242[[#This Row],[Manager ou CDM concerné]],"Non",IF(IFERROR(VLOOKUP(Tableau242[[#This Row],[Consultant]],Parametres!B:C,2,FALSE),0)=0,"Non","Oui"))</f>
        <v>Non</v>
      </c>
      <c r="G471" s="62">
        <f>IFERROR(VLOOKUP(B471,Tableau5[#All],4,FALSE),"Matricule!")</f>
        <v>20</v>
      </c>
      <c r="H471" s="62" t="str">
        <f>IFERROR(VLOOKUP(Tableau242[[#This Row],[Company number]],#REF!,6,FALSE),"")</f>
        <v/>
      </c>
      <c r="I471" s="62">
        <f>IFERROR(VLOOKUP(B471,Tableau5[#All],5,FALSE),"Matricule!")</f>
        <v>0</v>
      </c>
      <c r="J471" s="62">
        <f>IFERROR(VLOOKUP(B471,Tableau5[#All],6,FALSE),"Matricule!")</f>
        <v>0</v>
      </c>
      <c r="K471" s="62">
        <f>IFERROR(VLOOKUP(B471,Tableau5[#All],7,FALSE),"Matricule!")</f>
        <v>0</v>
      </c>
      <c r="L471" s="62" t="e">
        <f>VLOOKUP(Tableau242[[#This Row],[Company number]],#REF!,25,FALSE)</f>
        <v>#REF!</v>
      </c>
      <c r="M471" s="62" t="str">
        <f>IFERROR(VLOOKUP(Tableau242[[#This Row],[Company number]],#REF!,30,FALSE),"")</f>
        <v/>
      </c>
      <c r="N471" s="62" t="str">
        <f>IFERROR(VLOOKUP(Tableau242[[#This Row],[Company number]],#REF!,31,FALSE),"")</f>
        <v/>
      </c>
      <c r="O471" s="62" t="str">
        <f>IFERROR(VLOOKUP(Tableau242[[#This Row],[Company number]],#REF!,32,FALSE),"")</f>
        <v/>
      </c>
      <c r="P471" s="62">
        <f>IFERROR(VLOOKUP(B471,Tableau3[#All],5,FALSE),"Matricule!")</f>
        <v>20</v>
      </c>
      <c r="Q471" s="62">
        <f>IFERROR(SUM(VLOOKUP(B471,Tableau3[#All],6,FALSE),VLOOKUP(B471,Tableau3[#All],8,FALSE)),"Matricule!")</f>
        <v>0</v>
      </c>
      <c r="R471" s="62">
        <f>IFERROR(VLOOKUP(B471,Tableau3[#All],7,FALSE),"Matricule!")</f>
        <v>0</v>
      </c>
      <c r="S471" s="62">
        <f>IFERROR(Tableau242[[#This Row],[Prod. days WK]]-Tableau242[[#This Row],[Prod PXX]],"Matricule")</f>
        <v>0</v>
      </c>
      <c r="T471" s="62">
        <f>IFERROR(Tableau242[[#This Row],[Non prod. days WK]]-Tableau242[[#This Row],[Improd PXX]],"Matricule")</f>
        <v>0</v>
      </c>
      <c r="U471" s="62">
        <f>IFERROR(Tableau242[[#This Row],[Paid leave days WK]]-Tableau242[[#This Row],[Congé PXX]],"Matricule")</f>
        <v>0</v>
      </c>
      <c r="V471" s="63">
        <f>IFERROR(VLOOKUP($B471,#REF!,4,FALSE),0)</f>
        <v>0</v>
      </c>
      <c r="W47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71" s="63">
        <f>IF(AND(Tableau242[[#This Row],[Paid leave days]]&gt;0,Tableau242[[#This Row],[Prod. days]]&lt;0),MIN(Tableau242[[#This Row],[Paid leave days]],-Tableau242[[#This Row],[Prod. days]]),0)</f>
        <v>0</v>
      </c>
      <c r="Z471" s="63">
        <f>IFERROR(_xlfn.XLOOKUP(Tableau242[[#This Row],[Consultant]],Tableau2[Collaborateur/Nom affiché],Tableau2[Montant imputé],0),0)</f>
        <v>0</v>
      </c>
      <c r="AA471" s="64">
        <f t="shared" si="8"/>
        <v>0</v>
      </c>
      <c r="AB471" s="65"/>
      <c r="AC471" s="66"/>
      <c r="AD471" s="66"/>
      <c r="AE471" s="105"/>
      <c r="AF471" s="90"/>
    </row>
    <row r="472" spans="1:32">
      <c r="A472" s="15">
        <f>Tableau242[[#This Row],[Company number]]+0</f>
        <v>4853</v>
      </c>
      <c r="B472" s="60" t="s">
        <v>1076</v>
      </c>
      <c r="C472" s="61" t="s">
        <v>1077</v>
      </c>
      <c r="D472" s="61" t="s">
        <v>43</v>
      </c>
      <c r="E472" s="62" t="str">
        <f>IFERROR(VLOOKUP(Tableau242[[#This Row],[Manager ou CDM concerné]],Parametres!B:C,2,FALSE),"")</f>
        <v>Squad C</v>
      </c>
      <c r="F472" s="62" t="str">
        <f>IF(Tableau242[[#This Row],[Consultant]]=Tableau242[[#This Row],[Manager ou CDM concerné]],"Non",IF(IFERROR(VLOOKUP(Tableau242[[#This Row],[Consultant]],Parametres!B:C,2,FALSE),0)=0,"Non","Oui"))</f>
        <v>Non</v>
      </c>
      <c r="G472" s="62">
        <f>IFERROR(VLOOKUP(B472,Tableau5[#All],4,FALSE),"Matricule!")</f>
        <v>19.5</v>
      </c>
      <c r="H472" s="62" t="str">
        <f>IFERROR(VLOOKUP(Tableau242[[#This Row],[Company number]],#REF!,6,FALSE),"")</f>
        <v/>
      </c>
      <c r="I472" s="62">
        <f>IFERROR(VLOOKUP(B472,Tableau5[#All],5,FALSE),"Matricule!")</f>
        <v>0.5</v>
      </c>
      <c r="J472" s="62">
        <f>IFERROR(VLOOKUP(B472,Tableau5[#All],6,FALSE),"Matricule!")</f>
        <v>0</v>
      </c>
      <c r="K472" s="62">
        <f>IFERROR(VLOOKUP(B472,Tableau5[#All],7,FALSE),"Matricule!")</f>
        <v>0</v>
      </c>
      <c r="L472" s="62" t="e">
        <f>VLOOKUP(Tableau242[[#This Row],[Company number]],#REF!,25,FALSE)</f>
        <v>#REF!</v>
      </c>
      <c r="M472" s="62" t="str">
        <f>IFERROR(VLOOKUP(Tableau242[[#This Row],[Company number]],#REF!,30,FALSE),"")</f>
        <v/>
      </c>
      <c r="N472" s="62" t="str">
        <f>IFERROR(VLOOKUP(Tableau242[[#This Row],[Company number]],#REF!,31,FALSE),"")</f>
        <v/>
      </c>
      <c r="O472" s="62" t="str">
        <f>IFERROR(VLOOKUP(Tableau242[[#This Row],[Company number]],#REF!,32,FALSE),"")</f>
        <v/>
      </c>
      <c r="P472" s="62">
        <f>IFERROR(VLOOKUP(B472,Tableau3[#All],5,FALSE),"Matricule!")</f>
        <v>20</v>
      </c>
      <c r="Q472" s="62">
        <f>IFERROR(SUM(VLOOKUP(B472,Tableau3[#All],6,FALSE),VLOOKUP(B472,Tableau3[#All],8,FALSE)),"Matricule!")</f>
        <v>0</v>
      </c>
      <c r="R472" s="62">
        <f>IFERROR(VLOOKUP(B472,Tableau3[#All],7,FALSE),"Matricule!")</f>
        <v>0</v>
      </c>
      <c r="S472" s="62">
        <f>IFERROR(Tableau242[[#This Row],[Prod. days WK]]-Tableau242[[#This Row],[Prod PXX]],"Matricule")</f>
        <v>-0.5</v>
      </c>
      <c r="T472" s="62">
        <f>IFERROR(Tableau242[[#This Row],[Non prod. days WK]]-Tableau242[[#This Row],[Improd PXX]],"Matricule")</f>
        <v>0.5</v>
      </c>
      <c r="U472" s="62">
        <f>IFERROR(Tableau242[[#This Row],[Paid leave days WK]]-Tableau242[[#This Row],[Congé PXX]],"Matricule")</f>
        <v>0</v>
      </c>
      <c r="V472" s="63">
        <f>IFERROR(VLOOKUP($B472,#REF!,4,FALSE),0)</f>
        <v>0</v>
      </c>
      <c r="W47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72" s="63">
        <f>IF(AND(Tableau242[[#This Row],[Paid leave days]]&gt;0,Tableau242[[#This Row],[Prod. days]]&lt;0),MIN(Tableau242[[#This Row],[Paid leave days]],-Tableau242[[#This Row],[Prod. days]]),0)</f>
        <v>0</v>
      </c>
      <c r="Z472" s="63">
        <f>IFERROR(_xlfn.XLOOKUP(Tableau242[[#This Row],[Consultant]],Tableau2[Collaborateur/Nom affiché],Tableau2[Montant imputé],0),0)</f>
        <v>0</v>
      </c>
      <c r="AA472" s="64">
        <f t="shared" si="8"/>
        <v>-0.5</v>
      </c>
      <c r="AB472" s="65" t="s">
        <v>147</v>
      </c>
      <c r="AC472" s="66"/>
      <c r="AD472" s="66"/>
      <c r="AE472" s="105"/>
      <c r="AF472" s="90"/>
    </row>
    <row r="473" spans="1:32">
      <c r="A473" s="15">
        <f>Tableau242[[#This Row],[Company number]]+0</f>
        <v>21616</v>
      </c>
      <c r="B473" s="60" t="s">
        <v>1078</v>
      </c>
      <c r="C473" s="61" t="s">
        <v>1079</v>
      </c>
      <c r="D473" s="61" t="s">
        <v>37</v>
      </c>
      <c r="E473" s="62" t="str">
        <f>IFERROR(VLOOKUP(Tableau242[[#This Row],[Manager ou CDM concerné]],Parametres!B:C,2,FALSE),"")</f>
        <v>Squad H</v>
      </c>
      <c r="F473" s="62" t="str">
        <f>IF(Tableau242[[#This Row],[Consultant]]=Tableau242[[#This Row],[Manager ou CDM concerné]],"Non",IF(IFERROR(VLOOKUP(Tableau242[[#This Row],[Consultant]],Parametres!B:C,2,FALSE),0)=0,"Non","Oui"))</f>
        <v>Non</v>
      </c>
      <c r="G473" s="62">
        <f>IFERROR(VLOOKUP(B473,Tableau5[#All],4,FALSE),"Matricule!")</f>
        <v>0</v>
      </c>
      <c r="H473" s="62" t="str">
        <f>IFERROR(VLOOKUP(Tableau242[[#This Row],[Company number]],#REF!,6,FALSE),"")</f>
        <v/>
      </c>
      <c r="I473" s="62">
        <f>IFERROR(VLOOKUP(B473,Tableau5[#All],5,FALSE),"Matricule!")</f>
        <v>17.5</v>
      </c>
      <c r="J473" s="62">
        <f>IFERROR(VLOOKUP(B473,Tableau5[#All],6,FALSE),"Matricule!")</f>
        <v>2.5</v>
      </c>
      <c r="K473" s="62">
        <f>IFERROR(VLOOKUP(B473,Tableau5[#All],7,FALSE),"Matricule!")</f>
        <v>0</v>
      </c>
      <c r="L473" s="62" t="e">
        <f>VLOOKUP(Tableau242[[#This Row],[Company number]],#REF!,25,FALSE)</f>
        <v>#REF!</v>
      </c>
      <c r="M473" s="62" t="str">
        <f>IFERROR(VLOOKUP(Tableau242[[#This Row],[Company number]],#REF!,30,FALSE),"")</f>
        <v/>
      </c>
      <c r="N473" s="62" t="str">
        <f>IFERROR(VLOOKUP(Tableau242[[#This Row],[Company number]],#REF!,31,FALSE),"")</f>
        <v/>
      </c>
      <c r="O473" s="62" t="str">
        <f>IFERROR(VLOOKUP(Tableau242[[#This Row],[Company number]],#REF!,32,FALSE),"")</f>
        <v/>
      </c>
      <c r="P473" s="62">
        <f>IFERROR(VLOOKUP(B473,Tableau3[#All],5,FALSE),"Matricule!")</f>
        <v>0</v>
      </c>
      <c r="Q473" s="62">
        <f>IFERROR(SUM(VLOOKUP(B473,Tableau3[#All],6,FALSE),VLOOKUP(B473,Tableau3[#All],8,FALSE)),"Matricule!")</f>
        <v>17.5</v>
      </c>
      <c r="R473" s="62">
        <f>IFERROR(VLOOKUP(B473,Tableau3[#All],7,FALSE),"Matricule!")</f>
        <v>2.5</v>
      </c>
      <c r="S473" s="62">
        <f>IFERROR(Tableau242[[#This Row],[Prod. days WK]]-Tableau242[[#This Row],[Prod PXX]],"Matricule")</f>
        <v>0</v>
      </c>
      <c r="T473" s="62">
        <f>IFERROR(Tableau242[[#This Row],[Non prod. days WK]]-Tableau242[[#This Row],[Improd PXX]],"Matricule")</f>
        <v>0</v>
      </c>
      <c r="U473" s="62">
        <f>IFERROR(Tableau242[[#This Row],[Paid leave days WK]]-Tableau242[[#This Row],[Congé PXX]],"Matricule")</f>
        <v>0</v>
      </c>
      <c r="V473" s="63">
        <f>IFERROR(VLOOKUP($B473,#REF!,4,FALSE),0)</f>
        <v>0</v>
      </c>
      <c r="W47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73" s="63">
        <f>IF(AND(Tableau242[[#This Row],[Paid leave days]]&gt;0,Tableau242[[#This Row],[Prod. days]]&lt;0),MIN(Tableau242[[#This Row],[Paid leave days]],-Tableau242[[#This Row],[Prod. days]]),0)</f>
        <v>0</v>
      </c>
      <c r="Z473" s="63">
        <f>IFERROR(_xlfn.XLOOKUP(Tableau242[[#This Row],[Consultant]],Tableau2[Collaborateur/Nom affiché],Tableau2[Montant imputé],0),0)</f>
        <v>0</v>
      </c>
      <c r="AA473" s="64">
        <f t="shared" si="8"/>
        <v>0</v>
      </c>
      <c r="AB473" s="65"/>
      <c r="AC473" s="66"/>
      <c r="AD473" s="66"/>
      <c r="AE473" s="105"/>
      <c r="AF473" s="90"/>
    </row>
    <row r="474" spans="1:32">
      <c r="A474" s="15">
        <f>Tableau242[[#This Row],[Company number]]+0</f>
        <v>21135</v>
      </c>
      <c r="B474" s="60" t="s">
        <v>1080</v>
      </c>
      <c r="C474" s="61" t="s">
        <v>1081</v>
      </c>
      <c r="D474" s="61" t="s">
        <v>37</v>
      </c>
      <c r="E474" s="62" t="str">
        <f>IFERROR(VLOOKUP(Tableau242[[#This Row],[Manager ou CDM concerné]],Parametres!B:C,2,FALSE),"")</f>
        <v>Squad H</v>
      </c>
      <c r="F474" s="62" t="str">
        <f>IF(Tableau242[[#This Row],[Consultant]]=Tableau242[[#This Row],[Manager ou CDM concerné]],"Non",IF(IFERROR(VLOOKUP(Tableau242[[#This Row],[Consultant]],Parametres!B:C,2,FALSE),0)=0,"Non","Oui"))</f>
        <v>Non</v>
      </c>
      <c r="G474" s="62">
        <f>IFERROR(VLOOKUP(B474,Tableau5[#All],4,FALSE),"Matricule!")</f>
        <v>20</v>
      </c>
      <c r="H474" s="62" t="str">
        <f>IFERROR(VLOOKUP(Tableau242[[#This Row],[Company number]],#REF!,6,FALSE),"")</f>
        <v/>
      </c>
      <c r="I474" s="62">
        <f>IFERROR(VLOOKUP(B474,Tableau5[#All],5,FALSE),"Matricule!")</f>
        <v>0</v>
      </c>
      <c r="J474" s="62">
        <f>IFERROR(VLOOKUP(B474,Tableau5[#All],6,FALSE),"Matricule!")</f>
        <v>0</v>
      </c>
      <c r="K474" s="62">
        <f>IFERROR(VLOOKUP(B474,Tableau5[#All],7,FALSE),"Matricule!")</f>
        <v>0</v>
      </c>
      <c r="L474" s="62" t="e">
        <f>VLOOKUP(Tableau242[[#This Row],[Company number]],#REF!,25,FALSE)</f>
        <v>#REF!</v>
      </c>
      <c r="M474" s="62" t="str">
        <f>IFERROR(VLOOKUP(Tableau242[[#This Row],[Company number]],#REF!,30,FALSE),"")</f>
        <v/>
      </c>
      <c r="N474" s="62" t="str">
        <f>IFERROR(VLOOKUP(Tableau242[[#This Row],[Company number]],#REF!,31,FALSE),"")</f>
        <v/>
      </c>
      <c r="O474" s="62" t="str">
        <f>IFERROR(VLOOKUP(Tableau242[[#This Row],[Company number]],#REF!,32,FALSE),"")</f>
        <v/>
      </c>
      <c r="P474" s="62">
        <f>IFERROR(VLOOKUP(B474,Tableau3[#All],5,FALSE),"Matricule!")</f>
        <v>20</v>
      </c>
      <c r="Q474" s="62">
        <f>IFERROR(SUM(VLOOKUP(B474,Tableau3[#All],6,FALSE),VLOOKUP(B474,Tableau3[#All],8,FALSE)),"Matricule!")</f>
        <v>0</v>
      </c>
      <c r="R474" s="62">
        <f>IFERROR(VLOOKUP(B474,Tableau3[#All],7,FALSE),"Matricule!")</f>
        <v>0</v>
      </c>
      <c r="S474" s="62">
        <f>IFERROR(Tableau242[[#This Row],[Prod. days WK]]-Tableau242[[#This Row],[Prod PXX]],"Matricule")</f>
        <v>0</v>
      </c>
      <c r="T474" s="62">
        <f>IFERROR(Tableau242[[#This Row],[Non prod. days WK]]-Tableau242[[#This Row],[Improd PXX]],"Matricule")</f>
        <v>0</v>
      </c>
      <c r="U474" s="62">
        <f>IFERROR(Tableau242[[#This Row],[Paid leave days WK]]-Tableau242[[#This Row],[Congé PXX]],"Matricule")</f>
        <v>0</v>
      </c>
      <c r="V474" s="63">
        <f>IFERROR(VLOOKUP($B474,#REF!,4,FALSE),0)</f>
        <v>0</v>
      </c>
      <c r="W47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74" s="63">
        <f>IF(AND(Tableau242[[#This Row],[Paid leave days]]&gt;0,Tableau242[[#This Row],[Prod. days]]&lt;0),MIN(Tableau242[[#This Row],[Paid leave days]],-Tableau242[[#This Row],[Prod. days]]),0)</f>
        <v>0</v>
      </c>
      <c r="Z474" s="63">
        <f>IFERROR(_xlfn.XLOOKUP(Tableau242[[#This Row],[Consultant]],Tableau2[Collaborateur/Nom affiché],Tableau2[Montant imputé],0),0)</f>
        <v>0</v>
      </c>
      <c r="AA474" s="64">
        <f t="shared" si="8"/>
        <v>0</v>
      </c>
      <c r="AB474" s="78"/>
      <c r="AC474" s="66"/>
      <c r="AD474" s="66"/>
      <c r="AE474" s="39"/>
      <c r="AF474" s="90"/>
    </row>
    <row r="475" spans="1:32">
      <c r="A475" s="15">
        <f>Tableau242[[#This Row],[Company number]]+0</f>
        <v>13065</v>
      </c>
      <c r="B475" s="60" t="s">
        <v>1082</v>
      </c>
      <c r="C475" s="61" t="s">
        <v>1083</v>
      </c>
      <c r="D475" s="61" t="s">
        <v>39</v>
      </c>
      <c r="E475" s="62" t="str">
        <f>IFERROR(VLOOKUP(Tableau242[[#This Row],[Manager ou CDM concerné]],Parametres!B:C,2,FALSE),"")</f>
        <v>Squad F</v>
      </c>
      <c r="F475" s="62" t="str">
        <f>IF(Tableau242[[#This Row],[Consultant]]=Tableau242[[#This Row],[Manager ou CDM concerné]],"Non",IF(IFERROR(VLOOKUP(Tableau242[[#This Row],[Consultant]],Parametres!B:C,2,FALSE),0)=0,"Non","Oui"))</f>
        <v>Non</v>
      </c>
      <c r="G475" s="62">
        <f>IFERROR(VLOOKUP(B475,Tableau5[#All],4,FALSE),"Matricule!")</f>
        <v>18.5</v>
      </c>
      <c r="H475" s="62" t="str">
        <f>IFERROR(VLOOKUP(Tableau242[[#This Row],[Company number]],#REF!,6,FALSE),"")</f>
        <v/>
      </c>
      <c r="I475" s="62">
        <f>IFERROR(VLOOKUP(B475,Tableau5[#All],5,FALSE),"Matricule!")</f>
        <v>0.5</v>
      </c>
      <c r="J475" s="62">
        <f>IFERROR(VLOOKUP(B475,Tableau5[#All],6,FALSE),"Matricule!")</f>
        <v>1</v>
      </c>
      <c r="K475" s="62">
        <f>IFERROR(VLOOKUP(B475,Tableau5[#All],7,FALSE),"Matricule!")</f>
        <v>0</v>
      </c>
      <c r="L475" s="62" t="e">
        <f>VLOOKUP(Tableau242[[#This Row],[Company number]],#REF!,25,FALSE)</f>
        <v>#REF!</v>
      </c>
      <c r="M475" s="62" t="str">
        <f>IFERROR(VLOOKUP(Tableau242[[#This Row],[Company number]],#REF!,30,FALSE),"")</f>
        <v/>
      </c>
      <c r="N475" s="62" t="str">
        <f>IFERROR(VLOOKUP(Tableau242[[#This Row],[Company number]],#REF!,31,FALSE),"")</f>
        <v/>
      </c>
      <c r="O475" s="62" t="str">
        <f>IFERROR(VLOOKUP(Tableau242[[#This Row],[Company number]],#REF!,32,FALSE),"")</f>
        <v/>
      </c>
      <c r="P475" s="62">
        <f>IFERROR(VLOOKUP(B475,Tableau3[#All],5,FALSE),"Matricule!")</f>
        <v>19</v>
      </c>
      <c r="Q475" s="62">
        <f>IFERROR(SUM(VLOOKUP(B475,Tableau3[#All],6,FALSE),VLOOKUP(B475,Tableau3[#All],8,FALSE)),"Matricule!")</f>
        <v>0</v>
      </c>
      <c r="R475" s="62">
        <f>IFERROR(VLOOKUP(B475,Tableau3[#All],7,FALSE),"Matricule!")</f>
        <v>1</v>
      </c>
      <c r="S475" s="62">
        <f>IFERROR(Tableau242[[#This Row],[Prod. days WK]]-Tableau242[[#This Row],[Prod PXX]],"Matricule")</f>
        <v>-0.5</v>
      </c>
      <c r="T475" s="62">
        <f>IFERROR(Tableau242[[#This Row],[Non prod. days WK]]-Tableau242[[#This Row],[Improd PXX]],"Matricule")</f>
        <v>0.5</v>
      </c>
      <c r="U475" s="62">
        <f>IFERROR(Tableau242[[#This Row],[Paid leave days WK]]-Tableau242[[#This Row],[Congé PXX]],"Matricule")</f>
        <v>0</v>
      </c>
      <c r="V475" s="63">
        <f>IFERROR(VLOOKUP($B475,#REF!,4,FALSE),0)</f>
        <v>0</v>
      </c>
      <c r="W47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75" s="63">
        <f>IF(AND(Tableau242[[#This Row],[Paid leave days]]&gt;0,Tableau242[[#This Row],[Prod. days]]&lt;0),MIN(Tableau242[[#This Row],[Paid leave days]],-Tableau242[[#This Row],[Prod. days]]),0)</f>
        <v>0</v>
      </c>
      <c r="Z475" s="63">
        <f>IFERROR(_xlfn.XLOOKUP(Tableau242[[#This Row],[Consultant]],Tableau2[Collaborateur/Nom affiché],Tableau2[Montant imputé],0),0)</f>
        <v>0</v>
      </c>
      <c r="AA475" s="64">
        <f t="shared" si="8"/>
        <v>-0.5</v>
      </c>
      <c r="AB475" s="87" t="s">
        <v>147</v>
      </c>
      <c r="AC475" s="66"/>
      <c r="AD475" s="66"/>
      <c r="AE475" s="105"/>
      <c r="AF475" s="90"/>
    </row>
    <row r="476" spans="1:32" ht="29.1" customHeight="1">
      <c r="A476" s="15">
        <f>Tableau242[[#This Row],[Company number]]+0</f>
        <v>22306</v>
      </c>
      <c r="B476" s="60" t="s">
        <v>1084</v>
      </c>
      <c r="C476" s="61" t="s">
        <v>1085</v>
      </c>
      <c r="D476" s="61" t="s">
        <v>609</v>
      </c>
      <c r="E476" s="62" t="str">
        <f>IFERROR(VLOOKUP(Tableau242[[#This Row],[Manager ou CDM concerné]],Parametres!B:C,2,FALSE),"")</f>
        <v>Squad D</v>
      </c>
      <c r="F476" s="62" t="str">
        <f>IF(Tableau242[[#This Row],[Consultant]]=Tableau242[[#This Row],[Manager ou CDM concerné]],"Non",IF(IFERROR(VLOOKUP(Tableau242[[#This Row],[Consultant]],Parametres!B:C,2,FALSE),0)=0,"Non","Oui"))</f>
        <v>Non</v>
      </c>
      <c r="G476" s="62">
        <f>IFERROR(VLOOKUP(B476,Tableau5[#All],4,FALSE),"Matricule!")</f>
        <v>0</v>
      </c>
      <c r="H476" s="62" t="str">
        <f>IFERROR(VLOOKUP(Tableau242[[#This Row],[Company number]],#REF!,6,FALSE),"")</f>
        <v/>
      </c>
      <c r="I476" s="62">
        <f>IFERROR(VLOOKUP(B476,Tableau5[#All],5,FALSE),"Matricule!")</f>
        <v>20</v>
      </c>
      <c r="J476" s="62">
        <f>IFERROR(VLOOKUP(B476,Tableau5[#All],6,FALSE),"Matricule!")</f>
        <v>0</v>
      </c>
      <c r="K476" s="62">
        <f>IFERROR(VLOOKUP(B476,Tableau5[#All],7,FALSE),"Matricule!")</f>
        <v>0</v>
      </c>
      <c r="L476" s="62" t="e">
        <f>VLOOKUP(Tableau242[[#This Row],[Company number]],#REF!,25,FALSE)</f>
        <v>#REF!</v>
      </c>
      <c r="M476" s="62" t="str">
        <f>IFERROR(VLOOKUP(Tableau242[[#This Row],[Company number]],#REF!,30,FALSE),"")</f>
        <v/>
      </c>
      <c r="N476" s="62" t="str">
        <f>IFERROR(VLOOKUP(Tableau242[[#This Row],[Company number]],#REF!,31,FALSE),"")</f>
        <v/>
      </c>
      <c r="O476" s="62" t="str">
        <f>IFERROR(VLOOKUP(Tableau242[[#This Row],[Company number]],#REF!,32,FALSE),"")</f>
        <v/>
      </c>
      <c r="P476" s="62">
        <f>IFERROR(VLOOKUP(B476,Tableau3[#All],5,FALSE),"Matricule!")</f>
        <v>0</v>
      </c>
      <c r="Q476" s="62">
        <f>IFERROR(SUM(VLOOKUP(B476,Tableau3[#All],6,FALSE),VLOOKUP(B476,Tableau3[#All],8,FALSE)),"Matricule!")</f>
        <v>20</v>
      </c>
      <c r="R476" s="62">
        <f>IFERROR(VLOOKUP(B476,Tableau3[#All],7,FALSE),"Matricule!")</f>
        <v>0</v>
      </c>
      <c r="S476" s="62">
        <f>IFERROR(Tableau242[[#This Row],[Prod. days WK]]-Tableau242[[#This Row],[Prod PXX]],"Matricule")</f>
        <v>0</v>
      </c>
      <c r="T476" s="62">
        <f>IFERROR(Tableau242[[#This Row],[Non prod. days WK]]-Tableau242[[#This Row],[Improd PXX]],"Matricule")</f>
        <v>0</v>
      </c>
      <c r="U476" s="62">
        <f>IFERROR(Tableau242[[#This Row],[Paid leave days WK]]-Tableau242[[#This Row],[Congé PXX]],"Matricule")</f>
        <v>0</v>
      </c>
      <c r="V476" s="63">
        <f>IFERROR(VLOOKUP($B476,#REF!,4,FALSE),0)</f>
        <v>0</v>
      </c>
      <c r="W47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76" s="63">
        <f>IF(AND(Tableau242[[#This Row],[Paid leave days]]&gt;0,Tableau242[[#This Row],[Prod. days]]&lt;0),MIN(Tableau242[[#This Row],[Paid leave days]],-Tableau242[[#This Row],[Prod. days]]),0)</f>
        <v>0</v>
      </c>
      <c r="Z476" s="63">
        <f>IFERROR(_xlfn.XLOOKUP(Tableau242[[#This Row],[Consultant]],Tableau2[Collaborateur/Nom affiché],Tableau2[Montant imputé],0),0)</f>
        <v>0</v>
      </c>
      <c r="AA476" s="64">
        <f t="shared" si="8"/>
        <v>0</v>
      </c>
      <c r="AB476" s="65"/>
      <c r="AC476" s="66"/>
      <c r="AD476" s="66"/>
      <c r="AE476" s="105"/>
      <c r="AF476" s="90"/>
    </row>
    <row r="477" spans="1:32">
      <c r="A477" s="15">
        <f>Tableau242[[#This Row],[Company number]]+0</f>
        <v>21066</v>
      </c>
      <c r="B477" s="60" t="s">
        <v>1086</v>
      </c>
      <c r="C477" s="61" t="s">
        <v>1087</v>
      </c>
      <c r="D477" s="61" t="s">
        <v>51</v>
      </c>
      <c r="E477" s="62" t="str">
        <f>IFERROR(VLOOKUP(Tableau242[[#This Row],[Manager ou CDM concerné]],Parametres!B:C,2,FALSE),"")</f>
        <v>Squad C</v>
      </c>
      <c r="F477" s="62" t="str">
        <f>IF(Tableau242[[#This Row],[Consultant]]=Tableau242[[#This Row],[Manager ou CDM concerné]],"Non",IF(IFERROR(VLOOKUP(Tableau242[[#This Row],[Consultant]],Parametres!B:C,2,FALSE),0)=0,"Non","Oui"))</f>
        <v>Non</v>
      </c>
      <c r="G477" s="62">
        <f>IFERROR(VLOOKUP(B477,Tableau5[#All],4,FALSE),"Matricule!")</f>
        <v>20</v>
      </c>
      <c r="H477" s="62" t="str">
        <f>IFERROR(VLOOKUP(Tableau242[[#This Row],[Company number]],#REF!,6,FALSE),"")</f>
        <v/>
      </c>
      <c r="I477" s="62">
        <f>IFERROR(VLOOKUP(B477,Tableau5[#All],5,FALSE),"Matricule!")</f>
        <v>0</v>
      </c>
      <c r="J477" s="62">
        <f>IFERROR(VLOOKUP(B477,Tableau5[#All],6,FALSE),"Matricule!")</f>
        <v>0</v>
      </c>
      <c r="K477" s="62">
        <f>IFERROR(VLOOKUP(B477,Tableau5[#All],7,FALSE),"Matricule!")</f>
        <v>0</v>
      </c>
      <c r="L477" s="62" t="e">
        <f>VLOOKUP(Tableau242[[#This Row],[Company number]],#REF!,25,FALSE)</f>
        <v>#REF!</v>
      </c>
      <c r="M477" s="62" t="str">
        <f>IFERROR(VLOOKUP(Tableau242[[#This Row],[Company number]],#REF!,30,FALSE),"")</f>
        <v/>
      </c>
      <c r="N477" s="62" t="str">
        <f>IFERROR(VLOOKUP(Tableau242[[#This Row],[Company number]],#REF!,31,FALSE),"")</f>
        <v/>
      </c>
      <c r="O477" s="62" t="str">
        <f>IFERROR(VLOOKUP(Tableau242[[#This Row],[Company number]],#REF!,32,FALSE),"")</f>
        <v/>
      </c>
      <c r="P477" s="62">
        <f>IFERROR(VLOOKUP(B477,Tableau3[#All],5,FALSE),"Matricule!")</f>
        <v>20</v>
      </c>
      <c r="Q477" s="62">
        <f>IFERROR(SUM(VLOOKUP(B477,Tableau3[#All],6,FALSE),VLOOKUP(B477,Tableau3[#All],8,FALSE)),"Matricule!")</f>
        <v>0</v>
      </c>
      <c r="R477" s="62">
        <f>IFERROR(VLOOKUP(B477,Tableau3[#All],7,FALSE),"Matricule!")</f>
        <v>0</v>
      </c>
      <c r="S477" s="62">
        <f>IFERROR(Tableau242[[#This Row],[Prod. days WK]]-Tableau242[[#This Row],[Prod PXX]],"Matricule")</f>
        <v>0</v>
      </c>
      <c r="T477" s="62">
        <f>IFERROR(Tableau242[[#This Row],[Non prod. days WK]]-Tableau242[[#This Row],[Improd PXX]],"Matricule")</f>
        <v>0</v>
      </c>
      <c r="U477" s="62">
        <f>IFERROR(Tableau242[[#This Row],[Paid leave days WK]]-Tableau242[[#This Row],[Congé PXX]],"Matricule")</f>
        <v>0</v>
      </c>
      <c r="V477" s="63">
        <f>IFERROR(VLOOKUP($B477,#REF!,4,FALSE),0)</f>
        <v>0</v>
      </c>
      <c r="W47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77" s="63">
        <f>IF(AND(Tableau242[[#This Row],[Paid leave days]]&gt;0,Tableau242[[#This Row],[Prod. days]]&lt;0),MIN(Tableau242[[#This Row],[Paid leave days]],-Tableau242[[#This Row],[Prod. days]]),0)</f>
        <v>0</v>
      </c>
      <c r="Z477" s="63">
        <f>IFERROR(_xlfn.XLOOKUP(Tableau242[[#This Row],[Consultant]],Tableau2[Collaborateur/Nom affiché],Tableau2[Montant imputé],0),0)</f>
        <v>0</v>
      </c>
      <c r="AA477" s="64">
        <f t="shared" si="8"/>
        <v>0</v>
      </c>
      <c r="AB477" s="65"/>
      <c r="AC477" s="67"/>
      <c r="AD477" s="66"/>
      <c r="AE477" s="114"/>
      <c r="AF477" s="93"/>
    </row>
    <row r="478" spans="1:32" ht="14.45" customHeight="1">
      <c r="A478" s="15">
        <f>Tableau242[[#This Row],[Company number]]+0</f>
        <v>13175</v>
      </c>
      <c r="B478" s="60" t="s">
        <v>1088</v>
      </c>
      <c r="C478" s="61" t="s">
        <v>82</v>
      </c>
      <c r="D478" s="61" t="s">
        <v>13</v>
      </c>
      <c r="E478" s="62" t="str">
        <f>IFERROR(VLOOKUP(Tableau242[[#This Row],[Manager ou CDM concerné]],Parametres!B:C,2,FALSE),"")</f>
        <v>Squad F</v>
      </c>
      <c r="F478" s="62" t="str">
        <f>IF(Tableau242[[#This Row],[Consultant]]=Tableau242[[#This Row],[Manager ou CDM concerné]],"Non",IF(IFERROR(VLOOKUP(Tableau242[[#This Row],[Consultant]],Parametres!B:C,2,FALSE),0)=0,"Non","Oui"))</f>
        <v>Oui</v>
      </c>
      <c r="G478" s="62">
        <f>IFERROR(VLOOKUP(B478,Tableau5[#All],4,FALSE),"Matricule!")</f>
        <v>0.5</v>
      </c>
      <c r="H478" s="62" t="str">
        <f>IFERROR(VLOOKUP(Tableau242[[#This Row],[Company number]],#REF!,6,FALSE),"")</f>
        <v/>
      </c>
      <c r="I478" s="62">
        <f>IFERROR(VLOOKUP(B478,Tableau5[#All],5,FALSE),"Matricule!")</f>
        <v>19.5</v>
      </c>
      <c r="J478" s="62">
        <f>IFERROR(VLOOKUP(B478,Tableau5[#All],6,FALSE),"Matricule!")</f>
        <v>0</v>
      </c>
      <c r="K478" s="62">
        <f>IFERROR(VLOOKUP(B478,Tableau5[#All],7,FALSE),"Matricule!")</f>
        <v>0</v>
      </c>
      <c r="L478" s="62" t="e">
        <f>VLOOKUP(Tableau242[[#This Row],[Company number]],#REF!,25,FALSE)</f>
        <v>#REF!</v>
      </c>
      <c r="M478" s="62" t="str">
        <f>IFERROR(VLOOKUP(Tableau242[[#This Row],[Company number]],#REF!,30,FALSE),"")</f>
        <v/>
      </c>
      <c r="N478" s="62" t="str">
        <f>IFERROR(VLOOKUP(Tableau242[[#This Row],[Company number]],#REF!,31,FALSE),"")</f>
        <v/>
      </c>
      <c r="O478" s="62" t="str">
        <f>IFERROR(VLOOKUP(Tableau242[[#This Row],[Company number]],#REF!,32,FALSE),"")</f>
        <v/>
      </c>
      <c r="P478" s="62">
        <f>IFERROR(VLOOKUP(B478,Tableau3[#All],5,FALSE),"Matricule!")</f>
        <v>1</v>
      </c>
      <c r="Q478" s="62">
        <f>IFERROR(SUM(VLOOKUP(B478,Tableau3[#All],6,FALSE),VLOOKUP(B478,Tableau3[#All],8,FALSE)),"Matricule!")</f>
        <v>19</v>
      </c>
      <c r="R478" s="62">
        <f>IFERROR(VLOOKUP(B478,Tableau3[#All],7,FALSE),"Matricule!")</f>
        <v>0</v>
      </c>
      <c r="S478" s="62">
        <f>IFERROR(Tableau242[[#This Row],[Prod. days WK]]-Tableau242[[#This Row],[Prod PXX]],"Matricule")</f>
        <v>-0.5</v>
      </c>
      <c r="T478" s="62">
        <f>IFERROR(Tableau242[[#This Row],[Non prod. days WK]]-Tableau242[[#This Row],[Improd PXX]],"Matricule")</f>
        <v>0.5</v>
      </c>
      <c r="U478" s="62">
        <f>IFERROR(Tableau242[[#This Row],[Paid leave days WK]]-Tableau242[[#This Row],[Congé PXX]],"Matricule")</f>
        <v>0</v>
      </c>
      <c r="V478" s="63">
        <f>IFERROR(VLOOKUP($B478,#REF!,4,FALSE),0)</f>
        <v>0</v>
      </c>
      <c r="W47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78" s="63">
        <f>IF(AND(Tableau242[[#This Row],[Paid leave days]]&gt;0,Tableau242[[#This Row],[Prod. days]]&lt;0),MIN(Tableau242[[#This Row],[Paid leave days]],-Tableau242[[#This Row],[Prod. days]]),0)</f>
        <v>0</v>
      </c>
      <c r="Z478" s="63">
        <f>IFERROR(_xlfn.XLOOKUP(Tableau242[[#This Row],[Consultant]],Tableau2[Collaborateur/Nom affiché],Tableau2[Montant imputé],0),0)</f>
        <v>0</v>
      </c>
      <c r="AA478" s="64">
        <f t="shared" si="8"/>
        <v>-0.5</v>
      </c>
      <c r="AB478" s="65" t="s">
        <v>147</v>
      </c>
      <c r="AC478" s="66"/>
      <c r="AD478" s="66"/>
      <c r="AE478" s="115"/>
      <c r="AF478" s="90"/>
    </row>
    <row r="479" spans="1:32" ht="14.45" customHeight="1">
      <c r="A479" s="15">
        <f>Tableau242[[#This Row],[Company number]]+0</f>
        <v>20787</v>
      </c>
      <c r="B479" s="60" t="s">
        <v>1089</v>
      </c>
      <c r="C479" s="61" t="s">
        <v>1090</v>
      </c>
      <c r="D479" s="61" t="s">
        <v>51</v>
      </c>
      <c r="E479" s="62" t="str">
        <f>IFERROR(VLOOKUP(Tableau242[[#This Row],[Manager ou CDM concerné]],Parametres!B:C,2,FALSE),"")</f>
        <v>Squad C</v>
      </c>
      <c r="F479" s="62" t="str">
        <f>IF(Tableau242[[#This Row],[Consultant]]=Tableau242[[#This Row],[Manager ou CDM concerné]],"Non",IF(IFERROR(VLOOKUP(Tableau242[[#This Row],[Consultant]],Parametres!B:C,2,FALSE),0)=0,"Non","Oui"))</f>
        <v>Non</v>
      </c>
      <c r="G479" s="62">
        <f>IFERROR(VLOOKUP(B479,Tableau5[#All],4,FALSE),"Matricule!")</f>
        <v>18.5</v>
      </c>
      <c r="H479" s="62" t="str">
        <f>IFERROR(VLOOKUP(Tableau242[[#This Row],[Company number]],#REF!,6,FALSE),"")</f>
        <v/>
      </c>
      <c r="I479" s="62">
        <f>IFERROR(VLOOKUP(B479,Tableau5[#All],5,FALSE),"Matricule!")</f>
        <v>0</v>
      </c>
      <c r="J479" s="62">
        <f>IFERROR(VLOOKUP(B479,Tableau5[#All],6,FALSE),"Matricule!")</f>
        <v>1.5</v>
      </c>
      <c r="K479" s="62">
        <f>IFERROR(VLOOKUP(B479,Tableau5[#All],7,FALSE),"Matricule!")</f>
        <v>0</v>
      </c>
      <c r="L479" s="62" t="e">
        <f>VLOOKUP(Tableau242[[#This Row],[Company number]],#REF!,25,FALSE)</f>
        <v>#REF!</v>
      </c>
      <c r="M479" s="62" t="str">
        <f>IFERROR(VLOOKUP(Tableau242[[#This Row],[Company number]],#REF!,30,FALSE),"")</f>
        <v/>
      </c>
      <c r="N479" s="62" t="str">
        <f>IFERROR(VLOOKUP(Tableau242[[#This Row],[Company number]],#REF!,31,FALSE),"")</f>
        <v/>
      </c>
      <c r="O479" s="62" t="str">
        <f>IFERROR(VLOOKUP(Tableau242[[#This Row],[Company number]],#REF!,32,FALSE),"")</f>
        <v/>
      </c>
      <c r="P479" s="62">
        <f>IFERROR(VLOOKUP(B479,Tableau3[#All],5,FALSE),"Matricule!")</f>
        <v>18.5</v>
      </c>
      <c r="Q479" s="62">
        <f>IFERROR(SUM(VLOOKUP(B479,Tableau3[#All],6,FALSE),VLOOKUP(B479,Tableau3[#All],8,FALSE)),"Matricule!")</f>
        <v>0</v>
      </c>
      <c r="R479" s="62">
        <f>IFERROR(VLOOKUP(B479,Tableau3[#All],7,FALSE),"Matricule!")</f>
        <v>1.5</v>
      </c>
      <c r="S479" s="62">
        <f>IFERROR(Tableau242[[#This Row],[Prod. days WK]]-Tableau242[[#This Row],[Prod PXX]],"Matricule")</f>
        <v>0</v>
      </c>
      <c r="T479" s="62">
        <f>IFERROR(Tableau242[[#This Row],[Non prod. days WK]]-Tableau242[[#This Row],[Improd PXX]],"Matricule")</f>
        <v>0</v>
      </c>
      <c r="U479" s="62">
        <f>IFERROR(Tableau242[[#This Row],[Paid leave days WK]]-Tableau242[[#This Row],[Congé PXX]],"Matricule")</f>
        <v>0</v>
      </c>
      <c r="V479" s="63">
        <f>IFERROR(VLOOKUP($B479,#REF!,4,FALSE),0)</f>
        <v>0</v>
      </c>
      <c r="W47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7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79" s="63">
        <f>IF(AND(Tableau242[[#This Row],[Paid leave days]]&gt;0,Tableau242[[#This Row],[Prod. days]]&lt;0),MIN(Tableau242[[#This Row],[Paid leave days]],-Tableau242[[#This Row],[Prod. days]]),0)</f>
        <v>0</v>
      </c>
      <c r="Z479" s="63">
        <f>IFERROR(_xlfn.XLOOKUP(Tableau242[[#This Row],[Consultant]],Tableau2[Collaborateur/Nom affiché],Tableau2[Montant imputé],0),0)</f>
        <v>0</v>
      </c>
      <c r="AA479" s="64">
        <f t="shared" si="8"/>
        <v>0</v>
      </c>
      <c r="AB479" s="65"/>
      <c r="AC479" s="66"/>
      <c r="AD479" s="66"/>
      <c r="AE479" s="115"/>
      <c r="AF479" s="90"/>
    </row>
    <row r="480" spans="1:32" ht="14.45" customHeight="1">
      <c r="A480" s="15">
        <f>Tableau242[[#This Row],[Company number]]+0</f>
        <v>21832</v>
      </c>
      <c r="B480" s="60" t="s">
        <v>1091</v>
      </c>
      <c r="C480" s="61" t="s">
        <v>1092</v>
      </c>
      <c r="D480" s="61" t="s">
        <v>51</v>
      </c>
      <c r="E480" s="62" t="str">
        <f>IFERROR(VLOOKUP(Tableau242[[#This Row],[Manager ou CDM concerné]],Parametres!B:C,2,FALSE),"")</f>
        <v>Squad C</v>
      </c>
      <c r="F480" s="62" t="str">
        <f>IF(Tableau242[[#This Row],[Consultant]]=Tableau242[[#This Row],[Manager ou CDM concerné]],"Non",IF(IFERROR(VLOOKUP(Tableau242[[#This Row],[Consultant]],Parametres!B:C,2,FALSE),0)=0,"Non","Oui"))</f>
        <v>Non</v>
      </c>
      <c r="G480" s="62">
        <f>IFERROR(VLOOKUP(B480,Tableau5[#All],4,FALSE),"Matricule!")</f>
        <v>20</v>
      </c>
      <c r="H480" s="62" t="str">
        <f>IFERROR(VLOOKUP(Tableau242[[#This Row],[Company number]],#REF!,6,FALSE),"")</f>
        <v/>
      </c>
      <c r="I480" s="62">
        <f>IFERROR(VLOOKUP(B480,Tableau5[#All],5,FALSE),"Matricule!")</f>
        <v>0</v>
      </c>
      <c r="J480" s="62">
        <f>IFERROR(VLOOKUP(B480,Tableau5[#All],6,FALSE),"Matricule!")</f>
        <v>0</v>
      </c>
      <c r="K480" s="62">
        <f>IFERROR(VLOOKUP(B480,Tableau5[#All],7,FALSE),"Matricule!")</f>
        <v>0</v>
      </c>
      <c r="L480" s="62" t="e">
        <f>VLOOKUP(Tableau242[[#This Row],[Company number]],#REF!,25,FALSE)</f>
        <v>#REF!</v>
      </c>
      <c r="M480" s="62" t="str">
        <f>IFERROR(VLOOKUP(Tableau242[[#This Row],[Company number]],#REF!,30,FALSE),"")</f>
        <v/>
      </c>
      <c r="N480" s="62" t="str">
        <f>IFERROR(VLOOKUP(Tableau242[[#This Row],[Company number]],#REF!,31,FALSE),"")</f>
        <v/>
      </c>
      <c r="O480" s="62" t="str">
        <f>IFERROR(VLOOKUP(Tableau242[[#This Row],[Company number]],#REF!,32,FALSE),"")</f>
        <v/>
      </c>
      <c r="P480" s="62">
        <f>IFERROR(VLOOKUP(B480,Tableau3[#All],5,FALSE),"Matricule!")</f>
        <v>20</v>
      </c>
      <c r="Q480" s="62">
        <f>IFERROR(SUM(VLOOKUP(B480,Tableau3[#All],6,FALSE),VLOOKUP(B480,Tableau3[#All],8,FALSE)),"Matricule!")</f>
        <v>0</v>
      </c>
      <c r="R480" s="62">
        <f>IFERROR(VLOOKUP(B480,Tableau3[#All],7,FALSE),"Matricule!")</f>
        <v>0</v>
      </c>
      <c r="S480" s="62">
        <f>IFERROR(Tableau242[[#This Row],[Prod. days WK]]-Tableau242[[#This Row],[Prod PXX]],"Matricule")</f>
        <v>0</v>
      </c>
      <c r="T480" s="62">
        <f>IFERROR(Tableau242[[#This Row],[Non prod. days WK]]-Tableau242[[#This Row],[Improd PXX]],"Matricule")</f>
        <v>0</v>
      </c>
      <c r="U480" s="62">
        <f>IFERROR(Tableau242[[#This Row],[Paid leave days WK]]-Tableau242[[#This Row],[Congé PXX]],"Matricule")</f>
        <v>0</v>
      </c>
      <c r="V480" s="63">
        <f>IFERROR(VLOOKUP($B480,#REF!,4,FALSE),0)</f>
        <v>0</v>
      </c>
      <c r="W48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80" s="63">
        <f>IF(AND(Tableau242[[#This Row],[Paid leave days]]&gt;0,Tableau242[[#This Row],[Prod. days]]&lt;0),MIN(Tableau242[[#This Row],[Paid leave days]],-Tableau242[[#This Row],[Prod. days]]),0)</f>
        <v>0</v>
      </c>
      <c r="Z480" s="63">
        <f>IFERROR(_xlfn.XLOOKUP(Tableau242[[#This Row],[Consultant]],Tableau2[Collaborateur/Nom affiché],Tableau2[Montant imputé],0),0)</f>
        <v>0</v>
      </c>
      <c r="AA480" s="64">
        <f t="shared" si="8"/>
        <v>0</v>
      </c>
      <c r="AB480" s="65"/>
      <c r="AC480" s="66"/>
      <c r="AD480" s="66"/>
      <c r="AE480" s="105"/>
      <c r="AF480" s="90"/>
    </row>
    <row r="481" spans="1:32">
      <c r="A481" s="15">
        <f>Tableau242[[#This Row],[Company number]]+0</f>
        <v>21520</v>
      </c>
      <c r="B481" s="60" t="s">
        <v>1093</v>
      </c>
      <c r="C481" s="61" t="s">
        <v>1094</v>
      </c>
      <c r="D481" s="61" t="s">
        <v>51</v>
      </c>
      <c r="E481" s="62" t="str">
        <f>IFERROR(VLOOKUP(Tableau242[[#This Row],[Manager ou CDM concerné]],Parametres!B:C,2,FALSE),"")</f>
        <v>Squad C</v>
      </c>
      <c r="F481" s="62" t="str">
        <f>IF(Tableau242[[#This Row],[Consultant]]=Tableau242[[#This Row],[Manager ou CDM concerné]],"Non",IF(IFERROR(VLOOKUP(Tableau242[[#This Row],[Consultant]],Parametres!B:C,2,FALSE),0)=0,"Non","Oui"))</f>
        <v>Non</v>
      </c>
      <c r="G481" s="62">
        <f>IFERROR(VLOOKUP(B481,Tableau5[#All],4,FALSE),"Matricule!")</f>
        <v>20</v>
      </c>
      <c r="H481" s="62" t="str">
        <f>IFERROR(VLOOKUP(Tableau242[[#This Row],[Company number]],#REF!,6,FALSE),"")</f>
        <v/>
      </c>
      <c r="I481" s="62">
        <f>IFERROR(VLOOKUP(B481,Tableau5[#All],5,FALSE),"Matricule!")</f>
        <v>0</v>
      </c>
      <c r="J481" s="62">
        <f>IFERROR(VLOOKUP(B481,Tableau5[#All],6,FALSE),"Matricule!")</f>
        <v>0</v>
      </c>
      <c r="K481" s="62">
        <f>IFERROR(VLOOKUP(B481,Tableau5[#All],7,FALSE),"Matricule!")</f>
        <v>0</v>
      </c>
      <c r="L481" s="62" t="e">
        <f>VLOOKUP(Tableau242[[#This Row],[Company number]],#REF!,25,FALSE)</f>
        <v>#REF!</v>
      </c>
      <c r="M481" s="62" t="str">
        <f>IFERROR(VLOOKUP(Tableau242[[#This Row],[Company number]],#REF!,30,FALSE),"")</f>
        <v/>
      </c>
      <c r="N481" s="62" t="str">
        <f>IFERROR(VLOOKUP(Tableau242[[#This Row],[Company number]],#REF!,31,FALSE),"")</f>
        <v/>
      </c>
      <c r="O481" s="62" t="str">
        <f>IFERROR(VLOOKUP(Tableau242[[#This Row],[Company number]],#REF!,32,FALSE),"")</f>
        <v/>
      </c>
      <c r="P481" s="62">
        <f>IFERROR(VLOOKUP(B481,Tableau3[#All],5,FALSE),"Matricule!")</f>
        <v>0</v>
      </c>
      <c r="Q481" s="62">
        <f>IFERROR(SUM(VLOOKUP(B481,Tableau3[#All],6,FALSE),VLOOKUP(B481,Tableau3[#All],8,FALSE)),"Matricule!")</f>
        <v>20</v>
      </c>
      <c r="R481" s="62">
        <f>IFERROR(VLOOKUP(B481,Tableau3[#All],7,FALSE),"Matricule!")</f>
        <v>0</v>
      </c>
      <c r="S481" s="62">
        <f>IFERROR(Tableau242[[#This Row],[Prod. days WK]]-Tableau242[[#This Row],[Prod PXX]],"Matricule")</f>
        <v>20</v>
      </c>
      <c r="T481" s="62">
        <f>IFERROR(Tableau242[[#This Row],[Non prod. days WK]]-Tableau242[[#This Row],[Improd PXX]],"Matricule")</f>
        <v>-20</v>
      </c>
      <c r="U481" s="62">
        <f>IFERROR(Tableau242[[#This Row],[Paid leave days WK]]-Tableau242[[#This Row],[Congé PXX]],"Matricule")</f>
        <v>0</v>
      </c>
      <c r="V481" s="63">
        <f>IFERROR(VLOOKUP($B481,#REF!,4,FALSE),0)</f>
        <v>0</v>
      </c>
      <c r="W48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81" s="63">
        <f>IF(AND(Tableau242[[#This Row],[Paid leave days]]&gt;0,Tableau242[[#This Row],[Prod. days]]&lt;0),MIN(Tableau242[[#This Row],[Paid leave days]],-Tableau242[[#This Row],[Prod. days]]),0)</f>
        <v>0</v>
      </c>
      <c r="Z481" s="63">
        <f>IFERROR(_xlfn.XLOOKUP(Tableau242[[#This Row],[Consultant]],Tableau2[Collaborateur/Nom affiché],Tableau2[Montant imputé],0),0)</f>
        <v>0</v>
      </c>
      <c r="AA481" s="64">
        <f t="shared" si="8"/>
        <v>20</v>
      </c>
      <c r="AB481" s="65"/>
      <c r="AC481" s="66"/>
      <c r="AD481" s="66"/>
      <c r="AE481" s="105"/>
      <c r="AF481" s="90"/>
    </row>
    <row r="482" spans="1:32" ht="14.45" customHeight="1">
      <c r="A482" s="15">
        <f>Tableau242[[#This Row],[Company number]]+0</f>
        <v>17408</v>
      </c>
      <c r="B482" s="60" t="s">
        <v>1095</v>
      </c>
      <c r="C482" s="61" t="s">
        <v>1096</v>
      </c>
      <c r="D482" s="61" t="s">
        <v>51</v>
      </c>
      <c r="E482" s="62" t="str">
        <f>IFERROR(VLOOKUP(Tableau242[[#This Row],[Manager ou CDM concerné]],Parametres!B:C,2,FALSE),"")</f>
        <v>Squad C</v>
      </c>
      <c r="F482" s="62" t="str">
        <f>IF(Tableau242[[#This Row],[Consultant]]=Tableau242[[#This Row],[Manager ou CDM concerné]],"Non",IF(IFERROR(VLOOKUP(Tableau242[[#This Row],[Consultant]],Parametres!B:C,2,FALSE),0)=0,"Non","Oui"))</f>
        <v>Non</v>
      </c>
      <c r="G482" s="62">
        <f>IFERROR(VLOOKUP(B482,Tableau5[#All],4,FALSE),"Matricule!")</f>
        <v>15</v>
      </c>
      <c r="H482" s="62" t="str">
        <f>IFERROR(VLOOKUP(Tableau242[[#This Row],[Company number]],#REF!,6,FALSE),"")</f>
        <v/>
      </c>
      <c r="I482" s="62">
        <f>IFERROR(VLOOKUP(B482,Tableau5[#All],5,FALSE),"Matricule!")</f>
        <v>0</v>
      </c>
      <c r="J482" s="62">
        <f>IFERROR(VLOOKUP(B482,Tableau5[#All],6,FALSE),"Matricule!")</f>
        <v>5</v>
      </c>
      <c r="K482" s="62">
        <f>IFERROR(VLOOKUP(B482,Tableau5[#All],7,FALSE),"Matricule!")</f>
        <v>0</v>
      </c>
      <c r="L482" s="62" t="e">
        <f>VLOOKUP(Tableau242[[#This Row],[Company number]],#REF!,25,FALSE)</f>
        <v>#REF!</v>
      </c>
      <c r="M482" s="62" t="str">
        <f>IFERROR(VLOOKUP(Tableau242[[#This Row],[Company number]],#REF!,30,FALSE),"")</f>
        <v/>
      </c>
      <c r="N482" s="62" t="str">
        <f>IFERROR(VLOOKUP(Tableau242[[#This Row],[Company number]],#REF!,31,FALSE),"")</f>
        <v/>
      </c>
      <c r="O482" s="62" t="str">
        <f>IFERROR(VLOOKUP(Tableau242[[#This Row],[Company number]],#REF!,32,FALSE),"")</f>
        <v/>
      </c>
      <c r="P482" s="62">
        <f>IFERROR(VLOOKUP(B482,Tableau3[#All],5,FALSE),"Matricule!")</f>
        <v>15</v>
      </c>
      <c r="Q482" s="62">
        <f>IFERROR(SUM(VLOOKUP(B482,Tableau3[#All],6,FALSE),VLOOKUP(B482,Tableau3[#All],8,FALSE)),"Matricule!")</f>
        <v>0</v>
      </c>
      <c r="R482" s="62">
        <f>IFERROR(VLOOKUP(B482,Tableau3[#All],7,FALSE),"Matricule!")</f>
        <v>5</v>
      </c>
      <c r="S482" s="62">
        <f>IFERROR(Tableau242[[#This Row],[Prod. days WK]]-Tableau242[[#This Row],[Prod PXX]],"Matricule")</f>
        <v>0</v>
      </c>
      <c r="T482" s="62">
        <f>IFERROR(Tableau242[[#This Row],[Non prod. days WK]]-Tableau242[[#This Row],[Improd PXX]],"Matricule")</f>
        <v>0</v>
      </c>
      <c r="U482" s="62">
        <f>IFERROR(Tableau242[[#This Row],[Paid leave days WK]]-Tableau242[[#This Row],[Congé PXX]],"Matricule")</f>
        <v>0</v>
      </c>
      <c r="V482" s="63">
        <f>IFERROR(VLOOKUP($B482,#REF!,4,FALSE),0)</f>
        <v>0</v>
      </c>
      <c r="W48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82" s="63">
        <f>IF(AND(Tableau242[[#This Row],[Paid leave days]]&gt;0,Tableau242[[#This Row],[Prod. days]]&lt;0),MIN(Tableau242[[#This Row],[Paid leave days]],-Tableau242[[#This Row],[Prod. days]]),0)</f>
        <v>0</v>
      </c>
      <c r="Z482" s="63">
        <f>IFERROR(_xlfn.XLOOKUP(Tableau242[[#This Row],[Consultant]],Tableau2[Collaborateur/Nom affiché],Tableau2[Montant imputé],0),0)</f>
        <v>0</v>
      </c>
      <c r="AA482" s="64">
        <f t="shared" si="8"/>
        <v>0</v>
      </c>
      <c r="AB482" s="65"/>
      <c r="AC482" s="66"/>
      <c r="AD482" s="66"/>
      <c r="AE482" s="105"/>
      <c r="AF482" s="90"/>
    </row>
    <row r="483" spans="1:32" ht="14.45" customHeight="1">
      <c r="A483" s="15">
        <f>Tableau242[[#This Row],[Company number]]+0</f>
        <v>13342</v>
      </c>
      <c r="B483" s="60" t="s">
        <v>1097</v>
      </c>
      <c r="C483" s="61" t="s">
        <v>1098</v>
      </c>
      <c r="D483" s="61" t="s">
        <v>13</v>
      </c>
      <c r="E483" s="62" t="str">
        <f>IFERROR(VLOOKUP(Tableau242[[#This Row],[Manager ou CDM concerné]],Parametres!B:C,2,FALSE),"")</f>
        <v>Squad F</v>
      </c>
      <c r="F483" s="62" t="str">
        <f>IF(Tableau242[[#This Row],[Consultant]]=Tableau242[[#This Row],[Manager ou CDM concerné]],"Non",IF(IFERROR(VLOOKUP(Tableau242[[#This Row],[Consultant]],Parametres!B:C,2,FALSE),0)=0,"Non","Oui"))</f>
        <v>Non</v>
      </c>
      <c r="G483" s="62">
        <f>IFERROR(VLOOKUP(B483,Tableau5[#All],4,FALSE),"Matricule!")</f>
        <v>19.5</v>
      </c>
      <c r="H483" s="62" t="str">
        <f>IFERROR(VLOOKUP(Tableau242[[#This Row],[Company number]],#REF!,6,FALSE),"")</f>
        <v/>
      </c>
      <c r="I483" s="62">
        <f>IFERROR(VLOOKUP(B483,Tableau5[#All],5,FALSE),"Matricule!")</f>
        <v>0.5</v>
      </c>
      <c r="J483" s="62">
        <f>IFERROR(VLOOKUP(B483,Tableau5[#All],6,FALSE),"Matricule!")</f>
        <v>0</v>
      </c>
      <c r="K483" s="62">
        <f>IFERROR(VLOOKUP(B483,Tableau5[#All],7,FALSE),"Matricule!")</f>
        <v>0</v>
      </c>
      <c r="L483" s="62" t="e">
        <f>VLOOKUP(Tableau242[[#This Row],[Company number]],#REF!,25,FALSE)</f>
        <v>#REF!</v>
      </c>
      <c r="M483" s="62" t="str">
        <f>IFERROR(VLOOKUP(Tableau242[[#This Row],[Company number]],#REF!,30,FALSE),"")</f>
        <v/>
      </c>
      <c r="N483" s="62" t="str">
        <f>IFERROR(VLOOKUP(Tableau242[[#This Row],[Company number]],#REF!,31,FALSE),"")</f>
        <v/>
      </c>
      <c r="O483" s="62" t="str">
        <f>IFERROR(VLOOKUP(Tableau242[[#This Row],[Company number]],#REF!,32,FALSE),"")</f>
        <v/>
      </c>
      <c r="P483" s="62">
        <f>IFERROR(VLOOKUP(B483,Tableau3[#All],5,FALSE),"Matricule!")</f>
        <v>20</v>
      </c>
      <c r="Q483" s="62">
        <f>IFERROR(SUM(VLOOKUP(B483,Tableau3[#All],6,FALSE),VLOOKUP(B483,Tableau3[#All],8,FALSE)),"Matricule!")</f>
        <v>0</v>
      </c>
      <c r="R483" s="62">
        <f>IFERROR(VLOOKUP(B483,Tableau3[#All],7,FALSE),"Matricule!")</f>
        <v>0</v>
      </c>
      <c r="S483" s="62">
        <f>IFERROR(Tableau242[[#This Row],[Prod. days WK]]-Tableau242[[#This Row],[Prod PXX]],"Matricule")</f>
        <v>-0.5</v>
      </c>
      <c r="T483" s="62">
        <f>IFERROR(Tableau242[[#This Row],[Non prod. days WK]]-Tableau242[[#This Row],[Improd PXX]],"Matricule")</f>
        <v>0.5</v>
      </c>
      <c r="U483" s="62">
        <f>IFERROR(Tableau242[[#This Row],[Paid leave days WK]]-Tableau242[[#This Row],[Congé PXX]],"Matricule")</f>
        <v>0</v>
      </c>
      <c r="V483" s="63">
        <f>IFERROR(VLOOKUP($B483,#REF!,4,FALSE),0)</f>
        <v>0</v>
      </c>
      <c r="W48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83" s="63">
        <f>IF(AND(Tableau242[[#This Row],[Paid leave days]]&gt;0,Tableau242[[#This Row],[Prod. days]]&lt;0),MIN(Tableau242[[#This Row],[Paid leave days]],-Tableau242[[#This Row],[Prod. days]]),0)</f>
        <v>0</v>
      </c>
      <c r="Z483" s="63">
        <f>IFERROR(_xlfn.XLOOKUP(Tableau242[[#This Row],[Consultant]],Tableau2[Collaborateur/Nom affiché],Tableau2[Montant imputé],0),0)</f>
        <v>0</v>
      </c>
      <c r="AA483" s="64">
        <f t="shared" si="8"/>
        <v>-0.5</v>
      </c>
      <c r="AB483" s="65" t="s">
        <v>165</v>
      </c>
      <c r="AC483" s="66">
        <v>0.5</v>
      </c>
      <c r="AD483" s="66">
        <v>0.5</v>
      </c>
      <c r="AE483" s="105"/>
      <c r="AF483" s="90"/>
    </row>
    <row r="484" spans="1:32">
      <c r="A484" s="15">
        <f>Tableau242[[#This Row],[Company number]]+0</f>
        <v>17587</v>
      </c>
      <c r="B484" s="60" t="s">
        <v>1099</v>
      </c>
      <c r="C484" s="61" t="s">
        <v>1100</v>
      </c>
      <c r="D484" s="61" t="s">
        <v>18</v>
      </c>
      <c r="E484" s="62" t="str">
        <f>IFERROR(VLOOKUP(Tableau242[[#This Row],[Manager ou CDM concerné]],Parametres!B:C,2,FALSE),"")</f>
        <v>Squad H</v>
      </c>
      <c r="F484" s="62" t="str">
        <f>IF(Tableau242[[#This Row],[Consultant]]=Tableau242[[#This Row],[Manager ou CDM concerné]],"Non",IF(IFERROR(VLOOKUP(Tableau242[[#This Row],[Consultant]],Parametres!B:C,2,FALSE),0)=0,"Non","Oui"))</f>
        <v>Non</v>
      </c>
      <c r="G484" s="62">
        <f>IFERROR(VLOOKUP(B484,Tableau5[#All],4,FALSE),"Matricule!")</f>
        <v>20</v>
      </c>
      <c r="H484" s="62" t="str">
        <f>IFERROR(VLOOKUP(Tableau242[[#This Row],[Company number]],#REF!,6,FALSE),"")</f>
        <v/>
      </c>
      <c r="I484" s="62">
        <f>IFERROR(VLOOKUP(B484,Tableau5[#All],5,FALSE),"Matricule!")</f>
        <v>0</v>
      </c>
      <c r="J484" s="62">
        <f>IFERROR(VLOOKUP(B484,Tableau5[#All],6,FALSE),"Matricule!")</f>
        <v>0</v>
      </c>
      <c r="K484" s="62">
        <f>IFERROR(VLOOKUP(B484,Tableau5[#All],7,FALSE),"Matricule!")</f>
        <v>0</v>
      </c>
      <c r="L484" s="62" t="e">
        <f>VLOOKUP(Tableau242[[#This Row],[Company number]],#REF!,25,FALSE)</f>
        <v>#REF!</v>
      </c>
      <c r="M484" s="62" t="str">
        <f>IFERROR(VLOOKUP(Tableau242[[#This Row],[Company number]],#REF!,30,FALSE),"")</f>
        <v/>
      </c>
      <c r="N484" s="62" t="str">
        <f>IFERROR(VLOOKUP(Tableau242[[#This Row],[Company number]],#REF!,31,FALSE),"")</f>
        <v/>
      </c>
      <c r="O484" s="62" t="str">
        <f>IFERROR(VLOOKUP(Tableau242[[#This Row],[Company number]],#REF!,32,FALSE),"")</f>
        <v/>
      </c>
      <c r="P484" s="62">
        <f>IFERROR(VLOOKUP(B484,Tableau3[#All],5,FALSE),"Matricule!")</f>
        <v>20</v>
      </c>
      <c r="Q484" s="62">
        <f>IFERROR(SUM(VLOOKUP(B484,Tableau3[#All],6,FALSE),VLOOKUP(B484,Tableau3[#All],8,FALSE)),"Matricule!")</f>
        <v>0</v>
      </c>
      <c r="R484" s="62">
        <f>IFERROR(VLOOKUP(B484,Tableau3[#All],7,FALSE),"Matricule!")</f>
        <v>0</v>
      </c>
      <c r="S484" s="62">
        <f>IFERROR(Tableau242[[#This Row],[Prod. days WK]]-Tableau242[[#This Row],[Prod PXX]],"Matricule")</f>
        <v>0</v>
      </c>
      <c r="T484" s="62">
        <f>IFERROR(Tableau242[[#This Row],[Non prod. days WK]]-Tableau242[[#This Row],[Improd PXX]],"Matricule")</f>
        <v>0</v>
      </c>
      <c r="U484" s="62">
        <f>IFERROR(Tableau242[[#This Row],[Paid leave days WK]]-Tableau242[[#This Row],[Congé PXX]],"Matricule")</f>
        <v>0</v>
      </c>
      <c r="V484" s="63">
        <f>IFERROR(VLOOKUP($B484,#REF!,4,FALSE),0)</f>
        <v>0</v>
      </c>
      <c r="W48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84" s="63">
        <f>IF(AND(Tableau242[[#This Row],[Paid leave days]]&gt;0,Tableau242[[#This Row],[Prod. days]]&lt;0),MIN(Tableau242[[#This Row],[Paid leave days]],-Tableau242[[#This Row],[Prod. days]]),0)</f>
        <v>0</v>
      </c>
      <c r="Z484" s="63">
        <f>IFERROR(_xlfn.XLOOKUP(Tableau242[[#This Row],[Consultant]],Tableau2[Collaborateur/Nom affiché],Tableau2[Montant imputé],0),0)</f>
        <v>0</v>
      </c>
      <c r="AA484" s="64">
        <f t="shared" si="8"/>
        <v>0</v>
      </c>
      <c r="AB484" s="65"/>
      <c r="AC484" s="66"/>
      <c r="AD484" s="66"/>
      <c r="AE484" s="105"/>
      <c r="AF484" s="90"/>
    </row>
    <row r="485" spans="1:32">
      <c r="A485" s="15">
        <f>Tableau242[[#This Row],[Company number]]+0</f>
        <v>13162</v>
      </c>
      <c r="B485" s="60" t="s">
        <v>1101</v>
      </c>
      <c r="C485" s="61" t="s">
        <v>1102</v>
      </c>
      <c r="D485" s="61" t="s">
        <v>18</v>
      </c>
      <c r="E485" s="62" t="str">
        <f>IFERROR(VLOOKUP(Tableau242[[#This Row],[Manager ou CDM concerné]],Parametres!B:C,2,FALSE),"")</f>
        <v>Squad H</v>
      </c>
      <c r="F485" s="62" t="str">
        <f>IF(Tableau242[[#This Row],[Consultant]]=Tableau242[[#This Row],[Manager ou CDM concerné]],"Non",IF(IFERROR(VLOOKUP(Tableau242[[#This Row],[Consultant]],Parametres!B:C,2,FALSE),0)=0,"Non","Oui"))</f>
        <v>Non</v>
      </c>
      <c r="G485" s="62">
        <f>IFERROR(VLOOKUP(B485,Tableau5[#All],4,FALSE),"Matricule!")</f>
        <v>20</v>
      </c>
      <c r="H485" s="62" t="str">
        <f>IFERROR(VLOOKUP(Tableau242[[#This Row],[Company number]],#REF!,6,FALSE),"")</f>
        <v/>
      </c>
      <c r="I485" s="62">
        <f>IFERROR(VLOOKUP(B485,Tableau5[#All],5,FALSE),"Matricule!")</f>
        <v>0</v>
      </c>
      <c r="J485" s="62">
        <f>IFERROR(VLOOKUP(B485,Tableau5[#All],6,FALSE),"Matricule!")</f>
        <v>0</v>
      </c>
      <c r="K485" s="62">
        <f>IFERROR(VLOOKUP(B485,Tableau5[#All],7,FALSE),"Matricule!")</f>
        <v>0</v>
      </c>
      <c r="L485" s="62" t="e">
        <f>VLOOKUP(Tableau242[[#This Row],[Company number]],#REF!,25,FALSE)</f>
        <v>#REF!</v>
      </c>
      <c r="M485" s="62" t="str">
        <f>IFERROR(VLOOKUP(Tableau242[[#This Row],[Company number]],#REF!,30,FALSE),"")</f>
        <v/>
      </c>
      <c r="N485" s="62" t="str">
        <f>IFERROR(VLOOKUP(Tableau242[[#This Row],[Company number]],#REF!,31,FALSE),"")</f>
        <v/>
      </c>
      <c r="O485" s="62" t="str">
        <f>IFERROR(VLOOKUP(Tableau242[[#This Row],[Company number]],#REF!,32,FALSE),"")</f>
        <v/>
      </c>
      <c r="P485" s="62">
        <f>IFERROR(VLOOKUP(B485,Tableau3[#All],5,FALSE),"Matricule!")</f>
        <v>20</v>
      </c>
      <c r="Q485" s="62">
        <f>IFERROR(SUM(VLOOKUP(B485,Tableau3[#All],6,FALSE),VLOOKUP(B485,Tableau3[#All],8,FALSE)),"Matricule!")</f>
        <v>0</v>
      </c>
      <c r="R485" s="62">
        <f>IFERROR(VLOOKUP(B485,Tableau3[#All],7,FALSE),"Matricule!")</f>
        <v>0</v>
      </c>
      <c r="S485" s="62">
        <f>IFERROR(Tableau242[[#This Row],[Prod. days WK]]-Tableau242[[#This Row],[Prod PXX]],"Matricule")</f>
        <v>0</v>
      </c>
      <c r="T485" s="62">
        <f>IFERROR(Tableau242[[#This Row],[Non prod. days WK]]-Tableau242[[#This Row],[Improd PXX]],"Matricule")</f>
        <v>0</v>
      </c>
      <c r="U485" s="62">
        <f>IFERROR(Tableau242[[#This Row],[Paid leave days WK]]-Tableau242[[#This Row],[Congé PXX]],"Matricule")</f>
        <v>0</v>
      </c>
      <c r="V485" s="63">
        <f>IFERROR(VLOOKUP($B485,#REF!,4,FALSE),0)</f>
        <v>0</v>
      </c>
      <c r="W48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85" s="63">
        <f>IF(AND(Tableau242[[#This Row],[Paid leave days]]&gt;0,Tableau242[[#This Row],[Prod. days]]&lt;0),MIN(Tableau242[[#This Row],[Paid leave days]],-Tableau242[[#This Row],[Prod. days]]),0)</f>
        <v>0</v>
      </c>
      <c r="Z485" s="63">
        <f>IFERROR(_xlfn.XLOOKUP(Tableau242[[#This Row],[Consultant]],Tableau2[Collaborateur/Nom affiché],Tableau2[Montant imputé],0),0)</f>
        <v>0</v>
      </c>
      <c r="AA485" s="64">
        <f t="shared" si="8"/>
        <v>0</v>
      </c>
      <c r="AB485" s="65"/>
      <c r="AC485" s="67"/>
      <c r="AD485" s="67"/>
      <c r="AE485" s="106"/>
      <c r="AF485" s="90"/>
    </row>
    <row r="486" spans="1:32">
      <c r="A486" s="15">
        <f>Tableau242[[#This Row],[Company number]]+0</f>
        <v>21392</v>
      </c>
      <c r="B486" s="60" t="s">
        <v>1103</v>
      </c>
      <c r="C486" s="61" t="s">
        <v>1104</v>
      </c>
      <c r="D486" s="61" t="s">
        <v>18</v>
      </c>
      <c r="E486" s="62" t="str">
        <f>IFERROR(VLOOKUP(Tableau242[[#This Row],[Manager ou CDM concerné]],Parametres!B:C,2,FALSE),"")</f>
        <v>Squad H</v>
      </c>
      <c r="F486" s="62" t="str">
        <f>IF(Tableau242[[#This Row],[Consultant]]=Tableau242[[#This Row],[Manager ou CDM concerné]],"Non",IF(IFERROR(VLOOKUP(Tableau242[[#This Row],[Consultant]],Parametres!B:C,2,FALSE),0)=0,"Non","Oui"))</f>
        <v>Non</v>
      </c>
      <c r="G486" s="62">
        <f>IFERROR(VLOOKUP(B486,Tableau5[#All],4,FALSE),"Matricule!")</f>
        <v>9</v>
      </c>
      <c r="H486" s="62" t="str">
        <f>IFERROR(VLOOKUP(Tableau242[[#This Row],[Company number]],#REF!,6,FALSE),"")</f>
        <v/>
      </c>
      <c r="I486" s="62">
        <f>IFERROR(VLOOKUP(B486,Tableau5[#All],5,FALSE),"Matricule!")</f>
        <v>0</v>
      </c>
      <c r="J486" s="62">
        <f>IFERROR(VLOOKUP(B486,Tableau5[#All],6,FALSE),"Matricule!")</f>
        <v>11</v>
      </c>
      <c r="K486" s="62">
        <f>IFERROR(VLOOKUP(B486,Tableau5[#All],7,FALSE),"Matricule!")</f>
        <v>0</v>
      </c>
      <c r="L486" s="62" t="e">
        <f>VLOOKUP(Tableau242[[#This Row],[Company number]],#REF!,25,FALSE)</f>
        <v>#REF!</v>
      </c>
      <c r="M486" s="62" t="str">
        <f>IFERROR(VLOOKUP(Tableau242[[#This Row],[Company number]],#REF!,30,FALSE),"")</f>
        <v/>
      </c>
      <c r="N486" s="62" t="str">
        <f>IFERROR(VLOOKUP(Tableau242[[#This Row],[Company number]],#REF!,31,FALSE),"")</f>
        <v/>
      </c>
      <c r="O486" s="62" t="str">
        <f>IFERROR(VLOOKUP(Tableau242[[#This Row],[Company number]],#REF!,32,FALSE),"")</f>
        <v/>
      </c>
      <c r="P486" s="62">
        <f>IFERROR(VLOOKUP(B486,Tableau3[#All],5,FALSE),"Matricule!")</f>
        <v>9</v>
      </c>
      <c r="Q486" s="62">
        <f>IFERROR(SUM(VLOOKUP(B486,Tableau3[#All],6,FALSE),VLOOKUP(B486,Tableau3[#All],8,FALSE)),"Matricule!")</f>
        <v>0</v>
      </c>
      <c r="R486" s="62">
        <f>IFERROR(VLOOKUP(B486,Tableau3[#All],7,FALSE),"Matricule!")</f>
        <v>11</v>
      </c>
      <c r="S486" s="62">
        <f>IFERROR(Tableau242[[#This Row],[Prod. days WK]]-Tableau242[[#This Row],[Prod PXX]],"Matricule")</f>
        <v>0</v>
      </c>
      <c r="T486" s="62">
        <f>IFERROR(Tableau242[[#This Row],[Non prod. days WK]]-Tableau242[[#This Row],[Improd PXX]],"Matricule")</f>
        <v>0</v>
      </c>
      <c r="U486" s="62">
        <f>IFERROR(Tableau242[[#This Row],[Paid leave days WK]]-Tableau242[[#This Row],[Congé PXX]],"Matricule")</f>
        <v>0</v>
      </c>
      <c r="V486" s="63">
        <f>IFERROR(VLOOKUP($B486,#REF!,4,FALSE),0)</f>
        <v>0</v>
      </c>
      <c r="W48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86" s="63">
        <f>IF(AND(Tableau242[[#This Row],[Paid leave days]]&gt;0,Tableau242[[#This Row],[Prod. days]]&lt;0),MIN(Tableau242[[#This Row],[Paid leave days]],-Tableau242[[#This Row],[Prod. days]]),0)</f>
        <v>0</v>
      </c>
      <c r="Z486" s="63">
        <f>IFERROR(_xlfn.XLOOKUP(Tableau242[[#This Row],[Consultant]],Tableau2[Collaborateur/Nom affiché],Tableau2[Montant imputé],0),0)</f>
        <v>0</v>
      </c>
      <c r="AA486" s="64">
        <f t="shared" si="8"/>
        <v>0</v>
      </c>
      <c r="AB486" s="65"/>
      <c r="AC486" s="66"/>
      <c r="AD486" s="66"/>
      <c r="AE486" s="105"/>
      <c r="AF486" s="90"/>
    </row>
    <row r="487" spans="1:32" ht="15" customHeight="1">
      <c r="A487" s="15">
        <f>Tableau242[[#This Row],[Company number]]+0</f>
        <v>14394</v>
      </c>
      <c r="B487" s="60" t="s">
        <v>1105</v>
      </c>
      <c r="C487" s="61" t="s">
        <v>1106</v>
      </c>
      <c r="D487" s="61" t="s">
        <v>31</v>
      </c>
      <c r="E487" s="62" t="str">
        <f>IFERROR(VLOOKUP(Tableau242[[#This Row],[Manager ou CDM concerné]],Parametres!B:C,2,FALSE),"")</f>
        <v>Squad C</v>
      </c>
      <c r="F487" s="62" t="str">
        <f>IF(Tableau242[[#This Row],[Consultant]]=Tableau242[[#This Row],[Manager ou CDM concerné]],"Non",IF(IFERROR(VLOOKUP(Tableau242[[#This Row],[Consultant]],Parametres!B:C,2,FALSE),0)=0,"Non","Oui"))</f>
        <v>Non</v>
      </c>
      <c r="G487" s="62">
        <f>IFERROR(VLOOKUP(B487,Tableau5[#All],4,FALSE),"Matricule!")</f>
        <v>19.5</v>
      </c>
      <c r="H487" s="62" t="str">
        <f>IFERROR(VLOOKUP(Tableau242[[#This Row],[Company number]],#REF!,6,FALSE),"")</f>
        <v/>
      </c>
      <c r="I487" s="62">
        <f>IFERROR(VLOOKUP(B487,Tableau5[#All],5,FALSE),"Matricule!")</f>
        <v>0.5</v>
      </c>
      <c r="J487" s="62">
        <f>IFERROR(VLOOKUP(B487,Tableau5[#All],6,FALSE),"Matricule!")</f>
        <v>0</v>
      </c>
      <c r="K487" s="62">
        <f>IFERROR(VLOOKUP(B487,Tableau5[#All],7,FALSE),"Matricule!")</f>
        <v>0</v>
      </c>
      <c r="L487" s="62" t="e">
        <f>VLOOKUP(Tableau242[[#This Row],[Company number]],#REF!,25,FALSE)</f>
        <v>#REF!</v>
      </c>
      <c r="M487" s="62" t="str">
        <f>IFERROR(VLOOKUP(Tableau242[[#This Row],[Company number]],#REF!,30,FALSE),"")</f>
        <v/>
      </c>
      <c r="N487" s="62" t="str">
        <f>IFERROR(VLOOKUP(Tableau242[[#This Row],[Company number]],#REF!,31,FALSE),"")</f>
        <v/>
      </c>
      <c r="O487" s="62" t="str">
        <f>IFERROR(VLOOKUP(Tableau242[[#This Row],[Company number]],#REF!,32,FALSE),"")</f>
        <v/>
      </c>
      <c r="P487" s="62">
        <f>IFERROR(VLOOKUP(B487,Tableau3[#All],5,FALSE),"Matricule!")</f>
        <v>20</v>
      </c>
      <c r="Q487" s="62">
        <f>IFERROR(SUM(VLOOKUP(B487,Tableau3[#All],6,FALSE),VLOOKUP(B487,Tableau3[#All],8,FALSE)),"Matricule!")</f>
        <v>0</v>
      </c>
      <c r="R487" s="62">
        <f>IFERROR(VLOOKUP(B487,Tableau3[#All],7,FALSE),"Matricule!")</f>
        <v>0</v>
      </c>
      <c r="S487" s="62">
        <f>IFERROR(Tableau242[[#This Row],[Prod. days WK]]-Tableau242[[#This Row],[Prod PXX]],"Matricule")</f>
        <v>-0.5</v>
      </c>
      <c r="T487" s="62">
        <f>IFERROR(Tableau242[[#This Row],[Non prod. days WK]]-Tableau242[[#This Row],[Improd PXX]],"Matricule")</f>
        <v>0.5</v>
      </c>
      <c r="U487" s="62">
        <f>IFERROR(Tableau242[[#This Row],[Paid leave days WK]]-Tableau242[[#This Row],[Congé PXX]],"Matricule")</f>
        <v>0</v>
      </c>
      <c r="V487" s="63">
        <f>IFERROR(VLOOKUP($B487,#REF!,4,FALSE),0)</f>
        <v>0</v>
      </c>
      <c r="W48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87" s="63">
        <f>IF(AND(Tableau242[[#This Row],[Paid leave days]]&gt;0,Tableau242[[#This Row],[Prod. days]]&lt;0),MIN(Tableau242[[#This Row],[Paid leave days]],-Tableau242[[#This Row],[Prod. days]]),0)</f>
        <v>0</v>
      </c>
      <c r="Z487" s="63">
        <f>IFERROR(_xlfn.XLOOKUP(Tableau242[[#This Row],[Consultant]],Tableau2[Collaborateur/Nom affiché],Tableau2[Montant imputé],0),0)</f>
        <v>0</v>
      </c>
      <c r="AA487" s="64">
        <f t="shared" si="8"/>
        <v>-0.5</v>
      </c>
      <c r="AB487" s="65" t="s">
        <v>147</v>
      </c>
      <c r="AC487" s="66"/>
      <c r="AD487" s="66"/>
      <c r="AE487" s="105"/>
      <c r="AF487" s="90"/>
    </row>
    <row r="488" spans="1:32">
      <c r="A488" s="15">
        <f>Tableau242[[#This Row],[Company number]]+0</f>
        <v>21286</v>
      </c>
      <c r="B488" s="60" t="s">
        <v>1107</v>
      </c>
      <c r="C488" s="61" t="s">
        <v>1108</v>
      </c>
      <c r="D488" s="61" t="s">
        <v>18</v>
      </c>
      <c r="E488" s="62" t="str">
        <f>IFERROR(VLOOKUP(Tableau242[[#This Row],[Manager ou CDM concerné]],Parametres!B:C,2,FALSE),"")</f>
        <v>Squad H</v>
      </c>
      <c r="F488" s="62" t="str">
        <f>IF(Tableau242[[#This Row],[Consultant]]=Tableau242[[#This Row],[Manager ou CDM concerné]],"Non",IF(IFERROR(VLOOKUP(Tableau242[[#This Row],[Consultant]],Parametres!B:C,2,FALSE),0)=0,"Non","Oui"))</f>
        <v>Non</v>
      </c>
      <c r="G488" s="62">
        <f>IFERROR(VLOOKUP(B488,Tableau5[#All],4,FALSE),"Matricule!")</f>
        <v>20</v>
      </c>
      <c r="H488" s="62" t="str">
        <f>IFERROR(VLOOKUP(Tableau242[[#This Row],[Company number]],#REF!,6,FALSE),"")</f>
        <v/>
      </c>
      <c r="I488" s="62">
        <f>IFERROR(VLOOKUP(B488,Tableau5[#All],5,FALSE),"Matricule!")</f>
        <v>0</v>
      </c>
      <c r="J488" s="62">
        <f>IFERROR(VLOOKUP(B488,Tableau5[#All],6,FALSE),"Matricule!")</f>
        <v>0</v>
      </c>
      <c r="K488" s="62">
        <f>IFERROR(VLOOKUP(B488,Tableau5[#All],7,FALSE),"Matricule!")</f>
        <v>0</v>
      </c>
      <c r="L488" s="62" t="e">
        <f>VLOOKUP(Tableau242[[#This Row],[Company number]],#REF!,25,FALSE)</f>
        <v>#REF!</v>
      </c>
      <c r="M488" s="62" t="str">
        <f>IFERROR(VLOOKUP(Tableau242[[#This Row],[Company number]],#REF!,30,FALSE),"")</f>
        <v/>
      </c>
      <c r="N488" s="62" t="str">
        <f>IFERROR(VLOOKUP(Tableau242[[#This Row],[Company number]],#REF!,31,FALSE),"")</f>
        <v/>
      </c>
      <c r="O488" s="62" t="str">
        <f>IFERROR(VLOOKUP(Tableau242[[#This Row],[Company number]],#REF!,32,FALSE),"")</f>
        <v/>
      </c>
      <c r="P488" s="62">
        <f>IFERROR(VLOOKUP(B488,Tableau3[#All],5,FALSE),"Matricule!")</f>
        <v>20</v>
      </c>
      <c r="Q488" s="62">
        <f>IFERROR(SUM(VLOOKUP(B488,Tableau3[#All],6,FALSE),VLOOKUP(B488,Tableau3[#All],8,FALSE)),"Matricule!")</f>
        <v>0</v>
      </c>
      <c r="R488" s="62">
        <f>IFERROR(VLOOKUP(B488,Tableau3[#All],7,FALSE),"Matricule!")</f>
        <v>0</v>
      </c>
      <c r="S488" s="62">
        <f>IFERROR(Tableau242[[#This Row],[Prod. days WK]]-Tableau242[[#This Row],[Prod PXX]],"Matricule")</f>
        <v>0</v>
      </c>
      <c r="T488" s="62">
        <f>IFERROR(Tableau242[[#This Row],[Non prod. days WK]]-Tableau242[[#This Row],[Improd PXX]],"Matricule")</f>
        <v>0</v>
      </c>
      <c r="U488" s="62">
        <f>IFERROR(Tableau242[[#This Row],[Paid leave days WK]]-Tableau242[[#This Row],[Congé PXX]],"Matricule")</f>
        <v>0</v>
      </c>
      <c r="V488" s="63">
        <f>IFERROR(VLOOKUP($B488,#REF!,4,FALSE),0)</f>
        <v>0</v>
      </c>
      <c r="W48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88" s="63">
        <f>IF(AND(Tableau242[[#This Row],[Paid leave days]]&gt;0,Tableau242[[#This Row],[Prod. days]]&lt;0),MIN(Tableau242[[#This Row],[Paid leave days]],-Tableau242[[#This Row],[Prod. days]]),0)</f>
        <v>0</v>
      </c>
      <c r="Z488" s="63">
        <f>IFERROR(_xlfn.XLOOKUP(Tableau242[[#This Row],[Consultant]],Tableau2[Collaborateur/Nom affiché],Tableau2[Montant imputé],0),0)</f>
        <v>0</v>
      </c>
      <c r="AA488" s="64">
        <f t="shared" si="8"/>
        <v>0</v>
      </c>
      <c r="AB488" s="65"/>
      <c r="AC488" s="66"/>
      <c r="AD488" s="66"/>
      <c r="AE488" s="105"/>
      <c r="AF488" s="90"/>
    </row>
    <row r="489" spans="1:32">
      <c r="A489" s="15">
        <f>Tableau242[[#This Row],[Company number]]+0</f>
        <v>16773</v>
      </c>
      <c r="B489" s="60" t="s">
        <v>1109</v>
      </c>
      <c r="C489" s="61" t="s">
        <v>1110</v>
      </c>
      <c r="D489" s="61" t="s">
        <v>18</v>
      </c>
      <c r="E489" s="62" t="str">
        <f>IFERROR(VLOOKUP(Tableau242[[#This Row],[Manager ou CDM concerné]],Parametres!B:C,2,FALSE),"")</f>
        <v>Squad H</v>
      </c>
      <c r="F489" s="62" t="str">
        <f>IF(Tableau242[[#This Row],[Consultant]]=Tableau242[[#This Row],[Manager ou CDM concerné]],"Non",IF(IFERROR(VLOOKUP(Tableau242[[#This Row],[Consultant]],Parametres!B:C,2,FALSE),0)=0,"Non","Oui"))</f>
        <v>Non</v>
      </c>
      <c r="G489" s="62">
        <f>IFERROR(VLOOKUP(B489,Tableau5[#All],4,FALSE),"Matricule!")</f>
        <v>20</v>
      </c>
      <c r="H489" s="62" t="str">
        <f>IFERROR(VLOOKUP(Tableau242[[#This Row],[Company number]],#REF!,6,FALSE),"")</f>
        <v/>
      </c>
      <c r="I489" s="62">
        <f>IFERROR(VLOOKUP(B489,Tableau5[#All],5,FALSE),"Matricule!")</f>
        <v>0</v>
      </c>
      <c r="J489" s="62">
        <f>IFERROR(VLOOKUP(B489,Tableau5[#All],6,FALSE),"Matricule!")</f>
        <v>0</v>
      </c>
      <c r="K489" s="62">
        <f>IFERROR(VLOOKUP(B489,Tableau5[#All],7,FALSE),"Matricule!")</f>
        <v>0</v>
      </c>
      <c r="L489" s="62" t="e">
        <f>VLOOKUP(Tableau242[[#This Row],[Company number]],#REF!,25,FALSE)</f>
        <v>#REF!</v>
      </c>
      <c r="M489" s="62" t="str">
        <f>IFERROR(VLOOKUP(Tableau242[[#This Row],[Company number]],#REF!,30,FALSE),"")</f>
        <v/>
      </c>
      <c r="N489" s="62" t="str">
        <f>IFERROR(VLOOKUP(Tableau242[[#This Row],[Company number]],#REF!,31,FALSE),"")</f>
        <v/>
      </c>
      <c r="O489" s="62" t="str">
        <f>IFERROR(VLOOKUP(Tableau242[[#This Row],[Company number]],#REF!,32,FALSE),"")</f>
        <v/>
      </c>
      <c r="P489" s="62">
        <f>IFERROR(VLOOKUP(B489,Tableau3[#All],5,FALSE),"Matricule!")</f>
        <v>20</v>
      </c>
      <c r="Q489" s="62">
        <f>IFERROR(SUM(VLOOKUP(B489,Tableau3[#All],6,FALSE),VLOOKUP(B489,Tableau3[#All],8,FALSE)),"Matricule!")</f>
        <v>0</v>
      </c>
      <c r="R489" s="62">
        <f>IFERROR(VLOOKUP(B489,Tableau3[#All],7,FALSE),"Matricule!")</f>
        <v>0</v>
      </c>
      <c r="S489" s="62">
        <f>IFERROR(Tableau242[[#This Row],[Prod. days WK]]-Tableau242[[#This Row],[Prod PXX]],"Matricule")</f>
        <v>0</v>
      </c>
      <c r="T489" s="62">
        <f>IFERROR(Tableau242[[#This Row],[Non prod. days WK]]-Tableau242[[#This Row],[Improd PXX]],"Matricule")</f>
        <v>0</v>
      </c>
      <c r="U489" s="62">
        <f>IFERROR(Tableau242[[#This Row],[Paid leave days WK]]-Tableau242[[#This Row],[Congé PXX]],"Matricule")</f>
        <v>0</v>
      </c>
      <c r="V489" s="63">
        <f>IFERROR(VLOOKUP($B489,#REF!,4,FALSE),0)</f>
        <v>0</v>
      </c>
      <c r="W48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8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89" s="63">
        <f>IF(AND(Tableau242[[#This Row],[Paid leave days]]&gt;0,Tableau242[[#This Row],[Prod. days]]&lt;0),MIN(Tableau242[[#This Row],[Paid leave days]],-Tableau242[[#This Row],[Prod. days]]),0)</f>
        <v>0</v>
      </c>
      <c r="Z489" s="63">
        <f>IFERROR(_xlfn.XLOOKUP(Tableau242[[#This Row],[Consultant]],Tableau2[Collaborateur/Nom affiché],Tableau2[Montant imputé],0),0)</f>
        <v>0</v>
      </c>
      <c r="AA489" s="64">
        <f t="shared" si="8"/>
        <v>0</v>
      </c>
      <c r="AB489" s="65"/>
      <c r="AC489" s="66"/>
      <c r="AD489" s="66"/>
      <c r="AE489" s="105"/>
      <c r="AF489" s="90"/>
    </row>
    <row r="490" spans="1:32">
      <c r="A490" s="15">
        <f>Tableau242[[#This Row],[Company number]]+0</f>
        <v>13365</v>
      </c>
      <c r="B490" s="60" t="s">
        <v>1111</v>
      </c>
      <c r="C490" s="61" t="s">
        <v>1112</v>
      </c>
      <c r="D490" s="61" t="s">
        <v>31</v>
      </c>
      <c r="E490" s="62" t="str">
        <f>IFERROR(VLOOKUP(Tableau242[[#This Row],[Manager ou CDM concerné]],Parametres!B:C,2,FALSE),"")</f>
        <v>Squad C</v>
      </c>
      <c r="F490" s="62" t="str">
        <f>IF(Tableau242[[#This Row],[Consultant]]=Tableau242[[#This Row],[Manager ou CDM concerné]],"Non",IF(IFERROR(VLOOKUP(Tableau242[[#This Row],[Consultant]],Parametres!B:C,2,FALSE),0)=0,"Non","Oui"))</f>
        <v>Non</v>
      </c>
      <c r="G490" s="62">
        <f>IFERROR(VLOOKUP(B490,Tableau5[#All],4,FALSE),"Matricule!")</f>
        <v>18.5</v>
      </c>
      <c r="H490" s="62" t="str">
        <f>IFERROR(VLOOKUP(Tableau242[[#This Row],[Company number]],#REF!,6,FALSE),"")</f>
        <v/>
      </c>
      <c r="I490" s="62">
        <f>IFERROR(VLOOKUP(B490,Tableau5[#All],5,FALSE),"Matricule!")</f>
        <v>0.5</v>
      </c>
      <c r="J490" s="62">
        <f>IFERROR(VLOOKUP(B490,Tableau5[#All],6,FALSE),"Matricule!")</f>
        <v>1</v>
      </c>
      <c r="K490" s="62">
        <f>IFERROR(VLOOKUP(B490,Tableau5[#All],7,FALSE),"Matricule!")</f>
        <v>0</v>
      </c>
      <c r="L490" s="62" t="e">
        <f>VLOOKUP(Tableau242[[#This Row],[Company number]],#REF!,25,FALSE)</f>
        <v>#REF!</v>
      </c>
      <c r="M490" s="62" t="str">
        <f>IFERROR(VLOOKUP(Tableau242[[#This Row],[Company number]],#REF!,30,FALSE),"")</f>
        <v/>
      </c>
      <c r="N490" s="62" t="str">
        <f>IFERROR(VLOOKUP(Tableau242[[#This Row],[Company number]],#REF!,31,FALSE),"")</f>
        <v/>
      </c>
      <c r="O490" s="62" t="str">
        <f>IFERROR(VLOOKUP(Tableau242[[#This Row],[Company number]],#REF!,32,FALSE),"")</f>
        <v/>
      </c>
      <c r="P490" s="62">
        <f>IFERROR(VLOOKUP(B490,Tableau3[#All],5,FALSE),"Matricule!")</f>
        <v>19</v>
      </c>
      <c r="Q490" s="62">
        <f>IFERROR(SUM(VLOOKUP(B490,Tableau3[#All],6,FALSE),VLOOKUP(B490,Tableau3[#All],8,FALSE)),"Matricule!")</f>
        <v>0</v>
      </c>
      <c r="R490" s="62">
        <f>IFERROR(VLOOKUP(B490,Tableau3[#All],7,FALSE),"Matricule!")</f>
        <v>1</v>
      </c>
      <c r="S490" s="62">
        <f>IFERROR(Tableau242[[#This Row],[Prod. days WK]]-Tableau242[[#This Row],[Prod PXX]],"Matricule")</f>
        <v>-0.5</v>
      </c>
      <c r="T490" s="62">
        <f>IFERROR(Tableau242[[#This Row],[Non prod. days WK]]-Tableau242[[#This Row],[Improd PXX]],"Matricule")</f>
        <v>0.5</v>
      </c>
      <c r="U490" s="62">
        <f>IFERROR(Tableau242[[#This Row],[Paid leave days WK]]-Tableau242[[#This Row],[Congé PXX]],"Matricule")</f>
        <v>0</v>
      </c>
      <c r="V490" s="63">
        <f>IFERROR(VLOOKUP($B490,#REF!,4,FALSE),0)</f>
        <v>0</v>
      </c>
      <c r="W49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90" s="63">
        <f>IF(AND(Tableau242[[#This Row],[Paid leave days]]&gt;0,Tableau242[[#This Row],[Prod. days]]&lt;0),MIN(Tableau242[[#This Row],[Paid leave days]],-Tableau242[[#This Row],[Prod. days]]),0)</f>
        <v>0</v>
      </c>
      <c r="Z490" s="63">
        <f>IFERROR(_xlfn.XLOOKUP(Tableau242[[#This Row],[Consultant]],Tableau2[Collaborateur/Nom affiché],Tableau2[Montant imputé],0),0)</f>
        <v>0</v>
      </c>
      <c r="AA490" s="64">
        <f t="shared" si="8"/>
        <v>-0.5</v>
      </c>
      <c r="AB490" s="65" t="s">
        <v>147</v>
      </c>
      <c r="AC490" s="67"/>
      <c r="AD490" s="66"/>
      <c r="AE490" s="105"/>
      <c r="AF490" s="93"/>
    </row>
    <row r="491" spans="1:32" ht="14.45" customHeight="1">
      <c r="A491" s="15">
        <f>Tableau242[[#This Row],[Company number]]+0</f>
        <v>10908</v>
      </c>
      <c r="B491" s="60" t="s">
        <v>1113</v>
      </c>
      <c r="C491" s="61" t="s">
        <v>1114</v>
      </c>
      <c r="D491" s="61" t="s">
        <v>16</v>
      </c>
      <c r="E491" s="62" t="str">
        <f>IFERROR(VLOOKUP(Tableau242[[#This Row],[Manager ou CDM concerné]],Parametres!B:C,2,FALSE),"")</f>
        <v>Squad E</v>
      </c>
      <c r="F491" s="62" t="str">
        <f>IF(Tableau242[[#This Row],[Consultant]]=Tableau242[[#This Row],[Manager ou CDM concerné]],"Non",IF(IFERROR(VLOOKUP(Tableau242[[#This Row],[Consultant]],Parametres!B:C,2,FALSE),0)=0,"Non","Oui"))</f>
        <v>Non</v>
      </c>
      <c r="G491" s="62">
        <f>IFERROR(VLOOKUP(B491,Tableau5[#All],4,FALSE),"Matricule!")</f>
        <v>9.5</v>
      </c>
      <c r="H491" s="62" t="str">
        <f>IFERROR(VLOOKUP(Tableau242[[#This Row],[Company number]],#REF!,6,FALSE),"")</f>
        <v/>
      </c>
      <c r="I491" s="62">
        <f>IFERROR(VLOOKUP(B491,Tableau5[#All],5,FALSE),"Matricule!")</f>
        <v>8.5</v>
      </c>
      <c r="J491" s="62">
        <f>IFERROR(VLOOKUP(B491,Tableau5[#All],6,FALSE),"Matricule!")</f>
        <v>2</v>
      </c>
      <c r="K491" s="62">
        <f>IFERROR(VLOOKUP(B491,Tableau5[#All],7,FALSE),"Matricule!")</f>
        <v>0</v>
      </c>
      <c r="L491" s="62" t="e">
        <f>VLOOKUP(Tableau242[[#This Row],[Company number]],#REF!,25,FALSE)</f>
        <v>#REF!</v>
      </c>
      <c r="M491" s="62" t="str">
        <f>IFERROR(VLOOKUP(Tableau242[[#This Row],[Company number]],#REF!,30,FALSE),"")</f>
        <v/>
      </c>
      <c r="N491" s="62" t="str">
        <f>IFERROR(VLOOKUP(Tableau242[[#This Row],[Company number]],#REF!,31,FALSE),"")</f>
        <v/>
      </c>
      <c r="O491" s="62" t="str">
        <f>IFERROR(VLOOKUP(Tableau242[[#This Row],[Company number]],#REF!,32,FALSE),"")</f>
        <v/>
      </c>
      <c r="P491" s="62">
        <f>IFERROR(VLOOKUP(B491,Tableau3[#All],5,FALSE),"Matricule!")</f>
        <v>10</v>
      </c>
      <c r="Q491" s="62">
        <f>IFERROR(SUM(VLOOKUP(B491,Tableau3[#All],6,FALSE),VLOOKUP(B491,Tableau3[#All],8,FALSE)),"Matricule!")</f>
        <v>8</v>
      </c>
      <c r="R491" s="62">
        <f>IFERROR(VLOOKUP(B491,Tableau3[#All],7,FALSE),"Matricule!")</f>
        <v>2</v>
      </c>
      <c r="S491" s="62">
        <f>IFERROR(Tableau242[[#This Row],[Prod. days WK]]-Tableau242[[#This Row],[Prod PXX]],"Matricule")</f>
        <v>-0.5</v>
      </c>
      <c r="T491" s="62">
        <f>IFERROR(Tableau242[[#This Row],[Non prod. days WK]]-Tableau242[[#This Row],[Improd PXX]],"Matricule")</f>
        <v>0.5</v>
      </c>
      <c r="U491" s="62">
        <f>IFERROR(Tableau242[[#This Row],[Paid leave days WK]]-Tableau242[[#This Row],[Congé PXX]],"Matricule")</f>
        <v>0</v>
      </c>
      <c r="V491" s="63">
        <f>IFERROR(VLOOKUP($B491,#REF!,4,FALSE),0)</f>
        <v>0</v>
      </c>
      <c r="W49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491" s="63">
        <f>IF(AND(Tableau242[[#This Row],[Paid leave days]]&gt;0,Tableau242[[#This Row],[Prod. days]]&lt;0),MIN(Tableau242[[#This Row],[Paid leave days]],-Tableau242[[#This Row],[Prod. days]]),0)</f>
        <v>0</v>
      </c>
      <c r="Z491" s="63">
        <f>IFERROR(_xlfn.XLOOKUP(Tableau242[[#This Row],[Consultant]],Tableau2[Collaborateur/Nom affiché],Tableau2[Montant imputé],0),0)</f>
        <v>0</v>
      </c>
      <c r="AA491" s="64">
        <f t="shared" si="8"/>
        <v>-0.5</v>
      </c>
      <c r="AB491" s="65" t="s">
        <v>154</v>
      </c>
      <c r="AC491" s="67"/>
      <c r="AD491" s="67"/>
      <c r="AE491" s="106"/>
      <c r="AF491" s="92"/>
    </row>
    <row r="492" spans="1:32" ht="14.45" customHeight="1">
      <c r="A492" s="15">
        <f>Tableau242[[#This Row],[Company number]]+0</f>
        <v>20752</v>
      </c>
      <c r="B492" s="60" t="s">
        <v>1115</v>
      </c>
      <c r="C492" s="61" t="s">
        <v>1116</v>
      </c>
      <c r="D492" s="61" t="s">
        <v>73</v>
      </c>
      <c r="E492" s="62" t="str">
        <f>IFERROR(VLOOKUP(Tableau242[[#This Row],[Manager ou CDM concerné]],Parametres!B:C,2,FALSE),"")</f>
        <v>Squad H</v>
      </c>
      <c r="F492" s="62" t="str">
        <f>IF(Tableau242[[#This Row],[Consultant]]=Tableau242[[#This Row],[Manager ou CDM concerné]],"Non",IF(IFERROR(VLOOKUP(Tableau242[[#This Row],[Consultant]],Parametres!B:C,2,FALSE),0)=0,"Non","Oui"))</f>
        <v>Non</v>
      </c>
      <c r="G492" s="62">
        <f>IFERROR(VLOOKUP(B492,Tableau5[#All],4,FALSE),"Matricule!")</f>
        <v>1</v>
      </c>
      <c r="H492" s="62" t="str">
        <f>IFERROR(VLOOKUP(Tableau242[[#This Row],[Company number]],#REF!,6,FALSE),"")</f>
        <v/>
      </c>
      <c r="I492" s="62">
        <f>IFERROR(VLOOKUP(B492,Tableau5[#All],5,FALSE),"Matricule!")</f>
        <v>17</v>
      </c>
      <c r="J492" s="62">
        <f>IFERROR(VLOOKUP(B492,Tableau5[#All],6,FALSE),"Matricule!")</f>
        <v>2</v>
      </c>
      <c r="K492" s="62">
        <f>IFERROR(VLOOKUP(B492,Tableau5[#All],7,FALSE),"Matricule!")</f>
        <v>0</v>
      </c>
      <c r="L492" s="62" t="e">
        <f>VLOOKUP(Tableau242[[#This Row],[Company number]],#REF!,25,FALSE)</f>
        <v>#REF!</v>
      </c>
      <c r="M492" s="62" t="str">
        <f>IFERROR(VLOOKUP(Tableau242[[#This Row],[Company number]],#REF!,30,FALSE),"")</f>
        <v/>
      </c>
      <c r="N492" s="62" t="str">
        <f>IFERROR(VLOOKUP(Tableau242[[#This Row],[Company number]],#REF!,31,FALSE),"")</f>
        <v/>
      </c>
      <c r="O492" s="62" t="str">
        <f>IFERROR(VLOOKUP(Tableau242[[#This Row],[Company number]],#REF!,32,FALSE),"")</f>
        <v/>
      </c>
      <c r="P492" s="62">
        <f>IFERROR(VLOOKUP(B492,Tableau3[#All],5,FALSE),"Matricule!")</f>
        <v>1</v>
      </c>
      <c r="Q492" s="62">
        <f>IFERROR(SUM(VLOOKUP(B492,Tableau3[#All],6,FALSE),VLOOKUP(B492,Tableau3[#All],8,FALSE)),"Matricule!")</f>
        <v>17</v>
      </c>
      <c r="R492" s="62">
        <f>IFERROR(VLOOKUP(B492,Tableau3[#All],7,FALSE),"Matricule!")</f>
        <v>2</v>
      </c>
      <c r="S492" s="62">
        <f>IFERROR(Tableau242[[#This Row],[Prod. days WK]]-Tableau242[[#This Row],[Prod PXX]],"Matricule")</f>
        <v>0</v>
      </c>
      <c r="T492" s="62">
        <f>IFERROR(Tableau242[[#This Row],[Non prod. days WK]]-Tableau242[[#This Row],[Improd PXX]],"Matricule")</f>
        <v>0</v>
      </c>
      <c r="U492" s="62">
        <f>IFERROR(Tableau242[[#This Row],[Paid leave days WK]]-Tableau242[[#This Row],[Congé PXX]],"Matricule")</f>
        <v>0</v>
      </c>
      <c r="V492" s="63">
        <f>IFERROR(VLOOKUP($B492,#REF!,4,FALSE),0)</f>
        <v>0</v>
      </c>
      <c r="W49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92" s="63">
        <f>IF(AND(Tableau242[[#This Row],[Paid leave days]]&gt;0,Tableau242[[#This Row],[Prod. days]]&lt;0),MIN(Tableau242[[#This Row],[Paid leave days]],-Tableau242[[#This Row],[Prod. days]]),0)</f>
        <v>0</v>
      </c>
      <c r="Z492" s="63">
        <f>IFERROR(_xlfn.XLOOKUP(Tableau242[[#This Row],[Consultant]],Tableau2[Collaborateur/Nom affiché],Tableau2[Montant imputé],0),0)</f>
        <v>0</v>
      </c>
      <c r="AA492" s="64">
        <f t="shared" si="8"/>
        <v>0</v>
      </c>
      <c r="AB492" s="65"/>
      <c r="AC492" s="66"/>
      <c r="AD492" s="66"/>
      <c r="AE492" s="105"/>
      <c r="AF492" s="90"/>
    </row>
    <row r="493" spans="1:32" ht="14.45" customHeight="1">
      <c r="A493" s="15">
        <f>Tableau242[[#This Row],[Company number]]+0</f>
        <v>20650</v>
      </c>
      <c r="B493" s="60" t="s">
        <v>1117</v>
      </c>
      <c r="C493" s="61" t="s">
        <v>1118</v>
      </c>
      <c r="D493" s="61" t="s">
        <v>73</v>
      </c>
      <c r="E493" s="62" t="str">
        <f>IFERROR(VLOOKUP(Tableau242[[#This Row],[Manager ou CDM concerné]],Parametres!B:C,2,FALSE),"")</f>
        <v>Squad H</v>
      </c>
      <c r="F493" s="62" t="str">
        <f>IF(Tableau242[[#This Row],[Consultant]]=Tableau242[[#This Row],[Manager ou CDM concerné]],"Non",IF(IFERROR(VLOOKUP(Tableau242[[#This Row],[Consultant]],Parametres!B:C,2,FALSE),0)=0,"Non","Oui"))</f>
        <v>Non</v>
      </c>
      <c r="G493" s="62">
        <f>IFERROR(VLOOKUP(B493,Tableau5[#All],4,FALSE),"Matricule!")</f>
        <v>0</v>
      </c>
      <c r="H493" s="62" t="str">
        <f>IFERROR(VLOOKUP(Tableau242[[#This Row],[Company number]],#REF!,6,FALSE),"")</f>
        <v/>
      </c>
      <c r="I493" s="62">
        <f>IFERROR(VLOOKUP(B493,Tableau5[#All],5,FALSE),"Matricule!")</f>
        <v>19</v>
      </c>
      <c r="J493" s="62">
        <f>IFERROR(VLOOKUP(B493,Tableau5[#All],6,FALSE),"Matricule!")</f>
        <v>1</v>
      </c>
      <c r="K493" s="62">
        <f>IFERROR(VLOOKUP(B493,Tableau5[#All],7,FALSE),"Matricule!")</f>
        <v>0</v>
      </c>
      <c r="L493" s="62" t="e">
        <f>VLOOKUP(Tableau242[[#This Row],[Company number]],#REF!,25,FALSE)</f>
        <v>#REF!</v>
      </c>
      <c r="M493" s="62" t="str">
        <f>IFERROR(VLOOKUP(Tableau242[[#This Row],[Company number]],#REF!,30,FALSE),"")</f>
        <v/>
      </c>
      <c r="N493" s="62" t="str">
        <f>IFERROR(VLOOKUP(Tableau242[[#This Row],[Company number]],#REF!,31,FALSE),"")</f>
        <v/>
      </c>
      <c r="O493" s="62" t="str">
        <f>IFERROR(VLOOKUP(Tableau242[[#This Row],[Company number]],#REF!,32,FALSE),"")</f>
        <v/>
      </c>
      <c r="P493" s="62">
        <f>IFERROR(VLOOKUP(B493,Tableau3[#All],5,FALSE),"Matricule!")</f>
        <v>0</v>
      </c>
      <c r="Q493" s="62">
        <f>IFERROR(SUM(VLOOKUP(B493,Tableau3[#All],6,FALSE),VLOOKUP(B493,Tableau3[#All],8,FALSE)),"Matricule!")</f>
        <v>19</v>
      </c>
      <c r="R493" s="62">
        <f>IFERROR(VLOOKUP(B493,Tableau3[#All],7,FALSE),"Matricule!")</f>
        <v>1</v>
      </c>
      <c r="S493" s="62">
        <f>IFERROR(Tableau242[[#This Row],[Prod. days WK]]-Tableau242[[#This Row],[Prod PXX]],"Matricule")</f>
        <v>0</v>
      </c>
      <c r="T493" s="62">
        <f>IFERROR(Tableau242[[#This Row],[Non prod. days WK]]-Tableau242[[#This Row],[Improd PXX]],"Matricule")</f>
        <v>0</v>
      </c>
      <c r="U493" s="62">
        <f>IFERROR(Tableau242[[#This Row],[Paid leave days WK]]-Tableau242[[#This Row],[Congé PXX]],"Matricule")</f>
        <v>0</v>
      </c>
      <c r="V493" s="63">
        <f>IFERROR(VLOOKUP($B493,#REF!,4,FALSE),0)</f>
        <v>0</v>
      </c>
      <c r="W49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93" s="63">
        <f>IF(AND(Tableau242[[#This Row],[Paid leave days]]&gt;0,Tableau242[[#This Row],[Prod. days]]&lt;0),MIN(Tableau242[[#This Row],[Paid leave days]],-Tableau242[[#This Row],[Prod. days]]),0)</f>
        <v>0</v>
      </c>
      <c r="Z493" s="63">
        <f>IFERROR(_xlfn.XLOOKUP(Tableau242[[#This Row],[Consultant]],Tableau2[Collaborateur/Nom affiché],Tableau2[Montant imputé],0),0)</f>
        <v>0</v>
      </c>
      <c r="AA493" s="64">
        <f t="shared" si="8"/>
        <v>0</v>
      </c>
      <c r="AB493" s="65"/>
      <c r="AC493" s="66"/>
      <c r="AD493" s="66"/>
      <c r="AE493" s="105"/>
      <c r="AF493" s="90"/>
    </row>
    <row r="494" spans="1:32" ht="14.45" customHeight="1">
      <c r="A494" s="15">
        <f>Tableau242[[#This Row],[Company number]]+0</f>
        <v>17061</v>
      </c>
      <c r="B494" s="60" t="s">
        <v>1119</v>
      </c>
      <c r="C494" s="61" t="s">
        <v>1120</v>
      </c>
      <c r="D494" s="61" t="s">
        <v>73</v>
      </c>
      <c r="E494" s="62" t="str">
        <f>IFERROR(VLOOKUP(Tableau242[[#This Row],[Manager ou CDM concerné]],Parametres!B:C,2,FALSE),"")</f>
        <v>Squad H</v>
      </c>
      <c r="F494" s="62" t="str">
        <f>IF(Tableau242[[#This Row],[Consultant]]=Tableau242[[#This Row],[Manager ou CDM concerné]],"Non",IF(IFERROR(VLOOKUP(Tableau242[[#This Row],[Consultant]],Parametres!B:C,2,FALSE),0)=0,"Non","Oui"))</f>
        <v>Non</v>
      </c>
      <c r="G494" s="62">
        <f>IFERROR(VLOOKUP(B494,Tableau5[#All],4,FALSE),"Matricule!")</f>
        <v>16.5</v>
      </c>
      <c r="H494" s="62" t="str">
        <f>IFERROR(VLOOKUP(Tableau242[[#This Row],[Company number]],#REF!,6,FALSE),"")</f>
        <v/>
      </c>
      <c r="I494" s="62">
        <f>IFERROR(VLOOKUP(B494,Tableau5[#All],5,FALSE),"Matricule!")</f>
        <v>0</v>
      </c>
      <c r="J494" s="62">
        <f>IFERROR(VLOOKUP(B494,Tableau5[#All],6,FALSE),"Matricule!")</f>
        <v>3.5</v>
      </c>
      <c r="K494" s="62">
        <f>IFERROR(VLOOKUP(B494,Tableau5[#All],7,FALSE),"Matricule!")</f>
        <v>0</v>
      </c>
      <c r="L494" s="62" t="e">
        <f>VLOOKUP(Tableau242[[#This Row],[Company number]],#REF!,25,FALSE)</f>
        <v>#REF!</v>
      </c>
      <c r="M494" s="62" t="str">
        <f>IFERROR(VLOOKUP(Tableau242[[#This Row],[Company number]],#REF!,30,FALSE),"")</f>
        <v/>
      </c>
      <c r="N494" s="62" t="str">
        <f>IFERROR(VLOOKUP(Tableau242[[#This Row],[Company number]],#REF!,31,FALSE),"")</f>
        <v/>
      </c>
      <c r="O494" s="62" t="str">
        <f>IFERROR(VLOOKUP(Tableau242[[#This Row],[Company number]],#REF!,32,FALSE),"")</f>
        <v/>
      </c>
      <c r="P494" s="62">
        <f>IFERROR(VLOOKUP(B494,Tableau3[#All],5,FALSE),"Matricule!")</f>
        <v>16.5</v>
      </c>
      <c r="Q494" s="62">
        <f>IFERROR(SUM(VLOOKUP(B494,Tableau3[#All],6,FALSE),VLOOKUP(B494,Tableau3[#All],8,FALSE)),"Matricule!")</f>
        <v>0</v>
      </c>
      <c r="R494" s="62">
        <f>IFERROR(VLOOKUP(B494,Tableau3[#All],7,FALSE),"Matricule!")</f>
        <v>3.5</v>
      </c>
      <c r="S494" s="62">
        <f>IFERROR(Tableau242[[#This Row],[Prod. days WK]]-Tableau242[[#This Row],[Prod PXX]],"Matricule")</f>
        <v>0</v>
      </c>
      <c r="T494" s="62">
        <f>IFERROR(Tableau242[[#This Row],[Non prod. days WK]]-Tableau242[[#This Row],[Improd PXX]],"Matricule")</f>
        <v>0</v>
      </c>
      <c r="U494" s="62">
        <f>IFERROR(Tableau242[[#This Row],[Paid leave days WK]]-Tableau242[[#This Row],[Congé PXX]],"Matricule")</f>
        <v>0</v>
      </c>
      <c r="V494" s="63">
        <f>IFERROR(VLOOKUP($B494,#REF!,4,FALSE),0)</f>
        <v>0</v>
      </c>
      <c r="W49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94" s="63">
        <f>IF(AND(Tableau242[[#This Row],[Paid leave days]]&gt;0,Tableau242[[#This Row],[Prod. days]]&lt;0),MIN(Tableau242[[#This Row],[Paid leave days]],-Tableau242[[#This Row],[Prod. days]]),0)</f>
        <v>0</v>
      </c>
      <c r="Z494" s="63">
        <f>IFERROR(_xlfn.XLOOKUP(Tableau242[[#This Row],[Consultant]],Tableau2[Collaborateur/Nom affiché],Tableau2[Montant imputé],0),0)</f>
        <v>0</v>
      </c>
      <c r="AA494" s="64">
        <f t="shared" si="8"/>
        <v>0</v>
      </c>
      <c r="AB494" s="65"/>
      <c r="AC494" s="66"/>
      <c r="AD494" s="66"/>
      <c r="AE494" s="39"/>
      <c r="AF494" s="90"/>
    </row>
    <row r="495" spans="1:32" ht="14.45" customHeight="1">
      <c r="A495" s="15">
        <f>Tableau242[[#This Row],[Company number]]+0</f>
        <v>21970</v>
      </c>
      <c r="B495" s="60" t="s">
        <v>1121</v>
      </c>
      <c r="C495" s="61" t="s">
        <v>1122</v>
      </c>
      <c r="D495" s="61" t="s">
        <v>73</v>
      </c>
      <c r="E495" s="62" t="str">
        <f>IFERROR(VLOOKUP(Tableau242[[#This Row],[Manager ou CDM concerné]],Parametres!B:C,2,FALSE),"")</f>
        <v>Squad H</v>
      </c>
      <c r="F495" s="62" t="str">
        <f>IF(Tableau242[[#This Row],[Consultant]]=Tableau242[[#This Row],[Manager ou CDM concerné]],"Non",IF(IFERROR(VLOOKUP(Tableau242[[#This Row],[Consultant]],Parametres!B:C,2,FALSE),0)=0,"Non","Oui"))</f>
        <v>Non</v>
      </c>
      <c r="G495" s="62">
        <f>IFERROR(VLOOKUP(B495,Tableau5[#All],4,FALSE),"Matricule!")</f>
        <v>9</v>
      </c>
      <c r="H495" s="62" t="str">
        <f>IFERROR(VLOOKUP(Tableau242[[#This Row],[Company number]],#REF!,6,FALSE),"")</f>
        <v/>
      </c>
      <c r="I495" s="62">
        <f>IFERROR(VLOOKUP(B495,Tableau5[#All],5,FALSE),"Matricule!")</f>
        <v>11</v>
      </c>
      <c r="J495" s="62">
        <f>IFERROR(VLOOKUP(B495,Tableau5[#All],6,FALSE),"Matricule!")</f>
        <v>0</v>
      </c>
      <c r="K495" s="62">
        <f>IFERROR(VLOOKUP(B495,Tableau5[#All],7,FALSE),"Matricule!")</f>
        <v>0</v>
      </c>
      <c r="L495" s="62" t="e">
        <f>VLOOKUP(Tableau242[[#This Row],[Company number]],#REF!,25,FALSE)</f>
        <v>#REF!</v>
      </c>
      <c r="M495" s="62" t="str">
        <f>IFERROR(VLOOKUP(Tableau242[[#This Row],[Company number]],#REF!,30,FALSE),"")</f>
        <v/>
      </c>
      <c r="N495" s="62" t="str">
        <f>IFERROR(VLOOKUP(Tableau242[[#This Row],[Company number]],#REF!,31,FALSE),"")</f>
        <v/>
      </c>
      <c r="O495" s="62" t="str">
        <f>IFERROR(VLOOKUP(Tableau242[[#This Row],[Company number]],#REF!,32,FALSE),"")</f>
        <v/>
      </c>
      <c r="P495" s="62">
        <f>IFERROR(VLOOKUP(B495,Tableau3[#All],5,FALSE),"Matricule!")</f>
        <v>9</v>
      </c>
      <c r="Q495" s="62">
        <f>IFERROR(SUM(VLOOKUP(B495,Tableau3[#All],6,FALSE),VLOOKUP(B495,Tableau3[#All],8,FALSE)),"Matricule!")</f>
        <v>11</v>
      </c>
      <c r="R495" s="62">
        <f>IFERROR(VLOOKUP(B495,Tableau3[#All],7,FALSE),"Matricule!")</f>
        <v>0</v>
      </c>
      <c r="S495" s="62">
        <f>IFERROR(Tableau242[[#This Row],[Prod. days WK]]-Tableau242[[#This Row],[Prod PXX]],"Matricule")</f>
        <v>0</v>
      </c>
      <c r="T495" s="62">
        <f>IFERROR(Tableau242[[#This Row],[Non prod. days WK]]-Tableau242[[#This Row],[Improd PXX]],"Matricule")</f>
        <v>0</v>
      </c>
      <c r="U495" s="62">
        <f>IFERROR(Tableau242[[#This Row],[Paid leave days WK]]-Tableau242[[#This Row],[Congé PXX]],"Matricule")</f>
        <v>0</v>
      </c>
      <c r="V495" s="63">
        <f>IFERROR(VLOOKUP($B495,#REF!,4,FALSE),0)</f>
        <v>0</v>
      </c>
      <c r="W49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95" s="63">
        <f>IF(AND(Tableau242[[#This Row],[Paid leave days]]&gt;0,Tableau242[[#This Row],[Prod. days]]&lt;0),MIN(Tableau242[[#This Row],[Paid leave days]],-Tableau242[[#This Row],[Prod. days]]),0)</f>
        <v>0</v>
      </c>
      <c r="Z495" s="63">
        <f>IFERROR(_xlfn.XLOOKUP(Tableau242[[#This Row],[Consultant]],Tableau2[Collaborateur/Nom affiché],Tableau2[Montant imputé],0),0)</f>
        <v>0</v>
      </c>
      <c r="AA495" s="64">
        <f t="shared" si="8"/>
        <v>0</v>
      </c>
      <c r="AB495" s="65"/>
      <c r="AC495" s="66"/>
      <c r="AD495" s="66"/>
      <c r="AE495" s="115"/>
      <c r="AF495" s="90"/>
    </row>
    <row r="496" spans="1:32" ht="14.45" customHeight="1">
      <c r="A496" s="15">
        <f>Tableau242[[#This Row],[Company number]]+0</f>
        <v>17797</v>
      </c>
      <c r="B496" s="60" t="s">
        <v>1123</v>
      </c>
      <c r="C496" s="61" t="s">
        <v>1124</v>
      </c>
      <c r="D496" s="61" t="s">
        <v>73</v>
      </c>
      <c r="E496" s="62" t="str">
        <f>IFERROR(VLOOKUP(Tableau242[[#This Row],[Manager ou CDM concerné]],Parametres!B:C,2,FALSE),"")</f>
        <v>Squad H</v>
      </c>
      <c r="F496" s="62" t="str">
        <f>IF(Tableau242[[#This Row],[Consultant]]=Tableau242[[#This Row],[Manager ou CDM concerné]],"Non",IF(IFERROR(VLOOKUP(Tableau242[[#This Row],[Consultant]],Parametres!B:C,2,FALSE),0)=0,"Non","Oui"))</f>
        <v>Non</v>
      </c>
      <c r="G496" s="62">
        <f>IFERROR(VLOOKUP(B496,Tableau5[#All],4,FALSE),"Matricule!")</f>
        <v>20</v>
      </c>
      <c r="H496" s="62" t="str">
        <f>IFERROR(VLOOKUP(Tableau242[[#This Row],[Company number]],#REF!,6,FALSE),"")</f>
        <v/>
      </c>
      <c r="I496" s="62">
        <f>IFERROR(VLOOKUP(B496,Tableau5[#All],5,FALSE),"Matricule!")</f>
        <v>0</v>
      </c>
      <c r="J496" s="62">
        <f>IFERROR(VLOOKUP(B496,Tableau5[#All],6,FALSE),"Matricule!")</f>
        <v>0</v>
      </c>
      <c r="K496" s="62">
        <f>IFERROR(VLOOKUP(B496,Tableau5[#All],7,FALSE),"Matricule!")</f>
        <v>0</v>
      </c>
      <c r="L496" s="62" t="e">
        <f>VLOOKUP(Tableau242[[#This Row],[Company number]],#REF!,25,FALSE)</f>
        <v>#REF!</v>
      </c>
      <c r="M496" s="62" t="str">
        <f>IFERROR(VLOOKUP(Tableau242[[#This Row],[Company number]],#REF!,30,FALSE),"")</f>
        <v/>
      </c>
      <c r="N496" s="62" t="str">
        <f>IFERROR(VLOOKUP(Tableau242[[#This Row],[Company number]],#REF!,31,FALSE),"")</f>
        <v/>
      </c>
      <c r="O496" s="62" t="str">
        <f>IFERROR(VLOOKUP(Tableau242[[#This Row],[Company number]],#REF!,32,FALSE),"")</f>
        <v/>
      </c>
      <c r="P496" s="62">
        <f>IFERROR(VLOOKUP(B496,Tableau3[#All],5,FALSE),"Matricule!")</f>
        <v>20</v>
      </c>
      <c r="Q496" s="62">
        <f>IFERROR(SUM(VLOOKUP(B496,Tableau3[#All],6,FALSE),VLOOKUP(B496,Tableau3[#All],8,FALSE)),"Matricule!")</f>
        <v>0</v>
      </c>
      <c r="R496" s="62">
        <f>IFERROR(VLOOKUP(B496,Tableau3[#All],7,FALSE),"Matricule!")</f>
        <v>0</v>
      </c>
      <c r="S496" s="62">
        <f>IFERROR(Tableau242[[#This Row],[Prod. days WK]]-Tableau242[[#This Row],[Prod PXX]],"Matricule")</f>
        <v>0</v>
      </c>
      <c r="T496" s="62">
        <f>IFERROR(Tableau242[[#This Row],[Non prod. days WK]]-Tableau242[[#This Row],[Improd PXX]],"Matricule")</f>
        <v>0</v>
      </c>
      <c r="U496" s="62">
        <f>IFERROR(Tableau242[[#This Row],[Paid leave days WK]]-Tableau242[[#This Row],[Congé PXX]],"Matricule")</f>
        <v>0</v>
      </c>
      <c r="V496" s="63">
        <f>IFERROR(VLOOKUP($B496,#REF!,4,FALSE),0)</f>
        <v>0</v>
      </c>
      <c r="W49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96" s="63">
        <f>IF(AND(Tableau242[[#This Row],[Paid leave days]]&gt;0,Tableau242[[#This Row],[Prod. days]]&lt;0),MIN(Tableau242[[#This Row],[Paid leave days]],-Tableau242[[#This Row],[Prod. days]]),0)</f>
        <v>0</v>
      </c>
      <c r="Z496" s="63">
        <f>IFERROR(_xlfn.XLOOKUP(Tableau242[[#This Row],[Consultant]],Tableau2[Collaborateur/Nom affiché],Tableau2[Montant imputé],0),0)</f>
        <v>0</v>
      </c>
      <c r="AA496" s="64">
        <f t="shared" si="8"/>
        <v>0</v>
      </c>
      <c r="AB496" s="65"/>
      <c r="AC496" s="66"/>
      <c r="AD496" s="66"/>
      <c r="AE496" s="105"/>
      <c r="AF496" s="90"/>
    </row>
    <row r="497" spans="1:32" ht="14.45" customHeight="1">
      <c r="A497" s="15">
        <f>Tableau242[[#This Row],[Company number]]+0</f>
        <v>14623</v>
      </c>
      <c r="B497" s="60" t="s">
        <v>1125</v>
      </c>
      <c r="C497" s="61" t="s">
        <v>1126</v>
      </c>
      <c r="D497" s="61" t="s">
        <v>73</v>
      </c>
      <c r="E497" s="62" t="str">
        <f>IFERROR(VLOOKUP(Tableau242[[#This Row],[Manager ou CDM concerné]],Parametres!B:C,2,FALSE),"")</f>
        <v>Squad H</v>
      </c>
      <c r="F497" s="62" t="str">
        <f>IF(Tableau242[[#This Row],[Consultant]]=Tableau242[[#This Row],[Manager ou CDM concerné]],"Non",IF(IFERROR(VLOOKUP(Tableau242[[#This Row],[Consultant]],Parametres!B:C,2,FALSE),0)=0,"Non","Oui"))</f>
        <v>Non</v>
      </c>
      <c r="G497" s="62">
        <f>IFERROR(VLOOKUP(B497,Tableau5[#All],4,FALSE),"Matricule!")</f>
        <v>15</v>
      </c>
      <c r="H497" s="62" t="str">
        <f>IFERROR(VLOOKUP(Tableau242[[#This Row],[Company number]],#REF!,6,FALSE),"")</f>
        <v/>
      </c>
      <c r="I497" s="62">
        <f>IFERROR(VLOOKUP(B497,Tableau5[#All],5,FALSE),"Matricule!")</f>
        <v>0</v>
      </c>
      <c r="J497" s="62">
        <f>IFERROR(VLOOKUP(B497,Tableau5[#All],6,FALSE),"Matricule!")</f>
        <v>5</v>
      </c>
      <c r="K497" s="62">
        <f>IFERROR(VLOOKUP(B497,Tableau5[#All],7,FALSE),"Matricule!")</f>
        <v>0</v>
      </c>
      <c r="L497" s="62" t="e">
        <f>VLOOKUP(Tableau242[[#This Row],[Company number]],#REF!,25,FALSE)</f>
        <v>#REF!</v>
      </c>
      <c r="M497" s="62" t="str">
        <f>IFERROR(VLOOKUP(Tableau242[[#This Row],[Company number]],#REF!,30,FALSE),"")</f>
        <v/>
      </c>
      <c r="N497" s="62" t="str">
        <f>IFERROR(VLOOKUP(Tableau242[[#This Row],[Company number]],#REF!,31,FALSE),"")</f>
        <v/>
      </c>
      <c r="O497" s="62" t="str">
        <f>IFERROR(VLOOKUP(Tableau242[[#This Row],[Company number]],#REF!,32,FALSE),"")</f>
        <v/>
      </c>
      <c r="P497" s="62">
        <f>IFERROR(VLOOKUP(B497,Tableau3[#All],5,FALSE),"Matricule!")</f>
        <v>15</v>
      </c>
      <c r="Q497" s="62">
        <f>IFERROR(SUM(VLOOKUP(B497,Tableau3[#All],6,FALSE),VLOOKUP(B497,Tableau3[#All],8,FALSE)),"Matricule!")</f>
        <v>0</v>
      </c>
      <c r="R497" s="62">
        <f>IFERROR(VLOOKUP(B497,Tableau3[#All],7,FALSE),"Matricule!")</f>
        <v>5</v>
      </c>
      <c r="S497" s="62">
        <f>IFERROR(Tableau242[[#This Row],[Prod. days WK]]-Tableau242[[#This Row],[Prod PXX]],"Matricule")</f>
        <v>0</v>
      </c>
      <c r="T497" s="62">
        <f>IFERROR(Tableau242[[#This Row],[Non prod. days WK]]-Tableau242[[#This Row],[Improd PXX]],"Matricule")</f>
        <v>0</v>
      </c>
      <c r="U497" s="62">
        <f>IFERROR(Tableau242[[#This Row],[Paid leave days WK]]-Tableau242[[#This Row],[Congé PXX]],"Matricule")</f>
        <v>0</v>
      </c>
      <c r="V497" s="63">
        <f>IFERROR(VLOOKUP($B497,#REF!,4,FALSE),0)</f>
        <v>0</v>
      </c>
      <c r="W49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97" s="63">
        <f>IF(AND(Tableau242[[#This Row],[Paid leave days]]&gt;0,Tableau242[[#This Row],[Prod. days]]&lt;0),MIN(Tableau242[[#This Row],[Paid leave days]],-Tableau242[[#This Row],[Prod. days]]),0)</f>
        <v>0</v>
      </c>
      <c r="Z497" s="63">
        <f>IFERROR(_xlfn.XLOOKUP(Tableau242[[#This Row],[Consultant]],Tableau2[Collaborateur/Nom affiché],Tableau2[Montant imputé],0),0)</f>
        <v>0</v>
      </c>
      <c r="AA497" s="64">
        <f t="shared" si="8"/>
        <v>0</v>
      </c>
      <c r="AB497" s="65"/>
      <c r="AC497" s="66"/>
      <c r="AD497" s="66"/>
      <c r="AE497" s="105"/>
      <c r="AF497" s="90"/>
    </row>
    <row r="498" spans="1:32" ht="14.45" customHeight="1">
      <c r="A498" s="15">
        <f>Tableau242[[#This Row],[Company number]]+0</f>
        <v>15574</v>
      </c>
      <c r="B498" s="60" t="s">
        <v>1127</v>
      </c>
      <c r="C498" s="61" t="s">
        <v>1128</v>
      </c>
      <c r="D498" s="61" t="s">
        <v>73</v>
      </c>
      <c r="E498" s="62" t="str">
        <f>IFERROR(VLOOKUP(Tableau242[[#This Row],[Manager ou CDM concerné]],Parametres!B:C,2,FALSE),"")</f>
        <v>Squad H</v>
      </c>
      <c r="F498" s="62" t="str">
        <f>IF(Tableau242[[#This Row],[Consultant]]=Tableau242[[#This Row],[Manager ou CDM concerné]],"Non",IF(IFERROR(VLOOKUP(Tableau242[[#This Row],[Consultant]],Parametres!B:C,2,FALSE),0)=0,"Non","Oui"))</f>
        <v>Non</v>
      </c>
      <c r="G498" s="62">
        <f>IFERROR(VLOOKUP(B498,Tableau5[#All],4,FALSE),"Matricule!")</f>
        <v>19.5</v>
      </c>
      <c r="H498" s="62" t="str">
        <f>IFERROR(VLOOKUP(Tableau242[[#This Row],[Company number]],#REF!,6,FALSE),"")</f>
        <v/>
      </c>
      <c r="I498" s="62">
        <f>IFERROR(VLOOKUP(B498,Tableau5[#All],5,FALSE),"Matricule!")</f>
        <v>0</v>
      </c>
      <c r="J498" s="62">
        <f>IFERROR(VLOOKUP(B498,Tableau5[#All],6,FALSE),"Matricule!")</f>
        <v>0.5</v>
      </c>
      <c r="K498" s="62">
        <f>IFERROR(VLOOKUP(B498,Tableau5[#All],7,FALSE),"Matricule!")</f>
        <v>0</v>
      </c>
      <c r="L498" s="62" t="e">
        <f>VLOOKUP(Tableau242[[#This Row],[Company number]],#REF!,25,FALSE)</f>
        <v>#REF!</v>
      </c>
      <c r="M498" s="62" t="str">
        <f>IFERROR(VLOOKUP(Tableau242[[#This Row],[Company number]],#REF!,30,FALSE),"")</f>
        <v/>
      </c>
      <c r="N498" s="62" t="str">
        <f>IFERROR(VLOOKUP(Tableau242[[#This Row],[Company number]],#REF!,31,FALSE),"")</f>
        <v/>
      </c>
      <c r="O498" s="62" t="str">
        <f>IFERROR(VLOOKUP(Tableau242[[#This Row],[Company number]],#REF!,32,FALSE),"")</f>
        <v/>
      </c>
      <c r="P498" s="62">
        <f>IFERROR(VLOOKUP(B498,Tableau3[#All],5,FALSE),"Matricule!")</f>
        <v>20</v>
      </c>
      <c r="Q498" s="62">
        <f>IFERROR(SUM(VLOOKUP(B498,Tableau3[#All],6,FALSE),VLOOKUP(B498,Tableau3[#All],8,FALSE)),"Matricule!")</f>
        <v>0</v>
      </c>
      <c r="R498" s="62">
        <f>IFERROR(VLOOKUP(B498,Tableau3[#All],7,FALSE),"Matricule!")</f>
        <v>0</v>
      </c>
      <c r="S498" s="62">
        <f>IFERROR(Tableau242[[#This Row],[Prod. days WK]]-Tableau242[[#This Row],[Prod PXX]],"Matricule")</f>
        <v>-0.5</v>
      </c>
      <c r="T498" s="62">
        <f>IFERROR(Tableau242[[#This Row],[Non prod. days WK]]-Tableau242[[#This Row],[Improd PXX]],"Matricule")</f>
        <v>0</v>
      </c>
      <c r="U498" s="62">
        <f>IFERROR(Tableau242[[#This Row],[Paid leave days WK]]-Tableau242[[#This Row],[Congé PXX]],"Matricule")</f>
        <v>0.5</v>
      </c>
      <c r="V498" s="63">
        <f>IFERROR(VLOOKUP($B498,#REF!,4,FALSE),0)</f>
        <v>0</v>
      </c>
      <c r="W49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498" s="63">
        <f>IF(AND(Tableau242[[#This Row],[Paid leave days]]&gt;0,Tableau242[[#This Row],[Prod. days]]&lt;0),MIN(Tableau242[[#This Row],[Paid leave days]],-Tableau242[[#This Row],[Prod. days]]),0)</f>
        <v>0.5</v>
      </c>
      <c r="Z498" s="63">
        <f>IFERROR(_xlfn.XLOOKUP(Tableau242[[#This Row],[Consultant]],Tableau2[Collaborateur/Nom affiché],Tableau2[Montant imputé],0),0)</f>
        <v>0</v>
      </c>
      <c r="AA498" s="64">
        <f t="shared" si="8"/>
        <v>-0.5</v>
      </c>
      <c r="AB498" s="65" t="s">
        <v>154</v>
      </c>
      <c r="AC498" s="66"/>
      <c r="AD498" s="66"/>
      <c r="AE498" s="105"/>
      <c r="AF498" s="90"/>
    </row>
    <row r="499" spans="1:32">
      <c r="A499" s="15">
        <f>Tableau242[[#This Row],[Company number]]+0</f>
        <v>17219</v>
      </c>
      <c r="B499" s="60" t="s">
        <v>1129</v>
      </c>
      <c r="C499" s="61" t="s">
        <v>1130</v>
      </c>
      <c r="D499" s="61" t="s">
        <v>73</v>
      </c>
      <c r="E499" s="62" t="str">
        <f>IFERROR(VLOOKUP(Tableau242[[#This Row],[Manager ou CDM concerné]],Parametres!B:C,2,FALSE),"")</f>
        <v>Squad H</v>
      </c>
      <c r="F499" s="62" t="str">
        <f>IF(Tableau242[[#This Row],[Consultant]]=Tableau242[[#This Row],[Manager ou CDM concerné]],"Non",IF(IFERROR(VLOOKUP(Tableau242[[#This Row],[Consultant]],Parametres!B:C,2,FALSE),0)=0,"Non","Oui"))</f>
        <v>Non</v>
      </c>
      <c r="G499" s="62">
        <f>IFERROR(VLOOKUP(B499,Tableau5[#All],4,FALSE),"Matricule!")</f>
        <v>18</v>
      </c>
      <c r="H499" s="62" t="str">
        <f>IFERROR(VLOOKUP(Tableau242[[#This Row],[Company number]],#REF!,6,FALSE),"")</f>
        <v/>
      </c>
      <c r="I499" s="62">
        <f>IFERROR(VLOOKUP(B499,Tableau5[#All],5,FALSE),"Matricule!")</f>
        <v>2</v>
      </c>
      <c r="J499" s="62">
        <f>IFERROR(VLOOKUP(B499,Tableau5[#All],6,FALSE),"Matricule!")</f>
        <v>0</v>
      </c>
      <c r="K499" s="62">
        <f>IFERROR(VLOOKUP(B499,Tableau5[#All],7,FALSE),"Matricule!")</f>
        <v>0</v>
      </c>
      <c r="L499" s="62" t="e">
        <f>VLOOKUP(Tableau242[[#This Row],[Company number]],#REF!,25,FALSE)</f>
        <v>#REF!</v>
      </c>
      <c r="M499" s="62" t="str">
        <f>IFERROR(VLOOKUP(Tableau242[[#This Row],[Company number]],#REF!,30,FALSE),"")</f>
        <v/>
      </c>
      <c r="N499" s="62" t="str">
        <f>IFERROR(VLOOKUP(Tableau242[[#This Row],[Company number]],#REF!,31,FALSE),"")</f>
        <v/>
      </c>
      <c r="O499" s="62" t="str">
        <f>IFERROR(VLOOKUP(Tableau242[[#This Row],[Company number]],#REF!,32,FALSE),"")</f>
        <v/>
      </c>
      <c r="P499" s="62">
        <f>IFERROR(VLOOKUP(B499,Tableau3[#All],5,FALSE),"Matricule!")</f>
        <v>17.5</v>
      </c>
      <c r="Q499" s="62">
        <f>IFERROR(SUM(VLOOKUP(B499,Tableau3[#All],6,FALSE),VLOOKUP(B499,Tableau3[#All],8,FALSE)),"Matricule!")</f>
        <v>2.5</v>
      </c>
      <c r="R499" s="62">
        <f>IFERROR(VLOOKUP(B499,Tableau3[#All],7,FALSE),"Matricule!")</f>
        <v>0</v>
      </c>
      <c r="S499" s="62">
        <f>IFERROR(Tableau242[[#This Row],[Prod. days WK]]-Tableau242[[#This Row],[Prod PXX]],"Matricule")</f>
        <v>0.5</v>
      </c>
      <c r="T499" s="62">
        <f>IFERROR(Tableau242[[#This Row],[Non prod. days WK]]-Tableau242[[#This Row],[Improd PXX]],"Matricule")</f>
        <v>-0.5</v>
      </c>
      <c r="U499" s="62">
        <f>IFERROR(Tableau242[[#This Row],[Paid leave days WK]]-Tableau242[[#This Row],[Congé PXX]],"Matricule")</f>
        <v>0</v>
      </c>
      <c r="V499" s="63">
        <f>IFERROR(VLOOKUP($B499,#REF!,4,FALSE),0)</f>
        <v>0</v>
      </c>
      <c r="W49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49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499" s="63">
        <f>IF(AND(Tableau242[[#This Row],[Paid leave days]]&gt;0,Tableau242[[#This Row],[Prod. days]]&lt;0),MIN(Tableau242[[#This Row],[Paid leave days]],-Tableau242[[#This Row],[Prod. days]]),0)</f>
        <v>0</v>
      </c>
      <c r="Z499" s="63">
        <f>IFERROR(_xlfn.XLOOKUP(Tableau242[[#This Row],[Consultant]],Tableau2[Collaborateur/Nom affiché],Tableau2[Montant imputé],0),0)</f>
        <v>0</v>
      </c>
      <c r="AA499" s="64">
        <f t="shared" si="8"/>
        <v>0.5</v>
      </c>
      <c r="AB499" s="65"/>
      <c r="AC499" s="66"/>
      <c r="AD499" s="66"/>
      <c r="AE499" s="105"/>
      <c r="AF499" s="90"/>
    </row>
    <row r="500" spans="1:32" ht="14.45" customHeight="1">
      <c r="A500" s="15">
        <f>Tableau242[[#This Row],[Company number]]+0</f>
        <v>15201</v>
      </c>
      <c r="B500" s="60" t="s">
        <v>1131</v>
      </c>
      <c r="C500" s="61" t="s">
        <v>1132</v>
      </c>
      <c r="D500" s="61" t="s">
        <v>73</v>
      </c>
      <c r="E500" s="62" t="str">
        <f>IFERROR(VLOOKUP(Tableau242[[#This Row],[Manager ou CDM concerné]],Parametres!B:C,2,FALSE),"")</f>
        <v>Squad H</v>
      </c>
      <c r="F500" s="62" t="str">
        <f>IF(Tableau242[[#This Row],[Consultant]]=Tableau242[[#This Row],[Manager ou CDM concerné]],"Non",IF(IFERROR(VLOOKUP(Tableau242[[#This Row],[Consultant]],Parametres!B:C,2,FALSE),0)=0,"Non","Oui"))</f>
        <v>Non</v>
      </c>
      <c r="G500" s="62">
        <f>IFERROR(VLOOKUP(B500,Tableau5[#All],4,FALSE),"Matricule!")</f>
        <v>11</v>
      </c>
      <c r="H500" s="62" t="str">
        <f>IFERROR(VLOOKUP(Tableau242[[#This Row],[Company number]],#REF!,6,FALSE),"")</f>
        <v/>
      </c>
      <c r="I500" s="62">
        <f>IFERROR(VLOOKUP(B500,Tableau5[#All],5,FALSE),"Matricule!")</f>
        <v>0</v>
      </c>
      <c r="J500" s="62">
        <f>IFERROR(VLOOKUP(B500,Tableau5[#All],6,FALSE),"Matricule!")</f>
        <v>9</v>
      </c>
      <c r="K500" s="62">
        <f>IFERROR(VLOOKUP(B500,Tableau5[#All],7,FALSE),"Matricule!")</f>
        <v>0</v>
      </c>
      <c r="L500" s="62" t="e">
        <f>VLOOKUP(Tableau242[[#This Row],[Company number]],#REF!,25,FALSE)</f>
        <v>#REF!</v>
      </c>
      <c r="M500" s="62" t="str">
        <f>IFERROR(VLOOKUP(Tableau242[[#This Row],[Company number]],#REF!,30,FALSE),"")</f>
        <v/>
      </c>
      <c r="N500" s="62" t="str">
        <f>IFERROR(VLOOKUP(Tableau242[[#This Row],[Company number]],#REF!,31,FALSE),"")</f>
        <v/>
      </c>
      <c r="O500" s="62" t="str">
        <f>IFERROR(VLOOKUP(Tableau242[[#This Row],[Company number]],#REF!,32,FALSE),"")</f>
        <v/>
      </c>
      <c r="P500" s="62">
        <f>IFERROR(VLOOKUP(B500,Tableau3[#All],5,FALSE),"Matricule!")</f>
        <v>11</v>
      </c>
      <c r="Q500" s="62">
        <f>IFERROR(SUM(VLOOKUP(B500,Tableau3[#All],6,FALSE),VLOOKUP(B500,Tableau3[#All],8,FALSE)),"Matricule!")</f>
        <v>0</v>
      </c>
      <c r="R500" s="62">
        <f>IFERROR(VLOOKUP(B500,Tableau3[#All],7,FALSE),"Matricule!")</f>
        <v>9</v>
      </c>
      <c r="S500" s="62">
        <f>IFERROR(Tableau242[[#This Row],[Prod. days WK]]-Tableau242[[#This Row],[Prod PXX]],"Matricule")</f>
        <v>0</v>
      </c>
      <c r="T500" s="62">
        <f>IFERROR(Tableau242[[#This Row],[Non prod. days WK]]-Tableau242[[#This Row],[Improd PXX]],"Matricule")</f>
        <v>0</v>
      </c>
      <c r="U500" s="62">
        <f>IFERROR(Tableau242[[#This Row],[Paid leave days WK]]-Tableau242[[#This Row],[Congé PXX]],"Matricule")</f>
        <v>0</v>
      </c>
      <c r="V500" s="63">
        <f>IFERROR(VLOOKUP($B500,#REF!,4,FALSE),0)</f>
        <v>0</v>
      </c>
      <c r="W50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00" s="63">
        <f>IF(AND(Tableau242[[#This Row],[Paid leave days]]&gt;0,Tableau242[[#This Row],[Prod. days]]&lt;0),MIN(Tableau242[[#This Row],[Paid leave days]],-Tableau242[[#This Row],[Prod. days]]),0)</f>
        <v>0</v>
      </c>
      <c r="Z500" s="63">
        <f>IFERROR(_xlfn.XLOOKUP(Tableau242[[#This Row],[Consultant]],Tableau2[Collaborateur/Nom affiché],Tableau2[Montant imputé],0),0)</f>
        <v>0</v>
      </c>
      <c r="AA500" s="64">
        <f t="shared" si="8"/>
        <v>0</v>
      </c>
      <c r="AB500" s="65"/>
      <c r="AC500" s="66"/>
      <c r="AD500" s="66"/>
      <c r="AE500" s="105"/>
      <c r="AF500" s="90"/>
    </row>
    <row r="501" spans="1:32" ht="14.45" customHeight="1">
      <c r="A501" s="15">
        <f>Tableau242[[#This Row],[Company number]]+0</f>
        <v>5634</v>
      </c>
      <c r="B501" s="60" t="s">
        <v>1133</v>
      </c>
      <c r="C501" s="61" t="s">
        <v>3</v>
      </c>
      <c r="D501" s="61" t="s">
        <v>543</v>
      </c>
      <c r="E501" s="62" t="str">
        <f>IFERROR(VLOOKUP(Tableau242[[#This Row],[Manager ou CDM concerné]],Parametres!B:C,2,FALSE),"")</f>
        <v>Squad G</v>
      </c>
      <c r="F501" s="62" t="str">
        <f>IF(Tableau242[[#This Row],[Consultant]]=Tableau242[[#This Row],[Manager ou CDM concerné]],"Non",IF(IFERROR(VLOOKUP(Tableau242[[#This Row],[Consultant]],Parametres!B:C,2,FALSE),0)=0,"Non","Oui"))</f>
        <v>Oui</v>
      </c>
      <c r="G501" s="62">
        <f>IFERROR(VLOOKUP(B501,Tableau5[#All],4,FALSE),"Matricule!")</f>
        <v>16</v>
      </c>
      <c r="H501" s="62" t="str">
        <f>IFERROR(VLOOKUP(Tableau242[[#This Row],[Company number]],#REF!,6,FALSE),"")</f>
        <v/>
      </c>
      <c r="I501" s="62">
        <f>IFERROR(VLOOKUP(B501,Tableau5[#All],5,FALSE),"Matricule!")</f>
        <v>4</v>
      </c>
      <c r="J501" s="62">
        <f>IFERROR(VLOOKUP(B501,Tableau5[#All],6,FALSE),"Matricule!")</f>
        <v>0</v>
      </c>
      <c r="K501" s="62">
        <f>IFERROR(VLOOKUP(B501,Tableau5[#All],7,FALSE),"Matricule!")</f>
        <v>0</v>
      </c>
      <c r="L501" s="62" t="e">
        <f>VLOOKUP(Tableau242[[#This Row],[Company number]],#REF!,25,FALSE)</f>
        <v>#REF!</v>
      </c>
      <c r="M501" s="62" t="str">
        <f>IFERROR(VLOOKUP(Tableau242[[#This Row],[Company number]],#REF!,30,FALSE),"")</f>
        <v/>
      </c>
      <c r="N501" s="62" t="str">
        <f>IFERROR(VLOOKUP(Tableau242[[#This Row],[Company number]],#REF!,31,FALSE),"")</f>
        <v/>
      </c>
      <c r="O501" s="62" t="str">
        <f>IFERROR(VLOOKUP(Tableau242[[#This Row],[Company number]],#REF!,32,FALSE),"")</f>
        <v/>
      </c>
      <c r="P501" s="62">
        <f>IFERROR(VLOOKUP(B501,Tableau3[#All],5,FALSE),"Matricule!")</f>
        <v>16</v>
      </c>
      <c r="Q501" s="62">
        <f>IFERROR(SUM(VLOOKUP(B501,Tableau3[#All],6,FALSE),VLOOKUP(B501,Tableau3[#All],8,FALSE)),"Matricule!")</f>
        <v>4</v>
      </c>
      <c r="R501" s="62">
        <f>IFERROR(VLOOKUP(B501,Tableau3[#All],7,FALSE),"Matricule!")</f>
        <v>0</v>
      </c>
      <c r="S501" s="62">
        <f>IFERROR(Tableau242[[#This Row],[Prod. days WK]]-Tableau242[[#This Row],[Prod PXX]],"Matricule")</f>
        <v>0</v>
      </c>
      <c r="T501" s="62">
        <f>IFERROR(Tableau242[[#This Row],[Non prod. days WK]]-Tableau242[[#This Row],[Improd PXX]],"Matricule")</f>
        <v>0</v>
      </c>
      <c r="U501" s="62">
        <f>IFERROR(Tableau242[[#This Row],[Paid leave days WK]]-Tableau242[[#This Row],[Congé PXX]],"Matricule")</f>
        <v>0</v>
      </c>
      <c r="V501" s="63">
        <f>IFERROR(VLOOKUP($B501,#REF!,4,FALSE),0)</f>
        <v>0</v>
      </c>
      <c r="W50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01" s="63">
        <f>IF(AND(Tableau242[[#This Row],[Paid leave days]]&gt;0,Tableau242[[#This Row],[Prod. days]]&lt;0),MIN(Tableau242[[#This Row],[Paid leave days]],-Tableau242[[#This Row],[Prod. days]]),0)</f>
        <v>0</v>
      </c>
      <c r="Z501" s="63">
        <f>IFERROR(_xlfn.XLOOKUP(Tableau242[[#This Row],[Consultant]],Tableau2[Collaborateur/Nom affiché],Tableau2[Montant imputé],0),0)</f>
        <v>0</v>
      </c>
      <c r="AA501" s="64">
        <f t="shared" si="8"/>
        <v>0</v>
      </c>
      <c r="AB501" s="65"/>
      <c r="AC501" s="66"/>
      <c r="AD501" s="66"/>
      <c r="AE501" s="105"/>
      <c r="AF501" s="90"/>
    </row>
    <row r="502" spans="1:32" ht="14.45" customHeight="1">
      <c r="A502" s="15">
        <f>Tableau242[[#This Row],[Company number]]+0</f>
        <v>9154</v>
      </c>
      <c r="B502" s="60" t="s">
        <v>1134</v>
      </c>
      <c r="C502" s="61" t="s">
        <v>17</v>
      </c>
      <c r="D502" s="61" t="s">
        <v>543</v>
      </c>
      <c r="E502" s="62" t="str">
        <f>IFERROR(VLOOKUP(Tableau242[[#This Row],[Manager ou CDM concerné]],Parametres!B:C,2,FALSE),"")</f>
        <v>Squad G</v>
      </c>
      <c r="F502" s="62" t="str">
        <f>IF(Tableau242[[#This Row],[Consultant]]=Tableau242[[#This Row],[Manager ou CDM concerné]],"Non",IF(IFERROR(VLOOKUP(Tableau242[[#This Row],[Consultant]],Parametres!B:C,2,FALSE),0)=0,"Non","Oui"))</f>
        <v>Oui</v>
      </c>
      <c r="G502" s="62">
        <f>IFERROR(VLOOKUP(B502,Tableau5[#All],4,FALSE),"Matricule!")</f>
        <v>5</v>
      </c>
      <c r="H502" s="62" t="str">
        <f>IFERROR(VLOOKUP(Tableau242[[#This Row],[Company number]],#REF!,6,FALSE),"")</f>
        <v/>
      </c>
      <c r="I502" s="62">
        <f>IFERROR(VLOOKUP(B502,Tableau5[#All],5,FALSE),"Matricule!")</f>
        <v>15</v>
      </c>
      <c r="J502" s="62">
        <f>IFERROR(VLOOKUP(B502,Tableau5[#All],6,FALSE),"Matricule!")</f>
        <v>0</v>
      </c>
      <c r="K502" s="62">
        <f>IFERROR(VLOOKUP(B502,Tableau5[#All],7,FALSE),"Matricule!")</f>
        <v>0</v>
      </c>
      <c r="L502" s="62" t="e">
        <f>VLOOKUP(Tableau242[[#This Row],[Company number]],#REF!,25,FALSE)</f>
        <v>#REF!</v>
      </c>
      <c r="M502" s="62" t="str">
        <f>IFERROR(VLOOKUP(Tableau242[[#This Row],[Company number]],#REF!,30,FALSE),"")</f>
        <v/>
      </c>
      <c r="N502" s="62" t="str">
        <f>IFERROR(VLOOKUP(Tableau242[[#This Row],[Company number]],#REF!,31,FALSE),"")</f>
        <v/>
      </c>
      <c r="O502" s="62" t="str">
        <f>IFERROR(VLOOKUP(Tableau242[[#This Row],[Company number]],#REF!,32,FALSE),"")</f>
        <v/>
      </c>
      <c r="P502" s="62">
        <f>IFERROR(VLOOKUP(B502,Tableau3[#All],5,FALSE),"Matricule!")</f>
        <v>5</v>
      </c>
      <c r="Q502" s="62">
        <f>IFERROR(SUM(VLOOKUP(B502,Tableau3[#All],6,FALSE),VLOOKUP(B502,Tableau3[#All],8,FALSE)),"Matricule!")</f>
        <v>15</v>
      </c>
      <c r="R502" s="62">
        <f>IFERROR(VLOOKUP(B502,Tableau3[#All],7,FALSE),"Matricule!")</f>
        <v>0</v>
      </c>
      <c r="S502" s="62">
        <f>IFERROR(Tableau242[[#This Row],[Prod. days WK]]-Tableau242[[#This Row],[Prod PXX]],"Matricule")</f>
        <v>0</v>
      </c>
      <c r="T502" s="62">
        <f>IFERROR(Tableau242[[#This Row],[Non prod. days WK]]-Tableau242[[#This Row],[Improd PXX]],"Matricule")</f>
        <v>0</v>
      </c>
      <c r="U502" s="62">
        <f>IFERROR(Tableau242[[#This Row],[Paid leave days WK]]-Tableau242[[#This Row],[Congé PXX]],"Matricule")</f>
        <v>0</v>
      </c>
      <c r="V502" s="63">
        <f>IFERROR(VLOOKUP($B502,#REF!,4,FALSE),0)</f>
        <v>0</v>
      </c>
      <c r="W50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02" s="63">
        <f>IF(AND(Tableau242[[#This Row],[Paid leave days]]&gt;0,Tableau242[[#This Row],[Prod. days]]&lt;0),MIN(Tableau242[[#This Row],[Paid leave days]],-Tableau242[[#This Row],[Prod. days]]),0)</f>
        <v>0</v>
      </c>
      <c r="Z502" s="63">
        <f>IFERROR(_xlfn.XLOOKUP(Tableau242[[#This Row],[Consultant]],Tableau2[Collaborateur/Nom affiché],Tableau2[Montant imputé],0),0)</f>
        <v>0</v>
      </c>
      <c r="AA502" s="64">
        <f t="shared" si="8"/>
        <v>0</v>
      </c>
      <c r="AB502" s="65"/>
      <c r="AC502" s="66"/>
      <c r="AD502" s="66"/>
      <c r="AE502" s="39"/>
      <c r="AF502" s="90"/>
    </row>
    <row r="503" spans="1:32" ht="14.45" customHeight="1">
      <c r="A503" s="15">
        <f>Tableau242[[#This Row],[Company number]]+0</f>
        <v>8120</v>
      </c>
      <c r="B503" s="60" t="s">
        <v>1135</v>
      </c>
      <c r="C503" s="61" t="s">
        <v>70</v>
      </c>
      <c r="D503" s="61" t="s">
        <v>543</v>
      </c>
      <c r="E503" s="62" t="str">
        <f>IFERROR(VLOOKUP(Tableau242[[#This Row],[Manager ou CDM concerné]],Parametres!B:C,2,FALSE),"")</f>
        <v>Squad G</v>
      </c>
      <c r="F503" s="62" t="str">
        <f>IF(Tableau242[[#This Row],[Consultant]]=Tableau242[[#This Row],[Manager ou CDM concerné]],"Non",IF(IFERROR(VLOOKUP(Tableau242[[#This Row],[Consultant]],Parametres!B:C,2,FALSE),0)=0,"Non","Oui"))</f>
        <v>Oui</v>
      </c>
      <c r="G503" s="62">
        <f>IFERROR(VLOOKUP(B503,Tableau5[#All],4,FALSE),"Matricule!")</f>
        <v>16.5</v>
      </c>
      <c r="H503" s="62" t="str">
        <f>IFERROR(VLOOKUP(Tableau242[[#This Row],[Company number]],#REF!,6,FALSE),"")</f>
        <v/>
      </c>
      <c r="I503" s="62">
        <f>IFERROR(VLOOKUP(B503,Tableau5[#All],5,FALSE),"Matricule!")</f>
        <v>2.5</v>
      </c>
      <c r="J503" s="62">
        <f>IFERROR(VLOOKUP(B503,Tableau5[#All],6,FALSE),"Matricule!")</f>
        <v>1</v>
      </c>
      <c r="K503" s="62">
        <f>IFERROR(VLOOKUP(B503,Tableau5[#All],7,FALSE),"Matricule!")</f>
        <v>0</v>
      </c>
      <c r="L503" s="62" t="e">
        <f>VLOOKUP(Tableau242[[#This Row],[Company number]],#REF!,25,FALSE)</f>
        <v>#REF!</v>
      </c>
      <c r="M503" s="62" t="str">
        <f>IFERROR(VLOOKUP(Tableau242[[#This Row],[Company number]],#REF!,30,FALSE),"")</f>
        <v/>
      </c>
      <c r="N503" s="62" t="str">
        <f>IFERROR(VLOOKUP(Tableau242[[#This Row],[Company number]],#REF!,31,FALSE),"")</f>
        <v/>
      </c>
      <c r="O503" s="62" t="str">
        <f>IFERROR(VLOOKUP(Tableau242[[#This Row],[Company number]],#REF!,32,FALSE),"")</f>
        <v/>
      </c>
      <c r="P503" s="62">
        <f>IFERROR(VLOOKUP(B503,Tableau3[#All],5,FALSE),"Matricule!")</f>
        <v>10</v>
      </c>
      <c r="Q503" s="62">
        <f>IFERROR(SUM(VLOOKUP(B503,Tableau3[#All],6,FALSE),VLOOKUP(B503,Tableau3[#All],8,FALSE)),"Matricule!")</f>
        <v>9</v>
      </c>
      <c r="R503" s="62">
        <f>IFERROR(VLOOKUP(B503,Tableau3[#All],7,FALSE),"Matricule!")</f>
        <v>1</v>
      </c>
      <c r="S503" s="62">
        <f>IFERROR(Tableau242[[#This Row],[Prod. days WK]]-Tableau242[[#This Row],[Prod PXX]],"Matricule")</f>
        <v>6.5</v>
      </c>
      <c r="T503" s="62">
        <f>IFERROR(Tableau242[[#This Row],[Non prod. days WK]]-Tableau242[[#This Row],[Improd PXX]],"Matricule")</f>
        <v>-6.5</v>
      </c>
      <c r="U503" s="62">
        <f>IFERROR(Tableau242[[#This Row],[Paid leave days WK]]-Tableau242[[#This Row],[Congé PXX]],"Matricule")</f>
        <v>0</v>
      </c>
      <c r="V503" s="63">
        <f>IFERROR(VLOOKUP($B503,#REF!,4,FALSE),0)</f>
        <v>0</v>
      </c>
      <c r="W50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03" s="63">
        <f>IF(AND(Tableau242[[#This Row],[Paid leave days]]&gt;0,Tableau242[[#This Row],[Prod. days]]&lt;0),MIN(Tableau242[[#This Row],[Paid leave days]],-Tableau242[[#This Row],[Prod. days]]),0)</f>
        <v>0</v>
      </c>
      <c r="Z503" s="63">
        <f>IFERROR(_xlfn.XLOOKUP(Tableau242[[#This Row],[Consultant]],Tableau2[Collaborateur/Nom affiché],Tableau2[Montant imputé],0),0)</f>
        <v>0</v>
      </c>
      <c r="AA503" s="64">
        <f t="shared" si="8"/>
        <v>6.5</v>
      </c>
      <c r="AB503" s="65"/>
      <c r="AC503" s="66"/>
      <c r="AD503" s="66"/>
      <c r="AE503" s="105"/>
      <c r="AF503" s="90"/>
    </row>
    <row r="504" spans="1:32" ht="14.45" customHeight="1">
      <c r="A504" s="15">
        <f>Tableau242[[#This Row],[Company number]]+0</f>
        <v>8251</v>
      </c>
      <c r="B504" s="60" t="s">
        <v>1136</v>
      </c>
      <c r="C504" s="61" t="s">
        <v>56</v>
      </c>
      <c r="D504" s="61" t="s">
        <v>543</v>
      </c>
      <c r="E504" s="62" t="str">
        <f>IFERROR(VLOOKUP(Tableau242[[#This Row],[Manager ou CDM concerné]],Parametres!B:C,2,FALSE),"")</f>
        <v>Squad G</v>
      </c>
      <c r="F504" s="62" t="str">
        <f>IF(Tableau242[[#This Row],[Consultant]]=Tableau242[[#This Row],[Manager ou CDM concerné]],"Non",IF(IFERROR(VLOOKUP(Tableau242[[#This Row],[Consultant]],Parametres!B:C,2,FALSE),0)=0,"Non","Oui"))</f>
        <v>Oui</v>
      </c>
      <c r="G504" s="62">
        <f>IFERROR(VLOOKUP(B504,Tableau5[#All],4,FALSE),"Matricule!")</f>
        <v>10</v>
      </c>
      <c r="H504" s="62" t="str">
        <f>IFERROR(VLOOKUP(Tableau242[[#This Row],[Company number]],#REF!,6,FALSE),"")</f>
        <v/>
      </c>
      <c r="I504" s="62">
        <f>IFERROR(VLOOKUP(B504,Tableau5[#All],5,FALSE),"Matricule!")</f>
        <v>0</v>
      </c>
      <c r="J504" s="62">
        <f>IFERROR(VLOOKUP(B504,Tableau5[#All],6,FALSE),"Matricule!")</f>
        <v>10</v>
      </c>
      <c r="K504" s="62">
        <f>IFERROR(VLOOKUP(B504,Tableau5[#All],7,FALSE),"Matricule!")</f>
        <v>0</v>
      </c>
      <c r="L504" s="62" t="e">
        <f>VLOOKUP(Tableau242[[#This Row],[Company number]],#REF!,25,FALSE)</f>
        <v>#REF!</v>
      </c>
      <c r="M504" s="62" t="str">
        <f>IFERROR(VLOOKUP(Tableau242[[#This Row],[Company number]],#REF!,30,FALSE),"")</f>
        <v/>
      </c>
      <c r="N504" s="62" t="str">
        <f>IFERROR(VLOOKUP(Tableau242[[#This Row],[Company number]],#REF!,31,FALSE),"")</f>
        <v/>
      </c>
      <c r="O504" s="62" t="str">
        <f>IFERROR(VLOOKUP(Tableau242[[#This Row],[Company number]],#REF!,32,FALSE),"")</f>
        <v/>
      </c>
      <c r="P504" s="62">
        <f>IFERROR(VLOOKUP(B504,Tableau3[#All],5,FALSE),"Matricule!")</f>
        <v>11</v>
      </c>
      <c r="Q504" s="62">
        <f>IFERROR(SUM(VLOOKUP(B504,Tableau3[#All],6,FALSE),VLOOKUP(B504,Tableau3[#All],8,FALSE)),"Matricule!")</f>
        <v>0</v>
      </c>
      <c r="R504" s="62">
        <f>IFERROR(VLOOKUP(B504,Tableau3[#All],7,FALSE),"Matricule!")</f>
        <v>9</v>
      </c>
      <c r="S504" s="62">
        <f>IFERROR(Tableau242[[#This Row],[Prod. days WK]]-Tableau242[[#This Row],[Prod PXX]],"Matricule")</f>
        <v>-1</v>
      </c>
      <c r="T504" s="62">
        <f>IFERROR(Tableau242[[#This Row],[Non prod. days WK]]-Tableau242[[#This Row],[Improd PXX]],"Matricule")</f>
        <v>0</v>
      </c>
      <c r="U504" s="62">
        <f>IFERROR(Tableau242[[#This Row],[Paid leave days WK]]-Tableau242[[#This Row],[Congé PXX]],"Matricule")</f>
        <v>1</v>
      </c>
      <c r="V504" s="63">
        <f>IFERROR(VLOOKUP($B504,#REF!,4,FALSE),0)</f>
        <v>0</v>
      </c>
      <c r="W50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04" s="63">
        <f>IF(AND(Tableau242[[#This Row],[Paid leave days]]&gt;0,Tableau242[[#This Row],[Prod. days]]&lt;0),MIN(Tableau242[[#This Row],[Paid leave days]],-Tableau242[[#This Row],[Prod. days]]),0)</f>
        <v>1</v>
      </c>
      <c r="Z504" s="63">
        <f>IFERROR(_xlfn.XLOOKUP(Tableau242[[#This Row],[Consultant]],Tableau2[Collaborateur/Nom affiché],Tableau2[Montant imputé],0),0)</f>
        <v>0</v>
      </c>
      <c r="AA504" s="64">
        <f t="shared" si="8"/>
        <v>-1</v>
      </c>
      <c r="AB504" s="65" t="s">
        <v>299</v>
      </c>
      <c r="AC504" s="67"/>
      <c r="AD504" s="66"/>
      <c r="AE504" s="105"/>
      <c r="AF504" s="93"/>
    </row>
    <row r="505" spans="1:32">
      <c r="A505" s="15">
        <f>Tableau242[[#This Row],[Company number]]+0</f>
        <v>9608</v>
      </c>
      <c r="B505" s="60" t="s">
        <v>1137</v>
      </c>
      <c r="C505" s="61" t="s">
        <v>79</v>
      </c>
      <c r="D505" s="61" t="s">
        <v>543</v>
      </c>
      <c r="E505" s="62" t="str">
        <f>IFERROR(VLOOKUP(Tableau242[[#This Row],[Manager ou CDM concerné]],Parametres!B:C,2,FALSE),"")</f>
        <v>Squad G</v>
      </c>
      <c r="F505" s="62" t="str">
        <f>IF(Tableau242[[#This Row],[Consultant]]=Tableau242[[#This Row],[Manager ou CDM concerné]],"Non",IF(IFERROR(VLOOKUP(Tableau242[[#This Row],[Consultant]],Parametres!B:C,2,FALSE),0)=0,"Non","Oui"))</f>
        <v>Oui</v>
      </c>
      <c r="G505" s="62">
        <f>IFERROR(VLOOKUP(B505,Tableau5[#All],4,FALSE),"Matricule!")</f>
        <v>0</v>
      </c>
      <c r="H505" s="62" t="str">
        <f>IFERROR(VLOOKUP(Tableau242[[#This Row],[Company number]],#REF!,6,FALSE),"")</f>
        <v/>
      </c>
      <c r="I505" s="62">
        <f>IFERROR(VLOOKUP(B505,Tableau5[#All],5,FALSE),"Matricule!")</f>
        <v>20</v>
      </c>
      <c r="J505" s="62">
        <f>IFERROR(VLOOKUP(B505,Tableau5[#All],6,FALSE),"Matricule!")</f>
        <v>0</v>
      </c>
      <c r="K505" s="62">
        <f>IFERROR(VLOOKUP(B505,Tableau5[#All],7,FALSE),"Matricule!")</f>
        <v>0</v>
      </c>
      <c r="L505" s="62" t="e">
        <f>VLOOKUP(Tableau242[[#This Row],[Company number]],#REF!,25,FALSE)</f>
        <v>#REF!</v>
      </c>
      <c r="M505" s="62" t="str">
        <f>IFERROR(VLOOKUP(Tableau242[[#This Row],[Company number]],#REF!,30,FALSE),"")</f>
        <v/>
      </c>
      <c r="N505" s="62" t="str">
        <f>IFERROR(VLOOKUP(Tableau242[[#This Row],[Company number]],#REF!,31,FALSE),"")</f>
        <v/>
      </c>
      <c r="O505" s="62" t="str">
        <f>IFERROR(VLOOKUP(Tableau242[[#This Row],[Company number]],#REF!,32,FALSE),"")</f>
        <v/>
      </c>
      <c r="P505" s="62">
        <f>IFERROR(VLOOKUP(B505,Tableau3[#All],5,FALSE),"Matricule!")</f>
        <v>0</v>
      </c>
      <c r="Q505" s="62">
        <f>IFERROR(SUM(VLOOKUP(B505,Tableau3[#All],6,FALSE),VLOOKUP(B505,Tableau3[#All],8,FALSE)),"Matricule!")</f>
        <v>20</v>
      </c>
      <c r="R505" s="62">
        <f>IFERROR(VLOOKUP(B505,Tableau3[#All],7,FALSE),"Matricule!")</f>
        <v>0</v>
      </c>
      <c r="S505" s="62">
        <f>IFERROR(Tableau242[[#This Row],[Prod. days WK]]-Tableau242[[#This Row],[Prod PXX]],"Matricule")</f>
        <v>0</v>
      </c>
      <c r="T505" s="62">
        <f>IFERROR(Tableau242[[#This Row],[Non prod. days WK]]-Tableau242[[#This Row],[Improd PXX]],"Matricule")</f>
        <v>0</v>
      </c>
      <c r="U505" s="62">
        <f>IFERROR(Tableau242[[#This Row],[Paid leave days WK]]-Tableau242[[#This Row],[Congé PXX]],"Matricule")</f>
        <v>0</v>
      </c>
      <c r="V505" s="63">
        <f>IFERROR(VLOOKUP($B505,#REF!,4,FALSE),0)</f>
        <v>0</v>
      </c>
      <c r="W50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05" s="63">
        <f>IF(AND(Tableau242[[#This Row],[Paid leave days]]&gt;0,Tableau242[[#This Row],[Prod. days]]&lt;0),MIN(Tableau242[[#This Row],[Paid leave days]],-Tableau242[[#This Row],[Prod. days]]),0)</f>
        <v>0</v>
      </c>
      <c r="Z505" s="63">
        <f>IFERROR(_xlfn.XLOOKUP(Tableau242[[#This Row],[Consultant]],Tableau2[Collaborateur/Nom affiché],Tableau2[Montant imputé],0),0)</f>
        <v>0</v>
      </c>
      <c r="AA505" s="64">
        <f t="shared" si="8"/>
        <v>0</v>
      </c>
      <c r="AB505" s="65"/>
      <c r="AC505" s="66"/>
      <c r="AD505" s="66"/>
      <c r="AE505" s="115"/>
      <c r="AF505" s="90"/>
    </row>
    <row r="506" spans="1:32">
      <c r="A506" s="15">
        <f>Tableau242[[#This Row],[Company number]]+0</f>
        <v>5556</v>
      </c>
      <c r="B506" s="60" t="s">
        <v>1138</v>
      </c>
      <c r="C506" s="61" t="s">
        <v>86</v>
      </c>
      <c r="D506" s="61" t="s">
        <v>543</v>
      </c>
      <c r="E506" s="62" t="str">
        <f>IFERROR(VLOOKUP(Tableau242[[#This Row],[Manager ou CDM concerné]],Parametres!B:C,2,FALSE),"")</f>
        <v>Squad G</v>
      </c>
      <c r="F506" s="62" t="str">
        <f>IF(Tableau242[[#This Row],[Consultant]]=Tableau242[[#This Row],[Manager ou CDM concerné]],"Non",IF(IFERROR(VLOOKUP(Tableau242[[#This Row],[Consultant]],Parametres!B:C,2,FALSE),0)=0,"Non","Oui"))</f>
        <v>Oui</v>
      </c>
      <c r="G506" s="62">
        <f>IFERROR(VLOOKUP(B506,Tableau5[#All],4,FALSE),"Matricule!")</f>
        <v>14</v>
      </c>
      <c r="H506" s="62" t="str">
        <f>IFERROR(VLOOKUP(Tableau242[[#This Row],[Company number]],#REF!,6,FALSE),"")</f>
        <v/>
      </c>
      <c r="I506" s="62">
        <f>IFERROR(VLOOKUP(B506,Tableau5[#All],5,FALSE),"Matricule!")</f>
        <v>2</v>
      </c>
      <c r="J506" s="62">
        <f>IFERROR(VLOOKUP(B506,Tableau5[#All],6,FALSE),"Matricule!")</f>
        <v>4</v>
      </c>
      <c r="K506" s="62">
        <f>IFERROR(VLOOKUP(B506,Tableau5[#All],7,FALSE),"Matricule!")</f>
        <v>0</v>
      </c>
      <c r="L506" s="62" t="e">
        <f>VLOOKUP(Tableau242[[#This Row],[Company number]],#REF!,25,FALSE)</f>
        <v>#REF!</v>
      </c>
      <c r="M506" s="62" t="str">
        <f>IFERROR(VLOOKUP(Tableau242[[#This Row],[Company number]],#REF!,30,FALSE),"")</f>
        <v/>
      </c>
      <c r="N506" s="62" t="str">
        <f>IFERROR(VLOOKUP(Tableau242[[#This Row],[Company number]],#REF!,31,FALSE),"")</f>
        <v/>
      </c>
      <c r="O506" s="62" t="str">
        <f>IFERROR(VLOOKUP(Tableau242[[#This Row],[Company number]],#REF!,32,FALSE),"")</f>
        <v/>
      </c>
      <c r="P506" s="62">
        <f>IFERROR(VLOOKUP(B506,Tableau3[#All],5,FALSE),"Matricule!")</f>
        <v>14</v>
      </c>
      <c r="Q506" s="62">
        <f>IFERROR(SUM(VLOOKUP(B506,Tableau3[#All],6,FALSE),VLOOKUP(B506,Tableau3[#All],8,FALSE)),"Matricule!")</f>
        <v>2</v>
      </c>
      <c r="R506" s="62">
        <f>IFERROR(VLOOKUP(B506,Tableau3[#All],7,FALSE),"Matricule!")</f>
        <v>4</v>
      </c>
      <c r="S506" s="62">
        <f>IFERROR(Tableau242[[#This Row],[Prod. days WK]]-Tableau242[[#This Row],[Prod PXX]],"Matricule")</f>
        <v>0</v>
      </c>
      <c r="T506" s="62">
        <f>IFERROR(Tableau242[[#This Row],[Non prod. days WK]]-Tableau242[[#This Row],[Improd PXX]],"Matricule")</f>
        <v>0</v>
      </c>
      <c r="U506" s="62">
        <f>IFERROR(Tableau242[[#This Row],[Paid leave days WK]]-Tableau242[[#This Row],[Congé PXX]],"Matricule")</f>
        <v>0</v>
      </c>
      <c r="V506" s="63">
        <f>IFERROR(VLOOKUP($B506,#REF!,4,FALSE),0)</f>
        <v>0</v>
      </c>
      <c r="W50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06" s="63">
        <f>IF(AND(Tableau242[[#This Row],[Paid leave days]]&gt;0,Tableau242[[#This Row],[Prod. days]]&lt;0),MIN(Tableau242[[#This Row],[Paid leave days]],-Tableau242[[#This Row],[Prod. days]]),0)</f>
        <v>0</v>
      </c>
      <c r="Z506" s="63">
        <f>IFERROR(_xlfn.XLOOKUP(Tableau242[[#This Row],[Consultant]],Tableau2[Collaborateur/Nom affiché],Tableau2[Montant imputé],0),0)</f>
        <v>0</v>
      </c>
      <c r="AA506" s="64">
        <f t="shared" si="8"/>
        <v>0</v>
      </c>
      <c r="AB506" s="65"/>
      <c r="AC506" s="66"/>
      <c r="AD506" s="66"/>
      <c r="AE506" s="105"/>
      <c r="AF506" s="90"/>
    </row>
    <row r="507" spans="1:32">
      <c r="A507" s="15">
        <f>Tableau242[[#This Row],[Company number]]+0</f>
        <v>10231</v>
      </c>
      <c r="B507" s="60" t="s">
        <v>1139</v>
      </c>
      <c r="C507" s="61" t="s">
        <v>95</v>
      </c>
      <c r="D507" s="61" t="s">
        <v>543</v>
      </c>
      <c r="E507" s="62" t="str">
        <f>IFERROR(VLOOKUP(Tableau242[[#This Row],[Manager ou CDM concerné]],Parametres!B:C,2,FALSE),"")</f>
        <v>Squad G</v>
      </c>
      <c r="F507" s="62" t="str">
        <f>IF(Tableau242[[#This Row],[Consultant]]=Tableau242[[#This Row],[Manager ou CDM concerné]],"Non",IF(IFERROR(VLOOKUP(Tableau242[[#This Row],[Consultant]],Parametres!B:C,2,FALSE),0)=0,"Non","Oui"))</f>
        <v>Oui</v>
      </c>
      <c r="G507" s="62">
        <f>IFERROR(VLOOKUP(B507,Tableau5[#All],4,FALSE),"Matricule!")</f>
        <v>18</v>
      </c>
      <c r="H507" s="62" t="str">
        <f>IFERROR(VLOOKUP(Tableau242[[#This Row],[Company number]],#REF!,6,FALSE),"")</f>
        <v/>
      </c>
      <c r="I507" s="62">
        <f>IFERROR(VLOOKUP(B507,Tableau5[#All],5,FALSE),"Matricule!")</f>
        <v>0</v>
      </c>
      <c r="J507" s="62">
        <f>IFERROR(VLOOKUP(B507,Tableau5[#All],6,FALSE),"Matricule!")</f>
        <v>2</v>
      </c>
      <c r="K507" s="62">
        <f>IFERROR(VLOOKUP(B507,Tableau5[#All],7,FALSE),"Matricule!")</f>
        <v>0</v>
      </c>
      <c r="L507" s="62" t="e">
        <f>VLOOKUP(Tableau242[[#This Row],[Company number]],#REF!,25,FALSE)</f>
        <v>#REF!</v>
      </c>
      <c r="M507" s="62" t="str">
        <f>IFERROR(VLOOKUP(Tableau242[[#This Row],[Company number]],#REF!,30,FALSE),"")</f>
        <v/>
      </c>
      <c r="N507" s="62" t="str">
        <f>IFERROR(VLOOKUP(Tableau242[[#This Row],[Company number]],#REF!,31,FALSE),"")</f>
        <v/>
      </c>
      <c r="O507" s="62" t="str">
        <f>IFERROR(VLOOKUP(Tableau242[[#This Row],[Company number]],#REF!,32,FALSE),"")</f>
        <v/>
      </c>
      <c r="P507" s="62">
        <f>IFERROR(VLOOKUP(B507,Tableau3[#All],5,FALSE),"Matricule!")</f>
        <v>18</v>
      </c>
      <c r="Q507" s="62">
        <f>IFERROR(SUM(VLOOKUP(B507,Tableau3[#All],6,FALSE),VLOOKUP(B507,Tableau3[#All],8,FALSE)),"Matricule!")</f>
        <v>0</v>
      </c>
      <c r="R507" s="62">
        <f>IFERROR(VLOOKUP(B507,Tableau3[#All],7,FALSE),"Matricule!")</f>
        <v>2</v>
      </c>
      <c r="S507" s="62">
        <f>IFERROR(Tableau242[[#This Row],[Prod. days WK]]-Tableau242[[#This Row],[Prod PXX]],"Matricule")</f>
        <v>0</v>
      </c>
      <c r="T507" s="62">
        <f>IFERROR(Tableau242[[#This Row],[Non prod. days WK]]-Tableau242[[#This Row],[Improd PXX]],"Matricule")</f>
        <v>0</v>
      </c>
      <c r="U507" s="62">
        <f>IFERROR(Tableau242[[#This Row],[Paid leave days WK]]-Tableau242[[#This Row],[Congé PXX]],"Matricule")</f>
        <v>0</v>
      </c>
      <c r="V507" s="63">
        <f>IFERROR(VLOOKUP($B507,#REF!,4,FALSE),0)</f>
        <v>0</v>
      </c>
      <c r="W50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07" s="63">
        <f>IF(AND(Tableau242[[#This Row],[Paid leave days]]&gt;0,Tableau242[[#This Row],[Prod. days]]&lt;0),MIN(Tableau242[[#This Row],[Paid leave days]],-Tableau242[[#This Row],[Prod. days]]),0)</f>
        <v>0</v>
      </c>
      <c r="Z507" s="63">
        <f>IFERROR(_xlfn.XLOOKUP(Tableau242[[#This Row],[Consultant]],Tableau2[Collaborateur/Nom affiché],Tableau2[Montant imputé],0),0)</f>
        <v>0</v>
      </c>
      <c r="AA507" s="64">
        <f t="shared" si="8"/>
        <v>0</v>
      </c>
      <c r="AB507" s="65"/>
      <c r="AC507" s="66"/>
      <c r="AD507" s="66"/>
      <c r="AE507" s="39"/>
      <c r="AF507" s="90"/>
    </row>
    <row r="508" spans="1:32" ht="14.45" customHeight="1">
      <c r="A508" s="15">
        <f>Tableau242[[#This Row],[Company number]]+0</f>
        <v>21153</v>
      </c>
      <c r="B508" s="60" t="s">
        <v>1140</v>
      </c>
      <c r="C508" s="61" t="s">
        <v>1141</v>
      </c>
      <c r="D508" s="61" t="s">
        <v>19</v>
      </c>
      <c r="E508" s="62" t="str">
        <f>IFERROR(VLOOKUP(Tableau242[[#This Row],[Manager ou CDM concerné]],Parametres!B:C,2,FALSE),"")</f>
        <v>Squad D</v>
      </c>
      <c r="F508" s="62" t="str">
        <f>IF(Tableau242[[#This Row],[Consultant]]=Tableau242[[#This Row],[Manager ou CDM concerné]],"Non",IF(IFERROR(VLOOKUP(Tableau242[[#This Row],[Consultant]],Parametres!B:C,2,FALSE),0)=0,"Non","Oui"))</f>
        <v>Non</v>
      </c>
      <c r="G508" s="62">
        <f>IFERROR(VLOOKUP(B508,Tableau5[#All],4,FALSE),"Matricule!")</f>
        <v>19.5</v>
      </c>
      <c r="H508" s="62" t="str">
        <f>IFERROR(VLOOKUP(Tableau242[[#This Row],[Company number]],#REF!,6,FALSE),"")</f>
        <v/>
      </c>
      <c r="I508" s="62">
        <f>IFERROR(VLOOKUP(B508,Tableau5[#All],5,FALSE),"Matricule!")</f>
        <v>0.5</v>
      </c>
      <c r="J508" s="62">
        <f>IFERROR(VLOOKUP(B508,Tableau5[#All],6,FALSE),"Matricule!")</f>
        <v>0</v>
      </c>
      <c r="K508" s="62">
        <f>IFERROR(VLOOKUP(B508,Tableau5[#All],7,FALSE),"Matricule!")</f>
        <v>0</v>
      </c>
      <c r="L508" s="62" t="e">
        <f>VLOOKUP(Tableau242[[#This Row],[Company number]],#REF!,25,FALSE)</f>
        <v>#REF!</v>
      </c>
      <c r="M508" s="62" t="str">
        <f>IFERROR(VLOOKUP(Tableau242[[#This Row],[Company number]],#REF!,30,FALSE),"")</f>
        <v/>
      </c>
      <c r="N508" s="62" t="str">
        <f>IFERROR(VLOOKUP(Tableau242[[#This Row],[Company number]],#REF!,31,FALSE),"")</f>
        <v/>
      </c>
      <c r="O508" s="62" t="str">
        <f>IFERROR(VLOOKUP(Tableau242[[#This Row],[Company number]],#REF!,32,FALSE),"")</f>
        <v/>
      </c>
      <c r="P508" s="62">
        <f>IFERROR(VLOOKUP(B508,Tableau3[#All],5,FALSE),"Matricule!")</f>
        <v>20</v>
      </c>
      <c r="Q508" s="62">
        <f>IFERROR(SUM(VLOOKUP(B508,Tableau3[#All],6,FALSE),VLOOKUP(B508,Tableau3[#All],8,FALSE)),"Matricule!")</f>
        <v>0</v>
      </c>
      <c r="R508" s="62">
        <f>IFERROR(VLOOKUP(B508,Tableau3[#All],7,FALSE),"Matricule!")</f>
        <v>0</v>
      </c>
      <c r="S508" s="62">
        <f>IFERROR(Tableau242[[#This Row],[Prod. days WK]]-Tableau242[[#This Row],[Prod PXX]],"Matricule")</f>
        <v>-0.5</v>
      </c>
      <c r="T508" s="62">
        <f>IFERROR(Tableau242[[#This Row],[Non prod. days WK]]-Tableau242[[#This Row],[Improd PXX]],"Matricule")</f>
        <v>0.5</v>
      </c>
      <c r="U508" s="62">
        <f>IFERROR(Tableau242[[#This Row],[Paid leave days WK]]-Tableau242[[#This Row],[Congé PXX]],"Matricule")</f>
        <v>0</v>
      </c>
      <c r="V508" s="63">
        <f>IFERROR(VLOOKUP($B508,#REF!,4,FALSE),0)</f>
        <v>0</v>
      </c>
      <c r="W50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08" s="63">
        <f>IF(AND(Tableau242[[#This Row],[Paid leave days]]&gt;0,Tableau242[[#This Row],[Prod. days]]&lt;0),MIN(Tableau242[[#This Row],[Paid leave days]],-Tableau242[[#This Row],[Prod. days]]),0)</f>
        <v>0</v>
      </c>
      <c r="Z508" s="63">
        <f>IFERROR(_xlfn.XLOOKUP(Tableau242[[#This Row],[Consultant]],Tableau2[Collaborateur/Nom affiché],Tableau2[Montant imputé],0),0)</f>
        <v>0</v>
      </c>
      <c r="AA508" s="64">
        <f t="shared" si="8"/>
        <v>-0.5</v>
      </c>
      <c r="AB508" s="65" t="s">
        <v>154</v>
      </c>
      <c r="AC508" s="66"/>
      <c r="AD508" s="66"/>
      <c r="AE508" s="105"/>
      <c r="AF508" s="90" t="s">
        <v>1142</v>
      </c>
    </row>
    <row r="509" spans="1:32">
      <c r="A509" s="15">
        <f>Tableau242[[#This Row],[Company number]]+0</f>
        <v>16808</v>
      </c>
      <c r="B509" s="60" t="s">
        <v>1143</v>
      </c>
      <c r="C509" s="61" t="s">
        <v>1144</v>
      </c>
      <c r="D509" s="61" t="s">
        <v>48</v>
      </c>
      <c r="E509" s="62" t="str">
        <f>IFERROR(VLOOKUP(Tableau242[[#This Row],[Manager ou CDM concerné]],Parametres!B:C,2,FALSE),"")</f>
        <v>Squad A</v>
      </c>
      <c r="F509" s="62" t="str">
        <f>IF(Tableau242[[#This Row],[Consultant]]=Tableau242[[#This Row],[Manager ou CDM concerné]],"Non",IF(IFERROR(VLOOKUP(Tableau242[[#This Row],[Consultant]],Parametres!B:C,2,FALSE),0)=0,"Non","Oui"))</f>
        <v>Non</v>
      </c>
      <c r="G509" s="62">
        <f>IFERROR(VLOOKUP(B509,Tableau5[#All],4,FALSE),"Matricule!")</f>
        <v>20</v>
      </c>
      <c r="H509" s="62" t="str">
        <f>IFERROR(VLOOKUP(Tableau242[[#This Row],[Company number]],#REF!,6,FALSE),"")</f>
        <v/>
      </c>
      <c r="I509" s="62">
        <f>IFERROR(VLOOKUP(B509,Tableau5[#All],5,FALSE),"Matricule!")</f>
        <v>0</v>
      </c>
      <c r="J509" s="62">
        <f>IFERROR(VLOOKUP(B509,Tableau5[#All],6,FALSE),"Matricule!")</f>
        <v>0</v>
      </c>
      <c r="K509" s="62">
        <f>IFERROR(VLOOKUP(B509,Tableau5[#All],7,FALSE),"Matricule!")</f>
        <v>0</v>
      </c>
      <c r="L509" s="62" t="e">
        <f>VLOOKUP(Tableau242[[#This Row],[Company number]],#REF!,25,FALSE)</f>
        <v>#REF!</v>
      </c>
      <c r="M509" s="62" t="str">
        <f>IFERROR(VLOOKUP(Tableau242[[#This Row],[Company number]],#REF!,30,FALSE),"")</f>
        <v/>
      </c>
      <c r="N509" s="62" t="str">
        <f>IFERROR(VLOOKUP(Tableau242[[#This Row],[Company number]],#REF!,31,FALSE),"")</f>
        <v/>
      </c>
      <c r="O509" s="62" t="str">
        <f>IFERROR(VLOOKUP(Tableau242[[#This Row],[Company number]],#REF!,32,FALSE),"")</f>
        <v/>
      </c>
      <c r="P509" s="62">
        <f>IFERROR(VLOOKUP(B509,Tableau3[#All],5,FALSE),"Matricule!")</f>
        <v>15</v>
      </c>
      <c r="Q509" s="62">
        <f>IFERROR(SUM(VLOOKUP(B509,Tableau3[#All],6,FALSE),VLOOKUP(B509,Tableau3[#All],8,FALSE)),"Matricule!")</f>
        <v>5</v>
      </c>
      <c r="R509" s="62">
        <f>IFERROR(VLOOKUP(B509,Tableau3[#All],7,FALSE),"Matricule!")</f>
        <v>0</v>
      </c>
      <c r="S509" s="62">
        <f>IFERROR(Tableau242[[#This Row],[Prod. days WK]]-Tableau242[[#This Row],[Prod PXX]],"Matricule")</f>
        <v>5</v>
      </c>
      <c r="T509" s="62">
        <f>IFERROR(Tableau242[[#This Row],[Non prod. days WK]]-Tableau242[[#This Row],[Improd PXX]],"Matricule")</f>
        <v>-5</v>
      </c>
      <c r="U509" s="62">
        <f>IFERROR(Tableau242[[#This Row],[Paid leave days WK]]-Tableau242[[#This Row],[Congé PXX]],"Matricule")</f>
        <v>0</v>
      </c>
      <c r="V509" s="63">
        <f>IFERROR(VLOOKUP($B509,#REF!,4,FALSE),0)</f>
        <v>0</v>
      </c>
      <c r="W50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0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09" s="63">
        <f>IF(AND(Tableau242[[#This Row],[Paid leave days]]&gt;0,Tableau242[[#This Row],[Prod. days]]&lt;0),MIN(Tableau242[[#This Row],[Paid leave days]],-Tableau242[[#This Row],[Prod. days]]),0)</f>
        <v>0</v>
      </c>
      <c r="Z509" s="63">
        <f>IFERROR(_xlfn.XLOOKUP(Tableau242[[#This Row],[Consultant]],Tableau2[Collaborateur/Nom affiché],Tableau2[Montant imputé],0),0)</f>
        <v>0</v>
      </c>
      <c r="AA509" s="64">
        <f t="shared" si="8"/>
        <v>5</v>
      </c>
      <c r="AB509" s="65"/>
      <c r="AC509" s="66"/>
      <c r="AD509" s="66"/>
      <c r="AE509"/>
      <c r="AF509" s="90"/>
    </row>
    <row r="510" spans="1:32">
      <c r="A510" s="15">
        <f>Tableau242[[#This Row],[Company number]]+0</f>
        <v>18081</v>
      </c>
      <c r="B510" s="60" t="s">
        <v>1145</v>
      </c>
      <c r="C510" s="61" t="s">
        <v>1146</v>
      </c>
      <c r="D510" s="61" t="s">
        <v>48</v>
      </c>
      <c r="E510" s="62" t="str">
        <f>IFERROR(VLOOKUP(Tableau242[[#This Row],[Manager ou CDM concerné]],Parametres!B:C,2,FALSE),"")</f>
        <v>Squad A</v>
      </c>
      <c r="F510" s="62" t="str">
        <f>IF(Tableau242[[#This Row],[Consultant]]=Tableau242[[#This Row],[Manager ou CDM concerné]],"Non",IF(IFERROR(VLOOKUP(Tableau242[[#This Row],[Consultant]],Parametres!B:C,2,FALSE),0)=0,"Non","Oui"))</f>
        <v>Non</v>
      </c>
      <c r="G510" s="62">
        <f>IFERROR(VLOOKUP(B510,Tableau5[#All],4,FALSE),"Matricule!")</f>
        <v>17</v>
      </c>
      <c r="H510" s="62" t="str">
        <f>IFERROR(VLOOKUP(Tableau242[[#This Row],[Company number]],#REF!,6,FALSE),"")</f>
        <v/>
      </c>
      <c r="I510" s="62">
        <f>IFERROR(VLOOKUP(B510,Tableau5[#All],5,FALSE),"Matricule!")</f>
        <v>0</v>
      </c>
      <c r="J510" s="62">
        <f>IFERROR(VLOOKUP(B510,Tableau5[#All],6,FALSE),"Matricule!")</f>
        <v>3</v>
      </c>
      <c r="K510" s="62">
        <f>IFERROR(VLOOKUP(B510,Tableau5[#All],7,FALSE),"Matricule!")</f>
        <v>0</v>
      </c>
      <c r="L510" s="62" t="e">
        <f>VLOOKUP(Tableau242[[#This Row],[Company number]],#REF!,25,FALSE)</f>
        <v>#REF!</v>
      </c>
      <c r="M510" s="62" t="str">
        <f>IFERROR(VLOOKUP(Tableau242[[#This Row],[Company number]],#REF!,30,FALSE),"")</f>
        <v/>
      </c>
      <c r="N510" s="62" t="str">
        <f>IFERROR(VLOOKUP(Tableau242[[#This Row],[Company number]],#REF!,31,FALSE),"")</f>
        <v/>
      </c>
      <c r="O510" s="62" t="str">
        <f>IFERROR(VLOOKUP(Tableau242[[#This Row],[Company number]],#REF!,32,FALSE),"")</f>
        <v/>
      </c>
      <c r="P510" s="68">
        <f>IFERROR(VLOOKUP(B510,Tableau3[#All],5,FALSE),"Matricule!")</f>
        <v>19</v>
      </c>
      <c r="Q510" s="68">
        <f>IFERROR(SUM(VLOOKUP(B510,Tableau3[#All],6,FALSE),VLOOKUP(B510,Tableau3[#All],8,FALSE)),"Matricule!")</f>
        <v>0</v>
      </c>
      <c r="R510" s="68">
        <f>IFERROR(VLOOKUP(B510,Tableau3[#All],7,FALSE),"Matricule!")</f>
        <v>1</v>
      </c>
      <c r="S510" s="62">
        <f>IFERROR(Tableau242[[#This Row],[Prod. days WK]]-Tableau242[[#This Row],[Prod PXX]],"Matricule")</f>
        <v>-2</v>
      </c>
      <c r="T510" s="62">
        <f>IFERROR(Tableau242[[#This Row],[Non prod. days WK]]-Tableau242[[#This Row],[Improd PXX]],"Matricule")</f>
        <v>0</v>
      </c>
      <c r="U510" s="62">
        <f>IFERROR(Tableau242[[#This Row],[Paid leave days WK]]-Tableau242[[#This Row],[Congé PXX]],"Matricule")</f>
        <v>2</v>
      </c>
      <c r="V510" s="63">
        <f>IFERROR(VLOOKUP($B510,#REF!,4,FALSE),0)</f>
        <v>0</v>
      </c>
      <c r="W51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10" s="63">
        <f>IF(AND(Tableau242[[#This Row],[Paid leave days]]&gt;0,Tableau242[[#This Row],[Prod. days]]&lt;0),MIN(Tableau242[[#This Row],[Paid leave days]],-Tableau242[[#This Row],[Prod. days]]),0)</f>
        <v>2</v>
      </c>
      <c r="Z510" s="63">
        <f>IFERROR(_xlfn.XLOOKUP(Tableau242[[#This Row],[Consultant]],Tableau2[Collaborateur/Nom affiché],Tableau2[Montant imputé],0),0)</f>
        <v>0</v>
      </c>
      <c r="AA510" s="64">
        <f t="shared" si="8"/>
        <v>-2</v>
      </c>
      <c r="AB510" s="78"/>
      <c r="AC510" s="67"/>
      <c r="AD510" s="67"/>
      <c r="AE510" s="119"/>
      <c r="AF510" s="92"/>
    </row>
    <row r="511" spans="1:32" ht="14.45" customHeight="1">
      <c r="A511" s="15">
        <f>Tableau242[[#This Row],[Company number]]+0</f>
        <v>20266</v>
      </c>
      <c r="B511" s="60" t="s">
        <v>1147</v>
      </c>
      <c r="C511" s="61" t="s">
        <v>1148</v>
      </c>
      <c r="D511" s="61" t="s">
        <v>48</v>
      </c>
      <c r="E511" s="62" t="str">
        <f>IFERROR(VLOOKUP(Tableau242[[#This Row],[Manager ou CDM concerné]],Parametres!B:C,2,FALSE),"")</f>
        <v>Squad A</v>
      </c>
      <c r="F511" s="62" t="str">
        <f>IF(Tableau242[[#This Row],[Consultant]]=Tableau242[[#This Row],[Manager ou CDM concerné]],"Non",IF(IFERROR(VLOOKUP(Tableau242[[#This Row],[Consultant]],Parametres!B:C,2,FALSE),0)=0,"Non","Oui"))</f>
        <v>Non</v>
      </c>
      <c r="G511" s="62">
        <f>IFERROR(VLOOKUP(B511,Tableau5[#All],4,FALSE),"Matricule!")</f>
        <v>20</v>
      </c>
      <c r="H511" s="62" t="str">
        <f>IFERROR(VLOOKUP(Tableau242[[#This Row],[Company number]],#REF!,6,FALSE),"")</f>
        <v/>
      </c>
      <c r="I511" s="62">
        <f>IFERROR(VLOOKUP(B511,Tableau5[#All],5,FALSE),"Matricule!")</f>
        <v>0</v>
      </c>
      <c r="J511" s="62">
        <f>IFERROR(VLOOKUP(B511,Tableau5[#All],6,FALSE),"Matricule!")</f>
        <v>0</v>
      </c>
      <c r="K511" s="62">
        <f>IFERROR(VLOOKUP(B511,Tableau5[#All],7,FALSE),"Matricule!")</f>
        <v>0</v>
      </c>
      <c r="L511" s="62" t="e">
        <f>VLOOKUP(Tableau242[[#This Row],[Company number]],#REF!,25,FALSE)</f>
        <v>#REF!</v>
      </c>
      <c r="M511" s="62" t="str">
        <f>IFERROR(VLOOKUP(Tableau242[[#This Row],[Company number]],#REF!,30,FALSE),"")</f>
        <v/>
      </c>
      <c r="N511" s="62" t="str">
        <f>IFERROR(VLOOKUP(Tableau242[[#This Row],[Company number]],#REF!,31,FALSE),"")</f>
        <v/>
      </c>
      <c r="O511" s="62" t="str">
        <f>IFERROR(VLOOKUP(Tableau242[[#This Row],[Company number]],#REF!,32,FALSE),"")</f>
        <v/>
      </c>
      <c r="P511" s="62">
        <f>IFERROR(VLOOKUP(B511,Tableau3[#All],5,FALSE),"Matricule!")</f>
        <v>19</v>
      </c>
      <c r="Q511" s="62">
        <f>IFERROR(SUM(VLOOKUP(B511,Tableau3[#All],6,FALSE),VLOOKUP(B511,Tableau3[#All],8,FALSE)),"Matricule!")</f>
        <v>1</v>
      </c>
      <c r="R511" s="62">
        <f>IFERROR(VLOOKUP(B511,Tableau3[#All],7,FALSE),"Matricule!")</f>
        <v>0</v>
      </c>
      <c r="S511" s="62">
        <f>IFERROR(Tableau242[[#This Row],[Prod. days WK]]-Tableau242[[#This Row],[Prod PXX]],"Matricule")</f>
        <v>1</v>
      </c>
      <c r="T511" s="62">
        <f>IFERROR(Tableau242[[#This Row],[Non prod. days WK]]-Tableau242[[#This Row],[Improd PXX]],"Matricule")</f>
        <v>-1</v>
      </c>
      <c r="U511" s="62">
        <f>IFERROR(Tableau242[[#This Row],[Paid leave days WK]]-Tableau242[[#This Row],[Congé PXX]],"Matricule")</f>
        <v>0</v>
      </c>
      <c r="V511" s="63">
        <f>IFERROR(VLOOKUP($B511,#REF!,4,FALSE),0)</f>
        <v>0</v>
      </c>
      <c r="W51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11" s="63">
        <f>IF(AND(Tableau242[[#This Row],[Paid leave days]]&gt;0,Tableau242[[#This Row],[Prod. days]]&lt;0),MIN(Tableau242[[#This Row],[Paid leave days]],-Tableau242[[#This Row],[Prod. days]]),0)</f>
        <v>0</v>
      </c>
      <c r="Z511" s="63">
        <f>IFERROR(_xlfn.XLOOKUP(Tableau242[[#This Row],[Consultant]],Tableau2[Collaborateur/Nom affiché],Tableau2[Montant imputé],0),0)</f>
        <v>0</v>
      </c>
      <c r="AA511" s="64">
        <f t="shared" si="8"/>
        <v>1</v>
      </c>
      <c r="AB511" s="65"/>
      <c r="AC511" s="66"/>
      <c r="AD511" s="66"/>
      <c r="AE511" s="115"/>
      <c r="AF511" s="90"/>
    </row>
    <row r="512" spans="1:32" ht="14.45" customHeight="1">
      <c r="A512" s="15">
        <f>Tableau242[[#This Row],[Company number]]+0</f>
        <v>10778</v>
      </c>
      <c r="B512" s="60" t="s">
        <v>1149</v>
      </c>
      <c r="C512" s="61" t="s">
        <v>75</v>
      </c>
      <c r="D512" s="61" t="s">
        <v>48</v>
      </c>
      <c r="E512" s="62" t="str">
        <f>IFERROR(VLOOKUP(Tableau242[[#This Row],[Manager ou CDM concerné]],Parametres!B:C,2,FALSE),"")</f>
        <v>Squad A</v>
      </c>
      <c r="F512" s="62" t="str">
        <f>IF(Tableau242[[#This Row],[Consultant]]=Tableau242[[#This Row],[Manager ou CDM concerné]],"Non",IF(IFERROR(VLOOKUP(Tableau242[[#This Row],[Consultant]],Parametres!B:C,2,FALSE),0)=0,"Non","Oui"))</f>
        <v>Oui</v>
      </c>
      <c r="G512" s="62">
        <f>IFERROR(VLOOKUP(B512,Tableau5[#All],4,FALSE),"Matricule!")</f>
        <v>13</v>
      </c>
      <c r="H512" s="62" t="str">
        <f>IFERROR(VLOOKUP(Tableau242[[#This Row],[Company number]],#REF!,6,FALSE),"")</f>
        <v/>
      </c>
      <c r="I512" s="62">
        <f>IFERROR(VLOOKUP(B512,Tableau5[#All],5,FALSE),"Matricule!")</f>
        <v>5</v>
      </c>
      <c r="J512" s="62">
        <f>IFERROR(VLOOKUP(B512,Tableau5[#All],6,FALSE),"Matricule!")</f>
        <v>2</v>
      </c>
      <c r="K512" s="62">
        <f>IFERROR(VLOOKUP(B512,Tableau5[#All],7,FALSE),"Matricule!")</f>
        <v>0</v>
      </c>
      <c r="L512" s="62" t="e">
        <f>VLOOKUP(Tableau242[[#This Row],[Company number]],#REF!,25,FALSE)</f>
        <v>#REF!</v>
      </c>
      <c r="M512" s="62" t="str">
        <f>IFERROR(VLOOKUP(Tableau242[[#This Row],[Company number]],#REF!,30,FALSE),"")</f>
        <v/>
      </c>
      <c r="N512" s="62" t="str">
        <f>IFERROR(VLOOKUP(Tableau242[[#This Row],[Company number]],#REF!,31,FALSE),"")</f>
        <v/>
      </c>
      <c r="O512" s="62" t="str">
        <f>IFERROR(VLOOKUP(Tableau242[[#This Row],[Company number]],#REF!,32,FALSE),"")</f>
        <v/>
      </c>
      <c r="P512" s="62">
        <f>IFERROR(VLOOKUP(B512,Tableau3[#All],5,FALSE),"Matricule!")</f>
        <v>13</v>
      </c>
      <c r="Q512" s="62">
        <f>IFERROR(SUM(VLOOKUP(B512,Tableau3[#All],6,FALSE),VLOOKUP(B512,Tableau3[#All],8,FALSE)),"Matricule!")</f>
        <v>5</v>
      </c>
      <c r="R512" s="62">
        <f>IFERROR(VLOOKUP(B512,Tableau3[#All],7,FALSE),"Matricule!")</f>
        <v>2</v>
      </c>
      <c r="S512" s="62">
        <f>IFERROR(Tableau242[[#This Row],[Prod. days WK]]-Tableau242[[#This Row],[Prod PXX]],"Matricule")</f>
        <v>0</v>
      </c>
      <c r="T512" s="62">
        <f>IFERROR(Tableau242[[#This Row],[Non prod. days WK]]-Tableau242[[#This Row],[Improd PXX]],"Matricule")</f>
        <v>0</v>
      </c>
      <c r="U512" s="62">
        <f>IFERROR(Tableau242[[#This Row],[Paid leave days WK]]-Tableau242[[#This Row],[Congé PXX]],"Matricule")</f>
        <v>0</v>
      </c>
      <c r="V512" s="63">
        <f>IFERROR(VLOOKUP($B512,#REF!,4,FALSE),0)</f>
        <v>0</v>
      </c>
      <c r="W51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12" s="63">
        <f>IF(AND(Tableau242[[#This Row],[Paid leave days]]&gt;0,Tableau242[[#This Row],[Prod. days]]&lt;0),MIN(Tableau242[[#This Row],[Paid leave days]],-Tableau242[[#This Row],[Prod. days]]),0)</f>
        <v>0</v>
      </c>
      <c r="Z512" s="63">
        <f>IFERROR(_xlfn.XLOOKUP(Tableau242[[#This Row],[Consultant]],Tableau2[Collaborateur/Nom affiché],Tableau2[Montant imputé],0),0)</f>
        <v>0</v>
      </c>
      <c r="AA512" s="64">
        <f t="shared" si="8"/>
        <v>0</v>
      </c>
      <c r="AB512" s="65"/>
      <c r="AC512" s="66"/>
      <c r="AD512" s="66"/>
      <c r="AE512" s="105"/>
      <c r="AF512" s="90"/>
    </row>
    <row r="513" spans="1:32" ht="14.45" customHeight="1">
      <c r="A513" s="15">
        <f>Tableau242[[#This Row],[Company number]]+0</f>
        <v>2812</v>
      </c>
      <c r="B513" s="60" t="s">
        <v>1150</v>
      </c>
      <c r="C513" s="61" t="s">
        <v>1151</v>
      </c>
      <c r="D513" s="61" t="s">
        <v>48</v>
      </c>
      <c r="E513" s="62" t="str">
        <f>IFERROR(VLOOKUP(Tableau242[[#This Row],[Manager ou CDM concerné]],Parametres!B:C,2,FALSE),"")</f>
        <v>Squad A</v>
      </c>
      <c r="F513" s="62" t="str">
        <f>IF(Tableau242[[#This Row],[Consultant]]=Tableau242[[#This Row],[Manager ou CDM concerné]],"Non",IF(IFERROR(VLOOKUP(Tableau242[[#This Row],[Consultant]],Parametres!B:C,2,FALSE),0)=0,"Non","Oui"))</f>
        <v>Non</v>
      </c>
      <c r="G513" s="62">
        <f>IFERROR(VLOOKUP(B513,Tableau5[#All],4,FALSE),"Matricule!")</f>
        <v>10.5</v>
      </c>
      <c r="H513" s="62" t="str">
        <f>IFERROR(VLOOKUP(Tableau242[[#This Row],[Company number]],#REF!,6,FALSE),"")</f>
        <v/>
      </c>
      <c r="I513" s="62">
        <f>IFERROR(VLOOKUP(B513,Tableau5[#All],5,FALSE),"Matricule!")</f>
        <v>6.5</v>
      </c>
      <c r="J513" s="62">
        <f>IFERROR(VLOOKUP(B513,Tableau5[#All],6,FALSE),"Matricule!")</f>
        <v>3</v>
      </c>
      <c r="K513" s="62">
        <f>IFERROR(VLOOKUP(B513,Tableau5[#All],7,FALSE),"Matricule!")</f>
        <v>0</v>
      </c>
      <c r="L513" s="62" t="e">
        <f>VLOOKUP(Tableau242[[#This Row],[Company number]],#REF!,25,FALSE)</f>
        <v>#REF!</v>
      </c>
      <c r="M513" s="62" t="str">
        <f>IFERROR(VLOOKUP(Tableau242[[#This Row],[Company number]],#REF!,30,FALSE),"")</f>
        <v/>
      </c>
      <c r="N513" s="62" t="str">
        <f>IFERROR(VLOOKUP(Tableau242[[#This Row],[Company number]],#REF!,31,FALSE),"")</f>
        <v/>
      </c>
      <c r="O513" s="62" t="str">
        <f>IFERROR(VLOOKUP(Tableau242[[#This Row],[Company number]],#REF!,32,FALSE),"")</f>
        <v/>
      </c>
      <c r="P513" s="62">
        <f>IFERROR(VLOOKUP(B513,Tableau3[#All],5,FALSE),"Matricule!")</f>
        <v>17</v>
      </c>
      <c r="Q513" s="62">
        <f>IFERROR(SUM(VLOOKUP(B513,Tableau3[#All],6,FALSE),VLOOKUP(B513,Tableau3[#All],8,FALSE)),"Matricule!")</f>
        <v>0</v>
      </c>
      <c r="R513" s="62">
        <f>IFERROR(VLOOKUP(B513,Tableau3[#All],7,FALSE),"Matricule!")</f>
        <v>3</v>
      </c>
      <c r="S513" s="62">
        <f>IFERROR(Tableau242[[#This Row],[Prod. days WK]]-Tableau242[[#This Row],[Prod PXX]],"Matricule")</f>
        <v>-6.5</v>
      </c>
      <c r="T513" s="62">
        <f>IFERROR(Tableau242[[#This Row],[Non prod. days WK]]-Tableau242[[#This Row],[Improd PXX]],"Matricule")</f>
        <v>6.5</v>
      </c>
      <c r="U513" s="62">
        <f>IFERROR(Tableau242[[#This Row],[Paid leave days WK]]-Tableau242[[#This Row],[Congé PXX]],"Matricule")</f>
        <v>0</v>
      </c>
      <c r="V513" s="63">
        <f>IFERROR(VLOOKUP($B513,#REF!,4,FALSE),0)</f>
        <v>0</v>
      </c>
      <c r="W51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513" s="63">
        <f>IF(AND(Tableau242[[#This Row],[Paid leave days]]&gt;0,Tableau242[[#This Row],[Prod. days]]&lt;0),MIN(Tableau242[[#This Row],[Paid leave days]],-Tableau242[[#This Row],[Prod. days]]),0)</f>
        <v>0</v>
      </c>
      <c r="Z513" s="63">
        <f>IFERROR(_xlfn.XLOOKUP(Tableau242[[#This Row],[Consultant]],Tableau2[Collaborateur/Nom affiché],Tableau2[Montant imputé],0),0)</f>
        <v>4.5</v>
      </c>
      <c r="AA513" s="64">
        <f t="shared" si="8"/>
        <v>-2</v>
      </c>
      <c r="AB513" s="65"/>
      <c r="AC513" s="66"/>
      <c r="AD513" s="66"/>
      <c r="AE513" s="105"/>
      <c r="AF513" s="90"/>
    </row>
    <row r="514" spans="1:32" ht="14.45" customHeight="1">
      <c r="A514" s="15">
        <f>Tableau242[[#This Row],[Company number]]+0</f>
        <v>15983</v>
      </c>
      <c r="B514" s="60" t="s">
        <v>1152</v>
      </c>
      <c r="C514" s="61" t="s">
        <v>1153</v>
      </c>
      <c r="D514" s="61" t="s">
        <v>12</v>
      </c>
      <c r="E514" s="62" t="str">
        <f>IFERROR(VLOOKUP(Tableau242[[#This Row],[Manager ou CDM concerné]],Parametres!B:C,2,FALSE),"")</f>
        <v>Squad B</v>
      </c>
      <c r="F514" s="62" t="str">
        <f>IF(Tableau242[[#This Row],[Consultant]]=Tableau242[[#This Row],[Manager ou CDM concerné]],"Non",IF(IFERROR(VLOOKUP(Tableau242[[#This Row],[Consultant]],Parametres!B:C,2,FALSE),0)=0,"Non","Oui"))</f>
        <v>Non</v>
      </c>
      <c r="G514" s="62">
        <f>IFERROR(VLOOKUP(B514,Tableau5[#All],4,FALSE),"Matricule!")</f>
        <v>18.5</v>
      </c>
      <c r="H514" s="62" t="str">
        <f>IFERROR(VLOOKUP(Tableau242[[#This Row],[Company number]],#REF!,6,FALSE),"")</f>
        <v/>
      </c>
      <c r="I514" s="62">
        <f>IFERROR(VLOOKUP(B514,Tableau5[#All],5,FALSE),"Matricule!")</f>
        <v>0.5</v>
      </c>
      <c r="J514" s="62">
        <f>IFERROR(VLOOKUP(B514,Tableau5[#All],6,FALSE),"Matricule!")</f>
        <v>1</v>
      </c>
      <c r="K514" s="62">
        <f>IFERROR(VLOOKUP(B514,Tableau5[#All],7,FALSE),"Matricule!")</f>
        <v>0</v>
      </c>
      <c r="L514" s="62" t="e">
        <f>VLOOKUP(Tableau242[[#This Row],[Company number]],#REF!,25,FALSE)</f>
        <v>#REF!</v>
      </c>
      <c r="M514" s="62" t="str">
        <f>IFERROR(VLOOKUP(Tableau242[[#This Row],[Company number]],#REF!,30,FALSE),"")</f>
        <v/>
      </c>
      <c r="N514" s="62" t="str">
        <f>IFERROR(VLOOKUP(Tableau242[[#This Row],[Company number]],#REF!,31,FALSE),"")</f>
        <v/>
      </c>
      <c r="O514" s="62" t="str">
        <f>IFERROR(VLOOKUP(Tableau242[[#This Row],[Company number]],#REF!,32,FALSE),"")</f>
        <v/>
      </c>
      <c r="P514" s="62">
        <f>IFERROR(VLOOKUP(B514,Tableau3[#All],5,FALSE),"Matricule!")</f>
        <v>19</v>
      </c>
      <c r="Q514" s="62">
        <f>IFERROR(SUM(VLOOKUP(B514,Tableau3[#All],6,FALSE),VLOOKUP(B514,Tableau3[#All],8,FALSE)),"Matricule!")</f>
        <v>0</v>
      </c>
      <c r="R514" s="62">
        <f>IFERROR(VLOOKUP(B514,Tableau3[#All],7,FALSE),"Matricule!")</f>
        <v>1</v>
      </c>
      <c r="S514" s="62">
        <f>IFERROR(Tableau242[[#This Row],[Prod. days WK]]-Tableau242[[#This Row],[Prod PXX]],"Matricule")</f>
        <v>-0.5</v>
      </c>
      <c r="T514" s="62">
        <f>IFERROR(Tableau242[[#This Row],[Non prod. days WK]]-Tableau242[[#This Row],[Improd PXX]],"Matricule")</f>
        <v>0.5</v>
      </c>
      <c r="U514" s="62">
        <f>IFERROR(Tableau242[[#This Row],[Paid leave days WK]]-Tableau242[[#This Row],[Congé PXX]],"Matricule")</f>
        <v>0</v>
      </c>
      <c r="V514" s="63">
        <f>IFERROR(VLOOKUP($B514,#REF!,4,FALSE),0)</f>
        <v>0</v>
      </c>
      <c r="W51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14" s="63">
        <f>IF(AND(Tableau242[[#This Row],[Paid leave days]]&gt;0,Tableau242[[#This Row],[Prod. days]]&lt;0),MIN(Tableau242[[#This Row],[Paid leave days]],-Tableau242[[#This Row],[Prod. days]]),0)</f>
        <v>0</v>
      </c>
      <c r="Z514" s="63">
        <f>IFERROR(_xlfn.XLOOKUP(Tableau242[[#This Row],[Consultant]],Tableau2[Collaborateur/Nom affiché],Tableau2[Montant imputé],0),0)</f>
        <v>0</v>
      </c>
      <c r="AA514" s="64">
        <f t="shared" si="8"/>
        <v>-0.5</v>
      </c>
      <c r="AB514" s="65" t="s">
        <v>154</v>
      </c>
      <c r="AC514" s="66"/>
      <c r="AD514" s="66"/>
      <c r="AE514" s="105"/>
      <c r="AF514" s="90"/>
    </row>
    <row r="515" spans="1:32" ht="14.45" customHeight="1">
      <c r="A515" s="15">
        <f>Tableau242[[#This Row],[Company number]]+0</f>
        <v>5753</v>
      </c>
      <c r="B515" s="60" t="s">
        <v>1154</v>
      </c>
      <c r="C515" s="61" t="s">
        <v>1155</v>
      </c>
      <c r="D515" s="61" t="s">
        <v>48</v>
      </c>
      <c r="E515" s="62" t="str">
        <f>IFERROR(VLOOKUP(Tableau242[[#This Row],[Manager ou CDM concerné]],Parametres!B:C,2,FALSE),"")</f>
        <v>Squad A</v>
      </c>
      <c r="F515" s="62" t="str">
        <f>IF(Tableau242[[#This Row],[Consultant]]=Tableau242[[#This Row],[Manager ou CDM concerné]],"Non",IF(IFERROR(VLOOKUP(Tableau242[[#This Row],[Consultant]],Parametres!B:C,2,FALSE),0)=0,"Non","Oui"))</f>
        <v>Non</v>
      </c>
      <c r="G515" s="62">
        <f>IFERROR(VLOOKUP(B515,Tableau5[#All],4,FALSE),"Matricule!")</f>
        <v>17</v>
      </c>
      <c r="H515" s="62" t="str">
        <f>IFERROR(VLOOKUP(Tableau242[[#This Row],[Company number]],#REF!,6,FALSE),"")</f>
        <v/>
      </c>
      <c r="I515" s="62">
        <f>IFERROR(VLOOKUP(B515,Tableau5[#All],5,FALSE),"Matricule!")</f>
        <v>0</v>
      </c>
      <c r="J515" s="62">
        <f>IFERROR(VLOOKUP(B515,Tableau5[#All],6,FALSE),"Matricule!")</f>
        <v>3</v>
      </c>
      <c r="K515" s="62">
        <f>IFERROR(VLOOKUP(B515,Tableau5[#All],7,FALSE),"Matricule!")</f>
        <v>0</v>
      </c>
      <c r="L515" s="62" t="e">
        <f>VLOOKUP(Tableau242[[#This Row],[Company number]],#REF!,25,FALSE)</f>
        <v>#REF!</v>
      </c>
      <c r="M515" s="62" t="str">
        <f>IFERROR(VLOOKUP(Tableau242[[#This Row],[Company number]],#REF!,30,FALSE),"")</f>
        <v/>
      </c>
      <c r="N515" s="62" t="str">
        <f>IFERROR(VLOOKUP(Tableau242[[#This Row],[Company number]],#REF!,31,FALSE),"")</f>
        <v/>
      </c>
      <c r="O515" s="62" t="str">
        <f>IFERROR(VLOOKUP(Tableau242[[#This Row],[Company number]],#REF!,32,FALSE),"")</f>
        <v/>
      </c>
      <c r="P515" s="62">
        <f>IFERROR(VLOOKUP(B515,Tableau3[#All],5,FALSE),"Matricule!")</f>
        <v>17</v>
      </c>
      <c r="Q515" s="62">
        <f>IFERROR(SUM(VLOOKUP(B515,Tableau3[#All],6,FALSE),VLOOKUP(B515,Tableau3[#All],8,FALSE)),"Matricule!")</f>
        <v>0</v>
      </c>
      <c r="R515" s="62">
        <f>IFERROR(VLOOKUP(B515,Tableau3[#All],7,FALSE),"Matricule!")</f>
        <v>3</v>
      </c>
      <c r="S515" s="62">
        <f>IFERROR(Tableau242[[#This Row],[Prod. days WK]]-Tableau242[[#This Row],[Prod PXX]],"Matricule")</f>
        <v>0</v>
      </c>
      <c r="T515" s="62">
        <f>IFERROR(Tableau242[[#This Row],[Non prod. days WK]]-Tableau242[[#This Row],[Improd PXX]],"Matricule")</f>
        <v>0</v>
      </c>
      <c r="U515" s="62">
        <f>IFERROR(Tableau242[[#This Row],[Paid leave days WK]]-Tableau242[[#This Row],[Congé PXX]],"Matricule")</f>
        <v>0</v>
      </c>
      <c r="V515" s="63">
        <f>IFERROR(VLOOKUP($B515,#REF!,4,FALSE),0)</f>
        <v>0</v>
      </c>
      <c r="W51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15" s="63">
        <f>IF(AND(Tableau242[[#This Row],[Paid leave days]]&gt;0,Tableau242[[#This Row],[Prod. days]]&lt;0),MIN(Tableau242[[#This Row],[Paid leave days]],-Tableau242[[#This Row],[Prod. days]]),0)</f>
        <v>0</v>
      </c>
      <c r="Z515" s="63">
        <f>IFERROR(_xlfn.XLOOKUP(Tableau242[[#This Row],[Consultant]],Tableau2[Collaborateur/Nom affiché],Tableau2[Montant imputé],0),0)</f>
        <v>0</v>
      </c>
      <c r="AA515" s="64">
        <f t="shared" si="8"/>
        <v>0</v>
      </c>
      <c r="AB515" s="65"/>
      <c r="AC515" s="66"/>
      <c r="AD515" s="66"/>
      <c r="AE515" s="39"/>
      <c r="AF515" s="90"/>
    </row>
    <row r="516" spans="1:32" ht="14.45" customHeight="1">
      <c r="A516" s="15">
        <f>Tableau242[[#This Row],[Company number]]+0</f>
        <v>13202</v>
      </c>
      <c r="B516" s="60" t="s">
        <v>1156</v>
      </c>
      <c r="C516" s="61" t="s">
        <v>1157</v>
      </c>
      <c r="D516" s="61" t="s">
        <v>48</v>
      </c>
      <c r="E516" s="62" t="str">
        <f>IFERROR(VLOOKUP(Tableau242[[#This Row],[Manager ou CDM concerné]],Parametres!B:C,2,FALSE),"")</f>
        <v>Squad A</v>
      </c>
      <c r="F516" s="62" t="str">
        <f>IF(Tableau242[[#This Row],[Consultant]]=Tableau242[[#This Row],[Manager ou CDM concerné]],"Non",IF(IFERROR(VLOOKUP(Tableau242[[#This Row],[Consultant]],Parametres!B:C,2,FALSE),0)=0,"Non","Oui"))</f>
        <v>Non</v>
      </c>
      <c r="G516" s="62">
        <f>IFERROR(VLOOKUP(B516,Tableau5[#All],4,FALSE),"Matricule!")</f>
        <v>14</v>
      </c>
      <c r="H516" s="62" t="str">
        <f>IFERROR(VLOOKUP(Tableau242[[#This Row],[Company number]],#REF!,6,FALSE),"")</f>
        <v/>
      </c>
      <c r="I516" s="62">
        <f>IFERROR(VLOOKUP(B516,Tableau5[#All],5,FALSE),"Matricule!")</f>
        <v>0</v>
      </c>
      <c r="J516" s="62">
        <f>IFERROR(VLOOKUP(B516,Tableau5[#All],6,FALSE),"Matricule!")</f>
        <v>6</v>
      </c>
      <c r="K516" s="62">
        <f>IFERROR(VLOOKUP(B516,Tableau5[#All],7,FALSE),"Matricule!")</f>
        <v>0</v>
      </c>
      <c r="L516" s="62" t="e">
        <f>VLOOKUP(Tableau242[[#This Row],[Company number]],#REF!,25,FALSE)</f>
        <v>#REF!</v>
      </c>
      <c r="M516" s="62" t="str">
        <f>IFERROR(VLOOKUP(Tableau242[[#This Row],[Company number]],#REF!,30,FALSE),"")</f>
        <v/>
      </c>
      <c r="N516" s="62" t="str">
        <f>IFERROR(VLOOKUP(Tableau242[[#This Row],[Company number]],#REF!,31,FALSE),"")</f>
        <v/>
      </c>
      <c r="O516" s="62" t="str">
        <f>IFERROR(VLOOKUP(Tableau242[[#This Row],[Company number]],#REF!,32,FALSE),"")</f>
        <v/>
      </c>
      <c r="P516" s="62">
        <f>IFERROR(VLOOKUP(B516,Tableau3[#All],5,FALSE),"Matricule!")</f>
        <v>11</v>
      </c>
      <c r="Q516" s="62">
        <f>IFERROR(SUM(VLOOKUP(B516,Tableau3[#All],6,FALSE),VLOOKUP(B516,Tableau3[#All],8,FALSE)),"Matricule!")</f>
        <v>3</v>
      </c>
      <c r="R516" s="62">
        <f>IFERROR(VLOOKUP(B516,Tableau3[#All],7,FALSE),"Matricule!")</f>
        <v>6</v>
      </c>
      <c r="S516" s="62">
        <f>IFERROR(Tableau242[[#This Row],[Prod. days WK]]-Tableau242[[#This Row],[Prod PXX]],"Matricule")</f>
        <v>3</v>
      </c>
      <c r="T516" s="62">
        <f>IFERROR(Tableau242[[#This Row],[Non prod. days WK]]-Tableau242[[#This Row],[Improd PXX]],"Matricule")</f>
        <v>-3</v>
      </c>
      <c r="U516" s="62">
        <f>IFERROR(Tableau242[[#This Row],[Paid leave days WK]]-Tableau242[[#This Row],[Congé PXX]],"Matricule")</f>
        <v>0</v>
      </c>
      <c r="V516" s="63">
        <f>IFERROR(VLOOKUP($B516,#REF!,4,FALSE),0)</f>
        <v>0</v>
      </c>
      <c r="W51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16" s="63">
        <f>IF(AND(Tableau242[[#This Row],[Paid leave days]]&gt;0,Tableau242[[#This Row],[Prod. days]]&lt;0),MIN(Tableau242[[#This Row],[Paid leave days]],-Tableau242[[#This Row],[Prod. days]]),0)</f>
        <v>0</v>
      </c>
      <c r="Z516" s="63">
        <f>IFERROR(_xlfn.XLOOKUP(Tableau242[[#This Row],[Consultant]],Tableau2[Collaborateur/Nom affiché],Tableau2[Montant imputé],0),0)</f>
        <v>0</v>
      </c>
      <c r="AA516" s="64">
        <f t="shared" si="8"/>
        <v>3</v>
      </c>
      <c r="AB516" s="65"/>
      <c r="AC516" s="66"/>
      <c r="AD516" s="66"/>
      <c r="AE516" s="105"/>
      <c r="AF516" s="90"/>
    </row>
    <row r="517" spans="1:32" ht="14.45" customHeight="1">
      <c r="A517" s="15">
        <f>Tableau242[[#This Row],[Company number]]+0</f>
        <v>11191</v>
      </c>
      <c r="B517" s="60" t="s">
        <v>1158</v>
      </c>
      <c r="C517" s="61" t="s">
        <v>10</v>
      </c>
      <c r="D517" s="61" t="s">
        <v>48</v>
      </c>
      <c r="E517" s="62" t="str">
        <f>IFERROR(VLOOKUP(Tableau242[[#This Row],[Manager ou CDM concerné]],Parametres!B:C,2,FALSE),"")</f>
        <v>Squad A</v>
      </c>
      <c r="F517" s="62" t="str">
        <f>IF(Tableau242[[#This Row],[Consultant]]=Tableau242[[#This Row],[Manager ou CDM concerné]],"Non",IF(IFERROR(VLOOKUP(Tableau242[[#This Row],[Consultant]],Parametres!B:C,2,FALSE),0)=0,"Non","Oui"))</f>
        <v>Oui</v>
      </c>
      <c r="G517" s="62">
        <f>IFERROR(VLOOKUP(B517,Tableau5[#All],4,FALSE),"Matricule!")</f>
        <v>19</v>
      </c>
      <c r="H517" s="62" t="str">
        <f>IFERROR(VLOOKUP(Tableau242[[#This Row],[Company number]],#REF!,6,FALSE),"")</f>
        <v/>
      </c>
      <c r="I517" s="62">
        <f>IFERROR(VLOOKUP(B517,Tableau5[#All],5,FALSE),"Matricule!")</f>
        <v>1</v>
      </c>
      <c r="J517" s="62">
        <f>IFERROR(VLOOKUP(B517,Tableau5[#All],6,FALSE),"Matricule!")</f>
        <v>0</v>
      </c>
      <c r="K517" s="62">
        <f>IFERROR(VLOOKUP(B517,Tableau5[#All],7,FALSE),"Matricule!")</f>
        <v>0</v>
      </c>
      <c r="L517" s="62" t="e">
        <f>VLOOKUP(Tableau242[[#This Row],[Company number]],#REF!,25,FALSE)</f>
        <v>#REF!</v>
      </c>
      <c r="M517" s="62" t="str">
        <f>IFERROR(VLOOKUP(Tableau242[[#This Row],[Company number]],#REF!,30,FALSE),"")</f>
        <v/>
      </c>
      <c r="N517" s="62" t="str">
        <f>IFERROR(VLOOKUP(Tableau242[[#This Row],[Company number]],#REF!,31,FALSE),"")</f>
        <v/>
      </c>
      <c r="O517" s="62" t="str">
        <f>IFERROR(VLOOKUP(Tableau242[[#This Row],[Company number]],#REF!,32,FALSE),"")</f>
        <v/>
      </c>
      <c r="P517" s="62">
        <f>IFERROR(VLOOKUP(B517,Tableau3[#All],5,FALSE),"Matricule!")</f>
        <v>19</v>
      </c>
      <c r="Q517" s="62">
        <f>IFERROR(SUM(VLOOKUP(B517,Tableau3[#All],6,FALSE),VLOOKUP(B517,Tableau3[#All],8,FALSE)),"Matricule!")</f>
        <v>1</v>
      </c>
      <c r="R517" s="62">
        <f>IFERROR(VLOOKUP(B517,Tableau3[#All],7,FALSE),"Matricule!")</f>
        <v>0</v>
      </c>
      <c r="S517" s="62">
        <f>IFERROR(Tableau242[[#This Row],[Prod. days WK]]-Tableau242[[#This Row],[Prod PXX]],"Matricule")</f>
        <v>0</v>
      </c>
      <c r="T517" s="62">
        <f>IFERROR(Tableau242[[#This Row],[Non prod. days WK]]-Tableau242[[#This Row],[Improd PXX]],"Matricule")</f>
        <v>0</v>
      </c>
      <c r="U517" s="62">
        <f>IFERROR(Tableau242[[#This Row],[Paid leave days WK]]-Tableau242[[#This Row],[Congé PXX]],"Matricule")</f>
        <v>0</v>
      </c>
      <c r="V517" s="63">
        <f>IFERROR(VLOOKUP($B517,#REF!,4,FALSE),0)</f>
        <v>0</v>
      </c>
      <c r="W51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17" s="63">
        <f>IF(AND(Tableau242[[#This Row],[Paid leave days]]&gt;0,Tableau242[[#This Row],[Prod. days]]&lt;0),MIN(Tableau242[[#This Row],[Paid leave days]],-Tableau242[[#This Row],[Prod. days]]),0)</f>
        <v>0</v>
      </c>
      <c r="Z517" s="63">
        <f>IFERROR(_xlfn.XLOOKUP(Tableau242[[#This Row],[Consultant]],Tableau2[Collaborateur/Nom affiché],Tableau2[Montant imputé],0),0)</f>
        <v>0</v>
      </c>
      <c r="AA517" s="64">
        <f t="shared" si="8"/>
        <v>0</v>
      </c>
      <c r="AB517" s="65"/>
      <c r="AC517" s="66"/>
      <c r="AD517" s="66"/>
      <c r="AE517" s="105"/>
      <c r="AF517" s="90"/>
    </row>
    <row r="518" spans="1:32" ht="29.1" customHeight="1">
      <c r="A518" s="15">
        <f>Tableau242[[#This Row],[Company number]]+0</f>
        <v>15321</v>
      </c>
      <c r="B518" s="60" t="s">
        <v>1159</v>
      </c>
      <c r="C518" s="61" t="s">
        <v>1160</v>
      </c>
      <c r="D518" s="61" t="s">
        <v>48</v>
      </c>
      <c r="E518" s="62" t="str">
        <f>IFERROR(VLOOKUP(Tableau242[[#This Row],[Manager ou CDM concerné]],Parametres!B:C,2,FALSE),"")</f>
        <v>Squad A</v>
      </c>
      <c r="F518" s="62" t="str">
        <f>IF(Tableau242[[#This Row],[Consultant]]=Tableau242[[#This Row],[Manager ou CDM concerné]],"Non",IF(IFERROR(VLOOKUP(Tableau242[[#This Row],[Consultant]],Parametres!B:C,2,FALSE),0)=0,"Non","Oui"))</f>
        <v>Non</v>
      </c>
      <c r="G518" s="62">
        <f>IFERROR(VLOOKUP(B518,Tableau5[#All],4,FALSE),"Matricule!")</f>
        <v>18.5</v>
      </c>
      <c r="H518" s="62" t="str">
        <f>IFERROR(VLOOKUP(Tableau242[[#This Row],[Company number]],#REF!,6,FALSE),"")</f>
        <v/>
      </c>
      <c r="I518" s="62">
        <f>IFERROR(VLOOKUP(B518,Tableau5[#All],5,FALSE),"Matricule!")</f>
        <v>0</v>
      </c>
      <c r="J518" s="62">
        <f>IFERROR(VLOOKUP(B518,Tableau5[#All],6,FALSE),"Matricule!")</f>
        <v>1.5</v>
      </c>
      <c r="K518" s="62">
        <f>IFERROR(VLOOKUP(B518,Tableau5[#All],7,FALSE),"Matricule!")</f>
        <v>0</v>
      </c>
      <c r="L518" s="62" t="e">
        <f>VLOOKUP(Tableau242[[#This Row],[Company number]],#REF!,25,FALSE)</f>
        <v>#REF!</v>
      </c>
      <c r="M518" s="62" t="str">
        <f>IFERROR(VLOOKUP(Tableau242[[#This Row],[Company number]],#REF!,30,FALSE),"")</f>
        <v/>
      </c>
      <c r="N518" s="62" t="str">
        <f>IFERROR(VLOOKUP(Tableau242[[#This Row],[Company number]],#REF!,31,FALSE),"")</f>
        <v/>
      </c>
      <c r="O518" s="62" t="str">
        <f>IFERROR(VLOOKUP(Tableau242[[#This Row],[Company number]],#REF!,32,FALSE),"")</f>
        <v/>
      </c>
      <c r="P518" s="68">
        <f>IFERROR(VLOOKUP(B518,Tableau3[#All],5,FALSE),"Matricule!")</f>
        <v>18.5</v>
      </c>
      <c r="Q518" s="68">
        <f>IFERROR(SUM(VLOOKUP(B518,Tableau3[#All],6,FALSE),VLOOKUP(B518,Tableau3[#All],8,FALSE)),"Matricule!")</f>
        <v>0</v>
      </c>
      <c r="R518" s="68">
        <f>IFERROR(VLOOKUP(B518,Tableau3[#All],7,FALSE),"Matricule!")</f>
        <v>1.5</v>
      </c>
      <c r="S518" s="62">
        <f>IFERROR(Tableau242[[#This Row],[Prod. days WK]]-Tableau242[[#This Row],[Prod PXX]],"Matricule")</f>
        <v>0</v>
      </c>
      <c r="T518" s="62">
        <f>IFERROR(Tableau242[[#This Row],[Non prod. days WK]]-Tableau242[[#This Row],[Improd PXX]],"Matricule")</f>
        <v>0</v>
      </c>
      <c r="U518" s="62">
        <f>IFERROR(Tableau242[[#This Row],[Paid leave days WK]]-Tableau242[[#This Row],[Congé PXX]],"Matricule")</f>
        <v>0</v>
      </c>
      <c r="V518" s="63">
        <f>IFERROR(VLOOKUP($B518,#REF!,4,FALSE),0)</f>
        <v>0</v>
      </c>
      <c r="W51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18" s="63">
        <f>IF(AND(Tableau242[[#This Row],[Paid leave days]]&gt;0,Tableau242[[#This Row],[Prod. days]]&lt;0),MIN(Tableau242[[#This Row],[Paid leave days]],-Tableau242[[#This Row],[Prod. days]]),0)</f>
        <v>0</v>
      </c>
      <c r="Z518" s="63">
        <f>IFERROR(_xlfn.XLOOKUP(Tableau242[[#This Row],[Consultant]],Tableau2[Collaborateur/Nom affiché],Tableau2[Montant imputé],0),0)</f>
        <v>0</v>
      </c>
      <c r="AA518" s="64">
        <f t="shared" si="8"/>
        <v>0</v>
      </c>
      <c r="AB518" s="65"/>
      <c r="AC518" s="66"/>
      <c r="AD518" s="66"/>
      <c r="AE518" s="105"/>
      <c r="AF518" s="90"/>
    </row>
    <row r="519" spans="1:32" ht="14.45" customHeight="1">
      <c r="A519" s="15">
        <f>Tableau242[[#This Row],[Company number]]+0</f>
        <v>11959</v>
      </c>
      <c r="B519" s="60" t="s">
        <v>1161</v>
      </c>
      <c r="C519" s="61" t="s">
        <v>1162</v>
      </c>
      <c r="D519" s="61" t="s">
        <v>36</v>
      </c>
      <c r="E519" s="62" t="str">
        <f>IFERROR(VLOOKUP(Tableau242[[#This Row],[Manager ou CDM concerné]],Parametres!B:C,2,FALSE),"")</f>
        <v>Squad H</v>
      </c>
      <c r="F519" s="62" t="str">
        <f>IF(Tableau242[[#This Row],[Consultant]]=Tableau242[[#This Row],[Manager ou CDM concerné]],"Non",IF(IFERROR(VLOOKUP(Tableau242[[#This Row],[Consultant]],Parametres!B:C,2,FALSE),0)=0,"Non","Oui"))</f>
        <v>Non</v>
      </c>
      <c r="G519" s="62">
        <f>IFERROR(VLOOKUP(B519,Tableau5[#All],4,FALSE),"Matricule!")</f>
        <v>15.5</v>
      </c>
      <c r="H519" s="62" t="str">
        <f>IFERROR(VLOOKUP(Tableau242[[#This Row],[Company number]],#REF!,6,FALSE),"")</f>
        <v/>
      </c>
      <c r="I519" s="62">
        <f>IFERROR(VLOOKUP(B519,Tableau5[#All],5,FALSE),"Matricule!")</f>
        <v>0.5</v>
      </c>
      <c r="J519" s="62">
        <f>IFERROR(VLOOKUP(B519,Tableau5[#All],6,FALSE),"Matricule!")</f>
        <v>4</v>
      </c>
      <c r="K519" s="62">
        <f>IFERROR(VLOOKUP(B519,Tableau5[#All],7,FALSE),"Matricule!")</f>
        <v>0</v>
      </c>
      <c r="L519" s="62" t="e">
        <f>VLOOKUP(Tableau242[[#This Row],[Company number]],#REF!,25,FALSE)</f>
        <v>#REF!</v>
      </c>
      <c r="M519" s="62" t="str">
        <f>IFERROR(VLOOKUP(Tableau242[[#This Row],[Company number]],#REF!,30,FALSE),"")</f>
        <v/>
      </c>
      <c r="N519" s="62" t="str">
        <f>IFERROR(VLOOKUP(Tableau242[[#This Row],[Company number]],#REF!,31,FALSE),"")</f>
        <v/>
      </c>
      <c r="O519" s="62" t="str">
        <f>IFERROR(VLOOKUP(Tableau242[[#This Row],[Company number]],#REF!,32,FALSE),"")</f>
        <v/>
      </c>
      <c r="P519" s="62">
        <f>IFERROR(VLOOKUP(B519,Tableau3[#All],5,FALSE),"Matricule!")</f>
        <v>16</v>
      </c>
      <c r="Q519" s="62">
        <f>IFERROR(SUM(VLOOKUP(B519,Tableau3[#All],6,FALSE),VLOOKUP(B519,Tableau3[#All],8,FALSE)),"Matricule!")</f>
        <v>0</v>
      </c>
      <c r="R519" s="62">
        <f>IFERROR(VLOOKUP(B519,Tableau3[#All],7,FALSE),"Matricule!")</f>
        <v>4</v>
      </c>
      <c r="S519" s="62">
        <f>IFERROR(Tableau242[[#This Row],[Prod. days WK]]-Tableau242[[#This Row],[Prod PXX]],"Matricule")</f>
        <v>-0.5</v>
      </c>
      <c r="T519" s="62">
        <f>IFERROR(Tableau242[[#This Row],[Non prod. days WK]]-Tableau242[[#This Row],[Improd PXX]],"Matricule")</f>
        <v>0.5</v>
      </c>
      <c r="U519" s="62">
        <f>IFERROR(Tableau242[[#This Row],[Paid leave days WK]]-Tableau242[[#This Row],[Congé PXX]],"Matricule")</f>
        <v>0</v>
      </c>
      <c r="V519" s="63">
        <f>IFERROR(VLOOKUP($B519,#REF!,4,FALSE),0)</f>
        <v>0</v>
      </c>
      <c r="W51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1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19" s="63">
        <f>IF(AND(Tableau242[[#This Row],[Paid leave days]]&gt;0,Tableau242[[#This Row],[Prod. days]]&lt;0),MIN(Tableau242[[#This Row],[Paid leave days]],-Tableau242[[#This Row],[Prod. days]]),0)</f>
        <v>0</v>
      </c>
      <c r="Z519" s="63">
        <f>IFERROR(_xlfn.XLOOKUP(Tableau242[[#This Row],[Consultant]],Tableau2[Collaborateur/Nom affiché],Tableau2[Montant imputé],0),0)</f>
        <v>0</v>
      </c>
      <c r="AA519" s="64">
        <f t="shared" si="8"/>
        <v>-0.5</v>
      </c>
      <c r="AB519" s="70" t="s">
        <v>154</v>
      </c>
      <c r="AC519" s="66"/>
      <c r="AD519" s="66"/>
      <c r="AE519" s="105"/>
      <c r="AF519" s="90"/>
    </row>
    <row r="520" spans="1:32" ht="14.45" customHeight="1">
      <c r="A520" s="15">
        <f>Tableau242[[#This Row],[Company number]]+0</f>
        <v>15332</v>
      </c>
      <c r="B520" s="60" t="s">
        <v>1163</v>
      </c>
      <c r="C520" s="61" t="s">
        <v>1164</v>
      </c>
      <c r="D520" s="61" t="s">
        <v>14</v>
      </c>
      <c r="E520" s="62" t="str">
        <f>IFERROR(VLOOKUP(Tableau242[[#This Row],[Manager ou CDM concerné]],Parametres!B:C,2,FALSE),"")</f>
        <v>Squad D</v>
      </c>
      <c r="F520" s="62" t="str">
        <f>IF(Tableau242[[#This Row],[Consultant]]=Tableau242[[#This Row],[Manager ou CDM concerné]],"Non",IF(IFERROR(VLOOKUP(Tableau242[[#This Row],[Consultant]],Parametres!B:C,2,FALSE),0)=0,"Non","Oui"))</f>
        <v>Non</v>
      </c>
      <c r="G520" s="62">
        <f>IFERROR(VLOOKUP(B520,Tableau5[#All],4,FALSE),"Matricule!")</f>
        <v>12.5</v>
      </c>
      <c r="H520" s="62" t="str">
        <f>IFERROR(VLOOKUP(Tableau242[[#This Row],[Company number]],#REF!,6,FALSE),"")</f>
        <v/>
      </c>
      <c r="I520" s="62">
        <f>IFERROR(VLOOKUP(B520,Tableau5[#All],5,FALSE),"Matricule!")</f>
        <v>0.5</v>
      </c>
      <c r="J520" s="62">
        <f>IFERROR(VLOOKUP(B520,Tableau5[#All],6,FALSE),"Matricule!")</f>
        <v>7</v>
      </c>
      <c r="K520" s="62">
        <f>IFERROR(VLOOKUP(B520,Tableau5[#All],7,FALSE),"Matricule!")</f>
        <v>0</v>
      </c>
      <c r="L520" s="62" t="e">
        <f>VLOOKUP(Tableau242[[#This Row],[Company number]],#REF!,25,FALSE)</f>
        <v>#REF!</v>
      </c>
      <c r="M520" s="62" t="str">
        <f>IFERROR(VLOOKUP(Tableau242[[#This Row],[Company number]],#REF!,30,FALSE),"")</f>
        <v/>
      </c>
      <c r="N520" s="62" t="str">
        <f>IFERROR(VLOOKUP(Tableau242[[#This Row],[Company number]],#REF!,31,FALSE),"")</f>
        <v/>
      </c>
      <c r="O520" s="62" t="str">
        <f>IFERROR(VLOOKUP(Tableau242[[#This Row],[Company number]],#REF!,32,FALSE),"")</f>
        <v/>
      </c>
      <c r="P520" s="62">
        <f>IFERROR(VLOOKUP(B520,Tableau3[#All],5,FALSE),"Matricule!")</f>
        <v>13</v>
      </c>
      <c r="Q520" s="62">
        <f>IFERROR(SUM(VLOOKUP(B520,Tableau3[#All],6,FALSE),VLOOKUP(B520,Tableau3[#All],8,FALSE)),"Matricule!")</f>
        <v>0</v>
      </c>
      <c r="R520" s="62">
        <f>IFERROR(VLOOKUP(B520,Tableau3[#All],7,FALSE),"Matricule!")</f>
        <v>7</v>
      </c>
      <c r="S520" s="62">
        <f>IFERROR(Tableau242[[#This Row],[Prod. days WK]]-Tableau242[[#This Row],[Prod PXX]],"Matricule")</f>
        <v>-0.5</v>
      </c>
      <c r="T520" s="62">
        <f>IFERROR(Tableau242[[#This Row],[Non prod. days WK]]-Tableau242[[#This Row],[Improd PXX]],"Matricule")</f>
        <v>0.5</v>
      </c>
      <c r="U520" s="62">
        <f>IFERROR(Tableau242[[#This Row],[Paid leave days WK]]-Tableau242[[#This Row],[Congé PXX]],"Matricule")</f>
        <v>0</v>
      </c>
      <c r="V520" s="63">
        <f>IFERROR(VLOOKUP($B520,#REF!,4,FALSE),0)</f>
        <v>0</v>
      </c>
      <c r="W52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20" s="63">
        <f>IF(AND(Tableau242[[#This Row],[Paid leave days]]&gt;0,Tableau242[[#This Row],[Prod. days]]&lt;0),MIN(Tableau242[[#This Row],[Paid leave days]],-Tableau242[[#This Row],[Prod. days]]),0)</f>
        <v>0</v>
      </c>
      <c r="Z520" s="63">
        <f>IFERROR(_xlfn.XLOOKUP(Tableau242[[#This Row],[Consultant]],Tableau2[Collaborateur/Nom affiché],Tableau2[Montant imputé],0),0)</f>
        <v>0</v>
      </c>
      <c r="AA520" s="64">
        <f t="shared" si="8"/>
        <v>-0.5</v>
      </c>
      <c r="AB520" s="65" t="s">
        <v>165</v>
      </c>
      <c r="AC520" s="66">
        <v>0.5</v>
      </c>
      <c r="AD520" s="66">
        <v>0.5</v>
      </c>
      <c r="AE520" s="105"/>
      <c r="AF520" s="90"/>
    </row>
    <row r="521" spans="1:32" ht="14.45" customHeight="1">
      <c r="A521" s="15">
        <f>Tableau242[[#This Row],[Company number]]+0</f>
        <v>13550</v>
      </c>
      <c r="B521" s="60" t="s">
        <v>1165</v>
      </c>
      <c r="C521" s="61" t="s">
        <v>1166</v>
      </c>
      <c r="D521" s="61" t="s">
        <v>86</v>
      </c>
      <c r="E521" s="62" t="str">
        <f>IFERROR(VLOOKUP(Tableau242[[#This Row],[Manager ou CDM concerné]],Parametres!B:C,2,FALSE),"")</f>
        <v>Squad G</v>
      </c>
      <c r="F521" s="62" t="str">
        <f>IF(Tableau242[[#This Row],[Consultant]]=Tableau242[[#This Row],[Manager ou CDM concerné]],"Non",IF(IFERROR(VLOOKUP(Tableau242[[#This Row],[Consultant]],Parametres!B:C,2,FALSE),0)=0,"Non","Oui"))</f>
        <v>Non</v>
      </c>
      <c r="G521" s="62">
        <f>IFERROR(VLOOKUP(B521,Tableau5[#All],4,FALSE),"Matricule!")</f>
        <v>15</v>
      </c>
      <c r="H521" s="62" t="str">
        <f>IFERROR(VLOOKUP(Tableau242[[#This Row],[Company number]],#REF!,6,FALSE),"")</f>
        <v/>
      </c>
      <c r="I521" s="62">
        <f>IFERROR(VLOOKUP(B521,Tableau5[#All],5,FALSE),"Matricule!")</f>
        <v>0</v>
      </c>
      <c r="J521" s="62">
        <f>IFERROR(VLOOKUP(B521,Tableau5[#All],6,FALSE),"Matricule!")</f>
        <v>5</v>
      </c>
      <c r="K521" s="62">
        <f>IFERROR(VLOOKUP(B521,Tableau5[#All],7,FALSE),"Matricule!")</f>
        <v>0</v>
      </c>
      <c r="L521" s="62" t="e">
        <f>VLOOKUP(Tableau242[[#This Row],[Company number]],#REF!,25,FALSE)</f>
        <v>#REF!</v>
      </c>
      <c r="M521" s="62" t="str">
        <f>IFERROR(VLOOKUP(Tableau242[[#This Row],[Company number]],#REF!,30,FALSE),"")</f>
        <v/>
      </c>
      <c r="N521" s="62" t="str">
        <f>IFERROR(VLOOKUP(Tableau242[[#This Row],[Company number]],#REF!,31,FALSE),"")</f>
        <v/>
      </c>
      <c r="O521" s="62" t="str">
        <f>IFERROR(VLOOKUP(Tableau242[[#This Row],[Company number]],#REF!,32,FALSE),"")</f>
        <v/>
      </c>
      <c r="P521" s="62">
        <f>IFERROR(VLOOKUP(B521,Tableau3[#All],5,FALSE),"Matricule!")</f>
        <v>15</v>
      </c>
      <c r="Q521" s="62">
        <f>IFERROR(SUM(VLOOKUP(B521,Tableau3[#All],6,FALSE),VLOOKUP(B521,Tableau3[#All],8,FALSE)),"Matricule!")</f>
        <v>0</v>
      </c>
      <c r="R521" s="62">
        <f>IFERROR(VLOOKUP(B521,Tableau3[#All],7,FALSE),"Matricule!")</f>
        <v>5</v>
      </c>
      <c r="S521" s="62">
        <f>IFERROR(Tableau242[[#This Row],[Prod. days WK]]-Tableau242[[#This Row],[Prod PXX]],"Matricule")</f>
        <v>0</v>
      </c>
      <c r="T521" s="62">
        <f>IFERROR(Tableau242[[#This Row],[Non prod. days WK]]-Tableau242[[#This Row],[Improd PXX]],"Matricule")</f>
        <v>0</v>
      </c>
      <c r="U521" s="62">
        <f>IFERROR(Tableau242[[#This Row],[Paid leave days WK]]-Tableau242[[#This Row],[Congé PXX]],"Matricule")</f>
        <v>0</v>
      </c>
      <c r="V521" s="63">
        <f>IFERROR(VLOOKUP($B521,#REF!,4,FALSE),0)</f>
        <v>0</v>
      </c>
      <c r="W52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21" s="63">
        <f>IF(AND(Tableau242[[#This Row],[Paid leave days]]&gt;0,Tableau242[[#This Row],[Prod. days]]&lt;0),MIN(Tableau242[[#This Row],[Paid leave days]],-Tableau242[[#This Row],[Prod. days]]),0)</f>
        <v>0</v>
      </c>
      <c r="Z521" s="63">
        <f>IFERROR(_xlfn.XLOOKUP(Tableau242[[#This Row],[Consultant]],Tableau2[Collaborateur/Nom affiché],Tableau2[Montant imputé],0),0)</f>
        <v>0</v>
      </c>
      <c r="AA521" s="64">
        <f t="shared" si="8"/>
        <v>0</v>
      </c>
      <c r="AB521" s="65" t="s">
        <v>154</v>
      </c>
      <c r="AC521" s="66"/>
      <c r="AD521" s="66"/>
      <c r="AE521" s="115"/>
      <c r="AF521" s="90"/>
    </row>
    <row r="522" spans="1:32" ht="29.1" customHeight="1">
      <c r="A522" s="15">
        <f>Tableau242[[#This Row],[Company number]]+0</f>
        <v>17419</v>
      </c>
      <c r="B522" s="60" t="s">
        <v>1167</v>
      </c>
      <c r="C522" s="61" t="s">
        <v>1168</v>
      </c>
      <c r="D522" s="61" t="s">
        <v>44</v>
      </c>
      <c r="E522" s="62" t="str">
        <f>IFERROR(VLOOKUP(Tableau242[[#This Row],[Manager ou CDM concerné]],Parametres!B:C,2,FALSE),"")</f>
        <v>Squad A</v>
      </c>
      <c r="F522" s="62" t="str">
        <f>IF(Tableau242[[#This Row],[Consultant]]=Tableau242[[#This Row],[Manager ou CDM concerné]],"Non",IF(IFERROR(VLOOKUP(Tableau242[[#This Row],[Consultant]],Parametres!B:C,2,FALSE),0)=0,"Non","Oui"))</f>
        <v>Non</v>
      </c>
      <c r="G522" s="62">
        <f>IFERROR(VLOOKUP(B522,Tableau5[#All],4,FALSE),"Matricule!")</f>
        <v>19.5</v>
      </c>
      <c r="H522" s="62" t="str">
        <f>IFERROR(VLOOKUP(Tableau242[[#This Row],[Company number]],#REF!,6,FALSE),"")</f>
        <v/>
      </c>
      <c r="I522" s="62">
        <f>IFERROR(VLOOKUP(B522,Tableau5[#All],5,FALSE),"Matricule!")</f>
        <v>0.5</v>
      </c>
      <c r="J522" s="62">
        <f>IFERROR(VLOOKUP(B522,Tableau5[#All],6,FALSE),"Matricule!")</f>
        <v>0</v>
      </c>
      <c r="K522" s="62">
        <f>IFERROR(VLOOKUP(B522,Tableau5[#All],7,FALSE),"Matricule!")</f>
        <v>0</v>
      </c>
      <c r="L522" s="62" t="e">
        <f>VLOOKUP(Tableau242[[#This Row],[Company number]],#REF!,25,FALSE)</f>
        <v>#REF!</v>
      </c>
      <c r="M522" s="62" t="str">
        <f>IFERROR(VLOOKUP(Tableau242[[#This Row],[Company number]],#REF!,30,FALSE),"")</f>
        <v/>
      </c>
      <c r="N522" s="62" t="str">
        <f>IFERROR(VLOOKUP(Tableau242[[#This Row],[Company number]],#REF!,31,FALSE),"")</f>
        <v/>
      </c>
      <c r="O522" s="62" t="str">
        <f>IFERROR(VLOOKUP(Tableau242[[#This Row],[Company number]],#REF!,32,FALSE),"")</f>
        <v/>
      </c>
      <c r="P522" s="62">
        <f>IFERROR(VLOOKUP(B522,Tableau3[#All],5,FALSE),"Matricule!")</f>
        <v>20</v>
      </c>
      <c r="Q522" s="62">
        <f>IFERROR(SUM(VLOOKUP(B522,Tableau3[#All],6,FALSE),VLOOKUP(B522,Tableau3[#All],8,FALSE)),"Matricule!")</f>
        <v>0</v>
      </c>
      <c r="R522" s="62">
        <f>IFERROR(VLOOKUP(B522,Tableau3[#All],7,FALSE),"Matricule!")</f>
        <v>0</v>
      </c>
      <c r="S522" s="62">
        <f>IFERROR(Tableau242[[#This Row],[Prod. days WK]]-Tableau242[[#This Row],[Prod PXX]],"Matricule")</f>
        <v>-0.5</v>
      </c>
      <c r="T522" s="62">
        <f>IFERROR(Tableau242[[#This Row],[Non prod. days WK]]-Tableau242[[#This Row],[Improd PXX]],"Matricule")</f>
        <v>0.5</v>
      </c>
      <c r="U522" s="62">
        <f>IFERROR(Tableau242[[#This Row],[Paid leave days WK]]-Tableau242[[#This Row],[Congé PXX]],"Matricule")</f>
        <v>0</v>
      </c>
      <c r="V522" s="63">
        <f>IFERROR(VLOOKUP($B522,#REF!,4,FALSE),0)</f>
        <v>0</v>
      </c>
      <c r="W52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22" s="63">
        <f>IF(AND(Tableau242[[#This Row],[Paid leave days]]&gt;0,Tableau242[[#This Row],[Prod. days]]&lt;0),MIN(Tableau242[[#This Row],[Paid leave days]],-Tableau242[[#This Row],[Prod. days]]),0)</f>
        <v>0</v>
      </c>
      <c r="Z522" s="63">
        <f>IFERROR(_xlfn.XLOOKUP(Tableau242[[#This Row],[Consultant]],Tableau2[Collaborateur/Nom affiché],Tableau2[Montant imputé],0),0)</f>
        <v>0</v>
      </c>
      <c r="AA522" s="64">
        <f t="shared" si="8"/>
        <v>-0.5</v>
      </c>
      <c r="AB522" s="70" t="s">
        <v>154</v>
      </c>
      <c r="AC522" s="66"/>
      <c r="AD522" s="66"/>
      <c r="AE522" s="105"/>
      <c r="AF522" s="90"/>
    </row>
    <row r="523" spans="1:32" ht="14.45" customHeight="1">
      <c r="A523" s="15">
        <f>Tableau242[[#This Row],[Company number]]+0</f>
        <v>16525</v>
      </c>
      <c r="B523" s="60" t="s">
        <v>1169</v>
      </c>
      <c r="C523" s="61" t="s">
        <v>1170</v>
      </c>
      <c r="D523" s="61" t="s">
        <v>86</v>
      </c>
      <c r="E523" s="62" t="str">
        <f>IFERROR(VLOOKUP(Tableau242[[#This Row],[Manager ou CDM concerné]],Parametres!B:C,2,FALSE),"")</f>
        <v>Squad G</v>
      </c>
      <c r="F523" s="62" t="str">
        <f>IF(Tableau242[[#This Row],[Consultant]]=Tableau242[[#This Row],[Manager ou CDM concerné]],"Non",IF(IFERROR(VLOOKUP(Tableau242[[#This Row],[Consultant]],Parametres!B:C,2,FALSE),0)=0,"Non","Oui"))</f>
        <v>Non</v>
      </c>
      <c r="G523" s="62">
        <f>IFERROR(VLOOKUP(B523,Tableau5[#All],4,FALSE),"Matricule!")</f>
        <v>0</v>
      </c>
      <c r="H523" s="62" t="str">
        <f>IFERROR(VLOOKUP(Tableau242[[#This Row],[Company number]],#REF!,6,FALSE),"")</f>
        <v/>
      </c>
      <c r="I523" s="62">
        <f>IFERROR(VLOOKUP(B523,Tableau5[#All],5,FALSE),"Matricule!")</f>
        <v>20</v>
      </c>
      <c r="J523" s="62">
        <f>IFERROR(VLOOKUP(B523,Tableau5[#All],6,FALSE),"Matricule!")</f>
        <v>0</v>
      </c>
      <c r="K523" s="62">
        <f>IFERROR(VLOOKUP(B523,Tableau5[#All],7,FALSE),"Matricule!")</f>
        <v>0</v>
      </c>
      <c r="L523" s="62" t="e">
        <f>VLOOKUP(Tableau242[[#This Row],[Company number]],#REF!,25,FALSE)</f>
        <v>#REF!</v>
      </c>
      <c r="M523" s="62" t="str">
        <f>IFERROR(VLOOKUP(Tableau242[[#This Row],[Company number]],#REF!,30,FALSE),"")</f>
        <v/>
      </c>
      <c r="N523" s="62" t="str">
        <f>IFERROR(VLOOKUP(Tableau242[[#This Row],[Company number]],#REF!,31,FALSE),"")</f>
        <v/>
      </c>
      <c r="O523" s="62" t="str">
        <f>IFERROR(VLOOKUP(Tableau242[[#This Row],[Company number]],#REF!,32,FALSE),"")</f>
        <v/>
      </c>
      <c r="P523" s="62">
        <f>IFERROR(VLOOKUP(B523,Tableau3[#All],5,FALSE),"Matricule!")</f>
        <v>0</v>
      </c>
      <c r="Q523" s="62">
        <f>IFERROR(SUM(VLOOKUP(B523,Tableau3[#All],6,FALSE),VLOOKUP(B523,Tableau3[#All],8,FALSE)),"Matricule!")</f>
        <v>20</v>
      </c>
      <c r="R523" s="62">
        <f>IFERROR(VLOOKUP(B523,Tableau3[#All],7,FALSE),"Matricule!")</f>
        <v>0</v>
      </c>
      <c r="S523" s="62">
        <f>IFERROR(Tableau242[[#This Row],[Prod. days WK]]-Tableau242[[#This Row],[Prod PXX]],"Matricule")</f>
        <v>0</v>
      </c>
      <c r="T523" s="62">
        <f>IFERROR(Tableau242[[#This Row],[Non prod. days WK]]-Tableau242[[#This Row],[Improd PXX]],"Matricule")</f>
        <v>0</v>
      </c>
      <c r="U523" s="62">
        <f>IFERROR(Tableau242[[#This Row],[Paid leave days WK]]-Tableau242[[#This Row],[Congé PXX]],"Matricule")</f>
        <v>0</v>
      </c>
      <c r="V523" s="63">
        <f>IFERROR(VLOOKUP($B523,#REF!,4,FALSE),0)</f>
        <v>0</v>
      </c>
      <c r="W52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23" s="63">
        <f>IF(AND(Tableau242[[#This Row],[Paid leave days]]&gt;0,Tableau242[[#This Row],[Prod. days]]&lt;0),MIN(Tableau242[[#This Row],[Paid leave days]],-Tableau242[[#This Row],[Prod. days]]),0)</f>
        <v>0</v>
      </c>
      <c r="Z523" s="63">
        <f>IFERROR(_xlfn.XLOOKUP(Tableau242[[#This Row],[Consultant]],Tableau2[Collaborateur/Nom affiché],Tableau2[Montant imputé],0),0)</f>
        <v>0</v>
      </c>
      <c r="AA523" s="64">
        <f t="shared" ref="AA523:AA586" si="9">IFERROR(S523+Z523,S523)</f>
        <v>0</v>
      </c>
      <c r="AB523" s="65" t="s">
        <v>154</v>
      </c>
      <c r="AC523" s="66"/>
      <c r="AD523" s="66"/>
      <c r="AE523" s="105"/>
      <c r="AF523" s="90"/>
    </row>
    <row r="524" spans="1:32" ht="14.45" customHeight="1">
      <c r="A524" s="15">
        <f>Tableau242[[#This Row],[Company number]]+0</f>
        <v>14614</v>
      </c>
      <c r="B524" s="60" t="s">
        <v>1171</v>
      </c>
      <c r="C524" s="61" t="s">
        <v>1172</v>
      </c>
      <c r="D524" s="61" t="s">
        <v>86</v>
      </c>
      <c r="E524" s="62" t="str">
        <f>IFERROR(VLOOKUP(Tableau242[[#This Row],[Manager ou CDM concerné]],Parametres!B:C,2,FALSE),"")</f>
        <v>Squad G</v>
      </c>
      <c r="F524" s="62" t="str">
        <f>IF(Tableau242[[#This Row],[Consultant]]=Tableau242[[#This Row],[Manager ou CDM concerné]],"Non",IF(IFERROR(VLOOKUP(Tableau242[[#This Row],[Consultant]],Parametres!B:C,2,FALSE),0)=0,"Non","Oui"))</f>
        <v>Non</v>
      </c>
      <c r="G524" s="62">
        <f>IFERROR(VLOOKUP(B524,Tableau5[#All],4,FALSE),"Matricule!")</f>
        <v>13</v>
      </c>
      <c r="H524" s="62" t="str">
        <f>IFERROR(VLOOKUP(Tableau242[[#This Row],[Company number]],#REF!,6,FALSE),"")</f>
        <v/>
      </c>
      <c r="I524" s="62">
        <f>IFERROR(VLOOKUP(B524,Tableau5[#All],5,FALSE),"Matricule!")</f>
        <v>0</v>
      </c>
      <c r="J524" s="62">
        <f>IFERROR(VLOOKUP(B524,Tableau5[#All],6,FALSE),"Matricule!")</f>
        <v>7</v>
      </c>
      <c r="K524" s="62">
        <f>IFERROR(VLOOKUP(B524,Tableau5[#All],7,FALSE),"Matricule!")</f>
        <v>0</v>
      </c>
      <c r="L524" s="62" t="e">
        <f>VLOOKUP(Tableau242[[#This Row],[Company number]],#REF!,25,FALSE)</f>
        <v>#REF!</v>
      </c>
      <c r="M524" s="62" t="str">
        <f>IFERROR(VLOOKUP(Tableau242[[#This Row],[Company number]],#REF!,30,FALSE),"")</f>
        <v/>
      </c>
      <c r="N524" s="62" t="str">
        <f>IFERROR(VLOOKUP(Tableau242[[#This Row],[Company number]],#REF!,31,FALSE),"")</f>
        <v/>
      </c>
      <c r="O524" s="62" t="str">
        <f>IFERROR(VLOOKUP(Tableau242[[#This Row],[Company number]],#REF!,32,FALSE),"")</f>
        <v/>
      </c>
      <c r="P524" s="62">
        <f>IFERROR(VLOOKUP(B524,Tableau3[#All],5,FALSE),"Matricule!")</f>
        <v>13</v>
      </c>
      <c r="Q524" s="62">
        <f>IFERROR(SUM(VLOOKUP(B524,Tableau3[#All],6,FALSE),VLOOKUP(B524,Tableau3[#All],8,FALSE)),"Matricule!")</f>
        <v>0</v>
      </c>
      <c r="R524" s="62">
        <f>IFERROR(VLOOKUP(B524,Tableau3[#All],7,FALSE),"Matricule!")</f>
        <v>7</v>
      </c>
      <c r="S524" s="62">
        <f>IFERROR(Tableau242[[#This Row],[Prod. days WK]]-Tableau242[[#This Row],[Prod PXX]],"Matricule")</f>
        <v>0</v>
      </c>
      <c r="T524" s="62">
        <f>IFERROR(Tableau242[[#This Row],[Non prod. days WK]]-Tableau242[[#This Row],[Improd PXX]],"Matricule")</f>
        <v>0</v>
      </c>
      <c r="U524" s="62">
        <f>IFERROR(Tableau242[[#This Row],[Paid leave days WK]]-Tableau242[[#This Row],[Congé PXX]],"Matricule")</f>
        <v>0</v>
      </c>
      <c r="V524" s="63">
        <f>IFERROR(VLOOKUP($B524,#REF!,4,FALSE),0)</f>
        <v>0</v>
      </c>
      <c r="W52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24" s="63">
        <f>IF(AND(Tableau242[[#This Row],[Paid leave days]]&gt;0,Tableau242[[#This Row],[Prod. days]]&lt;0),MIN(Tableau242[[#This Row],[Paid leave days]],-Tableau242[[#This Row],[Prod. days]]),0)</f>
        <v>0</v>
      </c>
      <c r="Z524" s="63">
        <f>IFERROR(_xlfn.XLOOKUP(Tableau242[[#This Row],[Consultant]],Tableau2[Collaborateur/Nom affiché],Tableau2[Montant imputé],0),0)</f>
        <v>0</v>
      </c>
      <c r="AA524" s="64">
        <f t="shared" si="9"/>
        <v>0</v>
      </c>
      <c r="AB524" s="65" t="s">
        <v>154</v>
      </c>
      <c r="AC524" s="66"/>
      <c r="AD524" s="66"/>
      <c r="AE524" s="105"/>
      <c r="AF524" s="94"/>
    </row>
    <row r="525" spans="1:32" ht="29.1" customHeight="1">
      <c r="A525" s="15">
        <f>Tableau242[[#This Row],[Company number]]+0</f>
        <v>1548</v>
      </c>
      <c r="B525" s="60" t="s">
        <v>1173</v>
      </c>
      <c r="C525" s="61" t="s">
        <v>1174</v>
      </c>
      <c r="D525" s="61" t="s">
        <v>86</v>
      </c>
      <c r="E525" s="62" t="str">
        <f>IFERROR(VLOOKUP(Tableau242[[#This Row],[Manager ou CDM concerné]],Parametres!B:C,2,FALSE),"")</f>
        <v>Squad G</v>
      </c>
      <c r="F525" s="62" t="str">
        <f>IF(Tableau242[[#This Row],[Consultant]]=Tableau242[[#This Row],[Manager ou CDM concerné]],"Non",IF(IFERROR(VLOOKUP(Tableau242[[#This Row],[Consultant]],Parametres!B:C,2,FALSE),0)=0,"Non","Oui"))</f>
        <v>Non</v>
      </c>
      <c r="G525" s="62">
        <f>IFERROR(VLOOKUP(B525,Tableau5[#All],4,FALSE),"Matricule!")</f>
        <v>11</v>
      </c>
      <c r="H525" s="62" t="str">
        <f>IFERROR(VLOOKUP(Tableau242[[#This Row],[Company number]],#REF!,6,FALSE),"")</f>
        <v/>
      </c>
      <c r="I525" s="62">
        <f>IFERROR(VLOOKUP(B525,Tableau5[#All],5,FALSE),"Matricule!")</f>
        <v>0</v>
      </c>
      <c r="J525" s="62">
        <f>IFERROR(VLOOKUP(B525,Tableau5[#All],6,FALSE),"Matricule!")</f>
        <v>9</v>
      </c>
      <c r="K525" s="62">
        <f>IFERROR(VLOOKUP(B525,Tableau5[#All],7,FALSE),"Matricule!")</f>
        <v>0</v>
      </c>
      <c r="L525" s="62" t="e">
        <f>VLOOKUP(Tableau242[[#This Row],[Company number]],#REF!,25,FALSE)</f>
        <v>#REF!</v>
      </c>
      <c r="M525" s="62" t="str">
        <f>IFERROR(VLOOKUP(Tableau242[[#This Row],[Company number]],#REF!,30,FALSE),"")</f>
        <v/>
      </c>
      <c r="N525" s="62" t="str">
        <f>IFERROR(VLOOKUP(Tableau242[[#This Row],[Company number]],#REF!,31,FALSE),"")</f>
        <v/>
      </c>
      <c r="O525" s="62" t="str">
        <f>IFERROR(VLOOKUP(Tableau242[[#This Row],[Company number]],#REF!,32,FALSE),"")</f>
        <v/>
      </c>
      <c r="P525" s="62">
        <f>IFERROR(VLOOKUP(B525,Tableau3[#All],5,FALSE),"Matricule!")</f>
        <v>11</v>
      </c>
      <c r="Q525" s="62">
        <f>IFERROR(SUM(VLOOKUP(B525,Tableau3[#All],6,FALSE),VLOOKUP(B525,Tableau3[#All],8,FALSE)),"Matricule!")</f>
        <v>0</v>
      </c>
      <c r="R525" s="62">
        <f>IFERROR(VLOOKUP(B525,Tableau3[#All],7,FALSE),"Matricule!")</f>
        <v>9</v>
      </c>
      <c r="S525" s="62">
        <f>IFERROR(Tableau242[[#This Row],[Prod. days WK]]-Tableau242[[#This Row],[Prod PXX]],"Matricule")</f>
        <v>0</v>
      </c>
      <c r="T525" s="62">
        <f>IFERROR(Tableau242[[#This Row],[Non prod. days WK]]-Tableau242[[#This Row],[Improd PXX]],"Matricule")</f>
        <v>0</v>
      </c>
      <c r="U525" s="62">
        <f>IFERROR(Tableau242[[#This Row],[Paid leave days WK]]-Tableau242[[#This Row],[Congé PXX]],"Matricule")</f>
        <v>0</v>
      </c>
      <c r="V525" s="63">
        <f>IFERROR(VLOOKUP($B525,#REF!,4,FALSE),0)</f>
        <v>0</v>
      </c>
      <c r="W52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25" s="63">
        <f>IF(AND(Tableau242[[#This Row],[Paid leave days]]&gt;0,Tableau242[[#This Row],[Prod. days]]&lt;0),MIN(Tableau242[[#This Row],[Paid leave days]],-Tableau242[[#This Row],[Prod. days]]),0)</f>
        <v>0</v>
      </c>
      <c r="Z525" s="63">
        <f>IFERROR(_xlfn.XLOOKUP(Tableau242[[#This Row],[Consultant]],Tableau2[Collaborateur/Nom affiché],Tableau2[Montant imputé],0),0)</f>
        <v>0</v>
      </c>
      <c r="AA525" s="64">
        <f t="shared" si="9"/>
        <v>0</v>
      </c>
      <c r="AB525" s="65" t="s">
        <v>154</v>
      </c>
      <c r="AC525" s="67"/>
      <c r="AD525" s="67"/>
      <c r="AE525" s="106"/>
      <c r="AF525" s="92"/>
    </row>
    <row r="526" spans="1:32" ht="14.45" customHeight="1">
      <c r="A526" s="15">
        <f>Tableau242[[#This Row],[Company number]]+0</f>
        <v>17569</v>
      </c>
      <c r="B526" s="60" t="s">
        <v>1175</v>
      </c>
      <c r="C526" s="61" t="s">
        <v>1176</v>
      </c>
      <c r="D526" s="61" t="s">
        <v>86</v>
      </c>
      <c r="E526" s="62" t="str">
        <f>IFERROR(VLOOKUP(Tableau242[[#This Row],[Manager ou CDM concerné]],Parametres!B:C,2,FALSE),"")</f>
        <v>Squad G</v>
      </c>
      <c r="F526" s="62" t="str">
        <f>IF(Tableau242[[#This Row],[Consultant]]=Tableau242[[#This Row],[Manager ou CDM concerné]],"Non",IF(IFERROR(VLOOKUP(Tableau242[[#This Row],[Consultant]],Parametres!B:C,2,FALSE),0)=0,"Non","Oui"))</f>
        <v>Non</v>
      </c>
      <c r="G526" s="62">
        <f>IFERROR(VLOOKUP(B526,Tableau5[#All],4,FALSE),"Matricule!")</f>
        <v>20</v>
      </c>
      <c r="H526" s="62" t="str">
        <f>IFERROR(VLOOKUP(Tableau242[[#This Row],[Company number]],#REF!,6,FALSE),"")</f>
        <v/>
      </c>
      <c r="I526" s="62">
        <f>IFERROR(VLOOKUP(B526,Tableau5[#All],5,FALSE),"Matricule!")</f>
        <v>0</v>
      </c>
      <c r="J526" s="62">
        <f>IFERROR(VLOOKUP(B526,Tableau5[#All],6,FALSE),"Matricule!")</f>
        <v>0</v>
      </c>
      <c r="K526" s="62">
        <f>IFERROR(VLOOKUP(B526,Tableau5[#All],7,FALSE),"Matricule!")</f>
        <v>0</v>
      </c>
      <c r="L526" s="62" t="e">
        <f>VLOOKUP(Tableau242[[#This Row],[Company number]],#REF!,25,FALSE)</f>
        <v>#REF!</v>
      </c>
      <c r="M526" s="62" t="str">
        <f>IFERROR(VLOOKUP(Tableau242[[#This Row],[Company number]],#REF!,30,FALSE),"")</f>
        <v/>
      </c>
      <c r="N526" s="62" t="str">
        <f>IFERROR(VLOOKUP(Tableau242[[#This Row],[Company number]],#REF!,31,FALSE),"")</f>
        <v/>
      </c>
      <c r="O526" s="62" t="str">
        <f>IFERROR(VLOOKUP(Tableau242[[#This Row],[Company number]],#REF!,32,FALSE),"")</f>
        <v/>
      </c>
      <c r="P526" s="62">
        <f>IFERROR(VLOOKUP(B526,Tableau3[#All],5,FALSE),"Matricule!")</f>
        <v>19</v>
      </c>
      <c r="Q526" s="62">
        <f>IFERROR(SUM(VLOOKUP(B526,Tableau3[#All],6,FALSE),VLOOKUP(B526,Tableau3[#All],8,FALSE)),"Matricule!")</f>
        <v>1</v>
      </c>
      <c r="R526" s="62">
        <f>IFERROR(VLOOKUP(B526,Tableau3[#All],7,FALSE),"Matricule!")</f>
        <v>0</v>
      </c>
      <c r="S526" s="62">
        <f>IFERROR(Tableau242[[#This Row],[Prod. days WK]]-Tableau242[[#This Row],[Prod PXX]],"Matricule")</f>
        <v>1</v>
      </c>
      <c r="T526" s="62">
        <f>IFERROR(Tableau242[[#This Row],[Non prod. days WK]]-Tableau242[[#This Row],[Improd PXX]],"Matricule")</f>
        <v>-1</v>
      </c>
      <c r="U526" s="62">
        <f>IFERROR(Tableau242[[#This Row],[Paid leave days WK]]-Tableau242[[#This Row],[Congé PXX]],"Matricule")</f>
        <v>0</v>
      </c>
      <c r="V526" s="63">
        <f>IFERROR(VLOOKUP($B526,#REF!,4,FALSE),0)</f>
        <v>0</v>
      </c>
      <c r="W52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26" s="63">
        <f>IF(AND(Tableau242[[#This Row],[Paid leave days]]&gt;0,Tableau242[[#This Row],[Prod. days]]&lt;0),MIN(Tableau242[[#This Row],[Paid leave days]],-Tableau242[[#This Row],[Prod. days]]),0)</f>
        <v>0</v>
      </c>
      <c r="Z526" s="63">
        <f>IFERROR(_xlfn.XLOOKUP(Tableau242[[#This Row],[Consultant]],Tableau2[Collaborateur/Nom affiché],Tableau2[Montant imputé],0),0)</f>
        <v>0</v>
      </c>
      <c r="AA526" s="64">
        <f t="shared" si="9"/>
        <v>1</v>
      </c>
      <c r="AB526" s="65" t="s">
        <v>154</v>
      </c>
      <c r="AC526" s="67"/>
      <c r="AD526" s="67"/>
      <c r="AE526" s="106"/>
      <c r="AF526" s="90"/>
    </row>
    <row r="527" spans="1:32" ht="14.45" customHeight="1">
      <c r="A527" s="15">
        <f>Tableau242[[#This Row],[Company number]]+0</f>
        <v>16995</v>
      </c>
      <c r="B527" s="60" t="s">
        <v>1177</v>
      </c>
      <c r="C527" s="61" t="s">
        <v>1178</v>
      </c>
      <c r="D527" s="61" t="s">
        <v>86</v>
      </c>
      <c r="E527" s="62" t="str">
        <f>IFERROR(VLOOKUP(Tableau242[[#This Row],[Manager ou CDM concerné]],Parametres!B:C,2,FALSE),"")</f>
        <v>Squad G</v>
      </c>
      <c r="F527" s="62" t="str">
        <f>IF(Tableau242[[#This Row],[Consultant]]=Tableau242[[#This Row],[Manager ou CDM concerné]],"Non",IF(IFERROR(VLOOKUP(Tableau242[[#This Row],[Consultant]],Parametres!B:C,2,FALSE),0)=0,"Non","Oui"))</f>
        <v>Non</v>
      </c>
      <c r="G527" s="62">
        <f>IFERROR(VLOOKUP(B527,Tableau5[#All],4,FALSE),"Matricule!")</f>
        <v>0</v>
      </c>
      <c r="H527" s="62" t="str">
        <f>IFERROR(VLOOKUP(Tableau242[[#This Row],[Company number]],#REF!,6,FALSE),"")</f>
        <v/>
      </c>
      <c r="I527" s="62">
        <f>IFERROR(VLOOKUP(B527,Tableau5[#All],5,FALSE),"Matricule!")</f>
        <v>19</v>
      </c>
      <c r="J527" s="62">
        <f>IFERROR(VLOOKUP(B527,Tableau5[#All],6,FALSE),"Matricule!")</f>
        <v>1</v>
      </c>
      <c r="K527" s="62">
        <f>IFERROR(VLOOKUP(B527,Tableau5[#All],7,FALSE),"Matricule!")</f>
        <v>0</v>
      </c>
      <c r="L527" s="62" t="e">
        <f>VLOOKUP(Tableau242[[#This Row],[Company number]],#REF!,25,FALSE)</f>
        <v>#REF!</v>
      </c>
      <c r="M527" s="62" t="str">
        <f>IFERROR(VLOOKUP(Tableau242[[#This Row],[Company number]],#REF!,30,FALSE),"")</f>
        <v/>
      </c>
      <c r="N527" s="62" t="str">
        <f>IFERROR(VLOOKUP(Tableau242[[#This Row],[Company number]],#REF!,31,FALSE),"")</f>
        <v/>
      </c>
      <c r="O527" s="62" t="str">
        <f>IFERROR(VLOOKUP(Tableau242[[#This Row],[Company number]],#REF!,32,FALSE),"")</f>
        <v/>
      </c>
      <c r="P527" s="62">
        <f>IFERROR(VLOOKUP(B527,Tableau3[#All],5,FALSE),"Matricule!")</f>
        <v>0</v>
      </c>
      <c r="Q527" s="62">
        <f>IFERROR(SUM(VLOOKUP(B527,Tableau3[#All],6,FALSE),VLOOKUP(B527,Tableau3[#All],8,FALSE)),"Matricule!")</f>
        <v>19</v>
      </c>
      <c r="R527" s="62">
        <f>IFERROR(VLOOKUP(B527,Tableau3[#All],7,FALSE),"Matricule!")</f>
        <v>1</v>
      </c>
      <c r="S527" s="62">
        <f>IFERROR(Tableau242[[#This Row],[Prod. days WK]]-Tableau242[[#This Row],[Prod PXX]],"Matricule")</f>
        <v>0</v>
      </c>
      <c r="T527" s="62">
        <f>IFERROR(Tableau242[[#This Row],[Non prod. days WK]]-Tableau242[[#This Row],[Improd PXX]],"Matricule")</f>
        <v>0</v>
      </c>
      <c r="U527" s="62">
        <f>IFERROR(Tableau242[[#This Row],[Paid leave days WK]]-Tableau242[[#This Row],[Congé PXX]],"Matricule")</f>
        <v>0</v>
      </c>
      <c r="V527" s="63">
        <f>IFERROR(VLOOKUP($B527,#REF!,4,FALSE),0)</f>
        <v>0</v>
      </c>
      <c r="W52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27" s="63">
        <f>IF(AND(Tableau242[[#This Row],[Paid leave days]]&gt;0,Tableau242[[#This Row],[Prod. days]]&lt;0),MIN(Tableau242[[#This Row],[Paid leave days]],-Tableau242[[#This Row],[Prod. days]]),0)</f>
        <v>0</v>
      </c>
      <c r="Z527" s="63">
        <f>IFERROR(_xlfn.XLOOKUP(Tableau242[[#This Row],[Consultant]],Tableau2[Collaborateur/Nom affiché],Tableau2[Montant imputé],0),0)</f>
        <v>0</v>
      </c>
      <c r="AA527" s="64">
        <f t="shared" si="9"/>
        <v>0</v>
      </c>
      <c r="AB527" s="65" t="s">
        <v>154</v>
      </c>
      <c r="AC527" s="66"/>
      <c r="AD527" s="66"/>
      <c r="AE527" s="105"/>
      <c r="AF527" s="90"/>
    </row>
    <row r="528" spans="1:32" ht="14.45" customHeight="1">
      <c r="A528" s="15">
        <f>Tableau242[[#This Row],[Company number]]+0</f>
        <v>20832</v>
      </c>
      <c r="B528" s="60" t="s">
        <v>1179</v>
      </c>
      <c r="C528" s="61" t="s">
        <v>1180</v>
      </c>
      <c r="D528" s="61" t="s">
        <v>51</v>
      </c>
      <c r="E528" s="62" t="str">
        <f>IFERROR(VLOOKUP(Tableau242[[#This Row],[Manager ou CDM concerné]],Parametres!B:C,2,FALSE),"")</f>
        <v>Squad C</v>
      </c>
      <c r="F528" s="62" t="str">
        <f>IF(Tableau242[[#This Row],[Consultant]]=Tableau242[[#This Row],[Manager ou CDM concerné]],"Non",IF(IFERROR(VLOOKUP(Tableau242[[#This Row],[Consultant]],Parametres!B:C,2,FALSE),0)=0,"Non","Oui"))</f>
        <v>Non</v>
      </c>
      <c r="G528" s="62">
        <f>IFERROR(VLOOKUP(B528,Tableau5[#All],4,FALSE),"Matricule!")</f>
        <v>15.5</v>
      </c>
      <c r="H528" s="62" t="str">
        <f>IFERROR(VLOOKUP(Tableau242[[#This Row],[Company number]],#REF!,6,FALSE),"")</f>
        <v/>
      </c>
      <c r="I528" s="62">
        <f>IFERROR(VLOOKUP(B528,Tableau5[#All],5,FALSE),"Matricule!")</f>
        <v>4.5</v>
      </c>
      <c r="J528" s="62">
        <f>IFERROR(VLOOKUP(B528,Tableau5[#All],6,FALSE),"Matricule!")</f>
        <v>0</v>
      </c>
      <c r="K528" s="62">
        <f>IFERROR(VLOOKUP(B528,Tableau5[#All],7,FALSE),"Matricule!")</f>
        <v>0</v>
      </c>
      <c r="L528" s="62" t="e">
        <f>VLOOKUP(Tableau242[[#This Row],[Company number]],#REF!,25,FALSE)</f>
        <v>#REF!</v>
      </c>
      <c r="M528" s="62" t="str">
        <f>IFERROR(VLOOKUP(Tableau242[[#This Row],[Company number]],#REF!,30,FALSE),"")</f>
        <v/>
      </c>
      <c r="N528" s="62" t="str">
        <f>IFERROR(VLOOKUP(Tableau242[[#This Row],[Company number]],#REF!,31,FALSE),"")</f>
        <v/>
      </c>
      <c r="O528" s="62" t="str">
        <f>IFERROR(VLOOKUP(Tableau242[[#This Row],[Company number]],#REF!,32,FALSE),"")</f>
        <v/>
      </c>
      <c r="P528" s="62">
        <f>IFERROR(VLOOKUP(B528,Tableau3[#All],5,FALSE),"Matricule!")</f>
        <v>16</v>
      </c>
      <c r="Q528" s="62">
        <f>IFERROR(SUM(VLOOKUP(B528,Tableau3[#All],6,FALSE),VLOOKUP(B528,Tableau3[#All],8,FALSE)),"Matricule!")</f>
        <v>4</v>
      </c>
      <c r="R528" s="62">
        <f>IFERROR(VLOOKUP(B528,Tableau3[#All],7,FALSE),"Matricule!")</f>
        <v>0</v>
      </c>
      <c r="S528" s="62">
        <f>IFERROR(Tableau242[[#This Row],[Prod. days WK]]-Tableau242[[#This Row],[Prod PXX]],"Matricule")</f>
        <v>-0.5</v>
      </c>
      <c r="T528" s="62">
        <f>IFERROR(Tableau242[[#This Row],[Non prod. days WK]]-Tableau242[[#This Row],[Improd PXX]],"Matricule")</f>
        <v>0.5</v>
      </c>
      <c r="U528" s="62">
        <f>IFERROR(Tableau242[[#This Row],[Paid leave days WK]]-Tableau242[[#This Row],[Congé PXX]],"Matricule")</f>
        <v>0</v>
      </c>
      <c r="V528" s="63">
        <f>IFERROR(VLOOKUP($B528,#REF!,4,FALSE),0)</f>
        <v>0</v>
      </c>
      <c r="W52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28" s="63">
        <f>IF(AND(Tableau242[[#This Row],[Paid leave days]]&gt;0,Tableau242[[#This Row],[Prod. days]]&lt;0),MIN(Tableau242[[#This Row],[Paid leave days]],-Tableau242[[#This Row],[Prod. days]]),0)</f>
        <v>0</v>
      </c>
      <c r="Z528" s="63">
        <f>IFERROR(_xlfn.XLOOKUP(Tableau242[[#This Row],[Consultant]],Tableau2[Collaborateur/Nom affiché],Tableau2[Montant imputé],0),0)</f>
        <v>0</v>
      </c>
      <c r="AA528" s="64">
        <f t="shared" si="9"/>
        <v>-0.5</v>
      </c>
      <c r="AB528" s="65" t="s">
        <v>147</v>
      </c>
      <c r="AC528" s="66"/>
      <c r="AD528" s="66"/>
      <c r="AE528" s="114"/>
      <c r="AF528" s="90"/>
    </row>
    <row r="529" spans="1:32">
      <c r="A529" s="15">
        <f>Tableau242[[#This Row],[Company number]]+0</f>
        <v>13361</v>
      </c>
      <c r="B529" s="60" t="s">
        <v>1181</v>
      </c>
      <c r="C529" s="61" t="s">
        <v>1182</v>
      </c>
      <c r="D529" s="61" t="s">
        <v>55</v>
      </c>
      <c r="E529" s="62" t="str">
        <f>IFERROR(VLOOKUP(Tableau242[[#This Row],[Manager ou CDM concerné]],Parametres!B:C,2,FALSE),"")</f>
        <v>Squad H</v>
      </c>
      <c r="F529" s="62" t="str">
        <f>IF(Tableau242[[#This Row],[Consultant]]=Tableau242[[#This Row],[Manager ou CDM concerné]],"Non",IF(IFERROR(VLOOKUP(Tableau242[[#This Row],[Consultant]],Parametres!B:C,2,FALSE),0)=0,"Non","Oui"))</f>
        <v>Non</v>
      </c>
      <c r="G529" s="62">
        <f>IFERROR(VLOOKUP(B529,Tableau5[#All],4,FALSE),"Matricule!")</f>
        <v>18</v>
      </c>
      <c r="H529" s="62" t="str">
        <f>IFERROR(VLOOKUP(Tableau242[[#This Row],[Company number]],#REF!,6,FALSE),"")</f>
        <v/>
      </c>
      <c r="I529" s="62">
        <f>IFERROR(VLOOKUP(B529,Tableau5[#All],5,FALSE),"Matricule!")</f>
        <v>0</v>
      </c>
      <c r="J529" s="62">
        <f>IFERROR(VLOOKUP(B529,Tableau5[#All],6,FALSE),"Matricule!")</f>
        <v>2</v>
      </c>
      <c r="K529" s="62">
        <f>IFERROR(VLOOKUP(B529,Tableau5[#All],7,FALSE),"Matricule!")</f>
        <v>0</v>
      </c>
      <c r="L529" s="62" t="e">
        <f>VLOOKUP(Tableau242[[#This Row],[Company number]],#REF!,25,FALSE)</f>
        <v>#REF!</v>
      </c>
      <c r="M529" s="62" t="str">
        <f>IFERROR(VLOOKUP(Tableau242[[#This Row],[Company number]],#REF!,30,FALSE),"")</f>
        <v/>
      </c>
      <c r="N529" s="62" t="str">
        <f>IFERROR(VLOOKUP(Tableau242[[#This Row],[Company number]],#REF!,31,FALSE),"")</f>
        <v/>
      </c>
      <c r="O529" s="62" t="str">
        <f>IFERROR(VLOOKUP(Tableau242[[#This Row],[Company number]],#REF!,32,FALSE),"")</f>
        <v/>
      </c>
      <c r="P529" s="62">
        <f>IFERROR(VLOOKUP(B529,Tableau3[#All],5,FALSE),"Matricule!")</f>
        <v>18</v>
      </c>
      <c r="Q529" s="62">
        <f>IFERROR(SUM(VLOOKUP(B529,Tableau3[#All],6,FALSE),VLOOKUP(B529,Tableau3[#All],8,FALSE)),"Matricule!")</f>
        <v>0</v>
      </c>
      <c r="R529" s="62">
        <f>IFERROR(VLOOKUP(B529,Tableau3[#All],7,FALSE),"Matricule!")</f>
        <v>2</v>
      </c>
      <c r="S529" s="62">
        <f>IFERROR(Tableau242[[#This Row],[Prod. days WK]]-Tableau242[[#This Row],[Prod PXX]],"Matricule")</f>
        <v>0</v>
      </c>
      <c r="T529" s="62">
        <f>IFERROR(Tableau242[[#This Row],[Non prod. days WK]]-Tableau242[[#This Row],[Improd PXX]],"Matricule")</f>
        <v>0</v>
      </c>
      <c r="U529" s="62">
        <f>IFERROR(Tableau242[[#This Row],[Paid leave days WK]]-Tableau242[[#This Row],[Congé PXX]],"Matricule")</f>
        <v>0</v>
      </c>
      <c r="V529" s="63">
        <f>IFERROR(VLOOKUP($B529,#REF!,4,FALSE),0)</f>
        <v>0</v>
      </c>
      <c r="W52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2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29" s="63">
        <f>IF(AND(Tableau242[[#This Row],[Paid leave days]]&gt;0,Tableau242[[#This Row],[Prod. days]]&lt;0),MIN(Tableau242[[#This Row],[Paid leave days]],-Tableau242[[#This Row],[Prod. days]]),0)</f>
        <v>0</v>
      </c>
      <c r="Z529" s="63">
        <f>IFERROR(_xlfn.XLOOKUP(Tableau242[[#This Row],[Consultant]],Tableau2[Collaborateur/Nom affiché],Tableau2[Montant imputé],0),0)</f>
        <v>0</v>
      </c>
      <c r="AA529" s="64">
        <f t="shared" si="9"/>
        <v>0</v>
      </c>
      <c r="AB529" s="65"/>
      <c r="AC529" s="66"/>
      <c r="AD529" s="66"/>
      <c r="AE529" s="39"/>
      <c r="AF529" s="90"/>
    </row>
    <row r="530" spans="1:32" ht="14.45" customHeight="1">
      <c r="A530" s="15">
        <f>Tableau242[[#This Row],[Company number]]+0</f>
        <v>14094</v>
      </c>
      <c r="B530" s="60" t="s">
        <v>1183</v>
      </c>
      <c r="C530" s="61" t="s">
        <v>1184</v>
      </c>
      <c r="D530" s="61" t="s">
        <v>55</v>
      </c>
      <c r="E530" s="62" t="str">
        <f>IFERROR(VLOOKUP(Tableau242[[#This Row],[Manager ou CDM concerné]],Parametres!B:C,2,FALSE),"")</f>
        <v>Squad H</v>
      </c>
      <c r="F530" s="62" t="str">
        <f>IF(Tableau242[[#This Row],[Consultant]]=Tableau242[[#This Row],[Manager ou CDM concerné]],"Non",IF(IFERROR(VLOOKUP(Tableau242[[#This Row],[Consultant]],Parametres!B:C,2,FALSE),0)=0,"Non","Oui"))</f>
        <v>Non</v>
      </c>
      <c r="G530" s="62">
        <f>IFERROR(VLOOKUP(B530,Tableau5[#All],4,FALSE),"Matricule!")</f>
        <v>12</v>
      </c>
      <c r="H530" s="62" t="str">
        <f>IFERROR(VLOOKUP(Tableau242[[#This Row],[Company number]],#REF!,6,FALSE),"")</f>
        <v/>
      </c>
      <c r="I530" s="62">
        <f>IFERROR(VLOOKUP(B530,Tableau5[#All],5,FALSE),"Matricule!")</f>
        <v>8</v>
      </c>
      <c r="J530" s="62">
        <f>IFERROR(VLOOKUP(B530,Tableau5[#All],6,FALSE),"Matricule!")</f>
        <v>0</v>
      </c>
      <c r="K530" s="62">
        <f>IFERROR(VLOOKUP(B530,Tableau5[#All],7,FALSE),"Matricule!")</f>
        <v>0</v>
      </c>
      <c r="L530" s="62" t="e">
        <f>VLOOKUP(Tableau242[[#This Row],[Company number]],#REF!,25,FALSE)</f>
        <v>#REF!</v>
      </c>
      <c r="M530" s="62" t="str">
        <f>IFERROR(VLOOKUP(Tableau242[[#This Row],[Company number]],#REF!,30,FALSE),"")</f>
        <v/>
      </c>
      <c r="N530" s="62" t="str">
        <f>IFERROR(VLOOKUP(Tableau242[[#This Row],[Company number]],#REF!,31,FALSE),"")</f>
        <v/>
      </c>
      <c r="O530" s="62" t="str">
        <f>IFERROR(VLOOKUP(Tableau242[[#This Row],[Company number]],#REF!,32,FALSE),"")</f>
        <v/>
      </c>
      <c r="P530" s="62">
        <f>IFERROR(VLOOKUP(B530,Tableau3[#All],5,FALSE),"Matricule!")</f>
        <v>13</v>
      </c>
      <c r="Q530" s="62">
        <f>IFERROR(SUM(VLOOKUP(B530,Tableau3[#All],6,FALSE),VLOOKUP(B530,Tableau3[#All],8,FALSE)),"Matricule!")</f>
        <v>7</v>
      </c>
      <c r="R530" s="62">
        <f>IFERROR(VLOOKUP(B530,Tableau3[#All],7,FALSE),"Matricule!")</f>
        <v>0</v>
      </c>
      <c r="S530" s="62">
        <f>IFERROR(Tableau242[[#This Row],[Prod. days WK]]-Tableau242[[#This Row],[Prod PXX]],"Matricule")</f>
        <v>-1</v>
      </c>
      <c r="T530" s="62">
        <f>IFERROR(Tableau242[[#This Row],[Non prod. days WK]]-Tableau242[[#This Row],[Improd PXX]],"Matricule")</f>
        <v>1</v>
      </c>
      <c r="U530" s="62">
        <f>IFERROR(Tableau242[[#This Row],[Paid leave days WK]]-Tableau242[[#This Row],[Congé PXX]],"Matricule")</f>
        <v>0</v>
      </c>
      <c r="V530" s="63">
        <f>IFERROR(VLOOKUP($B530,#REF!,4,FALSE),0)</f>
        <v>0</v>
      </c>
      <c r="W53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530" s="63">
        <f>IF(AND(Tableau242[[#This Row],[Paid leave days]]&gt;0,Tableau242[[#This Row],[Prod. days]]&lt;0),MIN(Tableau242[[#This Row],[Paid leave days]],-Tableau242[[#This Row],[Prod. days]]),0)</f>
        <v>0</v>
      </c>
      <c r="Z530" s="63">
        <f>IFERROR(_xlfn.XLOOKUP(Tableau242[[#This Row],[Consultant]],Tableau2[Collaborateur/Nom affiché],Tableau2[Montant imputé],0),0)</f>
        <v>1</v>
      </c>
      <c r="AA530" s="64">
        <f t="shared" si="9"/>
        <v>0</v>
      </c>
      <c r="AB530" s="65"/>
      <c r="AC530" s="66"/>
      <c r="AD530" s="66"/>
      <c r="AE530" s="105"/>
      <c r="AF530" s="90"/>
    </row>
    <row r="531" spans="1:32" ht="14.45" customHeight="1">
      <c r="A531" s="15">
        <f>Tableau242[[#This Row],[Company number]]+0</f>
        <v>13946</v>
      </c>
      <c r="B531" s="60" t="s">
        <v>1185</v>
      </c>
      <c r="C531" s="61" t="s">
        <v>1186</v>
      </c>
      <c r="D531" s="61" t="s">
        <v>80</v>
      </c>
      <c r="E531" s="62" t="str">
        <f>IFERROR(VLOOKUP(Tableau242[[#This Row],[Manager ou CDM concerné]],Parametres!B:C,2,FALSE),"")</f>
        <v>Squad A</v>
      </c>
      <c r="F531" s="62" t="str">
        <f>IF(Tableau242[[#This Row],[Consultant]]=Tableau242[[#This Row],[Manager ou CDM concerné]],"Non",IF(IFERROR(VLOOKUP(Tableau242[[#This Row],[Consultant]],Parametres!B:C,2,FALSE),0)=0,"Non","Oui"))</f>
        <v>Non</v>
      </c>
      <c r="G531" s="62">
        <f>IFERROR(VLOOKUP(B531,Tableau5[#All],4,FALSE),"Matricule!")</f>
        <v>19</v>
      </c>
      <c r="H531" s="62" t="str">
        <f>IFERROR(VLOOKUP(Tableau242[[#This Row],[Company number]],#REF!,6,FALSE),"")</f>
        <v/>
      </c>
      <c r="I531" s="62">
        <f>IFERROR(VLOOKUP(B531,Tableau5[#All],5,FALSE),"Matricule!")</f>
        <v>0.5</v>
      </c>
      <c r="J531" s="62">
        <f>IFERROR(VLOOKUP(B531,Tableau5[#All],6,FALSE),"Matricule!")</f>
        <v>0.5</v>
      </c>
      <c r="K531" s="62">
        <f>IFERROR(VLOOKUP(B531,Tableau5[#All],7,FALSE),"Matricule!")</f>
        <v>0</v>
      </c>
      <c r="L531" s="62" t="e">
        <f>VLOOKUP(Tableau242[[#This Row],[Company number]],#REF!,25,FALSE)</f>
        <v>#REF!</v>
      </c>
      <c r="M531" s="62" t="str">
        <f>IFERROR(VLOOKUP(Tableau242[[#This Row],[Company number]],#REF!,30,FALSE),"")</f>
        <v/>
      </c>
      <c r="N531" s="62" t="str">
        <f>IFERROR(VLOOKUP(Tableau242[[#This Row],[Company number]],#REF!,31,FALSE),"")</f>
        <v/>
      </c>
      <c r="O531" s="62" t="str">
        <f>IFERROR(VLOOKUP(Tableau242[[#This Row],[Company number]],#REF!,32,FALSE),"")</f>
        <v/>
      </c>
      <c r="P531" s="62">
        <f>IFERROR(VLOOKUP(B531,Tableau3[#All],5,FALSE),"Matricule!")</f>
        <v>19.5</v>
      </c>
      <c r="Q531" s="62">
        <f>IFERROR(SUM(VLOOKUP(B531,Tableau3[#All],6,FALSE),VLOOKUP(B531,Tableau3[#All],8,FALSE)),"Matricule!")</f>
        <v>0</v>
      </c>
      <c r="R531" s="62">
        <f>IFERROR(VLOOKUP(B531,Tableau3[#All],7,FALSE),"Matricule!")</f>
        <v>0.5</v>
      </c>
      <c r="S531" s="62">
        <f>IFERROR(Tableau242[[#This Row],[Prod. days WK]]-Tableau242[[#This Row],[Prod PXX]],"Matricule")</f>
        <v>-0.5</v>
      </c>
      <c r="T531" s="62">
        <f>IFERROR(Tableau242[[#This Row],[Non prod. days WK]]-Tableau242[[#This Row],[Improd PXX]],"Matricule")</f>
        <v>0.5</v>
      </c>
      <c r="U531" s="62">
        <f>IFERROR(Tableau242[[#This Row],[Paid leave days WK]]-Tableau242[[#This Row],[Congé PXX]],"Matricule")</f>
        <v>0</v>
      </c>
      <c r="V531" s="63">
        <f>IFERROR(VLOOKUP($B531,#REF!,4,FALSE),0)</f>
        <v>0</v>
      </c>
      <c r="W53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31" s="63">
        <f>IF(AND(Tableau242[[#This Row],[Paid leave days]]&gt;0,Tableau242[[#This Row],[Prod. days]]&lt;0),MIN(Tableau242[[#This Row],[Paid leave days]],-Tableau242[[#This Row],[Prod. days]]),0)</f>
        <v>0</v>
      </c>
      <c r="Z531" s="63">
        <f>IFERROR(_xlfn.XLOOKUP(Tableau242[[#This Row],[Consultant]],Tableau2[Collaborateur/Nom affiché],Tableau2[Montant imputé],0),0)</f>
        <v>0</v>
      </c>
      <c r="AA531" s="64">
        <f t="shared" si="9"/>
        <v>-0.5</v>
      </c>
      <c r="AB531" s="65" t="s">
        <v>147</v>
      </c>
      <c r="AC531" s="66"/>
      <c r="AD531" s="66"/>
      <c r="AE531" s="39"/>
      <c r="AF531" s="90"/>
    </row>
    <row r="532" spans="1:32" ht="14.45" customHeight="1">
      <c r="A532" s="15">
        <f>Tableau242[[#This Row],[Company number]]+0</f>
        <v>13220</v>
      </c>
      <c r="B532" s="60" t="s">
        <v>1187</v>
      </c>
      <c r="C532" s="61" t="s">
        <v>1188</v>
      </c>
      <c r="D532" s="61" t="s">
        <v>41</v>
      </c>
      <c r="E532" s="62" t="str">
        <f>IFERROR(VLOOKUP(Tableau242[[#This Row],[Manager ou CDM concerné]],Parametres!B:C,2,FALSE),"")</f>
        <v>Squad B</v>
      </c>
      <c r="F532" s="62" t="str">
        <f>IF(Tableau242[[#This Row],[Consultant]]=Tableau242[[#This Row],[Manager ou CDM concerné]],"Non",IF(IFERROR(VLOOKUP(Tableau242[[#This Row],[Consultant]],Parametres!B:C,2,FALSE),0)=0,"Non","Oui"))</f>
        <v>Non</v>
      </c>
      <c r="G532" s="62">
        <f>IFERROR(VLOOKUP(B532,Tableau5[#All],4,FALSE),"Matricule!")</f>
        <v>19.5</v>
      </c>
      <c r="H532" s="62" t="str">
        <f>IFERROR(VLOOKUP(Tableau242[[#This Row],[Company number]],#REF!,6,FALSE),"")</f>
        <v/>
      </c>
      <c r="I532" s="62">
        <f>IFERROR(VLOOKUP(B532,Tableau5[#All],5,FALSE),"Matricule!")</f>
        <v>0.5</v>
      </c>
      <c r="J532" s="62">
        <f>IFERROR(VLOOKUP(B532,Tableau5[#All],6,FALSE),"Matricule!")</f>
        <v>0</v>
      </c>
      <c r="K532" s="62">
        <f>IFERROR(VLOOKUP(B532,Tableau5[#All],7,FALSE),"Matricule!")</f>
        <v>0</v>
      </c>
      <c r="L532" s="62" t="e">
        <f>VLOOKUP(Tableau242[[#This Row],[Company number]],#REF!,25,FALSE)</f>
        <v>#REF!</v>
      </c>
      <c r="M532" s="62" t="str">
        <f>IFERROR(VLOOKUP(Tableau242[[#This Row],[Company number]],#REF!,30,FALSE),"")</f>
        <v/>
      </c>
      <c r="N532" s="62" t="str">
        <f>IFERROR(VLOOKUP(Tableau242[[#This Row],[Company number]],#REF!,31,FALSE),"")</f>
        <v/>
      </c>
      <c r="O532" s="62" t="str">
        <f>IFERROR(VLOOKUP(Tableau242[[#This Row],[Company number]],#REF!,32,FALSE),"")</f>
        <v/>
      </c>
      <c r="P532" s="62">
        <f>IFERROR(VLOOKUP(B532,Tableau3[#All],5,FALSE),"Matricule!")</f>
        <v>20</v>
      </c>
      <c r="Q532" s="62">
        <f>IFERROR(SUM(VLOOKUP(B532,Tableau3[#All],6,FALSE),VLOOKUP(B532,Tableau3[#All],8,FALSE)),"Matricule!")</f>
        <v>0</v>
      </c>
      <c r="R532" s="62">
        <f>IFERROR(VLOOKUP(B532,Tableau3[#All],7,FALSE),"Matricule!")</f>
        <v>0</v>
      </c>
      <c r="S532" s="62">
        <f>IFERROR(Tableau242[[#This Row],[Prod. days WK]]-Tableau242[[#This Row],[Prod PXX]],"Matricule")</f>
        <v>-0.5</v>
      </c>
      <c r="T532" s="62">
        <f>IFERROR(Tableau242[[#This Row],[Non prod. days WK]]-Tableau242[[#This Row],[Improd PXX]],"Matricule")</f>
        <v>0.5</v>
      </c>
      <c r="U532" s="62">
        <f>IFERROR(Tableau242[[#This Row],[Paid leave days WK]]-Tableau242[[#This Row],[Congé PXX]],"Matricule")</f>
        <v>0</v>
      </c>
      <c r="V532" s="63">
        <f>IFERROR(VLOOKUP($B532,#REF!,4,FALSE),0)</f>
        <v>0</v>
      </c>
      <c r="W53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32" s="63">
        <f>IF(AND(Tableau242[[#This Row],[Paid leave days]]&gt;0,Tableau242[[#This Row],[Prod. days]]&lt;0),MIN(Tableau242[[#This Row],[Paid leave days]],-Tableau242[[#This Row],[Prod. days]]),0)</f>
        <v>0</v>
      </c>
      <c r="Z532" s="63">
        <f>IFERROR(_xlfn.XLOOKUP(Tableau242[[#This Row],[Consultant]],Tableau2[Collaborateur/Nom affiché],Tableau2[Montant imputé],0),0)</f>
        <v>0</v>
      </c>
      <c r="AA532" s="64">
        <f t="shared" si="9"/>
        <v>-0.5</v>
      </c>
      <c r="AB532" s="65" t="s">
        <v>154</v>
      </c>
      <c r="AC532" s="66"/>
      <c r="AD532" s="66"/>
      <c r="AE532" s="105"/>
      <c r="AF532" s="95"/>
    </row>
    <row r="533" spans="1:32" ht="14.45" customHeight="1">
      <c r="A533" s="15">
        <f>Tableau242[[#This Row],[Company number]]+0</f>
        <v>13437</v>
      </c>
      <c r="B533" s="60" t="s">
        <v>1189</v>
      </c>
      <c r="C533" s="61" t="s">
        <v>68</v>
      </c>
      <c r="D533" s="61" t="s">
        <v>55</v>
      </c>
      <c r="E533" s="62" t="str">
        <f>IFERROR(VLOOKUP(Tableau242[[#This Row],[Manager ou CDM concerné]],Parametres!B:C,2,FALSE),"")</f>
        <v>Squad H</v>
      </c>
      <c r="F533" s="62" t="str">
        <f>IF(Tableau242[[#This Row],[Consultant]]=Tableau242[[#This Row],[Manager ou CDM concerné]],"Non",IF(IFERROR(VLOOKUP(Tableau242[[#This Row],[Consultant]],Parametres!B:C,2,FALSE),0)=0,"Non","Oui"))</f>
        <v>Oui</v>
      </c>
      <c r="G533" s="62">
        <f>IFERROR(VLOOKUP(B533,Tableau5[#All],4,FALSE),"Matricule!")</f>
        <v>7.5</v>
      </c>
      <c r="H533" s="62" t="str">
        <f>IFERROR(VLOOKUP(Tableau242[[#This Row],[Company number]],#REF!,6,FALSE),"")</f>
        <v/>
      </c>
      <c r="I533" s="62">
        <f>IFERROR(VLOOKUP(B533,Tableau5[#All],5,FALSE),"Matricule!")</f>
        <v>12.5</v>
      </c>
      <c r="J533" s="62">
        <f>IFERROR(VLOOKUP(B533,Tableau5[#All],6,FALSE),"Matricule!")</f>
        <v>0</v>
      </c>
      <c r="K533" s="62">
        <f>IFERROR(VLOOKUP(B533,Tableau5[#All],7,FALSE),"Matricule!")</f>
        <v>0</v>
      </c>
      <c r="L533" s="62" t="e">
        <f>VLOOKUP(Tableau242[[#This Row],[Company number]],#REF!,25,FALSE)</f>
        <v>#REF!</v>
      </c>
      <c r="M533" s="62" t="str">
        <f>IFERROR(VLOOKUP(Tableau242[[#This Row],[Company number]],#REF!,30,FALSE),"")</f>
        <v/>
      </c>
      <c r="N533" s="62" t="str">
        <f>IFERROR(VLOOKUP(Tableau242[[#This Row],[Company number]],#REF!,31,FALSE),"")</f>
        <v/>
      </c>
      <c r="O533" s="62" t="str">
        <f>IFERROR(VLOOKUP(Tableau242[[#This Row],[Company number]],#REF!,32,FALSE),"")</f>
        <v/>
      </c>
      <c r="P533" s="62">
        <f>IFERROR(VLOOKUP(B533,Tableau3[#All],5,FALSE),"Matricule!")</f>
        <v>7.5</v>
      </c>
      <c r="Q533" s="62">
        <f>IFERROR(SUM(VLOOKUP(B533,Tableau3[#All],6,FALSE),VLOOKUP(B533,Tableau3[#All],8,FALSE)),"Matricule!")</f>
        <v>12.5</v>
      </c>
      <c r="R533" s="62">
        <f>IFERROR(VLOOKUP(B533,Tableau3[#All],7,FALSE),"Matricule!")</f>
        <v>0</v>
      </c>
      <c r="S533" s="62">
        <f>IFERROR(Tableau242[[#This Row],[Prod. days WK]]-Tableau242[[#This Row],[Prod PXX]],"Matricule")</f>
        <v>0</v>
      </c>
      <c r="T533" s="62">
        <f>IFERROR(Tableau242[[#This Row],[Non prod. days WK]]-Tableau242[[#This Row],[Improd PXX]],"Matricule")</f>
        <v>0</v>
      </c>
      <c r="U533" s="62">
        <f>IFERROR(Tableau242[[#This Row],[Paid leave days WK]]-Tableau242[[#This Row],[Congé PXX]],"Matricule")</f>
        <v>0</v>
      </c>
      <c r="V533" s="63">
        <f>IFERROR(VLOOKUP($B533,#REF!,4,FALSE),0)</f>
        <v>0</v>
      </c>
      <c r="W53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33" s="63">
        <f>IF(AND(Tableau242[[#This Row],[Paid leave days]]&gt;0,Tableau242[[#This Row],[Prod. days]]&lt;0),MIN(Tableau242[[#This Row],[Paid leave days]],-Tableau242[[#This Row],[Prod. days]]),0)</f>
        <v>0</v>
      </c>
      <c r="Z533" s="63">
        <f>IFERROR(_xlfn.XLOOKUP(Tableau242[[#This Row],[Consultant]],Tableau2[Collaborateur/Nom affiché],Tableau2[Montant imputé],0),0)</f>
        <v>0</v>
      </c>
      <c r="AA533" s="64">
        <f t="shared" si="9"/>
        <v>0</v>
      </c>
      <c r="AB533" s="65"/>
      <c r="AC533" s="66"/>
      <c r="AD533" s="66"/>
      <c r="AE533" s="105"/>
      <c r="AF533" s="90"/>
    </row>
    <row r="534" spans="1:32" ht="14.45" customHeight="1">
      <c r="A534" s="15">
        <f>Tableau242[[#This Row],[Company number]]+0</f>
        <v>13336</v>
      </c>
      <c r="B534" s="60" t="s">
        <v>1190</v>
      </c>
      <c r="C534" s="61" t="s">
        <v>1191</v>
      </c>
      <c r="D534" s="61" t="s">
        <v>55</v>
      </c>
      <c r="E534" s="62" t="str">
        <f>IFERROR(VLOOKUP(Tableau242[[#This Row],[Manager ou CDM concerné]],Parametres!B:C,2,FALSE),"")</f>
        <v>Squad H</v>
      </c>
      <c r="F534" s="62" t="str">
        <f>IF(Tableau242[[#This Row],[Consultant]]=Tableau242[[#This Row],[Manager ou CDM concerné]],"Non",IF(IFERROR(VLOOKUP(Tableau242[[#This Row],[Consultant]],Parametres!B:C,2,FALSE),0)=0,"Non","Oui"))</f>
        <v>Non</v>
      </c>
      <c r="G534" s="62">
        <f>IFERROR(VLOOKUP(B534,Tableau5[#All],4,FALSE),"Matricule!")</f>
        <v>20</v>
      </c>
      <c r="H534" s="62" t="str">
        <f>IFERROR(VLOOKUP(Tableau242[[#This Row],[Company number]],#REF!,6,FALSE),"")</f>
        <v/>
      </c>
      <c r="I534" s="62">
        <f>IFERROR(VLOOKUP(B534,Tableau5[#All],5,FALSE),"Matricule!")</f>
        <v>0</v>
      </c>
      <c r="J534" s="62">
        <f>IFERROR(VLOOKUP(B534,Tableau5[#All],6,FALSE),"Matricule!")</f>
        <v>0</v>
      </c>
      <c r="K534" s="62">
        <f>IFERROR(VLOOKUP(B534,Tableau5[#All],7,FALSE),"Matricule!")</f>
        <v>0</v>
      </c>
      <c r="L534" s="62" t="e">
        <f>VLOOKUP(Tableau242[[#This Row],[Company number]],#REF!,25,FALSE)</f>
        <v>#REF!</v>
      </c>
      <c r="M534" s="62" t="str">
        <f>IFERROR(VLOOKUP(Tableau242[[#This Row],[Company number]],#REF!,30,FALSE),"")</f>
        <v/>
      </c>
      <c r="N534" s="62" t="str">
        <f>IFERROR(VLOOKUP(Tableau242[[#This Row],[Company number]],#REF!,31,FALSE),"")</f>
        <v/>
      </c>
      <c r="O534" s="62" t="str">
        <f>IFERROR(VLOOKUP(Tableau242[[#This Row],[Company number]],#REF!,32,FALSE),"")</f>
        <v/>
      </c>
      <c r="P534" s="62">
        <f>IFERROR(VLOOKUP(B534,Tableau3[#All],5,FALSE),"Matricule!")</f>
        <v>20</v>
      </c>
      <c r="Q534" s="62">
        <f>IFERROR(SUM(VLOOKUP(B534,Tableau3[#All],6,FALSE),VLOOKUP(B534,Tableau3[#All],8,FALSE)),"Matricule!")</f>
        <v>0</v>
      </c>
      <c r="R534" s="62">
        <f>IFERROR(VLOOKUP(B534,Tableau3[#All],7,FALSE),"Matricule!")</f>
        <v>0</v>
      </c>
      <c r="S534" s="62">
        <f>IFERROR(Tableau242[[#This Row],[Prod. days WK]]-Tableau242[[#This Row],[Prod PXX]],"Matricule")</f>
        <v>0</v>
      </c>
      <c r="T534" s="62">
        <f>IFERROR(Tableau242[[#This Row],[Non prod. days WK]]-Tableau242[[#This Row],[Improd PXX]],"Matricule")</f>
        <v>0</v>
      </c>
      <c r="U534" s="62">
        <f>IFERROR(Tableau242[[#This Row],[Paid leave days WK]]-Tableau242[[#This Row],[Congé PXX]],"Matricule")</f>
        <v>0</v>
      </c>
      <c r="V534" s="63">
        <f>IFERROR(VLOOKUP($B534,#REF!,4,FALSE),0)</f>
        <v>0</v>
      </c>
      <c r="W53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34" s="63">
        <f>IF(AND(Tableau242[[#This Row],[Paid leave days]]&gt;0,Tableau242[[#This Row],[Prod. days]]&lt;0),MIN(Tableau242[[#This Row],[Paid leave days]],-Tableau242[[#This Row],[Prod. days]]),0)</f>
        <v>0</v>
      </c>
      <c r="Z534" s="63">
        <f>IFERROR(_xlfn.XLOOKUP(Tableau242[[#This Row],[Consultant]],Tableau2[Collaborateur/Nom affiché],Tableau2[Montant imputé],0),0)</f>
        <v>0</v>
      </c>
      <c r="AA534" s="64">
        <f t="shared" si="9"/>
        <v>0</v>
      </c>
      <c r="AB534" s="65"/>
      <c r="AC534" s="66"/>
      <c r="AD534" s="66"/>
      <c r="AE534" s="105"/>
      <c r="AF534" s="90"/>
    </row>
    <row r="535" spans="1:32" ht="14.45" customHeight="1">
      <c r="A535" s="15">
        <f>Tableau242[[#This Row],[Company number]]+0</f>
        <v>20379</v>
      </c>
      <c r="B535" s="60" t="s">
        <v>1192</v>
      </c>
      <c r="C535" s="61" t="s">
        <v>1193</v>
      </c>
      <c r="D535" s="61" t="s">
        <v>41</v>
      </c>
      <c r="E535" s="62" t="str">
        <f>IFERROR(VLOOKUP(Tableau242[[#This Row],[Manager ou CDM concerné]],Parametres!B:C,2,FALSE),"")</f>
        <v>Squad B</v>
      </c>
      <c r="F535" s="62" t="str">
        <f>IF(Tableau242[[#This Row],[Consultant]]=Tableau242[[#This Row],[Manager ou CDM concerné]],"Non",IF(IFERROR(VLOOKUP(Tableau242[[#This Row],[Consultant]],Parametres!B:C,2,FALSE),0)=0,"Non","Oui"))</f>
        <v>Non</v>
      </c>
      <c r="G535" s="62">
        <f>IFERROR(VLOOKUP(B535,Tableau5[#All],4,FALSE),"Matricule!")</f>
        <v>9.5</v>
      </c>
      <c r="H535" s="62" t="str">
        <f>IFERROR(VLOOKUP(Tableau242[[#This Row],[Company number]],#REF!,6,FALSE),"")</f>
        <v/>
      </c>
      <c r="I535" s="62">
        <f>IFERROR(VLOOKUP(B535,Tableau5[#All],5,FALSE),"Matricule!")</f>
        <v>10.5</v>
      </c>
      <c r="J535" s="62">
        <f>IFERROR(VLOOKUP(B535,Tableau5[#All],6,FALSE),"Matricule!")</f>
        <v>0</v>
      </c>
      <c r="K535" s="62">
        <f>IFERROR(VLOOKUP(B535,Tableau5[#All],7,FALSE),"Matricule!")</f>
        <v>0</v>
      </c>
      <c r="L535" s="62" t="e">
        <f>VLOOKUP(Tableau242[[#This Row],[Company number]],#REF!,25,FALSE)</f>
        <v>#REF!</v>
      </c>
      <c r="M535" s="62" t="str">
        <f>IFERROR(VLOOKUP(Tableau242[[#This Row],[Company number]],#REF!,30,FALSE),"")</f>
        <v/>
      </c>
      <c r="N535" s="62" t="str">
        <f>IFERROR(VLOOKUP(Tableau242[[#This Row],[Company number]],#REF!,31,FALSE),"")</f>
        <v/>
      </c>
      <c r="O535" s="62" t="str">
        <f>IFERROR(VLOOKUP(Tableau242[[#This Row],[Company number]],#REF!,32,FALSE),"")</f>
        <v/>
      </c>
      <c r="P535" s="62">
        <f>IFERROR(VLOOKUP(B535,Tableau3[#All],5,FALSE),"Matricule!")</f>
        <v>10</v>
      </c>
      <c r="Q535" s="62">
        <f>IFERROR(SUM(VLOOKUP(B535,Tableau3[#All],6,FALSE),VLOOKUP(B535,Tableau3[#All],8,FALSE)),"Matricule!")</f>
        <v>10</v>
      </c>
      <c r="R535" s="62">
        <f>IFERROR(VLOOKUP(B535,Tableau3[#All],7,FALSE),"Matricule!")</f>
        <v>0</v>
      </c>
      <c r="S535" s="62">
        <f>IFERROR(Tableau242[[#This Row],[Prod. days WK]]-Tableau242[[#This Row],[Prod PXX]],"Matricule")</f>
        <v>-0.5</v>
      </c>
      <c r="T535" s="62">
        <f>IFERROR(Tableau242[[#This Row],[Non prod. days WK]]-Tableau242[[#This Row],[Improd PXX]],"Matricule")</f>
        <v>0.5</v>
      </c>
      <c r="U535" s="62">
        <f>IFERROR(Tableau242[[#This Row],[Paid leave days WK]]-Tableau242[[#This Row],[Congé PXX]],"Matricule")</f>
        <v>0</v>
      </c>
      <c r="V535" s="63">
        <f>IFERROR(VLOOKUP($B535,#REF!,4,FALSE),0)</f>
        <v>0</v>
      </c>
      <c r="W53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35" s="63">
        <f>IF(AND(Tableau242[[#This Row],[Paid leave days]]&gt;0,Tableau242[[#This Row],[Prod. days]]&lt;0),MIN(Tableau242[[#This Row],[Paid leave days]],-Tableau242[[#This Row],[Prod. days]]),0)</f>
        <v>0</v>
      </c>
      <c r="Z535" s="63">
        <f>IFERROR(_xlfn.XLOOKUP(Tableau242[[#This Row],[Consultant]],Tableau2[Collaborateur/Nom affiché],Tableau2[Montant imputé],0),0)</f>
        <v>0</v>
      </c>
      <c r="AA535" s="64">
        <f t="shared" si="9"/>
        <v>-0.5</v>
      </c>
      <c r="AB535" s="65" t="s">
        <v>154</v>
      </c>
      <c r="AC535" s="74"/>
      <c r="AD535" s="74"/>
      <c r="AE535" s="108"/>
      <c r="AF535" s="90"/>
    </row>
    <row r="536" spans="1:32" ht="14.45" customHeight="1">
      <c r="A536" s="15">
        <f>Tableau242[[#This Row],[Company number]]+0</f>
        <v>13549</v>
      </c>
      <c r="B536" s="60" t="s">
        <v>1194</v>
      </c>
      <c r="C536" s="61" t="s">
        <v>81</v>
      </c>
      <c r="D536" s="61" t="s">
        <v>55</v>
      </c>
      <c r="E536" s="62" t="str">
        <f>IFERROR(VLOOKUP(Tableau242[[#This Row],[Manager ou CDM concerné]],Parametres!B:C,2,FALSE),"")</f>
        <v>Squad H</v>
      </c>
      <c r="F536" s="62" t="str">
        <f>IF(Tableau242[[#This Row],[Consultant]]=Tableau242[[#This Row],[Manager ou CDM concerné]],"Non",IF(IFERROR(VLOOKUP(Tableau242[[#This Row],[Consultant]],Parametres!B:C,2,FALSE),0)=0,"Non","Oui"))</f>
        <v>Oui</v>
      </c>
      <c r="G536" s="62">
        <f>IFERROR(VLOOKUP(B536,Tableau5[#All],4,FALSE),"Matricule!")</f>
        <v>19</v>
      </c>
      <c r="H536" s="62" t="str">
        <f>IFERROR(VLOOKUP(Tableau242[[#This Row],[Company number]],#REF!,6,FALSE),"")</f>
        <v/>
      </c>
      <c r="I536" s="62">
        <f>IFERROR(VLOOKUP(B536,Tableau5[#All],5,FALSE),"Matricule!")</f>
        <v>1</v>
      </c>
      <c r="J536" s="62">
        <f>IFERROR(VLOOKUP(B536,Tableau5[#All],6,FALSE),"Matricule!")</f>
        <v>0</v>
      </c>
      <c r="K536" s="62">
        <f>IFERROR(VLOOKUP(B536,Tableau5[#All],7,FALSE),"Matricule!")</f>
        <v>0</v>
      </c>
      <c r="L536" s="62" t="e">
        <f>VLOOKUP(Tableau242[[#This Row],[Company number]],#REF!,25,FALSE)</f>
        <v>#REF!</v>
      </c>
      <c r="M536" s="62" t="str">
        <f>IFERROR(VLOOKUP(Tableau242[[#This Row],[Company number]],#REF!,30,FALSE),"")</f>
        <v/>
      </c>
      <c r="N536" s="62" t="str">
        <f>IFERROR(VLOOKUP(Tableau242[[#This Row],[Company number]],#REF!,31,FALSE),"")</f>
        <v/>
      </c>
      <c r="O536" s="62" t="str">
        <f>IFERROR(VLOOKUP(Tableau242[[#This Row],[Company number]],#REF!,32,FALSE),"")</f>
        <v/>
      </c>
      <c r="P536" s="62">
        <f>IFERROR(VLOOKUP(B536,Tableau3[#All],5,FALSE),"Matricule!")</f>
        <v>18</v>
      </c>
      <c r="Q536" s="62">
        <f>IFERROR(SUM(VLOOKUP(B536,Tableau3[#All],6,FALSE),VLOOKUP(B536,Tableau3[#All],8,FALSE)),"Matricule!")</f>
        <v>2</v>
      </c>
      <c r="R536" s="62">
        <f>IFERROR(VLOOKUP(B536,Tableau3[#All],7,FALSE),"Matricule!")</f>
        <v>0</v>
      </c>
      <c r="S536" s="62">
        <f>IFERROR(Tableau242[[#This Row],[Prod. days WK]]-Tableau242[[#This Row],[Prod PXX]],"Matricule")</f>
        <v>1</v>
      </c>
      <c r="T536" s="62">
        <f>IFERROR(Tableau242[[#This Row],[Non prod. days WK]]-Tableau242[[#This Row],[Improd PXX]],"Matricule")</f>
        <v>-1</v>
      </c>
      <c r="U536" s="62">
        <f>IFERROR(Tableau242[[#This Row],[Paid leave days WK]]-Tableau242[[#This Row],[Congé PXX]],"Matricule")</f>
        <v>0</v>
      </c>
      <c r="V536" s="63">
        <f>IFERROR(VLOOKUP($B536,#REF!,4,FALSE),0)</f>
        <v>0</v>
      </c>
      <c r="W53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36" s="63">
        <f>IF(AND(Tableau242[[#This Row],[Paid leave days]]&gt;0,Tableau242[[#This Row],[Prod. days]]&lt;0),MIN(Tableau242[[#This Row],[Paid leave days]],-Tableau242[[#This Row],[Prod. days]]),0)</f>
        <v>0</v>
      </c>
      <c r="Z536" s="63">
        <f>IFERROR(_xlfn.XLOOKUP(Tableau242[[#This Row],[Consultant]],Tableau2[Collaborateur/Nom affiché],Tableau2[Montant imputé],0),0)</f>
        <v>0</v>
      </c>
      <c r="AA536" s="64">
        <f t="shared" si="9"/>
        <v>1</v>
      </c>
      <c r="AB536" s="65"/>
      <c r="AC536" s="66"/>
      <c r="AD536" s="66"/>
      <c r="AE536" s="115"/>
      <c r="AF536" s="90"/>
    </row>
    <row r="537" spans="1:32" ht="14.45" customHeight="1">
      <c r="A537" s="15">
        <f>Tableau242[[#This Row],[Company number]]+0</f>
        <v>14243</v>
      </c>
      <c r="B537" s="60" t="s">
        <v>1195</v>
      </c>
      <c r="C537" s="61" t="s">
        <v>1196</v>
      </c>
      <c r="D537" s="61" t="s">
        <v>55</v>
      </c>
      <c r="E537" s="62" t="str">
        <f>IFERROR(VLOOKUP(Tableau242[[#This Row],[Manager ou CDM concerné]],Parametres!B:C,2,FALSE),"")</f>
        <v>Squad H</v>
      </c>
      <c r="F537" s="62" t="str">
        <f>IF(Tableau242[[#This Row],[Consultant]]=Tableau242[[#This Row],[Manager ou CDM concerné]],"Non",IF(IFERROR(VLOOKUP(Tableau242[[#This Row],[Consultant]],Parametres!B:C,2,FALSE),0)=0,"Non","Oui"))</f>
        <v>Non</v>
      </c>
      <c r="G537" s="62">
        <f>IFERROR(VLOOKUP(B537,Tableau5[#All],4,FALSE),"Matricule!")</f>
        <v>18</v>
      </c>
      <c r="H537" s="62" t="str">
        <f>IFERROR(VLOOKUP(Tableau242[[#This Row],[Company number]],#REF!,6,FALSE),"")</f>
        <v/>
      </c>
      <c r="I537" s="62">
        <f>IFERROR(VLOOKUP(B537,Tableau5[#All],5,FALSE),"Matricule!")</f>
        <v>0</v>
      </c>
      <c r="J537" s="62">
        <f>IFERROR(VLOOKUP(B537,Tableau5[#All],6,FALSE),"Matricule!")</f>
        <v>2</v>
      </c>
      <c r="K537" s="62">
        <f>IFERROR(VLOOKUP(B537,Tableau5[#All],7,FALSE),"Matricule!")</f>
        <v>0</v>
      </c>
      <c r="L537" s="62" t="e">
        <f>VLOOKUP(Tableau242[[#This Row],[Company number]],#REF!,25,FALSE)</f>
        <v>#REF!</v>
      </c>
      <c r="M537" s="62" t="str">
        <f>IFERROR(VLOOKUP(Tableau242[[#This Row],[Company number]],#REF!,30,FALSE),"")</f>
        <v/>
      </c>
      <c r="N537" s="62" t="str">
        <f>IFERROR(VLOOKUP(Tableau242[[#This Row],[Company number]],#REF!,31,FALSE),"")</f>
        <v/>
      </c>
      <c r="O537" s="62" t="str">
        <f>IFERROR(VLOOKUP(Tableau242[[#This Row],[Company number]],#REF!,32,FALSE),"")</f>
        <v/>
      </c>
      <c r="P537" s="62">
        <f>IFERROR(VLOOKUP(B537,Tableau3[#All],5,FALSE),"Matricule!")</f>
        <v>18</v>
      </c>
      <c r="Q537" s="62">
        <f>IFERROR(SUM(VLOOKUP(B537,Tableau3[#All],6,FALSE),VLOOKUP(B537,Tableau3[#All],8,FALSE)),"Matricule!")</f>
        <v>0</v>
      </c>
      <c r="R537" s="62">
        <f>IFERROR(VLOOKUP(B537,Tableau3[#All],7,FALSE),"Matricule!")</f>
        <v>2</v>
      </c>
      <c r="S537" s="62">
        <f>IFERROR(Tableau242[[#This Row],[Prod. days WK]]-Tableau242[[#This Row],[Prod PXX]],"Matricule")</f>
        <v>0</v>
      </c>
      <c r="T537" s="62">
        <f>IFERROR(Tableau242[[#This Row],[Non prod. days WK]]-Tableau242[[#This Row],[Improd PXX]],"Matricule")</f>
        <v>0</v>
      </c>
      <c r="U537" s="62">
        <f>IFERROR(Tableau242[[#This Row],[Paid leave days WK]]-Tableau242[[#This Row],[Congé PXX]],"Matricule")</f>
        <v>0</v>
      </c>
      <c r="V537" s="63">
        <f>IFERROR(VLOOKUP($B537,#REF!,4,FALSE),0)</f>
        <v>0</v>
      </c>
      <c r="W53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37" s="63">
        <f>IF(AND(Tableau242[[#This Row],[Paid leave days]]&gt;0,Tableau242[[#This Row],[Prod. days]]&lt;0),MIN(Tableau242[[#This Row],[Paid leave days]],-Tableau242[[#This Row],[Prod. days]]),0)</f>
        <v>0</v>
      </c>
      <c r="Z537" s="63">
        <f>IFERROR(_xlfn.XLOOKUP(Tableau242[[#This Row],[Consultant]],Tableau2[Collaborateur/Nom affiché],Tableau2[Montant imputé],0),0)</f>
        <v>0</v>
      </c>
      <c r="AA537" s="64">
        <f t="shared" si="9"/>
        <v>0</v>
      </c>
      <c r="AB537" s="65"/>
      <c r="AC537" s="67"/>
      <c r="AD537" s="67"/>
      <c r="AE537" s="106"/>
      <c r="AF537" s="100"/>
    </row>
    <row r="538" spans="1:32" ht="14.45" customHeight="1">
      <c r="A538" s="15">
        <f>Tableau242[[#This Row],[Company number]]+0</f>
        <v>9302</v>
      </c>
      <c r="B538" s="60" t="s">
        <v>1197</v>
      </c>
      <c r="C538" s="61" t="s">
        <v>1198</v>
      </c>
      <c r="D538" s="61" t="s">
        <v>38</v>
      </c>
      <c r="E538" s="62" t="str">
        <f>IFERROR(VLOOKUP(Tableau242[[#This Row],[Manager ou CDM concerné]],Parametres!B:C,2,FALSE),"")</f>
        <v>Squad H</v>
      </c>
      <c r="F538" s="62" t="str">
        <f>IF(Tableau242[[#This Row],[Consultant]]=Tableau242[[#This Row],[Manager ou CDM concerné]],"Non",IF(IFERROR(VLOOKUP(Tableau242[[#This Row],[Consultant]],Parametres!B:C,2,FALSE),0)=0,"Non","Oui"))</f>
        <v>Non</v>
      </c>
      <c r="G538" s="62">
        <f>IFERROR(VLOOKUP(B538,Tableau5[#All],4,FALSE),"Matricule!")</f>
        <v>20</v>
      </c>
      <c r="H538" s="62" t="str">
        <f>IFERROR(VLOOKUP(Tableau242[[#This Row],[Company number]],#REF!,6,FALSE),"")</f>
        <v/>
      </c>
      <c r="I538" s="62">
        <f>IFERROR(VLOOKUP(B538,Tableau5[#All],5,FALSE),"Matricule!")</f>
        <v>0</v>
      </c>
      <c r="J538" s="62">
        <f>IFERROR(VLOOKUP(B538,Tableau5[#All],6,FALSE),"Matricule!")</f>
        <v>0</v>
      </c>
      <c r="K538" s="62">
        <f>IFERROR(VLOOKUP(B538,Tableau5[#All],7,FALSE),"Matricule!")</f>
        <v>0</v>
      </c>
      <c r="L538" s="62" t="e">
        <f>VLOOKUP(Tableau242[[#This Row],[Company number]],#REF!,25,FALSE)</f>
        <v>#REF!</v>
      </c>
      <c r="M538" s="62" t="str">
        <f>IFERROR(VLOOKUP(Tableau242[[#This Row],[Company number]],#REF!,30,FALSE),"")</f>
        <v/>
      </c>
      <c r="N538" s="62" t="str">
        <f>IFERROR(VLOOKUP(Tableau242[[#This Row],[Company number]],#REF!,31,FALSE),"")</f>
        <v/>
      </c>
      <c r="O538" s="62" t="str">
        <f>IFERROR(VLOOKUP(Tableau242[[#This Row],[Company number]],#REF!,32,FALSE),"")</f>
        <v/>
      </c>
      <c r="P538" s="62">
        <f>IFERROR(VLOOKUP(B538,Tableau3[#All],5,FALSE),"Matricule!")</f>
        <v>14</v>
      </c>
      <c r="Q538" s="62">
        <f>IFERROR(SUM(VLOOKUP(B538,Tableau3[#All],6,FALSE),VLOOKUP(B538,Tableau3[#All],8,FALSE)),"Matricule!")</f>
        <v>6</v>
      </c>
      <c r="R538" s="62">
        <f>IFERROR(VLOOKUP(B538,Tableau3[#All],7,FALSE),"Matricule!")</f>
        <v>0</v>
      </c>
      <c r="S538" s="62">
        <f>IFERROR(Tableau242[[#This Row],[Prod. days WK]]-Tableau242[[#This Row],[Prod PXX]],"Matricule")</f>
        <v>6</v>
      </c>
      <c r="T538" s="62">
        <f>IFERROR(Tableau242[[#This Row],[Non prod. days WK]]-Tableau242[[#This Row],[Improd PXX]],"Matricule")</f>
        <v>-6</v>
      </c>
      <c r="U538" s="62">
        <f>IFERROR(Tableau242[[#This Row],[Paid leave days WK]]-Tableau242[[#This Row],[Congé PXX]],"Matricule")</f>
        <v>0</v>
      </c>
      <c r="V538" s="63">
        <f>IFERROR(VLOOKUP($B538,#REF!,4,FALSE),0)</f>
        <v>0</v>
      </c>
      <c r="W53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38" s="63">
        <f>IF(AND(Tableau242[[#This Row],[Paid leave days]]&gt;0,Tableau242[[#This Row],[Prod. days]]&lt;0),MIN(Tableau242[[#This Row],[Paid leave days]],-Tableau242[[#This Row],[Prod. days]]),0)</f>
        <v>0</v>
      </c>
      <c r="Z538" s="63">
        <f>IFERROR(_xlfn.XLOOKUP(Tableau242[[#This Row],[Consultant]],Tableau2[Collaborateur/Nom affiché],Tableau2[Montant imputé],0),0)</f>
        <v>0</v>
      </c>
      <c r="AA538" s="64">
        <f t="shared" si="9"/>
        <v>6</v>
      </c>
      <c r="AB538" s="65"/>
      <c r="AC538" s="72"/>
      <c r="AD538" s="72"/>
      <c r="AE538" s="107"/>
      <c r="AF538" s="90"/>
    </row>
    <row r="539" spans="1:32" ht="14.45" customHeight="1">
      <c r="A539" s="15">
        <f>Tableau242[[#This Row],[Company number]]+0</f>
        <v>10113</v>
      </c>
      <c r="B539" s="60" t="s">
        <v>1199</v>
      </c>
      <c r="C539" s="61" t="s">
        <v>36</v>
      </c>
      <c r="D539" s="61" t="s">
        <v>38</v>
      </c>
      <c r="E539" s="62" t="str">
        <f>IFERROR(VLOOKUP(Tableau242[[#This Row],[Manager ou CDM concerné]],Parametres!B:C,2,FALSE),"")</f>
        <v>Squad H</v>
      </c>
      <c r="F539" s="62" t="str">
        <f>IF(Tableau242[[#This Row],[Consultant]]=Tableau242[[#This Row],[Manager ou CDM concerné]],"Non",IF(IFERROR(VLOOKUP(Tableau242[[#This Row],[Consultant]],Parametres!B:C,2,FALSE),0)=0,"Non","Oui"))</f>
        <v>Oui</v>
      </c>
      <c r="G539" s="62">
        <f>IFERROR(VLOOKUP(B539,Tableau5[#All],4,FALSE),"Matricule!")</f>
        <v>19</v>
      </c>
      <c r="H539" s="62" t="str">
        <f>IFERROR(VLOOKUP(Tableau242[[#This Row],[Company number]],#REF!,6,FALSE),"")</f>
        <v/>
      </c>
      <c r="I539" s="62">
        <f>IFERROR(VLOOKUP(B539,Tableau5[#All],5,FALSE),"Matricule!")</f>
        <v>0</v>
      </c>
      <c r="J539" s="62">
        <f>IFERROR(VLOOKUP(B539,Tableau5[#All],6,FALSE),"Matricule!")</f>
        <v>1</v>
      </c>
      <c r="K539" s="62">
        <f>IFERROR(VLOOKUP(B539,Tableau5[#All],7,FALSE),"Matricule!")</f>
        <v>0</v>
      </c>
      <c r="L539" s="62" t="e">
        <f>VLOOKUP(Tableau242[[#This Row],[Company number]],#REF!,25,FALSE)</f>
        <v>#REF!</v>
      </c>
      <c r="M539" s="62" t="str">
        <f>IFERROR(VLOOKUP(Tableau242[[#This Row],[Company number]],#REF!,30,FALSE),"")</f>
        <v/>
      </c>
      <c r="N539" s="62" t="str">
        <f>IFERROR(VLOOKUP(Tableau242[[#This Row],[Company number]],#REF!,31,FALSE),"")</f>
        <v/>
      </c>
      <c r="O539" s="62" t="str">
        <f>IFERROR(VLOOKUP(Tableau242[[#This Row],[Company number]],#REF!,32,FALSE),"")</f>
        <v/>
      </c>
      <c r="P539" s="62">
        <f>IFERROR(VLOOKUP(B539,Tableau3[#All],5,FALSE),"Matricule!")</f>
        <v>18</v>
      </c>
      <c r="Q539" s="62">
        <f>IFERROR(SUM(VLOOKUP(B539,Tableau3[#All],6,FALSE),VLOOKUP(B539,Tableau3[#All],8,FALSE)),"Matricule!")</f>
        <v>1</v>
      </c>
      <c r="R539" s="62">
        <f>IFERROR(VLOOKUP(B539,Tableau3[#All],7,FALSE),"Matricule!")</f>
        <v>1</v>
      </c>
      <c r="S539" s="62">
        <f>IFERROR(Tableau242[[#This Row],[Prod. days WK]]-Tableau242[[#This Row],[Prod PXX]],"Matricule")</f>
        <v>1</v>
      </c>
      <c r="T539" s="62">
        <f>IFERROR(Tableau242[[#This Row],[Non prod. days WK]]-Tableau242[[#This Row],[Improd PXX]],"Matricule")</f>
        <v>-1</v>
      </c>
      <c r="U539" s="62">
        <f>IFERROR(Tableau242[[#This Row],[Paid leave days WK]]-Tableau242[[#This Row],[Congé PXX]],"Matricule")</f>
        <v>0</v>
      </c>
      <c r="V539" s="63">
        <f>IFERROR(VLOOKUP($B539,#REF!,4,FALSE),0)</f>
        <v>0</v>
      </c>
      <c r="W53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3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39" s="63">
        <f>IF(AND(Tableau242[[#This Row],[Paid leave days]]&gt;0,Tableau242[[#This Row],[Prod. days]]&lt;0),MIN(Tableau242[[#This Row],[Paid leave days]],-Tableau242[[#This Row],[Prod. days]]),0)</f>
        <v>0</v>
      </c>
      <c r="Z539" s="63">
        <f>IFERROR(_xlfn.XLOOKUP(Tableau242[[#This Row],[Consultant]],Tableau2[Collaborateur/Nom affiché],Tableau2[Montant imputé],0),0)</f>
        <v>0</v>
      </c>
      <c r="AA539" s="64">
        <f t="shared" si="9"/>
        <v>1</v>
      </c>
      <c r="AB539" s="65"/>
      <c r="AC539" s="66"/>
      <c r="AD539" s="66"/>
      <c r="AE539" s="115"/>
      <c r="AF539" s="90"/>
    </row>
    <row r="540" spans="1:32" ht="14.45" customHeight="1">
      <c r="A540" s="15">
        <f>Tableau242[[#This Row],[Company number]]+0</f>
        <v>10968</v>
      </c>
      <c r="B540" s="60" t="s">
        <v>1200</v>
      </c>
      <c r="C540" s="61" t="s">
        <v>66</v>
      </c>
      <c r="D540" s="61" t="s">
        <v>38</v>
      </c>
      <c r="E540" s="62" t="str">
        <f>IFERROR(VLOOKUP(Tableau242[[#This Row],[Manager ou CDM concerné]],Parametres!B:C,2,FALSE),"")</f>
        <v>Squad H</v>
      </c>
      <c r="F540" s="62" t="str">
        <f>IF(Tableau242[[#This Row],[Consultant]]=Tableau242[[#This Row],[Manager ou CDM concerné]],"Non",IF(IFERROR(VLOOKUP(Tableau242[[#This Row],[Consultant]],Parametres!B:C,2,FALSE),0)=0,"Non","Oui"))</f>
        <v>Oui</v>
      </c>
      <c r="G540" s="62">
        <f>IFERROR(VLOOKUP(B540,Tableau5[#All],4,FALSE),"Matricule!")</f>
        <v>12.5</v>
      </c>
      <c r="H540" s="62" t="str">
        <f>IFERROR(VLOOKUP(Tableau242[[#This Row],[Company number]],#REF!,6,FALSE),"")</f>
        <v/>
      </c>
      <c r="I540" s="62">
        <f>IFERROR(VLOOKUP(B540,Tableau5[#All],5,FALSE),"Matricule!")</f>
        <v>1.5</v>
      </c>
      <c r="J540" s="62">
        <f>IFERROR(VLOOKUP(B540,Tableau5[#All],6,FALSE),"Matricule!")</f>
        <v>6</v>
      </c>
      <c r="K540" s="62">
        <f>IFERROR(VLOOKUP(B540,Tableau5[#All],7,FALSE),"Matricule!")</f>
        <v>0</v>
      </c>
      <c r="L540" s="62" t="e">
        <f>VLOOKUP(Tableau242[[#This Row],[Company number]],#REF!,25,FALSE)</f>
        <v>#REF!</v>
      </c>
      <c r="M540" s="62" t="str">
        <f>IFERROR(VLOOKUP(Tableau242[[#This Row],[Company number]],#REF!,30,FALSE),"")</f>
        <v/>
      </c>
      <c r="N540" s="62" t="str">
        <f>IFERROR(VLOOKUP(Tableau242[[#This Row],[Company number]],#REF!,31,FALSE),"")</f>
        <v/>
      </c>
      <c r="O540" s="62" t="str">
        <f>IFERROR(VLOOKUP(Tableau242[[#This Row],[Company number]],#REF!,32,FALSE),"")</f>
        <v/>
      </c>
      <c r="P540" s="62">
        <f>IFERROR(VLOOKUP(B540,Tableau3[#All],5,FALSE),"Matricule!")</f>
        <v>12.5</v>
      </c>
      <c r="Q540" s="62">
        <f>IFERROR(SUM(VLOOKUP(B540,Tableau3[#All],6,FALSE),VLOOKUP(B540,Tableau3[#All],8,FALSE)),"Matricule!")</f>
        <v>1.5</v>
      </c>
      <c r="R540" s="62">
        <f>IFERROR(VLOOKUP(B540,Tableau3[#All],7,FALSE),"Matricule!")</f>
        <v>6</v>
      </c>
      <c r="S540" s="62">
        <f>IFERROR(Tableau242[[#This Row],[Prod. days WK]]-Tableau242[[#This Row],[Prod PXX]],"Matricule")</f>
        <v>0</v>
      </c>
      <c r="T540" s="62">
        <f>IFERROR(Tableau242[[#This Row],[Non prod. days WK]]-Tableau242[[#This Row],[Improd PXX]],"Matricule")</f>
        <v>0</v>
      </c>
      <c r="U540" s="62">
        <f>IFERROR(Tableau242[[#This Row],[Paid leave days WK]]-Tableau242[[#This Row],[Congé PXX]],"Matricule")</f>
        <v>0</v>
      </c>
      <c r="V540" s="63">
        <f>IFERROR(VLOOKUP($B540,#REF!,4,FALSE),0)</f>
        <v>0</v>
      </c>
      <c r="W54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40" s="63">
        <f>IF(AND(Tableau242[[#This Row],[Paid leave days]]&gt;0,Tableau242[[#This Row],[Prod. days]]&lt;0),MIN(Tableau242[[#This Row],[Paid leave days]],-Tableau242[[#This Row],[Prod. days]]),0)</f>
        <v>0</v>
      </c>
      <c r="Z540" s="63">
        <f>IFERROR(_xlfn.XLOOKUP(Tableau242[[#This Row],[Consultant]],Tableau2[Collaborateur/Nom affiché],Tableau2[Montant imputé],0),0)</f>
        <v>0</v>
      </c>
      <c r="AA540" s="64">
        <f t="shared" si="9"/>
        <v>0</v>
      </c>
      <c r="AB540" s="78"/>
      <c r="AC540" s="67"/>
      <c r="AD540" s="67"/>
      <c r="AE540" s="119"/>
      <c r="AF540" s="92"/>
    </row>
    <row r="541" spans="1:32" ht="14.45" customHeight="1">
      <c r="A541" s="15">
        <f>Tableau242[[#This Row],[Company number]]+0</f>
        <v>14527</v>
      </c>
      <c r="B541" s="60" t="s">
        <v>1201</v>
      </c>
      <c r="C541" s="61" t="s">
        <v>1202</v>
      </c>
      <c r="D541" s="61" t="s">
        <v>53</v>
      </c>
      <c r="E541" s="62" t="str">
        <f>IFERROR(VLOOKUP(Tableau242[[#This Row],[Manager ou CDM concerné]],Parametres!B:C,2,FALSE),"")</f>
        <v>Squad E</v>
      </c>
      <c r="F541" s="62" t="str">
        <f>IF(Tableau242[[#This Row],[Consultant]]=Tableau242[[#This Row],[Manager ou CDM concerné]],"Non",IF(IFERROR(VLOOKUP(Tableau242[[#This Row],[Consultant]],Parametres!B:C,2,FALSE),0)=0,"Non","Oui"))</f>
        <v>Non</v>
      </c>
      <c r="G541" s="62">
        <f>IFERROR(VLOOKUP(B541,Tableau5[#All],4,FALSE),"Matricule!")</f>
        <v>4.5</v>
      </c>
      <c r="H541" s="62" t="str">
        <f>IFERROR(VLOOKUP(Tableau242[[#This Row],[Company number]],#REF!,6,FALSE),"")</f>
        <v/>
      </c>
      <c r="I541" s="62">
        <f>IFERROR(VLOOKUP(B541,Tableau5[#All],5,FALSE),"Matricule!")</f>
        <v>15.5</v>
      </c>
      <c r="J541" s="62">
        <f>IFERROR(VLOOKUP(B541,Tableau5[#All],6,FALSE),"Matricule!")</f>
        <v>0</v>
      </c>
      <c r="K541" s="62">
        <f>IFERROR(VLOOKUP(B541,Tableau5[#All],7,FALSE),"Matricule!")</f>
        <v>0</v>
      </c>
      <c r="L541" s="62" t="e">
        <f>VLOOKUP(Tableau242[[#This Row],[Company number]],#REF!,25,FALSE)</f>
        <v>#REF!</v>
      </c>
      <c r="M541" s="62" t="str">
        <f>IFERROR(VLOOKUP(Tableau242[[#This Row],[Company number]],#REF!,30,FALSE),"")</f>
        <v/>
      </c>
      <c r="N541" s="62" t="str">
        <f>IFERROR(VLOOKUP(Tableau242[[#This Row],[Company number]],#REF!,31,FALSE),"")</f>
        <v/>
      </c>
      <c r="O541" s="62" t="str">
        <f>IFERROR(VLOOKUP(Tableau242[[#This Row],[Company number]],#REF!,32,FALSE),"")</f>
        <v/>
      </c>
      <c r="P541" s="62">
        <f>IFERROR(VLOOKUP(B541,Tableau3[#All],5,FALSE),"Matricule!")</f>
        <v>5</v>
      </c>
      <c r="Q541" s="62">
        <f>IFERROR(SUM(VLOOKUP(B541,Tableau3[#All],6,FALSE),VLOOKUP(B541,Tableau3[#All],8,FALSE)),"Matricule!")</f>
        <v>15</v>
      </c>
      <c r="R541" s="62">
        <f>IFERROR(VLOOKUP(B541,Tableau3[#All],7,FALSE),"Matricule!")</f>
        <v>0</v>
      </c>
      <c r="S541" s="62">
        <f>IFERROR(Tableau242[[#This Row],[Prod. days WK]]-Tableau242[[#This Row],[Prod PXX]],"Matricule")</f>
        <v>-0.5</v>
      </c>
      <c r="T541" s="62">
        <f>IFERROR(Tableau242[[#This Row],[Non prod. days WK]]-Tableau242[[#This Row],[Improd PXX]],"Matricule")</f>
        <v>0.5</v>
      </c>
      <c r="U541" s="62">
        <f>IFERROR(Tableau242[[#This Row],[Paid leave days WK]]-Tableau242[[#This Row],[Congé PXX]],"Matricule")</f>
        <v>0</v>
      </c>
      <c r="V541" s="63">
        <f>IFERROR(VLOOKUP($B541,#REF!,4,FALSE),0)</f>
        <v>0</v>
      </c>
      <c r="W54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41" s="63">
        <f>IF(AND(Tableau242[[#This Row],[Paid leave days]]&gt;0,Tableau242[[#This Row],[Prod. days]]&lt;0),MIN(Tableau242[[#This Row],[Paid leave days]],-Tableau242[[#This Row],[Prod. days]]),0)</f>
        <v>0</v>
      </c>
      <c r="Z541" s="63">
        <f>IFERROR(_xlfn.XLOOKUP(Tableau242[[#This Row],[Consultant]],Tableau2[Collaborateur/Nom affiché],Tableau2[Montant imputé],0),0)</f>
        <v>0</v>
      </c>
      <c r="AA541" s="64">
        <f t="shared" si="9"/>
        <v>-0.5</v>
      </c>
      <c r="AB541" s="78" t="s">
        <v>154</v>
      </c>
      <c r="AC541" s="66"/>
      <c r="AD541" s="66"/>
      <c r="AE541" s="105"/>
      <c r="AF541" s="90" t="s">
        <v>1203</v>
      </c>
    </row>
    <row r="542" spans="1:32">
      <c r="A542" s="15">
        <f>Tableau242[[#This Row],[Company number]]+0</f>
        <v>20703</v>
      </c>
      <c r="B542" s="60" t="s">
        <v>1204</v>
      </c>
      <c r="C542" s="61" t="s">
        <v>1205</v>
      </c>
      <c r="D542" s="61" t="s">
        <v>8</v>
      </c>
      <c r="E542" s="62" t="str">
        <f>IFERROR(VLOOKUP(Tableau242[[#This Row],[Manager ou CDM concerné]],Parametres!B:C,2,FALSE),"")</f>
        <v>Squad B</v>
      </c>
      <c r="F542" s="62" t="str">
        <f>IF(Tableau242[[#This Row],[Consultant]]=Tableau242[[#This Row],[Manager ou CDM concerné]],"Non",IF(IFERROR(VLOOKUP(Tableau242[[#This Row],[Consultant]],Parametres!B:C,2,FALSE),0)=0,"Non","Oui"))</f>
        <v>Non</v>
      </c>
      <c r="G542" s="62">
        <f>IFERROR(VLOOKUP(B542,Tableau5[#All],4,FALSE),"Matricule!")</f>
        <v>16.5</v>
      </c>
      <c r="H542" s="62" t="str">
        <f>IFERROR(VLOOKUP(Tableau242[[#This Row],[Company number]],#REF!,6,FALSE),"")</f>
        <v/>
      </c>
      <c r="I542" s="62">
        <f>IFERROR(VLOOKUP(B542,Tableau5[#All],5,FALSE),"Matricule!")</f>
        <v>0.5</v>
      </c>
      <c r="J542" s="62">
        <f>IFERROR(VLOOKUP(B542,Tableau5[#All],6,FALSE),"Matricule!")</f>
        <v>3</v>
      </c>
      <c r="K542" s="62">
        <f>IFERROR(VLOOKUP(B542,Tableau5[#All],7,FALSE),"Matricule!")</f>
        <v>0</v>
      </c>
      <c r="L542" s="62" t="e">
        <f>VLOOKUP(Tableau242[[#This Row],[Company number]],#REF!,25,FALSE)</f>
        <v>#REF!</v>
      </c>
      <c r="M542" s="62" t="str">
        <f>IFERROR(VLOOKUP(Tableau242[[#This Row],[Company number]],#REF!,30,FALSE),"")</f>
        <v/>
      </c>
      <c r="N542" s="62" t="str">
        <f>IFERROR(VLOOKUP(Tableau242[[#This Row],[Company number]],#REF!,31,FALSE),"")</f>
        <v/>
      </c>
      <c r="O542" s="62" t="str">
        <f>IFERROR(VLOOKUP(Tableau242[[#This Row],[Company number]],#REF!,32,FALSE),"")</f>
        <v/>
      </c>
      <c r="P542" s="62">
        <f>IFERROR(VLOOKUP(B542,Tableau3[#All],5,FALSE),"Matricule!")</f>
        <v>17</v>
      </c>
      <c r="Q542" s="62">
        <f>IFERROR(SUM(VLOOKUP(B542,Tableau3[#All],6,FALSE),VLOOKUP(B542,Tableau3[#All],8,FALSE)),"Matricule!")</f>
        <v>0</v>
      </c>
      <c r="R542" s="62">
        <f>IFERROR(VLOOKUP(B542,Tableau3[#All],7,FALSE),"Matricule!")</f>
        <v>3</v>
      </c>
      <c r="S542" s="62">
        <f>IFERROR(Tableau242[[#This Row],[Prod. days WK]]-Tableau242[[#This Row],[Prod PXX]],"Matricule")</f>
        <v>-0.5</v>
      </c>
      <c r="T542" s="62">
        <f>IFERROR(Tableau242[[#This Row],[Non prod. days WK]]-Tableau242[[#This Row],[Improd PXX]],"Matricule")</f>
        <v>0.5</v>
      </c>
      <c r="U542" s="62">
        <f>IFERROR(Tableau242[[#This Row],[Paid leave days WK]]-Tableau242[[#This Row],[Congé PXX]],"Matricule")</f>
        <v>0</v>
      </c>
      <c r="V542" s="63">
        <f>IFERROR(VLOOKUP($B542,#REF!,4,FALSE),0)</f>
        <v>0</v>
      </c>
      <c r="W54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42" s="63">
        <f>IF(AND(Tableau242[[#This Row],[Paid leave days]]&gt;0,Tableau242[[#This Row],[Prod. days]]&lt;0),MIN(Tableau242[[#This Row],[Paid leave days]],-Tableau242[[#This Row],[Prod. days]]),0)</f>
        <v>0</v>
      </c>
      <c r="Z542" s="63">
        <f>IFERROR(_xlfn.XLOOKUP(Tableau242[[#This Row],[Consultant]],Tableau2[Collaborateur/Nom affiché],Tableau2[Montant imputé],0),0)</f>
        <v>0</v>
      </c>
      <c r="AA542" s="64">
        <f t="shared" si="9"/>
        <v>-0.5</v>
      </c>
      <c r="AB542" s="65" t="s">
        <v>165</v>
      </c>
      <c r="AC542" s="67"/>
      <c r="AD542" s="66"/>
      <c r="AE542" s="105"/>
      <c r="AF542" s="92"/>
    </row>
    <row r="543" spans="1:32">
      <c r="A543" s="15">
        <f>Tableau242[[#This Row],[Company number]]+0</f>
        <v>12541</v>
      </c>
      <c r="B543" s="60" t="s">
        <v>1206</v>
      </c>
      <c r="C543" s="61" t="s">
        <v>1053</v>
      </c>
      <c r="D543" s="61" t="s">
        <v>38</v>
      </c>
      <c r="E543" s="62" t="str">
        <f>IFERROR(VLOOKUP(Tableau242[[#This Row],[Manager ou CDM concerné]],Parametres!B:C,2,FALSE),"")</f>
        <v>Squad H</v>
      </c>
      <c r="F543" s="62" t="str">
        <f>IF(Tableau242[[#This Row],[Consultant]]=Tableau242[[#This Row],[Manager ou CDM concerné]],"Non",IF(IFERROR(VLOOKUP(Tableau242[[#This Row],[Consultant]],Parametres!B:C,2,FALSE),0)=0,"Non","Oui"))</f>
        <v>Oui</v>
      </c>
      <c r="G543" s="62">
        <f>IFERROR(VLOOKUP(B543,Tableau5[#All],4,FALSE),"Matricule!")</f>
        <v>19</v>
      </c>
      <c r="H543" s="62" t="str">
        <f>IFERROR(VLOOKUP(Tableau242[[#This Row],[Company number]],#REF!,6,FALSE),"")</f>
        <v/>
      </c>
      <c r="I543" s="62">
        <f>IFERROR(VLOOKUP(B543,Tableau5[#All],5,FALSE),"Matricule!")</f>
        <v>1</v>
      </c>
      <c r="J543" s="62">
        <f>IFERROR(VLOOKUP(B543,Tableau5[#All],6,FALSE),"Matricule!")</f>
        <v>0</v>
      </c>
      <c r="K543" s="62">
        <f>IFERROR(VLOOKUP(B543,Tableau5[#All],7,FALSE),"Matricule!")</f>
        <v>0</v>
      </c>
      <c r="L543" s="62" t="e">
        <f>VLOOKUP(Tableau242[[#This Row],[Company number]],#REF!,25,FALSE)</f>
        <v>#REF!</v>
      </c>
      <c r="M543" s="62" t="str">
        <f>IFERROR(VLOOKUP(Tableau242[[#This Row],[Company number]],#REF!,30,FALSE),"")</f>
        <v/>
      </c>
      <c r="N543" s="62" t="str">
        <f>IFERROR(VLOOKUP(Tableau242[[#This Row],[Company number]],#REF!,31,FALSE),"")</f>
        <v/>
      </c>
      <c r="O543" s="62" t="str">
        <f>IFERROR(VLOOKUP(Tableau242[[#This Row],[Company number]],#REF!,32,FALSE),"")</f>
        <v/>
      </c>
      <c r="P543" s="62">
        <f>IFERROR(VLOOKUP(B543,Tableau3[#All],5,FALSE),"Matricule!")</f>
        <v>17</v>
      </c>
      <c r="Q543" s="62">
        <f>IFERROR(SUM(VLOOKUP(B543,Tableau3[#All],6,FALSE),VLOOKUP(B543,Tableau3[#All],8,FALSE)),"Matricule!")</f>
        <v>3</v>
      </c>
      <c r="R543" s="62">
        <f>IFERROR(VLOOKUP(B543,Tableau3[#All],7,FALSE),"Matricule!")</f>
        <v>0</v>
      </c>
      <c r="S543" s="62">
        <f>IFERROR(Tableau242[[#This Row],[Prod. days WK]]-Tableau242[[#This Row],[Prod PXX]],"Matricule")</f>
        <v>2</v>
      </c>
      <c r="T543" s="62">
        <f>IFERROR(Tableau242[[#This Row],[Non prod. days WK]]-Tableau242[[#This Row],[Improd PXX]],"Matricule")</f>
        <v>-2</v>
      </c>
      <c r="U543" s="62">
        <f>IFERROR(Tableau242[[#This Row],[Paid leave days WK]]-Tableau242[[#This Row],[Congé PXX]],"Matricule")</f>
        <v>0</v>
      </c>
      <c r="V543" s="63">
        <f>IFERROR(VLOOKUP($B543,#REF!,4,FALSE),0)</f>
        <v>0</v>
      </c>
      <c r="W54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43" s="63">
        <f>IF(AND(Tableau242[[#This Row],[Paid leave days]]&gt;0,Tableau242[[#This Row],[Prod. days]]&lt;0),MIN(Tableau242[[#This Row],[Paid leave days]],-Tableau242[[#This Row],[Prod. days]]),0)</f>
        <v>0</v>
      </c>
      <c r="Z543" s="63">
        <f>IFERROR(_xlfn.XLOOKUP(Tableau242[[#This Row],[Consultant]],Tableau2[Collaborateur/Nom affiché],Tableau2[Montant imputé],0),0)</f>
        <v>0</v>
      </c>
      <c r="AA543" s="64">
        <f t="shared" si="9"/>
        <v>2</v>
      </c>
      <c r="AB543" s="65"/>
      <c r="AC543" s="71"/>
      <c r="AD543" s="66"/>
      <c r="AE543" s="105"/>
      <c r="AF543" s="90"/>
    </row>
    <row r="544" spans="1:32" ht="14.45" customHeight="1">
      <c r="A544" s="15">
        <f>Tableau242[[#This Row],[Company number]]+0</f>
        <v>11179</v>
      </c>
      <c r="B544" s="60" t="s">
        <v>1207</v>
      </c>
      <c r="C544" s="61" t="s">
        <v>37</v>
      </c>
      <c r="D544" s="61" t="s">
        <v>38</v>
      </c>
      <c r="E544" s="62" t="str">
        <f>IFERROR(VLOOKUP(Tableau242[[#This Row],[Manager ou CDM concerné]],Parametres!B:C,2,FALSE),"")</f>
        <v>Squad H</v>
      </c>
      <c r="F544" s="62" t="str">
        <f>IF(Tableau242[[#This Row],[Consultant]]=Tableau242[[#This Row],[Manager ou CDM concerné]],"Non",IF(IFERROR(VLOOKUP(Tableau242[[#This Row],[Consultant]],Parametres!B:C,2,FALSE),0)=0,"Non","Oui"))</f>
        <v>Oui</v>
      </c>
      <c r="G544" s="62">
        <f>IFERROR(VLOOKUP(B544,Tableau5[#All],4,FALSE),"Matricule!")</f>
        <v>14</v>
      </c>
      <c r="H544" s="62" t="str">
        <f>IFERROR(VLOOKUP(Tableau242[[#This Row],[Company number]],#REF!,6,FALSE),"")</f>
        <v/>
      </c>
      <c r="I544" s="62">
        <f>IFERROR(VLOOKUP(B544,Tableau5[#All],5,FALSE),"Matricule!")</f>
        <v>2</v>
      </c>
      <c r="J544" s="62">
        <f>IFERROR(VLOOKUP(B544,Tableau5[#All],6,FALSE),"Matricule!")</f>
        <v>4</v>
      </c>
      <c r="K544" s="62">
        <f>IFERROR(VLOOKUP(B544,Tableau5[#All],7,FALSE),"Matricule!")</f>
        <v>0</v>
      </c>
      <c r="L544" s="62" t="e">
        <f>VLOOKUP(Tableau242[[#This Row],[Company number]],#REF!,25,FALSE)</f>
        <v>#REF!</v>
      </c>
      <c r="M544" s="62" t="str">
        <f>IFERROR(VLOOKUP(Tableau242[[#This Row],[Company number]],#REF!,30,FALSE),"")</f>
        <v/>
      </c>
      <c r="N544" s="62" t="str">
        <f>IFERROR(VLOOKUP(Tableau242[[#This Row],[Company number]],#REF!,31,FALSE),"")</f>
        <v/>
      </c>
      <c r="O544" s="62" t="str">
        <f>IFERROR(VLOOKUP(Tableau242[[#This Row],[Company number]],#REF!,32,FALSE),"")</f>
        <v/>
      </c>
      <c r="P544" s="62">
        <f>IFERROR(VLOOKUP(B544,Tableau3[#All],5,FALSE),"Matricule!")</f>
        <v>14</v>
      </c>
      <c r="Q544" s="62">
        <f>IFERROR(SUM(VLOOKUP(B544,Tableau3[#All],6,FALSE),VLOOKUP(B544,Tableau3[#All],8,FALSE)),"Matricule!")</f>
        <v>2</v>
      </c>
      <c r="R544" s="62">
        <f>IFERROR(VLOOKUP(B544,Tableau3[#All],7,FALSE),"Matricule!")</f>
        <v>4</v>
      </c>
      <c r="S544" s="62">
        <f>IFERROR(Tableau242[[#This Row],[Prod. days WK]]-Tableau242[[#This Row],[Prod PXX]],"Matricule")</f>
        <v>0</v>
      </c>
      <c r="T544" s="62">
        <f>IFERROR(Tableau242[[#This Row],[Non prod. days WK]]-Tableau242[[#This Row],[Improd PXX]],"Matricule")</f>
        <v>0</v>
      </c>
      <c r="U544" s="62">
        <f>IFERROR(Tableau242[[#This Row],[Paid leave days WK]]-Tableau242[[#This Row],[Congé PXX]],"Matricule")</f>
        <v>0</v>
      </c>
      <c r="V544" s="63">
        <f>IFERROR(VLOOKUP($B544,#REF!,4,FALSE),0)</f>
        <v>0</v>
      </c>
      <c r="W54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44" s="63">
        <f>IF(AND(Tableau242[[#This Row],[Paid leave days]]&gt;0,Tableau242[[#This Row],[Prod. days]]&lt;0),MIN(Tableau242[[#This Row],[Paid leave days]],-Tableau242[[#This Row],[Prod. days]]),0)</f>
        <v>0</v>
      </c>
      <c r="Z544" s="63">
        <f>IFERROR(_xlfn.XLOOKUP(Tableau242[[#This Row],[Consultant]],Tableau2[Collaborateur/Nom affiché],Tableau2[Montant imputé],0),0)</f>
        <v>0</v>
      </c>
      <c r="AA544" s="64">
        <f t="shared" si="9"/>
        <v>0</v>
      </c>
      <c r="AB544" s="65"/>
      <c r="AC544" s="66"/>
      <c r="AD544" s="66"/>
      <c r="AE544" s="105"/>
      <c r="AF544" s="90"/>
    </row>
    <row r="545" spans="1:32" ht="14.45" customHeight="1">
      <c r="A545" s="15">
        <f>Tableau242[[#This Row],[Company number]]+0</f>
        <v>10388</v>
      </c>
      <c r="B545" s="60" t="s">
        <v>1208</v>
      </c>
      <c r="C545" s="61" t="s">
        <v>73</v>
      </c>
      <c r="D545" s="61" t="s">
        <v>38</v>
      </c>
      <c r="E545" s="62" t="str">
        <f>IFERROR(VLOOKUP(Tableau242[[#This Row],[Manager ou CDM concerné]],Parametres!B:C,2,FALSE),"")</f>
        <v>Squad H</v>
      </c>
      <c r="F545" s="62" t="str">
        <f>IF(Tableau242[[#This Row],[Consultant]]=Tableau242[[#This Row],[Manager ou CDM concerné]],"Non",IF(IFERROR(VLOOKUP(Tableau242[[#This Row],[Consultant]],Parametres!B:C,2,FALSE),0)=0,"Non","Oui"))</f>
        <v>Oui</v>
      </c>
      <c r="G545" s="62">
        <f>IFERROR(VLOOKUP(B545,Tableau5[#All],4,FALSE),"Matricule!")</f>
        <v>11</v>
      </c>
      <c r="H545" s="62" t="str">
        <f>IFERROR(VLOOKUP(Tableau242[[#This Row],[Company number]],#REF!,6,FALSE),"")</f>
        <v/>
      </c>
      <c r="I545" s="62">
        <f>IFERROR(VLOOKUP(B545,Tableau5[#All],5,FALSE),"Matricule!")</f>
        <v>7.5</v>
      </c>
      <c r="J545" s="62">
        <f>IFERROR(VLOOKUP(B545,Tableau5[#All],6,FALSE),"Matricule!")</f>
        <v>1.5</v>
      </c>
      <c r="K545" s="62">
        <f>IFERROR(VLOOKUP(B545,Tableau5[#All],7,FALSE),"Matricule!")</f>
        <v>0</v>
      </c>
      <c r="L545" s="62" t="e">
        <f>VLOOKUP(Tableau242[[#This Row],[Company number]],#REF!,25,FALSE)</f>
        <v>#REF!</v>
      </c>
      <c r="M545" s="62" t="str">
        <f>IFERROR(VLOOKUP(Tableau242[[#This Row],[Company number]],#REF!,30,FALSE),"")</f>
        <v/>
      </c>
      <c r="N545" s="62" t="str">
        <f>IFERROR(VLOOKUP(Tableau242[[#This Row],[Company number]],#REF!,31,FALSE),"")</f>
        <v/>
      </c>
      <c r="O545" s="62" t="str">
        <f>IFERROR(VLOOKUP(Tableau242[[#This Row],[Company number]],#REF!,32,FALSE),"")</f>
        <v/>
      </c>
      <c r="P545" s="62">
        <f>IFERROR(VLOOKUP(B545,Tableau3[#All],5,FALSE),"Matricule!")</f>
        <v>11</v>
      </c>
      <c r="Q545" s="62">
        <f>IFERROR(SUM(VLOOKUP(B545,Tableau3[#All],6,FALSE),VLOOKUP(B545,Tableau3[#All],8,FALSE)),"Matricule!")</f>
        <v>7.5</v>
      </c>
      <c r="R545" s="62">
        <f>IFERROR(VLOOKUP(B545,Tableau3[#All],7,FALSE),"Matricule!")</f>
        <v>1.5</v>
      </c>
      <c r="S545" s="62">
        <f>IFERROR(Tableau242[[#This Row],[Prod. days WK]]-Tableau242[[#This Row],[Prod PXX]],"Matricule")</f>
        <v>0</v>
      </c>
      <c r="T545" s="62">
        <f>IFERROR(Tableau242[[#This Row],[Non prod. days WK]]-Tableau242[[#This Row],[Improd PXX]],"Matricule")</f>
        <v>0</v>
      </c>
      <c r="U545" s="62">
        <f>IFERROR(Tableau242[[#This Row],[Paid leave days WK]]-Tableau242[[#This Row],[Congé PXX]],"Matricule")</f>
        <v>0</v>
      </c>
      <c r="V545" s="63">
        <f>IFERROR(VLOOKUP($B545,#REF!,4,FALSE),0)</f>
        <v>0</v>
      </c>
      <c r="W54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45" s="63">
        <f>IF(AND(Tableau242[[#This Row],[Paid leave days]]&gt;0,Tableau242[[#This Row],[Prod. days]]&lt;0),MIN(Tableau242[[#This Row],[Paid leave days]],-Tableau242[[#This Row],[Prod. days]]),0)</f>
        <v>0</v>
      </c>
      <c r="Z545" s="63">
        <f>IFERROR(_xlfn.XLOOKUP(Tableau242[[#This Row],[Consultant]],Tableau2[Collaborateur/Nom affiché],Tableau2[Montant imputé],0),0)</f>
        <v>0</v>
      </c>
      <c r="AA545" s="64">
        <f t="shared" si="9"/>
        <v>0</v>
      </c>
      <c r="AB545" s="65"/>
      <c r="AC545" s="66"/>
      <c r="AD545" s="66"/>
      <c r="AE545" s="105"/>
      <c r="AF545" s="90"/>
    </row>
    <row r="546" spans="1:32" ht="14.45" customHeight="1">
      <c r="A546" s="15">
        <f>Tableau242[[#This Row],[Company number]]+0</f>
        <v>6130</v>
      </c>
      <c r="B546" s="60" t="s">
        <v>1209</v>
      </c>
      <c r="C546" s="61" t="s">
        <v>1210</v>
      </c>
      <c r="D546" s="61" t="s">
        <v>38</v>
      </c>
      <c r="E546" s="62" t="str">
        <f>IFERROR(VLOOKUP(Tableau242[[#This Row],[Manager ou CDM concerné]],Parametres!B:C,2,FALSE),"")</f>
        <v>Squad H</v>
      </c>
      <c r="F546" s="62" t="str">
        <f>IF(Tableau242[[#This Row],[Consultant]]=Tableau242[[#This Row],[Manager ou CDM concerné]],"Non",IF(IFERROR(VLOOKUP(Tableau242[[#This Row],[Consultant]],Parametres!B:C,2,FALSE),0)=0,"Non","Oui"))</f>
        <v>Non</v>
      </c>
      <c r="G546" s="62">
        <f>IFERROR(VLOOKUP(B546,Tableau5[#All],4,FALSE),"Matricule!")</f>
        <v>19</v>
      </c>
      <c r="H546" s="62" t="str">
        <f>IFERROR(VLOOKUP(Tableau242[[#This Row],[Company number]],#REF!,6,FALSE),"")</f>
        <v/>
      </c>
      <c r="I546" s="62">
        <f>IFERROR(VLOOKUP(B546,Tableau5[#All],5,FALSE),"Matricule!")</f>
        <v>0</v>
      </c>
      <c r="J546" s="62">
        <f>IFERROR(VLOOKUP(B546,Tableau5[#All],6,FALSE),"Matricule!")</f>
        <v>1</v>
      </c>
      <c r="K546" s="62">
        <f>IFERROR(VLOOKUP(B546,Tableau5[#All],7,FALSE),"Matricule!")</f>
        <v>0</v>
      </c>
      <c r="L546" s="62" t="e">
        <f>VLOOKUP(Tableau242[[#This Row],[Company number]],#REF!,25,FALSE)</f>
        <v>#REF!</v>
      </c>
      <c r="M546" s="62" t="str">
        <f>IFERROR(VLOOKUP(Tableau242[[#This Row],[Company number]],#REF!,30,FALSE),"")</f>
        <v/>
      </c>
      <c r="N546" s="62" t="str">
        <f>IFERROR(VLOOKUP(Tableau242[[#This Row],[Company number]],#REF!,31,FALSE),"")</f>
        <v/>
      </c>
      <c r="O546" s="62" t="str">
        <f>IFERROR(VLOOKUP(Tableau242[[#This Row],[Company number]],#REF!,32,FALSE),"")</f>
        <v/>
      </c>
      <c r="P546" s="62">
        <f>IFERROR(VLOOKUP(B546,Tableau3[#All],5,FALSE),"Matricule!")</f>
        <v>20</v>
      </c>
      <c r="Q546" s="62">
        <f>IFERROR(SUM(VLOOKUP(B546,Tableau3[#All],6,FALSE),VLOOKUP(B546,Tableau3[#All],8,FALSE)),"Matricule!")</f>
        <v>0</v>
      </c>
      <c r="R546" s="62">
        <f>IFERROR(VLOOKUP(B546,Tableau3[#All],7,FALSE),"Matricule!")</f>
        <v>0</v>
      </c>
      <c r="S546" s="62">
        <f>IFERROR(Tableau242[[#This Row],[Prod. days WK]]-Tableau242[[#This Row],[Prod PXX]],"Matricule")</f>
        <v>-1</v>
      </c>
      <c r="T546" s="62">
        <f>IFERROR(Tableau242[[#This Row],[Non prod. days WK]]-Tableau242[[#This Row],[Improd PXX]],"Matricule")</f>
        <v>0</v>
      </c>
      <c r="U546" s="62">
        <f>IFERROR(Tableau242[[#This Row],[Paid leave days WK]]-Tableau242[[#This Row],[Congé PXX]],"Matricule")</f>
        <v>1</v>
      </c>
      <c r="V546" s="63">
        <f>IFERROR(VLOOKUP($B546,#REF!,4,FALSE),0)</f>
        <v>0</v>
      </c>
      <c r="W54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46" s="63">
        <f>IF(AND(Tableau242[[#This Row],[Paid leave days]]&gt;0,Tableau242[[#This Row],[Prod. days]]&lt;0),MIN(Tableau242[[#This Row],[Paid leave days]],-Tableau242[[#This Row],[Prod. days]]),0)</f>
        <v>1</v>
      </c>
      <c r="Z546" s="63">
        <f>IFERROR(_xlfn.XLOOKUP(Tableau242[[#This Row],[Consultant]],Tableau2[Collaborateur/Nom affiché],Tableau2[Montant imputé],0),0)</f>
        <v>0</v>
      </c>
      <c r="AA546" s="64">
        <f t="shared" si="9"/>
        <v>-1</v>
      </c>
      <c r="AB546" s="65" t="s">
        <v>154</v>
      </c>
      <c r="AC546" s="66"/>
      <c r="AD546" s="66"/>
      <c r="AE546" s="105"/>
      <c r="AF546" s="90"/>
    </row>
    <row r="547" spans="1:32" ht="14.45" customHeight="1">
      <c r="A547" s="15">
        <f>Tableau242[[#This Row],[Company number]]+0</f>
        <v>9138</v>
      </c>
      <c r="B547" s="60" t="s">
        <v>1211</v>
      </c>
      <c r="C547" s="61" t="s">
        <v>53</v>
      </c>
      <c r="D547" s="61" t="s">
        <v>38</v>
      </c>
      <c r="E547" s="62" t="str">
        <f>IFERROR(VLOOKUP(Tableau242[[#This Row],[Manager ou CDM concerné]],Parametres!B:C,2,FALSE),"")</f>
        <v>Squad H</v>
      </c>
      <c r="F547" s="62" t="str">
        <f>IF(Tableau242[[#This Row],[Consultant]]=Tableau242[[#This Row],[Manager ou CDM concerné]],"Non",IF(IFERROR(VLOOKUP(Tableau242[[#This Row],[Consultant]],Parametres!B:C,2,FALSE),0)=0,"Non","Oui"))</f>
        <v>Oui</v>
      </c>
      <c r="G547" s="62">
        <f>IFERROR(VLOOKUP(B547,Tableau5[#All],4,FALSE),"Matricule!")</f>
        <v>16</v>
      </c>
      <c r="H547" s="62" t="str">
        <f>IFERROR(VLOOKUP(Tableau242[[#This Row],[Company number]],#REF!,6,FALSE),"")</f>
        <v/>
      </c>
      <c r="I547" s="62">
        <f>IFERROR(VLOOKUP(B547,Tableau5[#All],5,FALSE),"Matricule!")</f>
        <v>3.5</v>
      </c>
      <c r="J547" s="62">
        <f>IFERROR(VLOOKUP(B547,Tableau5[#All],6,FALSE),"Matricule!")</f>
        <v>0.5</v>
      </c>
      <c r="K547" s="62">
        <f>IFERROR(VLOOKUP(B547,Tableau5[#All],7,FALSE),"Matricule!")</f>
        <v>0</v>
      </c>
      <c r="L547" s="62" t="e">
        <f>VLOOKUP(Tableau242[[#This Row],[Company number]],#REF!,25,FALSE)</f>
        <v>#REF!</v>
      </c>
      <c r="M547" s="62" t="str">
        <f>IFERROR(VLOOKUP(Tableau242[[#This Row],[Company number]],#REF!,30,FALSE),"")</f>
        <v/>
      </c>
      <c r="N547" s="62" t="str">
        <f>IFERROR(VLOOKUP(Tableau242[[#This Row],[Company number]],#REF!,31,FALSE),"")</f>
        <v/>
      </c>
      <c r="O547" s="62" t="str">
        <f>IFERROR(VLOOKUP(Tableau242[[#This Row],[Company number]],#REF!,32,FALSE),"")</f>
        <v/>
      </c>
      <c r="P547" s="62">
        <f>IFERROR(VLOOKUP(B547,Tableau3[#All],5,FALSE),"Matricule!")</f>
        <v>16</v>
      </c>
      <c r="Q547" s="62">
        <f>IFERROR(SUM(VLOOKUP(B547,Tableau3[#All],6,FALSE),VLOOKUP(B547,Tableau3[#All],8,FALSE)),"Matricule!")</f>
        <v>3.5</v>
      </c>
      <c r="R547" s="62">
        <f>IFERROR(VLOOKUP(B547,Tableau3[#All],7,FALSE),"Matricule!")</f>
        <v>0.5</v>
      </c>
      <c r="S547" s="62">
        <f>IFERROR(Tableau242[[#This Row],[Prod. days WK]]-Tableau242[[#This Row],[Prod PXX]],"Matricule")</f>
        <v>0</v>
      </c>
      <c r="T547" s="62">
        <f>IFERROR(Tableau242[[#This Row],[Non prod. days WK]]-Tableau242[[#This Row],[Improd PXX]],"Matricule")</f>
        <v>0</v>
      </c>
      <c r="U547" s="62">
        <f>IFERROR(Tableau242[[#This Row],[Paid leave days WK]]-Tableau242[[#This Row],[Congé PXX]],"Matricule")</f>
        <v>0</v>
      </c>
      <c r="V547" s="63">
        <f>IFERROR(VLOOKUP($B547,#REF!,4,FALSE),0)</f>
        <v>0</v>
      </c>
      <c r="W54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47" s="63">
        <f>IF(AND(Tableau242[[#This Row],[Paid leave days]]&gt;0,Tableau242[[#This Row],[Prod. days]]&lt;0),MIN(Tableau242[[#This Row],[Paid leave days]],-Tableau242[[#This Row],[Prod. days]]),0)</f>
        <v>0</v>
      </c>
      <c r="Z547" s="63">
        <f>IFERROR(_xlfn.XLOOKUP(Tableau242[[#This Row],[Consultant]],Tableau2[Collaborateur/Nom affiché],Tableau2[Montant imputé],0),0)</f>
        <v>0</v>
      </c>
      <c r="AA547" s="64">
        <f t="shared" si="9"/>
        <v>0</v>
      </c>
      <c r="AB547" s="65"/>
      <c r="AC547" s="67"/>
      <c r="AD547" s="66"/>
      <c r="AE547" s="105"/>
      <c r="AF547" s="93"/>
    </row>
    <row r="548" spans="1:32" ht="14.45" customHeight="1">
      <c r="A548" s="15">
        <f>Tableau242[[#This Row],[Company number]]+0</f>
        <v>22107</v>
      </c>
      <c r="B548" s="60" t="s">
        <v>1212</v>
      </c>
      <c r="C548" s="61" t="s">
        <v>1213</v>
      </c>
      <c r="D548" s="61" t="s">
        <v>81</v>
      </c>
      <c r="E548" s="62" t="str">
        <f>IFERROR(VLOOKUP(Tableau242[[#This Row],[Manager ou CDM concerné]],Parametres!B:C,2,FALSE),"")</f>
        <v>Squad H</v>
      </c>
      <c r="F548" s="62" t="str">
        <f>IF(Tableau242[[#This Row],[Consultant]]=Tableau242[[#This Row],[Manager ou CDM concerné]],"Non",IF(IFERROR(VLOOKUP(Tableau242[[#This Row],[Consultant]],Parametres!B:C,2,FALSE),0)=0,"Non","Oui"))</f>
        <v>Non</v>
      </c>
      <c r="G548" s="62">
        <f>IFERROR(VLOOKUP(B548,Tableau5[#All],4,FALSE),"Matricule!")</f>
        <v>0</v>
      </c>
      <c r="H548" s="62" t="str">
        <f>IFERROR(VLOOKUP(Tableau242[[#This Row],[Company number]],#REF!,6,FALSE),"")</f>
        <v/>
      </c>
      <c r="I548" s="62">
        <f>IFERROR(VLOOKUP(B548,Tableau5[#All],5,FALSE),"Matricule!")</f>
        <v>20</v>
      </c>
      <c r="J548" s="62">
        <f>IFERROR(VLOOKUP(B548,Tableau5[#All],6,FALSE),"Matricule!")</f>
        <v>0</v>
      </c>
      <c r="K548" s="62">
        <f>IFERROR(VLOOKUP(B548,Tableau5[#All],7,FALSE),"Matricule!")</f>
        <v>0</v>
      </c>
      <c r="L548" s="62" t="e">
        <f>VLOOKUP(Tableau242[[#This Row],[Company number]],#REF!,25,FALSE)</f>
        <v>#REF!</v>
      </c>
      <c r="M548" s="62" t="str">
        <f>IFERROR(VLOOKUP(Tableau242[[#This Row],[Company number]],#REF!,30,FALSE),"")</f>
        <v/>
      </c>
      <c r="N548" s="62" t="str">
        <f>IFERROR(VLOOKUP(Tableau242[[#This Row],[Company number]],#REF!,31,FALSE),"")</f>
        <v/>
      </c>
      <c r="O548" s="62" t="str">
        <f>IFERROR(VLOOKUP(Tableau242[[#This Row],[Company number]],#REF!,32,FALSE),"")</f>
        <v/>
      </c>
      <c r="P548" s="62">
        <f>IFERROR(VLOOKUP(B548,Tableau3[#All],5,FALSE),"Matricule!")</f>
        <v>0</v>
      </c>
      <c r="Q548" s="62">
        <f>IFERROR(SUM(VLOOKUP(B548,Tableau3[#All],6,FALSE),VLOOKUP(B548,Tableau3[#All],8,FALSE)),"Matricule!")</f>
        <v>20</v>
      </c>
      <c r="R548" s="62">
        <f>IFERROR(VLOOKUP(B548,Tableau3[#All],7,FALSE),"Matricule!")</f>
        <v>0</v>
      </c>
      <c r="S548" s="62">
        <f>IFERROR(Tableau242[[#This Row],[Prod. days WK]]-Tableau242[[#This Row],[Prod PXX]],"Matricule")</f>
        <v>0</v>
      </c>
      <c r="T548" s="62">
        <f>IFERROR(Tableau242[[#This Row],[Non prod. days WK]]-Tableau242[[#This Row],[Improd PXX]],"Matricule")</f>
        <v>0</v>
      </c>
      <c r="U548" s="62">
        <f>IFERROR(Tableau242[[#This Row],[Paid leave days WK]]-Tableau242[[#This Row],[Congé PXX]],"Matricule")</f>
        <v>0</v>
      </c>
      <c r="V548" s="63">
        <f>IFERROR(VLOOKUP($B548,#REF!,4,FALSE),0)</f>
        <v>0</v>
      </c>
      <c r="W54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48" s="63">
        <f>IF(AND(Tableau242[[#This Row],[Paid leave days]]&gt;0,Tableau242[[#This Row],[Prod. days]]&lt;0),MIN(Tableau242[[#This Row],[Paid leave days]],-Tableau242[[#This Row],[Prod. days]]),0)</f>
        <v>0</v>
      </c>
      <c r="Z548" s="63">
        <f>IFERROR(_xlfn.XLOOKUP(Tableau242[[#This Row],[Consultant]],Tableau2[Collaborateur/Nom affiché],Tableau2[Montant imputé],0),0)</f>
        <v>0</v>
      </c>
      <c r="AA548" s="64">
        <f t="shared" si="9"/>
        <v>0</v>
      </c>
      <c r="AB548" s="65"/>
      <c r="AC548" s="71"/>
      <c r="AD548" s="66"/>
      <c r="AE548" s="105"/>
      <c r="AF548" s="90"/>
    </row>
    <row r="549" spans="1:32" ht="14.45" customHeight="1">
      <c r="A549" s="15">
        <f>Tableau242[[#This Row],[Company number]]+0</f>
        <v>20946</v>
      </c>
      <c r="B549" s="60" t="s">
        <v>1214</v>
      </c>
      <c r="C549" s="61" t="s">
        <v>1215</v>
      </c>
      <c r="D549" s="61" t="s">
        <v>22</v>
      </c>
      <c r="E549" s="62" t="str">
        <f>IFERROR(VLOOKUP(Tableau242[[#This Row],[Manager ou CDM concerné]],Parametres!B:C,2,FALSE),"")</f>
        <v>Squad C</v>
      </c>
      <c r="F549" s="62" t="str">
        <f>IF(Tableau242[[#This Row],[Consultant]]=Tableau242[[#This Row],[Manager ou CDM concerné]],"Non",IF(IFERROR(VLOOKUP(Tableau242[[#This Row],[Consultant]],Parametres!B:C,2,FALSE),0)=0,"Non","Oui"))</f>
        <v>Non</v>
      </c>
      <c r="G549" s="62">
        <f>IFERROR(VLOOKUP(B549,Tableau5[#All],4,FALSE),"Matricule!")</f>
        <v>17.5</v>
      </c>
      <c r="H549" s="62" t="str">
        <f>IFERROR(VLOOKUP(Tableau242[[#This Row],[Company number]],#REF!,6,FALSE),"")</f>
        <v/>
      </c>
      <c r="I549" s="62">
        <f>IFERROR(VLOOKUP(B549,Tableau5[#All],5,FALSE),"Matricule!")</f>
        <v>0</v>
      </c>
      <c r="J549" s="62">
        <f>IFERROR(VLOOKUP(B549,Tableau5[#All],6,FALSE),"Matricule!")</f>
        <v>2.5</v>
      </c>
      <c r="K549" s="62">
        <f>IFERROR(VLOOKUP(B549,Tableau5[#All],7,FALSE),"Matricule!")</f>
        <v>0</v>
      </c>
      <c r="L549" s="62" t="e">
        <f>VLOOKUP(Tableau242[[#This Row],[Company number]],#REF!,25,FALSE)</f>
        <v>#REF!</v>
      </c>
      <c r="M549" s="62" t="str">
        <f>IFERROR(VLOOKUP(Tableau242[[#This Row],[Company number]],#REF!,30,FALSE),"")</f>
        <v/>
      </c>
      <c r="N549" s="62" t="str">
        <f>IFERROR(VLOOKUP(Tableau242[[#This Row],[Company number]],#REF!,31,FALSE),"")</f>
        <v/>
      </c>
      <c r="O549" s="62" t="str">
        <f>IFERROR(VLOOKUP(Tableau242[[#This Row],[Company number]],#REF!,32,FALSE),"")</f>
        <v/>
      </c>
      <c r="P549" s="62">
        <f>IFERROR(VLOOKUP(B549,Tableau3[#All],5,FALSE),"Matricule!")</f>
        <v>20</v>
      </c>
      <c r="Q549" s="62">
        <f>IFERROR(SUM(VLOOKUP(B549,Tableau3[#All],6,FALSE),VLOOKUP(B549,Tableau3[#All],8,FALSE)),"Matricule!")</f>
        <v>0</v>
      </c>
      <c r="R549" s="62">
        <f>IFERROR(VLOOKUP(B549,Tableau3[#All],7,FALSE),"Matricule!")</f>
        <v>0</v>
      </c>
      <c r="S549" s="62">
        <f>IFERROR(Tableau242[[#This Row],[Prod. days WK]]-Tableau242[[#This Row],[Prod PXX]],"Matricule")</f>
        <v>-2.5</v>
      </c>
      <c r="T549" s="62">
        <f>IFERROR(Tableau242[[#This Row],[Non prod. days WK]]-Tableau242[[#This Row],[Improd PXX]],"Matricule")</f>
        <v>0</v>
      </c>
      <c r="U549" s="62">
        <f>IFERROR(Tableau242[[#This Row],[Paid leave days WK]]-Tableau242[[#This Row],[Congé PXX]],"Matricule")</f>
        <v>2.5</v>
      </c>
      <c r="V549" s="63">
        <f>IFERROR(VLOOKUP($B549,#REF!,4,FALSE),0)</f>
        <v>0</v>
      </c>
      <c r="W54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4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49" s="63">
        <f>IF(AND(Tableau242[[#This Row],[Paid leave days]]&gt;0,Tableau242[[#This Row],[Prod. days]]&lt;0),MIN(Tableau242[[#This Row],[Paid leave days]],-Tableau242[[#This Row],[Prod. days]]),0)</f>
        <v>2.5</v>
      </c>
      <c r="Z549" s="63">
        <f>IFERROR(_xlfn.XLOOKUP(Tableau242[[#This Row],[Consultant]],Tableau2[Collaborateur/Nom affiché],Tableau2[Montant imputé],0),0)</f>
        <v>0</v>
      </c>
      <c r="AA549" s="64">
        <f t="shared" si="9"/>
        <v>-2.5</v>
      </c>
      <c r="AB549" s="70" t="s">
        <v>154</v>
      </c>
      <c r="AC549" s="66"/>
      <c r="AD549" s="66"/>
      <c r="AE549" s="105"/>
      <c r="AF549" s="90" t="s">
        <v>1216</v>
      </c>
    </row>
    <row r="550" spans="1:32" ht="14.45" customHeight="1">
      <c r="A550" s="15">
        <f>Tableau242[[#This Row],[Company number]]+0</f>
        <v>17191</v>
      </c>
      <c r="B550" s="60" t="s">
        <v>1217</v>
      </c>
      <c r="C550" s="61" t="s">
        <v>1218</v>
      </c>
      <c r="D550" s="61" t="s">
        <v>22</v>
      </c>
      <c r="E550" s="62" t="str">
        <f>IFERROR(VLOOKUP(Tableau242[[#This Row],[Manager ou CDM concerné]],Parametres!B:C,2,FALSE),"")</f>
        <v>Squad C</v>
      </c>
      <c r="F550" s="62" t="str">
        <f>IF(Tableau242[[#This Row],[Consultant]]=Tableau242[[#This Row],[Manager ou CDM concerné]],"Non",IF(IFERROR(VLOOKUP(Tableau242[[#This Row],[Consultant]],Parametres!B:C,2,FALSE),0)=0,"Non","Oui"))</f>
        <v>Non</v>
      </c>
      <c r="G550" s="62">
        <f>IFERROR(VLOOKUP(B550,Tableau5[#All],4,FALSE),"Matricule!")</f>
        <v>19</v>
      </c>
      <c r="H550" s="62" t="str">
        <f>IFERROR(VLOOKUP(Tableau242[[#This Row],[Company number]],#REF!,6,FALSE),"")</f>
        <v/>
      </c>
      <c r="I550" s="62">
        <f>IFERROR(VLOOKUP(B550,Tableau5[#All],5,FALSE),"Matricule!")</f>
        <v>0</v>
      </c>
      <c r="J550" s="62">
        <f>IFERROR(VLOOKUP(B550,Tableau5[#All],6,FALSE),"Matricule!")</f>
        <v>1</v>
      </c>
      <c r="K550" s="62">
        <f>IFERROR(VLOOKUP(B550,Tableau5[#All],7,FALSE),"Matricule!")</f>
        <v>0</v>
      </c>
      <c r="L550" s="62" t="e">
        <f>VLOOKUP(Tableau242[[#This Row],[Company number]],#REF!,25,FALSE)</f>
        <v>#REF!</v>
      </c>
      <c r="M550" s="62" t="str">
        <f>IFERROR(VLOOKUP(Tableau242[[#This Row],[Company number]],#REF!,30,FALSE),"")</f>
        <v/>
      </c>
      <c r="N550" s="62" t="str">
        <f>IFERROR(VLOOKUP(Tableau242[[#This Row],[Company number]],#REF!,31,FALSE),"")</f>
        <v/>
      </c>
      <c r="O550" s="62" t="str">
        <f>IFERROR(VLOOKUP(Tableau242[[#This Row],[Company number]],#REF!,32,FALSE),"")</f>
        <v/>
      </c>
      <c r="P550" s="62">
        <f>IFERROR(VLOOKUP(B550,Tableau3[#All],5,FALSE),"Matricule!")</f>
        <v>20</v>
      </c>
      <c r="Q550" s="62">
        <f>IFERROR(SUM(VLOOKUP(B550,Tableau3[#All],6,FALSE),VLOOKUP(B550,Tableau3[#All],8,FALSE)),"Matricule!")</f>
        <v>0</v>
      </c>
      <c r="R550" s="62">
        <f>IFERROR(VLOOKUP(B550,Tableau3[#All],7,FALSE),"Matricule!")</f>
        <v>0</v>
      </c>
      <c r="S550" s="62">
        <f>IFERROR(Tableau242[[#This Row],[Prod. days WK]]-Tableau242[[#This Row],[Prod PXX]],"Matricule")</f>
        <v>-1</v>
      </c>
      <c r="T550" s="62">
        <f>IFERROR(Tableau242[[#This Row],[Non prod. days WK]]-Tableau242[[#This Row],[Improd PXX]],"Matricule")</f>
        <v>0</v>
      </c>
      <c r="U550" s="62">
        <f>IFERROR(Tableau242[[#This Row],[Paid leave days WK]]-Tableau242[[#This Row],[Congé PXX]],"Matricule")</f>
        <v>1</v>
      </c>
      <c r="V550" s="63">
        <f>IFERROR(VLOOKUP($B550,#REF!,4,FALSE),0)</f>
        <v>0</v>
      </c>
      <c r="W55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50" s="63">
        <f>IF(AND(Tableau242[[#This Row],[Paid leave days]]&gt;0,Tableau242[[#This Row],[Prod. days]]&lt;0),MIN(Tableau242[[#This Row],[Paid leave days]],-Tableau242[[#This Row],[Prod. days]]),0)</f>
        <v>1</v>
      </c>
      <c r="Z550" s="63">
        <f>IFERROR(_xlfn.XLOOKUP(Tableau242[[#This Row],[Consultant]],Tableau2[Collaborateur/Nom affiché],Tableau2[Montant imputé],0),0)</f>
        <v>0</v>
      </c>
      <c r="AA550" s="64">
        <f t="shared" si="9"/>
        <v>-1</v>
      </c>
      <c r="AB550" s="78" t="s">
        <v>154</v>
      </c>
      <c r="AC550" s="66"/>
      <c r="AD550" s="66"/>
      <c r="AE550" s="105"/>
      <c r="AF550" s="90" t="s">
        <v>1216</v>
      </c>
    </row>
    <row r="551" spans="1:32" ht="14.45" customHeight="1">
      <c r="A551" s="15">
        <f>Tableau242[[#This Row],[Company number]]+0</f>
        <v>21128</v>
      </c>
      <c r="B551" s="60" t="s">
        <v>1219</v>
      </c>
      <c r="C551" s="61" t="s">
        <v>1220</v>
      </c>
      <c r="D551" s="61" t="s">
        <v>22</v>
      </c>
      <c r="E551" s="62" t="str">
        <f>IFERROR(VLOOKUP(Tableau242[[#This Row],[Manager ou CDM concerné]],Parametres!B:C,2,FALSE),"")</f>
        <v>Squad C</v>
      </c>
      <c r="F551" s="62" t="str">
        <f>IF(Tableau242[[#This Row],[Consultant]]=Tableau242[[#This Row],[Manager ou CDM concerné]],"Non",IF(IFERROR(VLOOKUP(Tableau242[[#This Row],[Consultant]],Parametres!B:C,2,FALSE),0)=0,"Non","Oui"))</f>
        <v>Non</v>
      </c>
      <c r="G551" s="62">
        <f>IFERROR(VLOOKUP(B551,Tableau5[#All],4,FALSE),"Matricule!")</f>
        <v>19</v>
      </c>
      <c r="H551" s="62" t="str">
        <f>IFERROR(VLOOKUP(Tableau242[[#This Row],[Company number]],#REF!,6,FALSE),"")</f>
        <v/>
      </c>
      <c r="I551" s="62">
        <f>IFERROR(VLOOKUP(B551,Tableau5[#All],5,FALSE),"Matricule!")</f>
        <v>0</v>
      </c>
      <c r="J551" s="62">
        <f>IFERROR(VLOOKUP(B551,Tableau5[#All],6,FALSE),"Matricule!")</f>
        <v>1</v>
      </c>
      <c r="K551" s="62">
        <f>IFERROR(VLOOKUP(B551,Tableau5[#All],7,FALSE),"Matricule!")</f>
        <v>0</v>
      </c>
      <c r="L551" s="62" t="e">
        <f>VLOOKUP(Tableau242[[#This Row],[Company number]],#REF!,25,FALSE)</f>
        <v>#REF!</v>
      </c>
      <c r="M551" s="62" t="str">
        <f>IFERROR(VLOOKUP(Tableau242[[#This Row],[Company number]],#REF!,30,FALSE),"")</f>
        <v/>
      </c>
      <c r="N551" s="62" t="str">
        <f>IFERROR(VLOOKUP(Tableau242[[#This Row],[Company number]],#REF!,31,FALSE),"")</f>
        <v/>
      </c>
      <c r="O551" s="62" t="str">
        <f>IFERROR(VLOOKUP(Tableau242[[#This Row],[Company number]],#REF!,32,FALSE),"")</f>
        <v/>
      </c>
      <c r="P551" s="62">
        <f>IFERROR(VLOOKUP(B551,Tableau3[#All],5,FALSE),"Matricule!")</f>
        <v>20</v>
      </c>
      <c r="Q551" s="62">
        <f>IFERROR(SUM(VLOOKUP(B551,Tableau3[#All],6,FALSE),VLOOKUP(B551,Tableau3[#All],8,FALSE)),"Matricule!")</f>
        <v>0</v>
      </c>
      <c r="R551" s="62">
        <f>IFERROR(VLOOKUP(B551,Tableau3[#All],7,FALSE),"Matricule!")</f>
        <v>0</v>
      </c>
      <c r="S551" s="62">
        <f>IFERROR(Tableau242[[#This Row],[Prod. days WK]]-Tableau242[[#This Row],[Prod PXX]],"Matricule")</f>
        <v>-1</v>
      </c>
      <c r="T551" s="62">
        <f>IFERROR(Tableau242[[#This Row],[Non prod. days WK]]-Tableau242[[#This Row],[Improd PXX]],"Matricule")</f>
        <v>0</v>
      </c>
      <c r="U551" s="62">
        <f>IFERROR(Tableau242[[#This Row],[Paid leave days WK]]-Tableau242[[#This Row],[Congé PXX]],"Matricule")</f>
        <v>1</v>
      </c>
      <c r="V551" s="63">
        <f>IFERROR(VLOOKUP($B551,#REF!,4,FALSE),0)</f>
        <v>0</v>
      </c>
      <c r="W55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51" s="63">
        <f>IF(AND(Tableau242[[#This Row],[Paid leave days]]&gt;0,Tableau242[[#This Row],[Prod. days]]&lt;0),MIN(Tableau242[[#This Row],[Paid leave days]],-Tableau242[[#This Row],[Prod. days]]),0)</f>
        <v>1</v>
      </c>
      <c r="Z551" s="63">
        <f>IFERROR(_xlfn.XLOOKUP(Tableau242[[#This Row],[Consultant]],Tableau2[Collaborateur/Nom affiché],Tableau2[Montant imputé],0),0)</f>
        <v>0</v>
      </c>
      <c r="AA551" s="64">
        <f t="shared" si="9"/>
        <v>-1</v>
      </c>
      <c r="AB551" s="65" t="s">
        <v>154</v>
      </c>
      <c r="AC551" s="66"/>
      <c r="AD551" s="66"/>
      <c r="AE551" s="115"/>
      <c r="AF551" s="90" t="s">
        <v>1216</v>
      </c>
    </row>
    <row r="552" spans="1:32">
      <c r="A552" s="15">
        <f>Tableau242[[#This Row],[Company number]]+0</f>
        <v>17306</v>
      </c>
      <c r="B552" s="60" t="s">
        <v>1221</v>
      </c>
      <c r="C552" s="61" t="s">
        <v>1222</v>
      </c>
      <c r="D552" s="61" t="s">
        <v>22</v>
      </c>
      <c r="E552" s="62" t="str">
        <f>IFERROR(VLOOKUP(Tableau242[[#This Row],[Manager ou CDM concerné]],Parametres!B:C,2,FALSE),"")</f>
        <v>Squad C</v>
      </c>
      <c r="F552" s="62" t="str">
        <f>IF(Tableau242[[#This Row],[Consultant]]=Tableau242[[#This Row],[Manager ou CDM concerné]],"Non",IF(IFERROR(VLOOKUP(Tableau242[[#This Row],[Consultant]],Parametres!B:C,2,FALSE),0)=0,"Non","Oui"))</f>
        <v>Non</v>
      </c>
      <c r="G552" s="62">
        <f>IFERROR(VLOOKUP(B552,Tableau5[#All],4,FALSE),"Matricule!")</f>
        <v>20</v>
      </c>
      <c r="H552" s="62" t="str">
        <f>IFERROR(VLOOKUP(Tableau242[[#This Row],[Company number]],#REF!,6,FALSE),"")</f>
        <v/>
      </c>
      <c r="I552" s="62">
        <f>IFERROR(VLOOKUP(B552,Tableau5[#All],5,FALSE),"Matricule!")</f>
        <v>0</v>
      </c>
      <c r="J552" s="62">
        <f>IFERROR(VLOOKUP(B552,Tableau5[#All],6,FALSE),"Matricule!")</f>
        <v>0</v>
      </c>
      <c r="K552" s="62">
        <f>IFERROR(VLOOKUP(B552,Tableau5[#All],7,FALSE),"Matricule!")</f>
        <v>0</v>
      </c>
      <c r="L552" s="62" t="e">
        <f>VLOOKUP(Tableau242[[#This Row],[Company number]],#REF!,25,FALSE)</f>
        <v>#REF!</v>
      </c>
      <c r="M552" s="62" t="str">
        <f>IFERROR(VLOOKUP(Tableau242[[#This Row],[Company number]],#REF!,30,FALSE),"")</f>
        <v/>
      </c>
      <c r="N552" s="62" t="str">
        <f>IFERROR(VLOOKUP(Tableau242[[#This Row],[Company number]],#REF!,31,FALSE),"")</f>
        <v/>
      </c>
      <c r="O552" s="62" t="str">
        <f>IFERROR(VLOOKUP(Tableau242[[#This Row],[Company number]],#REF!,32,FALSE),"")</f>
        <v/>
      </c>
      <c r="P552" s="62">
        <f>IFERROR(VLOOKUP(B552,Tableau3[#All],5,FALSE),"Matricule!")</f>
        <v>20</v>
      </c>
      <c r="Q552" s="62">
        <f>IFERROR(SUM(VLOOKUP(B552,Tableau3[#All],6,FALSE),VLOOKUP(B552,Tableau3[#All],8,FALSE)),"Matricule!")</f>
        <v>0</v>
      </c>
      <c r="R552" s="62">
        <f>IFERROR(VLOOKUP(B552,Tableau3[#All],7,FALSE),"Matricule!")</f>
        <v>0</v>
      </c>
      <c r="S552" s="62">
        <f>IFERROR(Tableau242[[#This Row],[Prod. days WK]]-Tableau242[[#This Row],[Prod PXX]],"Matricule")</f>
        <v>0</v>
      </c>
      <c r="T552" s="62">
        <f>IFERROR(Tableau242[[#This Row],[Non prod. days WK]]-Tableau242[[#This Row],[Improd PXX]],"Matricule")</f>
        <v>0</v>
      </c>
      <c r="U552" s="62">
        <f>IFERROR(Tableau242[[#This Row],[Paid leave days WK]]-Tableau242[[#This Row],[Congé PXX]],"Matricule")</f>
        <v>0</v>
      </c>
      <c r="V552" s="63">
        <f>IFERROR(VLOOKUP($B552,#REF!,4,FALSE),0)</f>
        <v>0</v>
      </c>
      <c r="W55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52" s="63">
        <f>IF(AND(Tableau242[[#This Row],[Paid leave days]]&gt;0,Tableau242[[#This Row],[Prod. days]]&lt;0),MIN(Tableau242[[#This Row],[Paid leave days]],-Tableau242[[#This Row],[Prod. days]]),0)</f>
        <v>0</v>
      </c>
      <c r="Z552" s="63">
        <f>IFERROR(_xlfn.XLOOKUP(Tableau242[[#This Row],[Consultant]],Tableau2[Collaborateur/Nom affiché],Tableau2[Montant imputé],0),0)</f>
        <v>0</v>
      </c>
      <c r="AA552" s="64">
        <f t="shared" si="9"/>
        <v>0</v>
      </c>
      <c r="AB552" s="65"/>
      <c r="AC552" s="66"/>
      <c r="AD552" s="66"/>
      <c r="AE552" s="115"/>
      <c r="AF552" s="90"/>
    </row>
    <row r="553" spans="1:32" ht="14.45" customHeight="1">
      <c r="A553" s="15">
        <f>Tableau242[[#This Row],[Company number]]+0</f>
        <v>15421</v>
      </c>
      <c r="B553" s="60" t="s">
        <v>1223</v>
      </c>
      <c r="C553" s="61" t="s">
        <v>1224</v>
      </c>
      <c r="D553" s="61" t="s">
        <v>22</v>
      </c>
      <c r="E553" s="62" t="str">
        <f>IFERROR(VLOOKUP(Tableau242[[#This Row],[Manager ou CDM concerné]],Parametres!B:C,2,FALSE),"")</f>
        <v>Squad C</v>
      </c>
      <c r="F553" s="62" t="str">
        <f>IF(Tableau242[[#This Row],[Consultant]]=Tableau242[[#This Row],[Manager ou CDM concerné]],"Non",IF(IFERROR(VLOOKUP(Tableau242[[#This Row],[Consultant]],Parametres!B:C,2,FALSE),0)=0,"Non","Oui"))</f>
        <v>Non</v>
      </c>
      <c r="G553" s="62">
        <f>IFERROR(VLOOKUP(B553,Tableau5[#All],4,FALSE),"Matricule!")</f>
        <v>17.5</v>
      </c>
      <c r="H553" s="62" t="str">
        <f>IFERROR(VLOOKUP(Tableau242[[#This Row],[Company number]],#REF!,6,FALSE),"")</f>
        <v/>
      </c>
      <c r="I553" s="62">
        <f>IFERROR(VLOOKUP(B553,Tableau5[#All],5,FALSE),"Matricule!")</f>
        <v>0</v>
      </c>
      <c r="J553" s="62">
        <f>IFERROR(VLOOKUP(B553,Tableau5[#All],6,FALSE),"Matricule!")</f>
        <v>2.5</v>
      </c>
      <c r="K553" s="62">
        <f>IFERROR(VLOOKUP(B553,Tableau5[#All],7,FALSE),"Matricule!")</f>
        <v>0</v>
      </c>
      <c r="L553" s="62" t="e">
        <f>VLOOKUP(Tableau242[[#This Row],[Company number]],#REF!,25,FALSE)</f>
        <v>#REF!</v>
      </c>
      <c r="M553" s="62" t="str">
        <f>IFERROR(VLOOKUP(Tableau242[[#This Row],[Company number]],#REF!,30,FALSE),"")</f>
        <v/>
      </c>
      <c r="N553" s="62" t="str">
        <f>IFERROR(VLOOKUP(Tableau242[[#This Row],[Company number]],#REF!,31,FALSE),"")</f>
        <v/>
      </c>
      <c r="O553" s="62" t="str">
        <f>IFERROR(VLOOKUP(Tableau242[[#This Row],[Company number]],#REF!,32,FALSE),"")</f>
        <v/>
      </c>
      <c r="P553" s="62">
        <f>IFERROR(VLOOKUP(B553,Tableau3[#All],5,FALSE),"Matricule!")</f>
        <v>16</v>
      </c>
      <c r="Q553" s="62">
        <f>IFERROR(SUM(VLOOKUP(B553,Tableau3[#All],6,FALSE),VLOOKUP(B553,Tableau3[#All],8,FALSE)),"Matricule!")</f>
        <v>0</v>
      </c>
      <c r="R553" s="62">
        <f>IFERROR(VLOOKUP(B553,Tableau3[#All],7,FALSE),"Matricule!")</f>
        <v>4</v>
      </c>
      <c r="S553" s="62">
        <f>IFERROR(Tableau242[[#This Row],[Prod. days WK]]-Tableau242[[#This Row],[Prod PXX]],"Matricule")</f>
        <v>1.5</v>
      </c>
      <c r="T553" s="62">
        <f>IFERROR(Tableau242[[#This Row],[Non prod. days WK]]-Tableau242[[#This Row],[Improd PXX]],"Matricule")</f>
        <v>0</v>
      </c>
      <c r="U553" s="62">
        <f>IFERROR(Tableau242[[#This Row],[Paid leave days WK]]-Tableau242[[#This Row],[Congé PXX]],"Matricule")</f>
        <v>-1.5</v>
      </c>
      <c r="V553" s="63">
        <f>IFERROR(VLOOKUP($B553,#REF!,4,FALSE),0)</f>
        <v>0</v>
      </c>
      <c r="W55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53" s="63">
        <f>IF(AND(Tableau242[[#This Row],[Paid leave days]]&gt;0,Tableau242[[#This Row],[Prod. days]]&lt;0),MIN(Tableau242[[#This Row],[Paid leave days]],-Tableau242[[#This Row],[Prod. days]]),0)</f>
        <v>0</v>
      </c>
      <c r="Z553" s="63">
        <f>IFERROR(_xlfn.XLOOKUP(Tableau242[[#This Row],[Consultant]],Tableau2[Collaborateur/Nom affiché],Tableau2[Montant imputé],0),0)</f>
        <v>0</v>
      </c>
      <c r="AA553" s="64">
        <f t="shared" si="9"/>
        <v>1.5</v>
      </c>
      <c r="AB553" s="65"/>
      <c r="AC553" s="66"/>
      <c r="AD553" s="66"/>
      <c r="AE553" s="39"/>
      <c r="AF553" s="90"/>
    </row>
    <row r="554" spans="1:32" ht="14.45" customHeight="1">
      <c r="A554" s="15">
        <f>Tableau242[[#This Row],[Company number]]+0</f>
        <v>17451</v>
      </c>
      <c r="B554" s="60" t="s">
        <v>1225</v>
      </c>
      <c r="C554" s="61" t="s">
        <v>1226</v>
      </c>
      <c r="D554" s="61" t="s">
        <v>22</v>
      </c>
      <c r="E554" s="62" t="str">
        <f>IFERROR(VLOOKUP(Tableau242[[#This Row],[Manager ou CDM concerné]],Parametres!B:C,2,FALSE),"")</f>
        <v>Squad C</v>
      </c>
      <c r="F554" s="62" t="str">
        <f>IF(Tableau242[[#This Row],[Consultant]]=Tableau242[[#This Row],[Manager ou CDM concerné]],"Non",IF(IFERROR(VLOOKUP(Tableau242[[#This Row],[Consultant]],Parametres!B:C,2,FALSE),0)=0,"Non","Oui"))</f>
        <v>Non</v>
      </c>
      <c r="G554" s="62">
        <f>IFERROR(VLOOKUP(B554,Tableau5[#All],4,FALSE),"Matricule!")</f>
        <v>10</v>
      </c>
      <c r="H554" s="62" t="str">
        <f>IFERROR(VLOOKUP(Tableau242[[#This Row],[Company number]],#REF!,6,FALSE),"")</f>
        <v/>
      </c>
      <c r="I554" s="62">
        <f>IFERROR(VLOOKUP(B554,Tableau5[#All],5,FALSE),"Matricule!")</f>
        <v>10</v>
      </c>
      <c r="J554" s="62">
        <f>IFERROR(VLOOKUP(B554,Tableau5[#All],6,FALSE),"Matricule!")</f>
        <v>0</v>
      </c>
      <c r="K554" s="62">
        <f>IFERROR(VLOOKUP(B554,Tableau5[#All],7,FALSE),"Matricule!")</f>
        <v>0</v>
      </c>
      <c r="L554" s="62" t="e">
        <f>VLOOKUP(Tableau242[[#This Row],[Company number]],#REF!,25,FALSE)</f>
        <v>#REF!</v>
      </c>
      <c r="M554" s="62" t="str">
        <f>IFERROR(VLOOKUP(Tableau242[[#This Row],[Company number]],#REF!,30,FALSE),"")</f>
        <v/>
      </c>
      <c r="N554" s="62" t="str">
        <f>IFERROR(VLOOKUP(Tableau242[[#This Row],[Company number]],#REF!,31,FALSE),"")</f>
        <v/>
      </c>
      <c r="O554" s="62" t="str">
        <f>IFERROR(VLOOKUP(Tableau242[[#This Row],[Company number]],#REF!,32,FALSE),"")</f>
        <v/>
      </c>
      <c r="P554" s="62">
        <f>IFERROR(VLOOKUP(B554,Tableau3[#All],5,FALSE),"Matricule!")</f>
        <v>10</v>
      </c>
      <c r="Q554" s="62">
        <f>IFERROR(SUM(VLOOKUP(B554,Tableau3[#All],6,FALSE),VLOOKUP(B554,Tableau3[#All],8,FALSE)),"Matricule!")</f>
        <v>10</v>
      </c>
      <c r="R554" s="62">
        <f>IFERROR(VLOOKUP(B554,Tableau3[#All],7,FALSE),"Matricule!")</f>
        <v>0</v>
      </c>
      <c r="S554" s="62">
        <f>IFERROR(Tableau242[[#This Row],[Prod. days WK]]-Tableau242[[#This Row],[Prod PXX]],"Matricule")</f>
        <v>0</v>
      </c>
      <c r="T554" s="62">
        <f>IFERROR(Tableau242[[#This Row],[Non prod. days WK]]-Tableau242[[#This Row],[Improd PXX]],"Matricule")</f>
        <v>0</v>
      </c>
      <c r="U554" s="62">
        <f>IFERROR(Tableau242[[#This Row],[Paid leave days WK]]-Tableau242[[#This Row],[Congé PXX]],"Matricule")</f>
        <v>0</v>
      </c>
      <c r="V554" s="63">
        <f>IFERROR(VLOOKUP($B554,#REF!,4,FALSE),0)</f>
        <v>0</v>
      </c>
      <c r="W55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54" s="63">
        <f>IF(AND(Tableau242[[#This Row],[Paid leave days]]&gt;0,Tableau242[[#This Row],[Prod. days]]&lt;0),MIN(Tableau242[[#This Row],[Paid leave days]],-Tableau242[[#This Row],[Prod. days]]),0)</f>
        <v>0</v>
      </c>
      <c r="Z554" s="63">
        <f>IFERROR(_xlfn.XLOOKUP(Tableau242[[#This Row],[Consultant]],Tableau2[Collaborateur/Nom affiché],Tableau2[Montant imputé],0),0)</f>
        <v>0</v>
      </c>
      <c r="AA554" s="64">
        <f t="shared" si="9"/>
        <v>0</v>
      </c>
      <c r="AB554" s="65"/>
      <c r="AC554" s="66"/>
      <c r="AD554" s="66"/>
      <c r="AE554" s="105"/>
      <c r="AF554" s="90"/>
    </row>
    <row r="555" spans="1:32" ht="14.45" customHeight="1">
      <c r="A555" s="15">
        <f>Tableau242[[#This Row],[Company number]]+0</f>
        <v>20507</v>
      </c>
      <c r="B555" s="60" t="s">
        <v>1227</v>
      </c>
      <c r="C555" s="61" t="s">
        <v>1228</v>
      </c>
      <c r="D555" s="61" t="s">
        <v>22</v>
      </c>
      <c r="E555" s="62" t="str">
        <f>IFERROR(VLOOKUP(Tableau242[[#This Row],[Manager ou CDM concerné]],Parametres!B:C,2,FALSE),"")</f>
        <v>Squad C</v>
      </c>
      <c r="F555" s="62" t="str">
        <f>IF(Tableau242[[#This Row],[Consultant]]=Tableau242[[#This Row],[Manager ou CDM concerné]],"Non",IF(IFERROR(VLOOKUP(Tableau242[[#This Row],[Consultant]],Parametres!B:C,2,FALSE),0)=0,"Non","Oui"))</f>
        <v>Non</v>
      </c>
      <c r="G555" s="62">
        <f>IFERROR(VLOOKUP(B555,Tableau5[#All],4,FALSE),"Matricule!")</f>
        <v>7</v>
      </c>
      <c r="H555" s="62" t="str">
        <f>IFERROR(VLOOKUP(Tableau242[[#This Row],[Company number]],#REF!,6,FALSE),"")</f>
        <v/>
      </c>
      <c r="I555" s="62">
        <f>IFERROR(VLOOKUP(B555,Tableau5[#All],5,FALSE),"Matricule!")</f>
        <v>8</v>
      </c>
      <c r="J555" s="62">
        <f>IFERROR(VLOOKUP(B555,Tableau5[#All],6,FALSE),"Matricule!")</f>
        <v>5</v>
      </c>
      <c r="K555" s="62">
        <f>IFERROR(VLOOKUP(B555,Tableau5[#All],7,FALSE),"Matricule!")</f>
        <v>0</v>
      </c>
      <c r="L555" s="62" t="e">
        <f>VLOOKUP(Tableau242[[#This Row],[Company number]],#REF!,25,FALSE)</f>
        <v>#REF!</v>
      </c>
      <c r="M555" s="62" t="str">
        <f>IFERROR(VLOOKUP(Tableau242[[#This Row],[Company number]],#REF!,30,FALSE),"")</f>
        <v/>
      </c>
      <c r="N555" s="62" t="str">
        <f>IFERROR(VLOOKUP(Tableau242[[#This Row],[Company number]],#REF!,31,FALSE),"")</f>
        <v/>
      </c>
      <c r="O555" s="62" t="str">
        <f>IFERROR(VLOOKUP(Tableau242[[#This Row],[Company number]],#REF!,32,FALSE),"")</f>
        <v/>
      </c>
      <c r="P555" s="62">
        <f>IFERROR(VLOOKUP(B555,Tableau3[#All],5,FALSE),"Matricule!")</f>
        <v>7</v>
      </c>
      <c r="Q555" s="62">
        <f>IFERROR(SUM(VLOOKUP(B555,Tableau3[#All],6,FALSE),VLOOKUP(B555,Tableau3[#All],8,FALSE)),"Matricule!")</f>
        <v>8</v>
      </c>
      <c r="R555" s="62">
        <f>IFERROR(VLOOKUP(B555,Tableau3[#All],7,FALSE),"Matricule!")</f>
        <v>5</v>
      </c>
      <c r="S555" s="62">
        <f>IFERROR(Tableau242[[#This Row],[Prod. days WK]]-Tableau242[[#This Row],[Prod PXX]],"Matricule")</f>
        <v>0</v>
      </c>
      <c r="T555" s="62">
        <f>IFERROR(Tableau242[[#This Row],[Non prod. days WK]]-Tableau242[[#This Row],[Improd PXX]],"Matricule")</f>
        <v>0</v>
      </c>
      <c r="U555" s="62">
        <f>IFERROR(Tableau242[[#This Row],[Paid leave days WK]]-Tableau242[[#This Row],[Congé PXX]],"Matricule")</f>
        <v>0</v>
      </c>
      <c r="V555" s="63">
        <f>IFERROR(VLOOKUP($B555,#REF!,4,FALSE),0)</f>
        <v>0</v>
      </c>
      <c r="W55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55" s="63">
        <f>IF(AND(Tableau242[[#This Row],[Paid leave days]]&gt;0,Tableau242[[#This Row],[Prod. days]]&lt;0),MIN(Tableau242[[#This Row],[Paid leave days]],-Tableau242[[#This Row],[Prod. days]]),0)</f>
        <v>0</v>
      </c>
      <c r="Z555" s="63">
        <f>IFERROR(_xlfn.XLOOKUP(Tableau242[[#This Row],[Consultant]],Tableau2[Collaborateur/Nom affiché],Tableau2[Montant imputé],0),0)</f>
        <v>0</v>
      </c>
      <c r="AA555" s="64">
        <f t="shared" si="9"/>
        <v>0</v>
      </c>
      <c r="AB555" s="65"/>
      <c r="AC555" s="66"/>
      <c r="AD555" s="66"/>
      <c r="AE555" s="105"/>
      <c r="AF555" s="93"/>
    </row>
    <row r="556" spans="1:32" ht="14.45" customHeight="1">
      <c r="A556" s="15">
        <f>Tableau242[[#This Row],[Company number]]+0</f>
        <v>22449</v>
      </c>
      <c r="B556" s="60" t="s">
        <v>1229</v>
      </c>
      <c r="C556" s="61" t="s">
        <v>1230</v>
      </c>
      <c r="D556" s="61" t="s">
        <v>874</v>
      </c>
      <c r="E556" s="62" t="str">
        <f>IFERROR(VLOOKUP(Tableau242[[#This Row],[Manager ou CDM concerné]],Parametres!B:C,2,FALSE),"")</f>
        <v>Squad G</v>
      </c>
      <c r="F556" s="62" t="str">
        <f>IF(Tableau242[[#This Row],[Consultant]]=Tableau242[[#This Row],[Manager ou CDM concerné]],"Non",IF(IFERROR(VLOOKUP(Tableau242[[#This Row],[Consultant]],Parametres!B:C,2,FALSE),0)=0,"Non","Oui"))</f>
        <v>Non</v>
      </c>
      <c r="G556" s="62">
        <f>IFERROR(VLOOKUP(B556,Tableau5[#All],4,FALSE),"Matricule!")</f>
        <v>0</v>
      </c>
      <c r="H556" s="62" t="str">
        <f>IFERROR(VLOOKUP(Tableau242[[#This Row],[Company number]],#REF!,6,FALSE),"")</f>
        <v/>
      </c>
      <c r="I556" s="62">
        <f>IFERROR(VLOOKUP(B556,Tableau5[#All],5,FALSE),"Matricule!")</f>
        <v>15</v>
      </c>
      <c r="J556" s="62">
        <f>IFERROR(VLOOKUP(B556,Tableau5[#All],6,FALSE),"Matricule!")</f>
        <v>0</v>
      </c>
      <c r="K556" s="62">
        <f>IFERROR(VLOOKUP(B556,Tableau5[#All],7,FALSE),"Matricule!")</f>
        <v>5</v>
      </c>
      <c r="L556" s="62" t="e">
        <f>VLOOKUP(Tableau242[[#This Row],[Company number]],#REF!,25,FALSE)</f>
        <v>#REF!</v>
      </c>
      <c r="M556" s="62" t="str">
        <f>IFERROR(VLOOKUP(Tableau242[[#This Row],[Company number]],#REF!,30,FALSE),"")</f>
        <v/>
      </c>
      <c r="N556" s="62" t="str">
        <f>IFERROR(VLOOKUP(Tableau242[[#This Row],[Company number]],#REF!,31,FALSE),"")</f>
        <v/>
      </c>
      <c r="O556" s="62" t="str">
        <f>IFERROR(VLOOKUP(Tableau242[[#This Row],[Company number]],#REF!,32,FALSE),"")</f>
        <v/>
      </c>
      <c r="P556" s="62">
        <f>IFERROR(VLOOKUP(B556,Tableau3[#All],5,FALSE),"Matricule!")</f>
        <v>0</v>
      </c>
      <c r="Q556" s="62">
        <f>IFERROR(SUM(VLOOKUP(B556,Tableau3[#All],6,FALSE),VLOOKUP(B556,Tableau3[#All],8,FALSE)),"Matricule!")</f>
        <v>15</v>
      </c>
      <c r="R556" s="62">
        <f>IFERROR(VLOOKUP(B556,Tableau3[#All],7,FALSE),"Matricule!")</f>
        <v>0</v>
      </c>
      <c r="S556" s="62">
        <f>IFERROR(Tableau242[[#This Row],[Prod. days WK]]-Tableau242[[#This Row],[Prod PXX]],"Matricule")</f>
        <v>0</v>
      </c>
      <c r="T556" s="62">
        <f>IFERROR(Tableau242[[#This Row],[Non prod. days WK]]-Tableau242[[#This Row],[Improd PXX]],"Matricule")</f>
        <v>0</v>
      </c>
      <c r="U556" s="62">
        <f>IFERROR(Tableau242[[#This Row],[Paid leave days WK]]-Tableau242[[#This Row],[Congé PXX]],"Matricule")</f>
        <v>0</v>
      </c>
      <c r="V556" s="63">
        <f>IFERROR(VLOOKUP($B556,#REF!,4,FALSE),0)</f>
        <v>0</v>
      </c>
      <c r="W55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56" s="63">
        <f>IF(AND(Tableau242[[#This Row],[Paid leave days]]&gt;0,Tableau242[[#This Row],[Prod. days]]&lt;0),MIN(Tableau242[[#This Row],[Paid leave days]],-Tableau242[[#This Row],[Prod. days]]),0)</f>
        <v>0</v>
      </c>
      <c r="Z556" s="63">
        <f>IFERROR(_xlfn.XLOOKUP(Tableau242[[#This Row],[Consultant]],Tableau2[Collaborateur/Nom affiché],Tableau2[Montant imputé],0),0)</f>
        <v>0</v>
      </c>
      <c r="AA556" s="64">
        <f t="shared" si="9"/>
        <v>0</v>
      </c>
      <c r="AB556" s="65"/>
      <c r="AC556" s="66"/>
      <c r="AD556" s="66"/>
      <c r="AE556" s="105"/>
      <c r="AF556" s="90"/>
    </row>
    <row r="557" spans="1:32" ht="14.45" customHeight="1">
      <c r="A557" s="15">
        <f>Tableau242[[#This Row],[Company number]]+0</f>
        <v>22528</v>
      </c>
      <c r="B557" s="60" t="s">
        <v>1231</v>
      </c>
      <c r="C557" s="61" t="s">
        <v>1232</v>
      </c>
      <c r="D557" s="61" t="s">
        <v>874</v>
      </c>
      <c r="E557" s="62" t="str">
        <f>IFERROR(VLOOKUP(Tableau242[[#This Row],[Manager ou CDM concerné]],Parametres!B:C,2,FALSE),"")</f>
        <v>Squad G</v>
      </c>
      <c r="F557" s="62" t="str">
        <f>IF(Tableau242[[#This Row],[Consultant]]=Tableau242[[#This Row],[Manager ou CDM concerné]],"Non",IF(IFERROR(VLOOKUP(Tableau242[[#This Row],[Consultant]],Parametres!B:C,2,FALSE),0)=0,"Non","Oui"))</f>
        <v>Non</v>
      </c>
      <c r="G557" s="62">
        <f>IFERROR(VLOOKUP(B557,Tableau5[#All],4,FALSE),"Matricule!")</f>
        <v>0</v>
      </c>
      <c r="H557" s="62" t="str">
        <f>IFERROR(VLOOKUP(Tableau242[[#This Row],[Company number]],#REF!,6,FALSE),"")</f>
        <v/>
      </c>
      <c r="I557" s="62">
        <f>IFERROR(VLOOKUP(B557,Tableau5[#All],5,FALSE),"Matricule!")</f>
        <v>20</v>
      </c>
      <c r="J557" s="62">
        <f>IFERROR(VLOOKUP(B557,Tableau5[#All],6,FALSE),"Matricule!")</f>
        <v>0</v>
      </c>
      <c r="K557" s="62">
        <f>IFERROR(VLOOKUP(B557,Tableau5[#All],7,FALSE),"Matricule!")</f>
        <v>0</v>
      </c>
      <c r="L557" s="62" t="e">
        <f>VLOOKUP(Tableau242[[#This Row],[Company number]],#REF!,25,FALSE)</f>
        <v>#REF!</v>
      </c>
      <c r="M557" s="62" t="str">
        <f>IFERROR(VLOOKUP(Tableau242[[#This Row],[Company number]],#REF!,30,FALSE),"")</f>
        <v/>
      </c>
      <c r="N557" s="62" t="str">
        <f>IFERROR(VLOOKUP(Tableau242[[#This Row],[Company number]],#REF!,31,FALSE),"")</f>
        <v/>
      </c>
      <c r="O557" s="62" t="str">
        <f>IFERROR(VLOOKUP(Tableau242[[#This Row],[Company number]],#REF!,32,FALSE),"")</f>
        <v/>
      </c>
      <c r="P557" s="62">
        <f>IFERROR(VLOOKUP(B557,Tableau3[#All],5,FALSE),"Matricule!")</f>
        <v>0</v>
      </c>
      <c r="Q557" s="62">
        <f>IFERROR(SUM(VLOOKUP(B557,Tableau3[#All],6,FALSE),VLOOKUP(B557,Tableau3[#All],8,FALSE)),"Matricule!")</f>
        <v>20</v>
      </c>
      <c r="R557" s="62">
        <f>IFERROR(VLOOKUP(B557,Tableau3[#All],7,FALSE),"Matricule!")</f>
        <v>0</v>
      </c>
      <c r="S557" s="62">
        <f>IFERROR(Tableau242[[#This Row],[Prod. days WK]]-Tableau242[[#This Row],[Prod PXX]],"Matricule")</f>
        <v>0</v>
      </c>
      <c r="T557" s="62">
        <f>IFERROR(Tableau242[[#This Row],[Non prod. days WK]]-Tableau242[[#This Row],[Improd PXX]],"Matricule")</f>
        <v>0</v>
      </c>
      <c r="U557" s="62">
        <f>IFERROR(Tableau242[[#This Row],[Paid leave days WK]]-Tableau242[[#This Row],[Congé PXX]],"Matricule")</f>
        <v>0</v>
      </c>
      <c r="V557" s="63">
        <f>IFERROR(VLOOKUP($B557,#REF!,4,FALSE),0)</f>
        <v>0</v>
      </c>
      <c r="W55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57" s="63">
        <f>IF(AND(Tableau242[[#This Row],[Paid leave days]]&gt;0,Tableau242[[#This Row],[Prod. days]]&lt;0),MIN(Tableau242[[#This Row],[Paid leave days]],-Tableau242[[#This Row],[Prod. days]]),0)</f>
        <v>0</v>
      </c>
      <c r="Z557" s="63">
        <f>IFERROR(_xlfn.XLOOKUP(Tableau242[[#This Row],[Consultant]],Tableau2[Collaborateur/Nom affiché],Tableau2[Montant imputé],0),0)</f>
        <v>0</v>
      </c>
      <c r="AA557" s="64">
        <f t="shared" si="9"/>
        <v>0</v>
      </c>
      <c r="AB557" s="65"/>
      <c r="AC557" s="66"/>
      <c r="AD557" s="66"/>
      <c r="AE557" s="105"/>
      <c r="AF557" s="90"/>
    </row>
    <row r="558" spans="1:32" ht="14.45" customHeight="1">
      <c r="A558" s="15">
        <f>Tableau242[[#This Row],[Company number]]+0</f>
        <v>20842</v>
      </c>
      <c r="B558" s="60" t="s">
        <v>1233</v>
      </c>
      <c r="C558" s="61" t="s">
        <v>1234</v>
      </c>
      <c r="D558" s="61" t="s">
        <v>85</v>
      </c>
      <c r="E558" s="62" t="str">
        <f>IFERROR(VLOOKUP(Tableau242[[#This Row],[Manager ou CDM concerné]],Parametres!B:C,2,FALSE),"")</f>
        <v>Squad G</v>
      </c>
      <c r="F558" s="62" t="str">
        <f>IF(Tableau242[[#This Row],[Consultant]]=Tableau242[[#This Row],[Manager ou CDM concerné]],"Non",IF(IFERROR(VLOOKUP(Tableau242[[#This Row],[Consultant]],Parametres!B:C,2,FALSE),0)=0,"Non","Oui"))</f>
        <v>Non</v>
      </c>
      <c r="G558" s="62">
        <f>IFERROR(VLOOKUP(B558,Tableau5[#All],4,FALSE),"Matricule!")</f>
        <v>19.5</v>
      </c>
      <c r="H558" s="62" t="str">
        <f>IFERROR(VLOOKUP(Tableau242[[#This Row],[Company number]],#REF!,6,FALSE),"")</f>
        <v/>
      </c>
      <c r="I558" s="62">
        <f>IFERROR(VLOOKUP(B558,Tableau5[#All],5,FALSE),"Matricule!")</f>
        <v>0.5</v>
      </c>
      <c r="J558" s="62">
        <f>IFERROR(VLOOKUP(B558,Tableau5[#All],6,FALSE),"Matricule!")</f>
        <v>0</v>
      </c>
      <c r="K558" s="62">
        <f>IFERROR(VLOOKUP(B558,Tableau5[#All],7,FALSE),"Matricule!")</f>
        <v>0</v>
      </c>
      <c r="L558" s="62" t="e">
        <f>VLOOKUP(Tableau242[[#This Row],[Company number]],#REF!,25,FALSE)</f>
        <v>#REF!</v>
      </c>
      <c r="M558" s="62" t="str">
        <f>IFERROR(VLOOKUP(Tableau242[[#This Row],[Company number]],#REF!,30,FALSE),"")</f>
        <v/>
      </c>
      <c r="N558" s="62" t="str">
        <f>IFERROR(VLOOKUP(Tableau242[[#This Row],[Company number]],#REF!,31,FALSE),"")</f>
        <v/>
      </c>
      <c r="O558" s="62" t="str">
        <f>IFERROR(VLOOKUP(Tableau242[[#This Row],[Company number]],#REF!,32,FALSE),"")</f>
        <v/>
      </c>
      <c r="P558" s="62">
        <f>IFERROR(VLOOKUP(B558,Tableau3[#All],5,FALSE),"Matricule!")</f>
        <v>20</v>
      </c>
      <c r="Q558" s="62">
        <f>IFERROR(SUM(VLOOKUP(B558,Tableau3[#All],6,FALSE),VLOOKUP(B558,Tableau3[#All],8,FALSE)),"Matricule!")</f>
        <v>0</v>
      </c>
      <c r="R558" s="62">
        <f>IFERROR(VLOOKUP(B558,Tableau3[#All],7,FALSE),"Matricule!")</f>
        <v>0</v>
      </c>
      <c r="S558" s="62">
        <f>IFERROR(Tableau242[[#This Row],[Prod. days WK]]-Tableau242[[#This Row],[Prod PXX]],"Matricule")</f>
        <v>-0.5</v>
      </c>
      <c r="T558" s="62">
        <f>IFERROR(Tableau242[[#This Row],[Non prod. days WK]]-Tableau242[[#This Row],[Improd PXX]],"Matricule")</f>
        <v>0.5</v>
      </c>
      <c r="U558" s="62">
        <f>IFERROR(Tableau242[[#This Row],[Paid leave days WK]]-Tableau242[[#This Row],[Congé PXX]],"Matricule")</f>
        <v>0</v>
      </c>
      <c r="V558" s="63">
        <f>IFERROR(VLOOKUP($B558,#REF!,4,FALSE),0)</f>
        <v>0</v>
      </c>
      <c r="W55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58" s="63">
        <f>IF(AND(Tableau242[[#This Row],[Paid leave days]]&gt;0,Tableau242[[#This Row],[Prod. days]]&lt;0),MIN(Tableau242[[#This Row],[Paid leave days]],-Tableau242[[#This Row],[Prod. days]]),0)</f>
        <v>0</v>
      </c>
      <c r="Z558" s="63">
        <f>IFERROR(_xlfn.XLOOKUP(Tableau242[[#This Row],[Consultant]],Tableau2[Collaborateur/Nom affiché],Tableau2[Montant imputé],0),0)</f>
        <v>0</v>
      </c>
      <c r="AA558" s="64">
        <f t="shared" si="9"/>
        <v>-0.5</v>
      </c>
      <c r="AB558" s="65" t="s">
        <v>154</v>
      </c>
      <c r="AC558" s="66"/>
      <c r="AD558" s="66"/>
      <c r="AE558" s="39"/>
      <c r="AF558" s="90" t="s">
        <v>1235</v>
      </c>
    </row>
    <row r="559" spans="1:32">
      <c r="A559" s="15">
        <f>Tableau242[[#This Row],[Company number]]+0</f>
        <v>13441</v>
      </c>
      <c r="B559" s="60" t="s">
        <v>1236</v>
      </c>
      <c r="C559" s="61" t="s">
        <v>1237</v>
      </c>
      <c r="D559" s="61" t="s">
        <v>80</v>
      </c>
      <c r="E559" s="62" t="str">
        <f>IFERROR(VLOOKUP(Tableau242[[#This Row],[Manager ou CDM concerné]],Parametres!B:C,2,FALSE),"")</f>
        <v>Squad A</v>
      </c>
      <c r="F559" s="62" t="str">
        <f>IF(Tableau242[[#This Row],[Consultant]]=Tableau242[[#This Row],[Manager ou CDM concerné]],"Non",IF(IFERROR(VLOOKUP(Tableau242[[#This Row],[Consultant]],Parametres!B:C,2,FALSE),0)=0,"Non","Oui"))</f>
        <v>Non</v>
      </c>
      <c r="G559" s="62">
        <f>IFERROR(VLOOKUP(B559,Tableau5[#All],4,FALSE),"Matricule!")</f>
        <v>0</v>
      </c>
      <c r="H559" s="62" t="str">
        <f>IFERROR(VLOOKUP(Tableau242[[#This Row],[Company number]],#REF!,6,FALSE),"")</f>
        <v/>
      </c>
      <c r="I559" s="62">
        <f>IFERROR(VLOOKUP(B559,Tableau5[#All],5,FALSE),"Matricule!")</f>
        <v>1</v>
      </c>
      <c r="J559" s="62">
        <f>IFERROR(VLOOKUP(B559,Tableau5[#All],6,FALSE),"Matricule!")</f>
        <v>0</v>
      </c>
      <c r="K559" s="62">
        <f>IFERROR(VLOOKUP(B559,Tableau5[#All],7,FALSE),"Matricule!")</f>
        <v>19</v>
      </c>
      <c r="L559" s="62" t="e">
        <f>VLOOKUP(Tableau242[[#This Row],[Company number]],#REF!,25,FALSE)</f>
        <v>#REF!</v>
      </c>
      <c r="M559" s="62" t="str">
        <f>IFERROR(VLOOKUP(Tableau242[[#This Row],[Company number]],#REF!,30,FALSE),"")</f>
        <v/>
      </c>
      <c r="N559" s="62" t="str">
        <f>IFERROR(VLOOKUP(Tableau242[[#This Row],[Company number]],#REF!,31,FALSE),"")</f>
        <v/>
      </c>
      <c r="O559" s="62" t="str">
        <f>IFERROR(VLOOKUP(Tableau242[[#This Row],[Company number]],#REF!,32,FALSE),"")</f>
        <v/>
      </c>
      <c r="P559" s="62">
        <f>IFERROR(VLOOKUP(B559,Tableau3[#All],5,FALSE),"Matricule!")</f>
        <v>0</v>
      </c>
      <c r="Q559" s="62">
        <f>IFERROR(SUM(VLOOKUP(B559,Tableau3[#All],6,FALSE),VLOOKUP(B559,Tableau3[#All],8,FALSE)),"Matricule!")</f>
        <v>20</v>
      </c>
      <c r="R559" s="62">
        <f>IFERROR(VLOOKUP(B559,Tableau3[#All],7,FALSE),"Matricule!")</f>
        <v>0</v>
      </c>
      <c r="S559" s="62">
        <f>IFERROR(Tableau242[[#This Row],[Prod. days WK]]-Tableau242[[#This Row],[Prod PXX]],"Matricule")</f>
        <v>0</v>
      </c>
      <c r="T559" s="62">
        <f>IFERROR(Tableau242[[#This Row],[Non prod. days WK]]-Tableau242[[#This Row],[Improd PXX]],"Matricule")</f>
        <v>-19</v>
      </c>
      <c r="U559" s="62">
        <f>IFERROR(Tableau242[[#This Row],[Paid leave days WK]]-Tableau242[[#This Row],[Congé PXX]],"Matricule")</f>
        <v>0</v>
      </c>
      <c r="V559" s="63">
        <f>IFERROR(VLOOKUP($B559,#REF!,4,FALSE),0)</f>
        <v>0</v>
      </c>
      <c r="W55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5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59" s="63">
        <f>IF(AND(Tableau242[[#This Row],[Paid leave days]]&gt;0,Tableau242[[#This Row],[Prod. days]]&lt;0),MIN(Tableau242[[#This Row],[Paid leave days]],-Tableau242[[#This Row],[Prod. days]]),0)</f>
        <v>0</v>
      </c>
      <c r="Z559" s="63">
        <f>IFERROR(_xlfn.XLOOKUP(Tableau242[[#This Row],[Consultant]],Tableau2[Collaborateur/Nom affiché],Tableau2[Montant imputé],0),0)</f>
        <v>0</v>
      </c>
      <c r="AA559" s="64">
        <f t="shared" si="9"/>
        <v>0</v>
      </c>
      <c r="AB559" s="65" t="s">
        <v>154</v>
      </c>
      <c r="AC559" s="66"/>
      <c r="AD559" s="66"/>
      <c r="AE559" s="105"/>
      <c r="AF559" s="90" t="s">
        <v>1238</v>
      </c>
    </row>
    <row r="560" spans="1:32" ht="14.45" customHeight="1">
      <c r="A560" s="15">
        <f>Tableau242[[#This Row],[Company number]]+0</f>
        <v>21623</v>
      </c>
      <c r="B560" s="60" t="s">
        <v>1239</v>
      </c>
      <c r="C560" s="61" t="s">
        <v>1240</v>
      </c>
      <c r="D560" s="61" t="s">
        <v>80</v>
      </c>
      <c r="E560" s="62" t="str">
        <f>IFERROR(VLOOKUP(Tableau242[[#This Row],[Manager ou CDM concerné]],Parametres!B:C,2,FALSE),"")</f>
        <v>Squad A</v>
      </c>
      <c r="F560" s="62" t="str">
        <f>IF(Tableau242[[#This Row],[Consultant]]=Tableau242[[#This Row],[Manager ou CDM concerné]],"Non",IF(IFERROR(VLOOKUP(Tableau242[[#This Row],[Consultant]],Parametres!B:C,2,FALSE),0)=0,"Non","Oui"))</f>
        <v>Non</v>
      </c>
      <c r="G560" s="62">
        <f>IFERROR(VLOOKUP(B560,Tableau5[#All],4,FALSE),"Matricule!")</f>
        <v>19</v>
      </c>
      <c r="H560" s="62" t="str">
        <f>IFERROR(VLOOKUP(Tableau242[[#This Row],[Company number]],#REF!,6,FALSE),"")</f>
        <v/>
      </c>
      <c r="I560" s="62">
        <f>IFERROR(VLOOKUP(B560,Tableau5[#All],5,FALSE),"Matricule!")</f>
        <v>0</v>
      </c>
      <c r="J560" s="62">
        <f>IFERROR(VLOOKUP(B560,Tableau5[#All],6,FALSE),"Matricule!")</f>
        <v>1</v>
      </c>
      <c r="K560" s="62">
        <f>IFERROR(VLOOKUP(B560,Tableau5[#All],7,FALSE),"Matricule!")</f>
        <v>0</v>
      </c>
      <c r="L560" s="62" t="e">
        <f>VLOOKUP(Tableau242[[#This Row],[Company number]],#REF!,25,FALSE)</f>
        <v>#REF!</v>
      </c>
      <c r="M560" s="62" t="str">
        <f>IFERROR(VLOOKUP(Tableau242[[#This Row],[Company number]],#REF!,30,FALSE),"")</f>
        <v/>
      </c>
      <c r="N560" s="62" t="str">
        <f>IFERROR(VLOOKUP(Tableau242[[#This Row],[Company number]],#REF!,31,FALSE),"")</f>
        <v/>
      </c>
      <c r="O560" s="62" t="str">
        <f>IFERROR(VLOOKUP(Tableau242[[#This Row],[Company number]],#REF!,32,FALSE),"")</f>
        <v/>
      </c>
      <c r="P560" s="62">
        <f>IFERROR(VLOOKUP(B560,Tableau3[#All],5,FALSE),"Matricule!")</f>
        <v>19</v>
      </c>
      <c r="Q560" s="62">
        <f>IFERROR(SUM(VLOOKUP(B560,Tableau3[#All],6,FALSE),VLOOKUP(B560,Tableau3[#All],8,FALSE)),"Matricule!")</f>
        <v>0</v>
      </c>
      <c r="R560" s="62">
        <f>IFERROR(VLOOKUP(B560,Tableau3[#All],7,FALSE),"Matricule!")</f>
        <v>1</v>
      </c>
      <c r="S560" s="62">
        <f>IFERROR(Tableau242[[#This Row],[Prod. days WK]]-Tableau242[[#This Row],[Prod PXX]],"Matricule")</f>
        <v>0</v>
      </c>
      <c r="T560" s="62">
        <f>IFERROR(Tableau242[[#This Row],[Non prod. days WK]]-Tableau242[[#This Row],[Improd PXX]],"Matricule")</f>
        <v>0</v>
      </c>
      <c r="U560" s="62">
        <f>IFERROR(Tableau242[[#This Row],[Paid leave days WK]]-Tableau242[[#This Row],[Congé PXX]],"Matricule")</f>
        <v>0</v>
      </c>
      <c r="V560" s="63">
        <f>IFERROR(VLOOKUP($B560,#REF!,4,FALSE),0)</f>
        <v>0</v>
      </c>
      <c r="W56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60" s="63">
        <f>IF(AND(Tableau242[[#This Row],[Paid leave days]]&gt;0,Tableau242[[#This Row],[Prod. days]]&lt;0),MIN(Tableau242[[#This Row],[Paid leave days]],-Tableau242[[#This Row],[Prod. days]]),0)</f>
        <v>0</v>
      </c>
      <c r="Z560" s="63">
        <f>IFERROR(_xlfn.XLOOKUP(Tableau242[[#This Row],[Consultant]],Tableau2[Collaborateur/Nom affiché],Tableau2[Montant imputé],0),0)</f>
        <v>0</v>
      </c>
      <c r="AA560" s="64">
        <f t="shared" si="9"/>
        <v>0</v>
      </c>
      <c r="AB560" s="65"/>
      <c r="AC560" s="66"/>
      <c r="AD560" s="66"/>
      <c r="AE560" s="115"/>
      <c r="AF560" s="90"/>
    </row>
    <row r="561" spans="1:32" ht="14.45" customHeight="1">
      <c r="A561" s="15">
        <f>Tableau242[[#This Row],[Company number]]+0</f>
        <v>13105</v>
      </c>
      <c r="B561" s="60" t="s">
        <v>1241</v>
      </c>
      <c r="C561" s="61" t="s">
        <v>1242</v>
      </c>
      <c r="D561" s="61" t="s">
        <v>80</v>
      </c>
      <c r="E561" s="62" t="str">
        <f>IFERROR(VLOOKUP(Tableau242[[#This Row],[Manager ou CDM concerné]],Parametres!B:C,2,FALSE),"")</f>
        <v>Squad A</v>
      </c>
      <c r="F561" s="62" t="str">
        <f>IF(Tableau242[[#This Row],[Consultant]]=Tableau242[[#This Row],[Manager ou CDM concerné]],"Non",IF(IFERROR(VLOOKUP(Tableau242[[#This Row],[Consultant]],Parametres!B:C,2,FALSE),0)=0,"Non","Oui"))</f>
        <v>Non</v>
      </c>
      <c r="G561" s="62">
        <f>IFERROR(VLOOKUP(B561,Tableau5[#All],4,FALSE),"Matricule!")</f>
        <v>16</v>
      </c>
      <c r="H561" s="62" t="str">
        <f>IFERROR(VLOOKUP(Tableau242[[#This Row],[Company number]],#REF!,6,FALSE),"")</f>
        <v/>
      </c>
      <c r="I561" s="62">
        <f>IFERROR(VLOOKUP(B561,Tableau5[#All],5,FALSE),"Matricule!")</f>
        <v>4</v>
      </c>
      <c r="J561" s="62">
        <f>IFERROR(VLOOKUP(B561,Tableau5[#All],6,FALSE),"Matricule!")</f>
        <v>0</v>
      </c>
      <c r="K561" s="62">
        <f>IFERROR(VLOOKUP(B561,Tableau5[#All],7,FALSE),"Matricule!")</f>
        <v>0</v>
      </c>
      <c r="L561" s="62" t="e">
        <f>VLOOKUP(Tableau242[[#This Row],[Company number]],#REF!,25,FALSE)</f>
        <v>#REF!</v>
      </c>
      <c r="M561" s="62" t="str">
        <f>IFERROR(VLOOKUP(Tableau242[[#This Row],[Company number]],#REF!,30,FALSE),"")</f>
        <v/>
      </c>
      <c r="N561" s="62" t="str">
        <f>IFERROR(VLOOKUP(Tableau242[[#This Row],[Company number]],#REF!,31,FALSE),"")</f>
        <v/>
      </c>
      <c r="O561" s="62" t="str">
        <f>IFERROR(VLOOKUP(Tableau242[[#This Row],[Company number]],#REF!,32,FALSE),"")</f>
        <v/>
      </c>
      <c r="P561" s="62">
        <f>IFERROR(VLOOKUP(B561,Tableau3[#All],5,FALSE),"Matricule!")</f>
        <v>16</v>
      </c>
      <c r="Q561" s="62">
        <f>IFERROR(SUM(VLOOKUP(B561,Tableau3[#All],6,FALSE),VLOOKUP(B561,Tableau3[#All],8,FALSE)),"Matricule!")</f>
        <v>4</v>
      </c>
      <c r="R561" s="62">
        <f>IFERROR(VLOOKUP(B561,Tableau3[#All],7,FALSE),"Matricule!")</f>
        <v>0</v>
      </c>
      <c r="S561" s="62">
        <f>IFERROR(Tableau242[[#This Row],[Prod. days WK]]-Tableau242[[#This Row],[Prod PXX]],"Matricule")</f>
        <v>0</v>
      </c>
      <c r="T561" s="62">
        <f>IFERROR(Tableau242[[#This Row],[Non prod. days WK]]-Tableau242[[#This Row],[Improd PXX]],"Matricule")</f>
        <v>0</v>
      </c>
      <c r="U561" s="62">
        <f>IFERROR(Tableau242[[#This Row],[Paid leave days WK]]-Tableau242[[#This Row],[Congé PXX]],"Matricule")</f>
        <v>0</v>
      </c>
      <c r="V561" s="63">
        <f>IFERROR(VLOOKUP($B561,#REF!,4,FALSE),0)</f>
        <v>0</v>
      </c>
      <c r="W56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561" s="63">
        <f>IF(AND(Tableau242[[#This Row],[Paid leave days]]&gt;0,Tableau242[[#This Row],[Prod. days]]&lt;0),MIN(Tableau242[[#This Row],[Paid leave days]],-Tableau242[[#This Row],[Prod. days]]),0)</f>
        <v>0</v>
      </c>
      <c r="Z561" s="63">
        <f>IFERROR(_xlfn.XLOOKUP(Tableau242[[#This Row],[Consultant]],Tableau2[Collaborateur/Nom affiché],Tableau2[Montant imputé],0),0)</f>
        <v>4</v>
      </c>
      <c r="AA561" s="64">
        <f t="shared" si="9"/>
        <v>4</v>
      </c>
      <c r="AB561" s="65" t="s">
        <v>590</v>
      </c>
      <c r="AC561" s="66"/>
      <c r="AD561" s="66"/>
      <c r="AE561" s="105"/>
      <c r="AF561" s="90"/>
    </row>
    <row r="562" spans="1:32" ht="14.45" customHeight="1">
      <c r="A562" s="15">
        <f>Tableau242[[#This Row],[Company number]]+0</f>
        <v>11205</v>
      </c>
      <c r="B562" s="60" t="s">
        <v>1243</v>
      </c>
      <c r="C562" s="61" t="s">
        <v>1244</v>
      </c>
      <c r="D562" s="61" t="s">
        <v>80</v>
      </c>
      <c r="E562" s="62" t="str">
        <f>IFERROR(VLOOKUP(Tableau242[[#This Row],[Manager ou CDM concerné]],Parametres!B:C,2,FALSE),"")</f>
        <v>Squad A</v>
      </c>
      <c r="F562" s="62" t="str">
        <f>IF(Tableau242[[#This Row],[Consultant]]=Tableau242[[#This Row],[Manager ou CDM concerné]],"Non",IF(IFERROR(VLOOKUP(Tableau242[[#This Row],[Consultant]],Parametres!B:C,2,FALSE),0)=0,"Non","Oui"))</f>
        <v>Non</v>
      </c>
      <c r="G562" s="62">
        <f>IFERROR(VLOOKUP(B562,Tableau5[#All],4,FALSE),"Matricule!")</f>
        <v>0</v>
      </c>
      <c r="H562" s="62" t="str">
        <f>IFERROR(VLOOKUP(Tableau242[[#This Row],[Company number]],#REF!,6,FALSE),"")</f>
        <v/>
      </c>
      <c r="I562" s="62">
        <f>IFERROR(VLOOKUP(B562,Tableau5[#All],5,FALSE),"Matricule!")</f>
        <v>19</v>
      </c>
      <c r="J562" s="62">
        <f>IFERROR(VLOOKUP(B562,Tableau5[#All],6,FALSE),"Matricule!")</f>
        <v>1</v>
      </c>
      <c r="K562" s="62">
        <f>IFERROR(VLOOKUP(B562,Tableau5[#All],7,FALSE),"Matricule!")</f>
        <v>0</v>
      </c>
      <c r="L562" s="62" t="e">
        <f>VLOOKUP(Tableau242[[#This Row],[Company number]],#REF!,25,FALSE)</f>
        <v>#REF!</v>
      </c>
      <c r="M562" s="62" t="str">
        <f>IFERROR(VLOOKUP(Tableau242[[#This Row],[Company number]],#REF!,30,FALSE),"")</f>
        <v/>
      </c>
      <c r="N562" s="62" t="str">
        <f>IFERROR(VLOOKUP(Tableau242[[#This Row],[Company number]],#REF!,31,FALSE),"")</f>
        <v/>
      </c>
      <c r="O562" s="62" t="str">
        <f>IFERROR(VLOOKUP(Tableau242[[#This Row],[Company number]],#REF!,32,FALSE),"")</f>
        <v/>
      </c>
      <c r="P562" s="68">
        <f>IFERROR(VLOOKUP(B562,Tableau3[#All],5,FALSE),"Matricule!")</f>
        <v>19</v>
      </c>
      <c r="Q562" s="68">
        <f>IFERROR(SUM(VLOOKUP(B562,Tableau3[#All],6,FALSE),VLOOKUP(B562,Tableau3[#All],8,FALSE)),"Matricule!")</f>
        <v>0</v>
      </c>
      <c r="R562" s="68">
        <f>IFERROR(VLOOKUP(B562,Tableau3[#All],7,FALSE),"Matricule!")</f>
        <v>1</v>
      </c>
      <c r="S562" s="62">
        <f>IFERROR(Tableau242[[#This Row],[Prod. days WK]]-Tableau242[[#This Row],[Prod PXX]],"Matricule")</f>
        <v>-19</v>
      </c>
      <c r="T562" s="62">
        <f>IFERROR(Tableau242[[#This Row],[Non prod. days WK]]-Tableau242[[#This Row],[Improd PXX]],"Matricule")</f>
        <v>19</v>
      </c>
      <c r="U562" s="62">
        <f>IFERROR(Tableau242[[#This Row],[Paid leave days WK]]-Tableau242[[#This Row],[Congé PXX]],"Matricule")</f>
        <v>0</v>
      </c>
      <c r="V562" s="63">
        <f>IFERROR(VLOOKUP($B562,#REF!,4,FALSE),0)</f>
        <v>0</v>
      </c>
      <c r="W56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562" s="63">
        <f>IF(AND(Tableau242[[#This Row],[Paid leave days]]&gt;0,Tableau242[[#This Row],[Prod. days]]&lt;0),MIN(Tableau242[[#This Row],[Paid leave days]],-Tableau242[[#This Row],[Prod. days]]),0)</f>
        <v>0</v>
      </c>
      <c r="Z562" s="63">
        <f>IFERROR(_xlfn.XLOOKUP(Tableau242[[#This Row],[Consultant]],Tableau2[Collaborateur/Nom affiché],Tableau2[Montant imputé],0),0)</f>
        <v>19</v>
      </c>
      <c r="AA562" s="64">
        <f t="shared" si="9"/>
        <v>0</v>
      </c>
      <c r="AB562" s="65" t="s">
        <v>590</v>
      </c>
      <c r="AC562" s="66"/>
      <c r="AD562" s="66"/>
      <c r="AE562" s="105"/>
      <c r="AF562" s="90"/>
    </row>
    <row r="563" spans="1:32" ht="14.45" customHeight="1">
      <c r="A563" s="15">
        <f>Tableau242[[#This Row],[Company number]]+0</f>
        <v>15106</v>
      </c>
      <c r="B563" s="60" t="s">
        <v>1245</v>
      </c>
      <c r="C563" s="61" t="s">
        <v>1246</v>
      </c>
      <c r="D563" s="61" t="s">
        <v>80</v>
      </c>
      <c r="E563" s="62" t="str">
        <f>IFERROR(VLOOKUP(Tableau242[[#This Row],[Manager ou CDM concerné]],Parametres!B:C,2,FALSE),"")</f>
        <v>Squad A</v>
      </c>
      <c r="F563" s="62" t="str">
        <f>IF(Tableau242[[#This Row],[Consultant]]=Tableau242[[#This Row],[Manager ou CDM concerné]],"Non",IF(IFERROR(VLOOKUP(Tableau242[[#This Row],[Consultant]],Parametres!B:C,2,FALSE),0)=0,"Non","Oui"))</f>
        <v>Non</v>
      </c>
      <c r="G563" s="62">
        <f>IFERROR(VLOOKUP(B563,Tableau5[#All],4,FALSE),"Matricule!")</f>
        <v>18</v>
      </c>
      <c r="H563" s="62" t="str">
        <f>IFERROR(VLOOKUP(Tableau242[[#This Row],[Company number]],#REF!,6,FALSE),"")</f>
        <v/>
      </c>
      <c r="I563" s="62">
        <f>IFERROR(VLOOKUP(B563,Tableau5[#All],5,FALSE),"Matricule!")</f>
        <v>0</v>
      </c>
      <c r="J563" s="62">
        <f>IFERROR(VLOOKUP(B563,Tableau5[#All],6,FALSE),"Matricule!")</f>
        <v>2</v>
      </c>
      <c r="K563" s="62">
        <f>IFERROR(VLOOKUP(B563,Tableau5[#All],7,FALSE),"Matricule!")</f>
        <v>0</v>
      </c>
      <c r="L563" s="62" t="e">
        <f>VLOOKUP(Tableau242[[#This Row],[Company number]],#REF!,25,FALSE)</f>
        <v>#REF!</v>
      </c>
      <c r="M563" s="62" t="str">
        <f>IFERROR(VLOOKUP(Tableau242[[#This Row],[Company number]],#REF!,30,FALSE),"")</f>
        <v/>
      </c>
      <c r="N563" s="62" t="str">
        <f>IFERROR(VLOOKUP(Tableau242[[#This Row],[Company number]],#REF!,31,FALSE),"")</f>
        <v/>
      </c>
      <c r="O563" s="62" t="str">
        <f>IFERROR(VLOOKUP(Tableau242[[#This Row],[Company number]],#REF!,32,FALSE),"")</f>
        <v/>
      </c>
      <c r="P563" s="62">
        <f>IFERROR(VLOOKUP(B563,Tableau3[#All],5,FALSE),"Matricule!")</f>
        <v>18</v>
      </c>
      <c r="Q563" s="62">
        <f>IFERROR(SUM(VLOOKUP(B563,Tableau3[#All],6,FALSE),VLOOKUP(B563,Tableau3[#All],8,FALSE)),"Matricule!")</f>
        <v>0</v>
      </c>
      <c r="R563" s="62">
        <f>IFERROR(VLOOKUP(B563,Tableau3[#All],7,FALSE),"Matricule!")</f>
        <v>2</v>
      </c>
      <c r="S563" s="62">
        <f>IFERROR(Tableau242[[#This Row],[Prod. days WK]]-Tableau242[[#This Row],[Prod PXX]],"Matricule")</f>
        <v>0</v>
      </c>
      <c r="T563" s="62">
        <f>IFERROR(Tableau242[[#This Row],[Non prod. days WK]]-Tableau242[[#This Row],[Improd PXX]],"Matricule")</f>
        <v>0</v>
      </c>
      <c r="U563" s="62">
        <f>IFERROR(Tableau242[[#This Row],[Paid leave days WK]]-Tableau242[[#This Row],[Congé PXX]],"Matricule")</f>
        <v>0</v>
      </c>
      <c r="V563" s="63">
        <f>IFERROR(VLOOKUP($B563,#REF!,4,FALSE),0)</f>
        <v>0</v>
      </c>
      <c r="W56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63" s="63">
        <f>IF(AND(Tableau242[[#This Row],[Paid leave days]]&gt;0,Tableau242[[#This Row],[Prod. days]]&lt;0),MIN(Tableau242[[#This Row],[Paid leave days]],-Tableau242[[#This Row],[Prod. days]]),0)</f>
        <v>0</v>
      </c>
      <c r="Z563" s="63">
        <f>IFERROR(_xlfn.XLOOKUP(Tableau242[[#This Row],[Consultant]],Tableau2[Collaborateur/Nom affiché],Tableau2[Montant imputé],0),0)</f>
        <v>0</v>
      </c>
      <c r="AA563" s="64">
        <f t="shared" si="9"/>
        <v>0</v>
      </c>
      <c r="AB563" s="65"/>
      <c r="AC563" s="67"/>
      <c r="AD563" s="67"/>
      <c r="AE563" s="106"/>
      <c r="AF563" s="92"/>
    </row>
    <row r="564" spans="1:32" ht="14.45" customHeight="1">
      <c r="A564" s="15">
        <f>Tableau242[[#This Row],[Company number]]+0</f>
        <v>14877</v>
      </c>
      <c r="B564" s="60" t="s">
        <v>1247</v>
      </c>
      <c r="C564" s="61" t="s">
        <v>1248</v>
      </c>
      <c r="D564" s="61" t="s">
        <v>80</v>
      </c>
      <c r="E564" s="62" t="str">
        <f>IFERROR(VLOOKUP(Tableau242[[#This Row],[Manager ou CDM concerné]],Parametres!B:C,2,FALSE),"")</f>
        <v>Squad A</v>
      </c>
      <c r="F564" s="62" t="str">
        <f>IF(Tableau242[[#This Row],[Consultant]]=Tableau242[[#This Row],[Manager ou CDM concerné]],"Non",IF(IFERROR(VLOOKUP(Tableau242[[#This Row],[Consultant]],Parametres!B:C,2,FALSE),0)=0,"Non","Oui"))</f>
        <v>Non</v>
      </c>
      <c r="G564" s="62">
        <f>IFERROR(VLOOKUP(B564,Tableau5[#All],4,FALSE),"Matricule!")</f>
        <v>16</v>
      </c>
      <c r="H564" s="62" t="str">
        <f>IFERROR(VLOOKUP(Tableau242[[#This Row],[Company number]],#REF!,6,FALSE),"")</f>
        <v/>
      </c>
      <c r="I564" s="62">
        <f>IFERROR(VLOOKUP(B564,Tableau5[#All],5,FALSE),"Matricule!")</f>
        <v>0</v>
      </c>
      <c r="J564" s="62">
        <f>IFERROR(VLOOKUP(B564,Tableau5[#All],6,FALSE),"Matricule!")</f>
        <v>4</v>
      </c>
      <c r="K564" s="62">
        <f>IFERROR(VLOOKUP(B564,Tableau5[#All],7,FALSE),"Matricule!")</f>
        <v>0</v>
      </c>
      <c r="L564" s="62" t="e">
        <f>VLOOKUP(Tableau242[[#This Row],[Company number]],#REF!,25,FALSE)</f>
        <v>#REF!</v>
      </c>
      <c r="M564" s="62" t="str">
        <f>IFERROR(VLOOKUP(Tableau242[[#This Row],[Company number]],#REF!,30,FALSE),"")</f>
        <v/>
      </c>
      <c r="N564" s="62" t="str">
        <f>IFERROR(VLOOKUP(Tableau242[[#This Row],[Company number]],#REF!,31,FALSE),"")</f>
        <v/>
      </c>
      <c r="O564" s="62" t="str">
        <f>IFERROR(VLOOKUP(Tableau242[[#This Row],[Company number]],#REF!,32,FALSE),"")</f>
        <v/>
      </c>
      <c r="P564" s="62">
        <f>IFERROR(VLOOKUP(B564,Tableau3[#All],5,FALSE),"Matricule!")</f>
        <v>16</v>
      </c>
      <c r="Q564" s="62">
        <f>IFERROR(SUM(VLOOKUP(B564,Tableau3[#All],6,FALSE),VLOOKUP(B564,Tableau3[#All],8,FALSE)),"Matricule!")</f>
        <v>0</v>
      </c>
      <c r="R564" s="62">
        <f>IFERROR(VLOOKUP(B564,Tableau3[#All],7,FALSE),"Matricule!")</f>
        <v>4</v>
      </c>
      <c r="S564" s="62">
        <f>IFERROR(Tableau242[[#This Row],[Prod. days WK]]-Tableau242[[#This Row],[Prod PXX]],"Matricule")</f>
        <v>0</v>
      </c>
      <c r="T564" s="62">
        <f>IFERROR(Tableau242[[#This Row],[Non prod. days WK]]-Tableau242[[#This Row],[Improd PXX]],"Matricule")</f>
        <v>0</v>
      </c>
      <c r="U564" s="62">
        <f>IFERROR(Tableau242[[#This Row],[Paid leave days WK]]-Tableau242[[#This Row],[Congé PXX]],"Matricule")</f>
        <v>0</v>
      </c>
      <c r="V564" s="63">
        <f>IFERROR(VLOOKUP($B564,#REF!,4,FALSE),0)</f>
        <v>0</v>
      </c>
      <c r="W56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64" s="63">
        <f>IF(AND(Tableau242[[#This Row],[Paid leave days]]&gt;0,Tableau242[[#This Row],[Prod. days]]&lt;0),MIN(Tableau242[[#This Row],[Paid leave days]],-Tableau242[[#This Row],[Prod. days]]),0)</f>
        <v>0</v>
      </c>
      <c r="Z564" s="63">
        <f>IFERROR(_xlfn.XLOOKUP(Tableau242[[#This Row],[Consultant]],Tableau2[Collaborateur/Nom affiché],Tableau2[Montant imputé],0),0)</f>
        <v>0</v>
      </c>
      <c r="AA564" s="64">
        <f t="shared" si="9"/>
        <v>0</v>
      </c>
      <c r="AB564" s="65"/>
      <c r="AC564" s="66"/>
      <c r="AD564" s="66"/>
      <c r="AE564" s="105"/>
      <c r="AF564" s="90"/>
    </row>
    <row r="565" spans="1:32">
      <c r="A565" s="15">
        <f>Tableau242[[#This Row],[Company number]]+0</f>
        <v>14099</v>
      </c>
      <c r="B565" s="60" t="s">
        <v>1249</v>
      </c>
      <c r="C565" s="61" t="s">
        <v>1250</v>
      </c>
      <c r="D565" s="61" t="s">
        <v>80</v>
      </c>
      <c r="E565" s="62" t="str">
        <f>IFERROR(VLOOKUP(Tableau242[[#This Row],[Manager ou CDM concerné]],Parametres!B:C,2,FALSE),"")</f>
        <v>Squad A</v>
      </c>
      <c r="F565" s="62" t="str">
        <f>IF(Tableau242[[#This Row],[Consultant]]=Tableau242[[#This Row],[Manager ou CDM concerné]],"Non",IF(IFERROR(VLOOKUP(Tableau242[[#This Row],[Consultant]],Parametres!B:C,2,FALSE),0)=0,"Non","Oui"))</f>
        <v>Non</v>
      </c>
      <c r="G565" s="62">
        <f>IFERROR(VLOOKUP(B565,Tableau5[#All],4,FALSE),"Matricule!")</f>
        <v>15</v>
      </c>
      <c r="H565" s="62" t="str">
        <f>IFERROR(VLOOKUP(Tableau242[[#This Row],[Company number]],#REF!,6,FALSE),"")</f>
        <v/>
      </c>
      <c r="I565" s="62">
        <f>IFERROR(VLOOKUP(B565,Tableau5[#All],5,FALSE),"Matricule!")</f>
        <v>3</v>
      </c>
      <c r="J565" s="62">
        <f>IFERROR(VLOOKUP(B565,Tableau5[#All],6,FALSE),"Matricule!")</f>
        <v>2</v>
      </c>
      <c r="K565" s="62">
        <f>IFERROR(VLOOKUP(B565,Tableau5[#All],7,FALSE),"Matricule!")</f>
        <v>0</v>
      </c>
      <c r="L565" s="62" t="e">
        <f>VLOOKUP(Tableau242[[#This Row],[Company number]],#REF!,25,FALSE)</f>
        <v>#REF!</v>
      </c>
      <c r="M565" s="62" t="str">
        <f>IFERROR(VLOOKUP(Tableau242[[#This Row],[Company number]],#REF!,30,FALSE),"")</f>
        <v/>
      </c>
      <c r="N565" s="62" t="str">
        <f>IFERROR(VLOOKUP(Tableau242[[#This Row],[Company number]],#REF!,31,FALSE),"")</f>
        <v/>
      </c>
      <c r="O565" s="62" t="str">
        <f>IFERROR(VLOOKUP(Tableau242[[#This Row],[Company number]],#REF!,32,FALSE),"")</f>
        <v/>
      </c>
      <c r="P565" s="62">
        <f>IFERROR(VLOOKUP(B565,Tableau3[#All],5,FALSE),"Matricule!")</f>
        <v>15</v>
      </c>
      <c r="Q565" s="62">
        <f>IFERROR(SUM(VLOOKUP(B565,Tableau3[#All],6,FALSE),VLOOKUP(B565,Tableau3[#All],8,FALSE)),"Matricule!")</f>
        <v>3</v>
      </c>
      <c r="R565" s="62">
        <f>IFERROR(VLOOKUP(B565,Tableau3[#All],7,FALSE),"Matricule!")</f>
        <v>2</v>
      </c>
      <c r="S565" s="62">
        <f>IFERROR(Tableau242[[#This Row],[Prod. days WK]]-Tableau242[[#This Row],[Prod PXX]],"Matricule")</f>
        <v>0</v>
      </c>
      <c r="T565" s="62">
        <f>IFERROR(Tableau242[[#This Row],[Non prod. days WK]]-Tableau242[[#This Row],[Improd PXX]],"Matricule")</f>
        <v>0</v>
      </c>
      <c r="U565" s="62">
        <f>IFERROR(Tableau242[[#This Row],[Paid leave days WK]]-Tableau242[[#This Row],[Congé PXX]],"Matricule")</f>
        <v>0</v>
      </c>
      <c r="V565" s="63">
        <f>IFERROR(VLOOKUP($B565,#REF!,4,FALSE),0)</f>
        <v>0</v>
      </c>
      <c r="W56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65" s="63">
        <f>IF(AND(Tableau242[[#This Row],[Paid leave days]]&gt;0,Tableau242[[#This Row],[Prod. days]]&lt;0),MIN(Tableau242[[#This Row],[Paid leave days]],-Tableau242[[#This Row],[Prod. days]]),0)</f>
        <v>0</v>
      </c>
      <c r="Z565" s="63">
        <f>IFERROR(_xlfn.XLOOKUP(Tableau242[[#This Row],[Consultant]],Tableau2[Collaborateur/Nom affiché],Tableau2[Montant imputé],0),0)</f>
        <v>0</v>
      </c>
      <c r="AA565" s="64">
        <f t="shared" si="9"/>
        <v>0</v>
      </c>
      <c r="AB565" s="65" t="s">
        <v>154</v>
      </c>
      <c r="AC565" s="66"/>
      <c r="AD565" s="66"/>
      <c r="AE565" s="105"/>
      <c r="AF565" s="90" t="s">
        <v>652</v>
      </c>
    </row>
    <row r="566" spans="1:32" ht="14.45" customHeight="1">
      <c r="A566" s="15">
        <f>Tableau242[[#This Row],[Company number]]+0</f>
        <v>15007</v>
      </c>
      <c r="B566" s="60" t="s">
        <v>1251</v>
      </c>
      <c r="C566" s="61" t="s">
        <v>1252</v>
      </c>
      <c r="D566" s="61" t="s">
        <v>80</v>
      </c>
      <c r="E566" s="62" t="str">
        <f>IFERROR(VLOOKUP(Tableau242[[#This Row],[Manager ou CDM concerné]],Parametres!B:C,2,FALSE),"")</f>
        <v>Squad A</v>
      </c>
      <c r="F566" s="62" t="str">
        <f>IF(Tableau242[[#This Row],[Consultant]]=Tableau242[[#This Row],[Manager ou CDM concerné]],"Non",IF(IFERROR(VLOOKUP(Tableau242[[#This Row],[Consultant]],Parametres!B:C,2,FALSE),0)=0,"Non","Oui"))</f>
        <v>Non</v>
      </c>
      <c r="G566" s="62">
        <f>IFERROR(VLOOKUP(B566,Tableau5[#All],4,FALSE),"Matricule!")</f>
        <v>10.5</v>
      </c>
      <c r="H566" s="62" t="str">
        <f>IFERROR(VLOOKUP(Tableau242[[#This Row],[Company number]],#REF!,6,FALSE),"")</f>
        <v/>
      </c>
      <c r="I566" s="62">
        <f>IFERROR(VLOOKUP(B566,Tableau5[#All],5,FALSE),"Matricule!")</f>
        <v>0</v>
      </c>
      <c r="J566" s="62">
        <f>IFERROR(VLOOKUP(B566,Tableau5[#All],6,FALSE),"Matricule!")</f>
        <v>9.5</v>
      </c>
      <c r="K566" s="62">
        <f>IFERROR(VLOOKUP(B566,Tableau5[#All],7,FALSE),"Matricule!")</f>
        <v>0</v>
      </c>
      <c r="L566" s="62" t="e">
        <f>VLOOKUP(Tableau242[[#This Row],[Company number]],#REF!,25,FALSE)</f>
        <v>#REF!</v>
      </c>
      <c r="M566" s="62" t="str">
        <f>IFERROR(VLOOKUP(Tableau242[[#This Row],[Company number]],#REF!,30,FALSE),"")</f>
        <v/>
      </c>
      <c r="N566" s="62" t="str">
        <f>IFERROR(VLOOKUP(Tableau242[[#This Row],[Company number]],#REF!,31,FALSE),"")</f>
        <v/>
      </c>
      <c r="O566" s="62" t="str">
        <f>IFERROR(VLOOKUP(Tableau242[[#This Row],[Company number]],#REF!,32,FALSE),"")</f>
        <v/>
      </c>
      <c r="P566" s="62">
        <f>IFERROR(VLOOKUP(B566,Tableau3[#All],5,FALSE),"Matricule!")</f>
        <v>10.5</v>
      </c>
      <c r="Q566" s="62">
        <f>IFERROR(SUM(VLOOKUP(B566,Tableau3[#All],6,FALSE),VLOOKUP(B566,Tableau3[#All],8,FALSE)),"Matricule!")</f>
        <v>0</v>
      </c>
      <c r="R566" s="62">
        <f>IFERROR(VLOOKUP(B566,Tableau3[#All],7,FALSE),"Matricule!")</f>
        <v>9.5</v>
      </c>
      <c r="S566" s="62">
        <f>IFERROR(Tableau242[[#This Row],[Prod. days WK]]-Tableau242[[#This Row],[Prod PXX]],"Matricule")</f>
        <v>0</v>
      </c>
      <c r="T566" s="62">
        <f>IFERROR(Tableau242[[#This Row],[Non prod. days WK]]-Tableau242[[#This Row],[Improd PXX]],"Matricule")</f>
        <v>0</v>
      </c>
      <c r="U566" s="62">
        <f>IFERROR(Tableau242[[#This Row],[Paid leave days WK]]-Tableau242[[#This Row],[Congé PXX]],"Matricule")</f>
        <v>0</v>
      </c>
      <c r="V566" s="63">
        <f>IFERROR(VLOOKUP($B566,#REF!,4,FALSE),0)</f>
        <v>0</v>
      </c>
      <c r="W56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66" s="63">
        <f>IF(AND(Tableau242[[#This Row],[Paid leave days]]&gt;0,Tableau242[[#This Row],[Prod. days]]&lt;0),MIN(Tableau242[[#This Row],[Paid leave days]],-Tableau242[[#This Row],[Prod. days]]),0)</f>
        <v>0</v>
      </c>
      <c r="Z566" s="63">
        <f>IFERROR(_xlfn.XLOOKUP(Tableau242[[#This Row],[Consultant]],Tableau2[Collaborateur/Nom affiché],Tableau2[Montant imputé],0),0)</f>
        <v>0</v>
      </c>
      <c r="AA566" s="64">
        <f t="shared" si="9"/>
        <v>0</v>
      </c>
      <c r="AB566" s="70"/>
      <c r="AC566" s="66"/>
      <c r="AD566" s="66"/>
      <c r="AE566" s="105"/>
      <c r="AF566" s="90"/>
    </row>
    <row r="567" spans="1:32" ht="14.45" customHeight="1">
      <c r="A567" s="15">
        <f>Tableau242[[#This Row],[Company number]]+0</f>
        <v>13734</v>
      </c>
      <c r="B567" s="60" t="s">
        <v>1253</v>
      </c>
      <c r="C567" s="61" t="s">
        <v>1254</v>
      </c>
      <c r="D567" s="61" t="s">
        <v>80</v>
      </c>
      <c r="E567" s="62" t="str">
        <f>IFERROR(VLOOKUP(Tableau242[[#This Row],[Manager ou CDM concerné]],Parametres!B:C,2,FALSE),"")</f>
        <v>Squad A</v>
      </c>
      <c r="F567" s="62" t="str">
        <f>IF(Tableau242[[#This Row],[Consultant]]=Tableau242[[#This Row],[Manager ou CDM concerné]],"Non",IF(IFERROR(VLOOKUP(Tableau242[[#This Row],[Consultant]],Parametres!B:C,2,FALSE),0)=0,"Non","Oui"))</f>
        <v>Non</v>
      </c>
      <c r="G567" s="62">
        <f>IFERROR(VLOOKUP(B567,Tableau5[#All],4,FALSE),"Matricule!")</f>
        <v>19</v>
      </c>
      <c r="H567" s="62" t="str">
        <f>IFERROR(VLOOKUP(Tableau242[[#This Row],[Company number]],#REF!,6,FALSE),"")</f>
        <v/>
      </c>
      <c r="I567" s="62">
        <f>IFERROR(VLOOKUP(B567,Tableau5[#All],5,FALSE),"Matricule!")</f>
        <v>0</v>
      </c>
      <c r="J567" s="62">
        <f>IFERROR(VLOOKUP(B567,Tableau5[#All],6,FALSE),"Matricule!")</f>
        <v>1</v>
      </c>
      <c r="K567" s="62">
        <f>IFERROR(VLOOKUP(B567,Tableau5[#All],7,FALSE),"Matricule!")</f>
        <v>0</v>
      </c>
      <c r="L567" s="62" t="e">
        <f>VLOOKUP(Tableau242[[#This Row],[Company number]],#REF!,25,FALSE)</f>
        <v>#REF!</v>
      </c>
      <c r="M567" s="62" t="str">
        <f>IFERROR(VLOOKUP(Tableau242[[#This Row],[Company number]],#REF!,30,FALSE),"")</f>
        <v/>
      </c>
      <c r="N567" s="62" t="str">
        <f>IFERROR(VLOOKUP(Tableau242[[#This Row],[Company number]],#REF!,31,FALSE),"")</f>
        <v/>
      </c>
      <c r="O567" s="62" t="str">
        <f>IFERROR(VLOOKUP(Tableau242[[#This Row],[Company number]],#REF!,32,FALSE),"")</f>
        <v/>
      </c>
      <c r="P567" s="62">
        <f>IFERROR(VLOOKUP(B567,Tableau3[#All],5,FALSE),"Matricule!")</f>
        <v>19</v>
      </c>
      <c r="Q567" s="62">
        <f>IFERROR(SUM(VLOOKUP(B567,Tableau3[#All],6,FALSE),VLOOKUP(B567,Tableau3[#All],8,FALSE)),"Matricule!")</f>
        <v>0</v>
      </c>
      <c r="R567" s="62">
        <f>IFERROR(VLOOKUP(B567,Tableau3[#All],7,FALSE),"Matricule!")</f>
        <v>1</v>
      </c>
      <c r="S567" s="62">
        <f>IFERROR(Tableau242[[#This Row],[Prod. days WK]]-Tableau242[[#This Row],[Prod PXX]],"Matricule")</f>
        <v>0</v>
      </c>
      <c r="T567" s="62">
        <f>IFERROR(Tableau242[[#This Row],[Non prod. days WK]]-Tableau242[[#This Row],[Improd PXX]],"Matricule")</f>
        <v>0</v>
      </c>
      <c r="U567" s="62">
        <f>IFERROR(Tableau242[[#This Row],[Paid leave days WK]]-Tableau242[[#This Row],[Congé PXX]],"Matricule")</f>
        <v>0</v>
      </c>
      <c r="V567" s="63">
        <f>IFERROR(VLOOKUP($B567,#REF!,4,FALSE),0)</f>
        <v>0</v>
      </c>
      <c r="W56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67" s="63">
        <f>IF(AND(Tableau242[[#This Row],[Paid leave days]]&gt;0,Tableau242[[#This Row],[Prod. days]]&lt;0),MIN(Tableau242[[#This Row],[Paid leave days]],-Tableau242[[#This Row],[Prod. days]]),0)</f>
        <v>0</v>
      </c>
      <c r="Z567" s="63">
        <f>IFERROR(_xlfn.XLOOKUP(Tableau242[[#This Row],[Consultant]],Tableau2[Collaborateur/Nom affiché],Tableau2[Montant imputé],0),0)</f>
        <v>0</v>
      </c>
      <c r="AA567" s="64">
        <f t="shared" si="9"/>
        <v>0</v>
      </c>
      <c r="AB567" s="65"/>
      <c r="AC567" s="66"/>
      <c r="AD567" s="66"/>
      <c r="AE567" s="105"/>
      <c r="AF567" s="90"/>
    </row>
    <row r="568" spans="1:32" ht="14.45" customHeight="1">
      <c r="A568" s="15">
        <f>Tableau242[[#This Row],[Company number]]+0</f>
        <v>15616</v>
      </c>
      <c r="B568" s="60" t="s">
        <v>1255</v>
      </c>
      <c r="C568" s="61" t="s">
        <v>1256</v>
      </c>
      <c r="D568" s="61" t="s">
        <v>80</v>
      </c>
      <c r="E568" s="62" t="str">
        <f>IFERROR(VLOOKUP(Tableau242[[#This Row],[Manager ou CDM concerné]],Parametres!B:C,2,FALSE),"")</f>
        <v>Squad A</v>
      </c>
      <c r="F568" s="62" t="str">
        <f>IF(Tableau242[[#This Row],[Consultant]]=Tableau242[[#This Row],[Manager ou CDM concerné]],"Non",IF(IFERROR(VLOOKUP(Tableau242[[#This Row],[Consultant]],Parametres!B:C,2,FALSE),0)=0,"Non","Oui"))</f>
        <v>Non</v>
      </c>
      <c r="G568" s="62">
        <f>IFERROR(VLOOKUP(B568,Tableau5[#All],4,FALSE),"Matricule!")</f>
        <v>10.5</v>
      </c>
      <c r="H568" s="62" t="str">
        <f>IFERROR(VLOOKUP(Tableau242[[#This Row],[Company number]],#REF!,6,FALSE),"")</f>
        <v/>
      </c>
      <c r="I568" s="62">
        <f>IFERROR(VLOOKUP(B568,Tableau5[#All],5,FALSE),"Matricule!")</f>
        <v>9.5</v>
      </c>
      <c r="J568" s="62">
        <f>IFERROR(VLOOKUP(B568,Tableau5[#All],6,FALSE),"Matricule!")</f>
        <v>0</v>
      </c>
      <c r="K568" s="62">
        <f>IFERROR(VLOOKUP(B568,Tableau5[#All],7,FALSE),"Matricule!")</f>
        <v>0</v>
      </c>
      <c r="L568" s="62" t="e">
        <f>VLOOKUP(Tableau242[[#This Row],[Company number]],#REF!,25,FALSE)</f>
        <v>#REF!</v>
      </c>
      <c r="M568" s="62" t="str">
        <f>IFERROR(VLOOKUP(Tableau242[[#This Row],[Company number]],#REF!,30,FALSE),"")</f>
        <v/>
      </c>
      <c r="N568" s="62" t="str">
        <f>IFERROR(VLOOKUP(Tableau242[[#This Row],[Company number]],#REF!,31,FALSE),"")</f>
        <v/>
      </c>
      <c r="O568" s="62" t="str">
        <f>IFERROR(VLOOKUP(Tableau242[[#This Row],[Company number]],#REF!,32,FALSE),"")</f>
        <v/>
      </c>
      <c r="P568" s="62">
        <f>IFERROR(VLOOKUP(B568,Tableau3[#All],5,FALSE),"Matricule!")</f>
        <v>10</v>
      </c>
      <c r="Q568" s="62">
        <f>IFERROR(SUM(VLOOKUP(B568,Tableau3[#All],6,FALSE),VLOOKUP(B568,Tableau3[#All],8,FALSE)),"Matricule!")</f>
        <v>10</v>
      </c>
      <c r="R568" s="62">
        <f>IFERROR(VLOOKUP(B568,Tableau3[#All],7,FALSE),"Matricule!")</f>
        <v>0</v>
      </c>
      <c r="S568" s="62">
        <f>IFERROR(Tableau242[[#This Row],[Prod. days WK]]-Tableau242[[#This Row],[Prod PXX]],"Matricule")</f>
        <v>0.5</v>
      </c>
      <c r="T568" s="62">
        <f>IFERROR(Tableau242[[#This Row],[Non prod. days WK]]-Tableau242[[#This Row],[Improd PXX]],"Matricule")</f>
        <v>-0.5</v>
      </c>
      <c r="U568" s="62">
        <f>IFERROR(Tableau242[[#This Row],[Paid leave days WK]]-Tableau242[[#This Row],[Congé PXX]],"Matricule")</f>
        <v>0</v>
      </c>
      <c r="V568" s="63">
        <f>IFERROR(VLOOKUP($B568,#REF!,4,FALSE),0)</f>
        <v>0</v>
      </c>
      <c r="W56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68" s="63">
        <f>IF(AND(Tableau242[[#This Row],[Paid leave days]]&gt;0,Tableau242[[#This Row],[Prod. days]]&lt;0),MIN(Tableau242[[#This Row],[Paid leave days]],-Tableau242[[#This Row],[Prod. days]]),0)</f>
        <v>0</v>
      </c>
      <c r="Z568" s="63">
        <f>IFERROR(_xlfn.XLOOKUP(Tableau242[[#This Row],[Consultant]],Tableau2[Collaborateur/Nom affiché],Tableau2[Montant imputé],0),0)</f>
        <v>0</v>
      </c>
      <c r="AA568" s="64">
        <f t="shared" si="9"/>
        <v>0.5</v>
      </c>
      <c r="AB568" s="65" t="s">
        <v>147</v>
      </c>
      <c r="AC568" s="66"/>
      <c r="AD568" s="66"/>
      <c r="AE568" s="105"/>
      <c r="AF568" s="90"/>
    </row>
    <row r="569" spans="1:32" ht="14.45" customHeight="1">
      <c r="A569" s="15">
        <f>Tableau242[[#This Row],[Company number]]+0</f>
        <v>5672</v>
      </c>
      <c r="B569" s="60" t="s">
        <v>1257</v>
      </c>
      <c r="C569" s="61" t="s">
        <v>60</v>
      </c>
      <c r="D569" s="61" t="s">
        <v>28</v>
      </c>
      <c r="E569" s="62" t="str">
        <f>IFERROR(VLOOKUP(Tableau242[[#This Row],[Manager ou CDM concerné]],Parametres!B:C,2,FALSE),"")</f>
        <v>Squad D</v>
      </c>
      <c r="F569" s="62" t="str">
        <f>IF(Tableau242[[#This Row],[Consultant]]=Tableau242[[#This Row],[Manager ou CDM concerné]],"Non",IF(IFERROR(VLOOKUP(Tableau242[[#This Row],[Consultant]],Parametres!B:C,2,FALSE),0)=0,"Non","Oui"))</f>
        <v>Oui</v>
      </c>
      <c r="G569" s="62">
        <f>IFERROR(VLOOKUP(B569,Tableau5[#All],4,FALSE),"Matricule!")</f>
        <v>0</v>
      </c>
      <c r="H569" s="62" t="str">
        <f>IFERROR(VLOOKUP(Tableau242[[#This Row],[Company number]],#REF!,6,FALSE),"")</f>
        <v/>
      </c>
      <c r="I569" s="62">
        <f>IFERROR(VLOOKUP(B569,Tableau5[#All],5,FALSE),"Matricule!")</f>
        <v>20</v>
      </c>
      <c r="J569" s="62">
        <f>IFERROR(VLOOKUP(B569,Tableau5[#All],6,FALSE),"Matricule!")</f>
        <v>0</v>
      </c>
      <c r="K569" s="62">
        <f>IFERROR(VLOOKUP(B569,Tableau5[#All],7,FALSE),"Matricule!")</f>
        <v>0</v>
      </c>
      <c r="L569" s="62" t="e">
        <f>VLOOKUP(Tableau242[[#This Row],[Company number]],#REF!,25,FALSE)</f>
        <v>#REF!</v>
      </c>
      <c r="M569" s="62" t="str">
        <f>IFERROR(VLOOKUP(Tableau242[[#This Row],[Company number]],#REF!,30,FALSE),"")</f>
        <v/>
      </c>
      <c r="N569" s="62" t="str">
        <f>IFERROR(VLOOKUP(Tableau242[[#This Row],[Company number]],#REF!,31,FALSE),"")</f>
        <v/>
      </c>
      <c r="O569" s="62" t="str">
        <f>IFERROR(VLOOKUP(Tableau242[[#This Row],[Company number]],#REF!,32,FALSE),"")</f>
        <v/>
      </c>
      <c r="P569" s="62">
        <f>IFERROR(VLOOKUP(B569,Tableau3[#All],5,FALSE),"Matricule!")</f>
        <v>0</v>
      </c>
      <c r="Q569" s="62">
        <f>IFERROR(SUM(VLOOKUP(B569,Tableau3[#All],6,FALSE),VLOOKUP(B569,Tableau3[#All],8,FALSE)),"Matricule!")</f>
        <v>20</v>
      </c>
      <c r="R569" s="62">
        <f>IFERROR(VLOOKUP(B569,Tableau3[#All],7,FALSE),"Matricule!")</f>
        <v>0</v>
      </c>
      <c r="S569" s="62">
        <f>IFERROR(Tableau242[[#This Row],[Prod. days WK]]-Tableau242[[#This Row],[Prod PXX]],"Matricule")</f>
        <v>0</v>
      </c>
      <c r="T569" s="62">
        <f>IFERROR(Tableau242[[#This Row],[Non prod. days WK]]-Tableau242[[#This Row],[Improd PXX]],"Matricule")</f>
        <v>0</v>
      </c>
      <c r="U569" s="62">
        <f>IFERROR(Tableau242[[#This Row],[Paid leave days WK]]-Tableau242[[#This Row],[Congé PXX]],"Matricule")</f>
        <v>0</v>
      </c>
      <c r="V569" s="63">
        <f>IFERROR(VLOOKUP($B569,#REF!,4,FALSE),0)</f>
        <v>0</v>
      </c>
      <c r="W56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6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69" s="63">
        <f>IF(AND(Tableau242[[#This Row],[Paid leave days]]&gt;0,Tableau242[[#This Row],[Prod. days]]&lt;0),MIN(Tableau242[[#This Row],[Paid leave days]],-Tableau242[[#This Row],[Prod. days]]),0)</f>
        <v>0</v>
      </c>
      <c r="Z569" s="63">
        <f>IFERROR(_xlfn.XLOOKUP(Tableau242[[#This Row],[Consultant]],Tableau2[Collaborateur/Nom affiché],Tableau2[Montant imputé],0),0)</f>
        <v>0</v>
      </c>
      <c r="AA569" s="64">
        <f t="shared" si="9"/>
        <v>0</v>
      </c>
      <c r="AB569" s="65"/>
      <c r="AC569" s="66"/>
      <c r="AD569" s="66"/>
      <c r="AE569" s="115"/>
      <c r="AF569" s="90"/>
    </row>
    <row r="570" spans="1:32" ht="29.1" customHeight="1">
      <c r="A570" s="15">
        <f>Tableau242[[#This Row],[Company number]]+0</f>
        <v>1604</v>
      </c>
      <c r="B570" s="60" t="s">
        <v>1258</v>
      </c>
      <c r="C570" s="61" t="s">
        <v>1259</v>
      </c>
      <c r="D570" s="61" t="s">
        <v>28</v>
      </c>
      <c r="E570" s="62" t="str">
        <f>IFERROR(VLOOKUP(Tableau242[[#This Row],[Manager ou CDM concerné]],Parametres!B:C,2,FALSE),"")</f>
        <v>Squad D</v>
      </c>
      <c r="F570" s="62" t="str">
        <f>IF(Tableau242[[#This Row],[Consultant]]=Tableau242[[#This Row],[Manager ou CDM concerné]],"Non",IF(IFERROR(VLOOKUP(Tableau242[[#This Row],[Consultant]],Parametres!B:C,2,FALSE),0)=0,"Non","Oui"))</f>
        <v>Non</v>
      </c>
      <c r="G570" s="62">
        <f>IFERROR(VLOOKUP(B570,Tableau5[#All],4,FALSE),"Matricule!")</f>
        <v>18</v>
      </c>
      <c r="H570" s="62" t="str">
        <f>IFERROR(VLOOKUP(Tableau242[[#This Row],[Company number]],#REF!,6,FALSE),"")</f>
        <v/>
      </c>
      <c r="I570" s="62">
        <f>IFERROR(VLOOKUP(B570,Tableau5[#All],5,FALSE),"Matricule!")</f>
        <v>0</v>
      </c>
      <c r="J570" s="62">
        <f>IFERROR(VLOOKUP(B570,Tableau5[#All],6,FALSE),"Matricule!")</f>
        <v>2</v>
      </c>
      <c r="K570" s="62">
        <f>IFERROR(VLOOKUP(B570,Tableau5[#All],7,FALSE),"Matricule!")</f>
        <v>0</v>
      </c>
      <c r="L570" s="62" t="e">
        <f>VLOOKUP(Tableau242[[#This Row],[Company number]],#REF!,25,FALSE)</f>
        <v>#REF!</v>
      </c>
      <c r="M570" s="62" t="str">
        <f>IFERROR(VLOOKUP(Tableau242[[#This Row],[Company number]],#REF!,30,FALSE),"")</f>
        <v/>
      </c>
      <c r="N570" s="62" t="str">
        <f>IFERROR(VLOOKUP(Tableau242[[#This Row],[Company number]],#REF!,31,FALSE),"")</f>
        <v/>
      </c>
      <c r="O570" s="62" t="str">
        <f>IFERROR(VLOOKUP(Tableau242[[#This Row],[Company number]],#REF!,32,FALSE),"")</f>
        <v/>
      </c>
      <c r="P570" s="62">
        <f>IFERROR(VLOOKUP(B570,Tableau3[#All],5,FALSE),"Matricule!")</f>
        <v>20</v>
      </c>
      <c r="Q570" s="62">
        <f>IFERROR(SUM(VLOOKUP(B570,Tableau3[#All],6,FALSE),VLOOKUP(B570,Tableau3[#All],8,FALSE)),"Matricule!")</f>
        <v>0</v>
      </c>
      <c r="R570" s="62">
        <f>IFERROR(VLOOKUP(B570,Tableau3[#All],7,FALSE),"Matricule!")</f>
        <v>0</v>
      </c>
      <c r="S570" s="62">
        <f>IFERROR(Tableau242[[#This Row],[Prod. days WK]]-Tableau242[[#This Row],[Prod PXX]],"Matricule")</f>
        <v>-2</v>
      </c>
      <c r="T570" s="62">
        <f>IFERROR(Tableau242[[#This Row],[Non prod. days WK]]-Tableau242[[#This Row],[Improd PXX]],"Matricule")</f>
        <v>0</v>
      </c>
      <c r="U570" s="62">
        <f>IFERROR(Tableau242[[#This Row],[Paid leave days WK]]-Tableau242[[#This Row],[Congé PXX]],"Matricule")</f>
        <v>2</v>
      </c>
      <c r="V570" s="63">
        <f>IFERROR(VLOOKUP($B570,#REF!,4,FALSE),0)</f>
        <v>0</v>
      </c>
      <c r="W57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70" s="63">
        <f>IF(AND(Tableau242[[#This Row],[Paid leave days]]&gt;0,Tableau242[[#This Row],[Prod. days]]&lt;0),MIN(Tableau242[[#This Row],[Paid leave days]],-Tableau242[[#This Row],[Prod. days]]),0)</f>
        <v>2</v>
      </c>
      <c r="Z570" s="63">
        <f>IFERROR(_xlfn.XLOOKUP(Tableau242[[#This Row],[Consultant]],Tableau2[Collaborateur/Nom affiché],Tableau2[Montant imputé],0),0)</f>
        <v>0</v>
      </c>
      <c r="AA570" s="64">
        <f t="shared" si="9"/>
        <v>-2</v>
      </c>
      <c r="AB570" s="65"/>
      <c r="AC570" s="66"/>
      <c r="AD570" s="66"/>
      <c r="AE570" s="115"/>
      <c r="AF570" s="90"/>
    </row>
    <row r="571" spans="1:32" ht="14.45" customHeight="1">
      <c r="A571" s="15">
        <f>Tableau242[[#This Row],[Company number]]+0</f>
        <v>4057</v>
      </c>
      <c r="B571" s="60" t="s">
        <v>1260</v>
      </c>
      <c r="C571" s="61" t="s">
        <v>92</v>
      </c>
      <c r="D571" s="61" t="s">
        <v>28</v>
      </c>
      <c r="E571" s="62" t="str">
        <f>IFERROR(VLOOKUP(Tableau242[[#This Row],[Manager ou CDM concerné]],Parametres!B:C,2,FALSE),"")</f>
        <v>Squad D</v>
      </c>
      <c r="F571" s="62" t="str">
        <f>IF(Tableau242[[#This Row],[Consultant]]=Tableau242[[#This Row],[Manager ou CDM concerné]],"Non",IF(IFERROR(VLOOKUP(Tableau242[[#This Row],[Consultant]],Parametres!B:C,2,FALSE),0)=0,"Non","Oui"))</f>
        <v>Oui</v>
      </c>
      <c r="G571" s="62">
        <f>IFERROR(VLOOKUP(B571,Tableau5[#All],4,FALSE),"Matricule!")</f>
        <v>3.5</v>
      </c>
      <c r="H571" s="62" t="str">
        <f>IFERROR(VLOOKUP(Tableau242[[#This Row],[Company number]],#REF!,6,FALSE),"")</f>
        <v/>
      </c>
      <c r="I571" s="62">
        <f>IFERROR(VLOOKUP(B571,Tableau5[#All],5,FALSE),"Matricule!")</f>
        <v>16.5</v>
      </c>
      <c r="J571" s="62">
        <f>IFERROR(VLOOKUP(B571,Tableau5[#All],6,FALSE),"Matricule!")</f>
        <v>0</v>
      </c>
      <c r="K571" s="62">
        <f>IFERROR(VLOOKUP(B571,Tableau5[#All],7,FALSE),"Matricule!")</f>
        <v>0</v>
      </c>
      <c r="L571" s="62" t="e">
        <f>VLOOKUP(Tableau242[[#This Row],[Company number]],#REF!,25,FALSE)</f>
        <v>#REF!</v>
      </c>
      <c r="M571" s="62" t="str">
        <f>IFERROR(VLOOKUP(Tableau242[[#This Row],[Company number]],#REF!,30,FALSE),"")</f>
        <v/>
      </c>
      <c r="N571" s="62" t="str">
        <f>IFERROR(VLOOKUP(Tableau242[[#This Row],[Company number]],#REF!,31,FALSE),"")</f>
        <v/>
      </c>
      <c r="O571" s="62" t="str">
        <f>IFERROR(VLOOKUP(Tableau242[[#This Row],[Company number]],#REF!,32,FALSE),"")</f>
        <v/>
      </c>
      <c r="P571" s="62">
        <f>IFERROR(VLOOKUP(B571,Tableau3[#All],5,FALSE),"Matricule!")</f>
        <v>3.5</v>
      </c>
      <c r="Q571" s="62">
        <f>IFERROR(SUM(VLOOKUP(B571,Tableau3[#All],6,FALSE),VLOOKUP(B571,Tableau3[#All],8,FALSE)),"Matricule!")</f>
        <v>16.5</v>
      </c>
      <c r="R571" s="62">
        <f>IFERROR(VLOOKUP(B571,Tableau3[#All],7,FALSE),"Matricule!")</f>
        <v>0</v>
      </c>
      <c r="S571" s="62">
        <f>IFERROR(Tableau242[[#This Row],[Prod. days WK]]-Tableau242[[#This Row],[Prod PXX]],"Matricule")</f>
        <v>0</v>
      </c>
      <c r="T571" s="62">
        <f>IFERROR(Tableau242[[#This Row],[Non prod. days WK]]-Tableau242[[#This Row],[Improd PXX]],"Matricule")</f>
        <v>0</v>
      </c>
      <c r="U571" s="62">
        <f>IFERROR(Tableau242[[#This Row],[Paid leave days WK]]-Tableau242[[#This Row],[Congé PXX]],"Matricule")</f>
        <v>0</v>
      </c>
      <c r="V571" s="63">
        <f>IFERROR(VLOOKUP($B571,#REF!,4,FALSE),0)</f>
        <v>0</v>
      </c>
      <c r="W57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71" s="63">
        <f>IF(AND(Tableau242[[#This Row],[Paid leave days]]&gt;0,Tableau242[[#This Row],[Prod. days]]&lt;0),MIN(Tableau242[[#This Row],[Paid leave days]],-Tableau242[[#This Row],[Prod. days]]),0)</f>
        <v>0</v>
      </c>
      <c r="Z571" s="63">
        <f>IFERROR(_xlfn.XLOOKUP(Tableau242[[#This Row],[Consultant]],Tableau2[Collaborateur/Nom affiché],Tableau2[Montant imputé],0),0)</f>
        <v>0</v>
      </c>
      <c r="AA571" s="64">
        <f t="shared" si="9"/>
        <v>0</v>
      </c>
      <c r="AB571" s="65"/>
      <c r="AC571" s="66"/>
      <c r="AD571" s="66"/>
      <c r="AE571" s="105"/>
      <c r="AF571" s="90"/>
    </row>
    <row r="572" spans="1:32" ht="14.45" customHeight="1">
      <c r="A572" s="15">
        <f>Tableau242[[#This Row],[Company number]]+0</f>
        <v>21071</v>
      </c>
      <c r="B572" s="60" t="s">
        <v>1261</v>
      </c>
      <c r="C572" s="61" t="s">
        <v>1262</v>
      </c>
      <c r="D572" s="61" t="s">
        <v>2</v>
      </c>
      <c r="E572" s="62" t="str">
        <f>IFERROR(VLOOKUP(Tableau242[[#This Row],[Manager ou CDM concerné]],Parametres!B:C,2,FALSE),"")</f>
        <v>Squad H</v>
      </c>
      <c r="F572" s="62" t="str">
        <f>IF(Tableau242[[#This Row],[Consultant]]=Tableau242[[#This Row],[Manager ou CDM concerné]],"Non",IF(IFERROR(VLOOKUP(Tableau242[[#This Row],[Consultant]],Parametres!B:C,2,FALSE),0)=0,"Non","Oui"))</f>
        <v>Non</v>
      </c>
      <c r="G572" s="62">
        <f>IFERROR(VLOOKUP(B572,Tableau5[#All],4,FALSE),"Matricule!")</f>
        <v>18</v>
      </c>
      <c r="H572" s="62" t="str">
        <f>IFERROR(VLOOKUP(Tableau242[[#This Row],[Company number]],#REF!,6,FALSE),"")</f>
        <v/>
      </c>
      <c r="I572" s="62">
        <f>IFERROR(VLOOKUP(B572,Tableau5[#All],5,FALSE),"Matricule!")</f>
        <v>0.5</v>
      </c>
      <c r="J572" s="62">
        <v>5</v>
      </c>
      <c r="K572" s="62">
        <f>IFERROR(VLOOKUP(B572,Tableau5[#All],7,FALSE),"Matricule!")</f>
        <v>0</v>
      </c>
      <c r="L572" s="62" t="e">
        <f>VLOOKUP(Tableau242[[#This Row],[Company number]],#REF!,25,FALSE)</f>
        <v>#REF!</v>
      </c>
      <c r="M572" s="62" t="str">
        <f>IFERROR(VLOOKUP(Tableau242[[#This Row],[Company number]],#REF!,30,FALSE),"")</f>
        <v/>
      </c>
      <c r="N572" s="62" t="str">
        <f>IFERROR(VLOOKUP(Tableau242[[#This Row],[Company number]],#REF!,31,FALSE),"")</f>
        <v/>
      </c>
      <c r="O572" s="62" t="str">
        <f>IFERROR(VLOOKUP(Tableau242[[#This Row],[Company number]],#REF!,32,FALSE),"")</f>
        <v/>
      </c>
      <c r="P572" s="62">
        <f>IFERROR(VLOOKUP(B572,Tableau3[#All],5,FALSE),"Matricule!")</f>
        <v>18</v>
      </c>
      <c r="Q572" s="62">
        <f>IFERROR(SUM(VLOOKUP(B572,Tableau3[#All],6,FALSE),VLOOKUP(B572,Tableau3[#All],8,FALSE)),"Matricule!")</f>
        <v>0.5</v>
      </c>
      <c r="R572" s="62">
        <f>IFERROR(VLOOKUP(B572,Tableau3[#All],7,FALSE),"Matricule!")</f>
        <v>1.5</v>
      </c>
      <c r="S572" s="62">
        <f>IFERROR(Tableau242[[#This Row],[Prod. days WK]]-Tableau242[[#This Row],[Prod PXX]],"Matricule")</f>
        <v>0</v>
      </c>
      <c r="T572" s="62">
        <f>IFERROR(Tableau242[[#This Row],[Non prod. days WK]]-Tableau242[[#This Row],[Improd PXX]],"Matricule")</f>
        <v>0</v>
      </c>
      <c r="U572" s="62">
        <f>IFERROR(Tableau242[[#This Row],[Paid leave days WK]]-Tableau242[[#This Row],[Congé PXX]],"Matricule")</f>
        <v>3.5</v>
      </c>
      <c r="V572" s="63">
        <f>IFERROR(VLOOKUP($B572,#REF!,4,FALSE),0)</f>
        <v>0</v>
      </c>
      <c r="W57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72" s="63">
        <f>IF(AND(Tableau242[[#This Row],[Paid leave days]]&gt;0,Tableau242[[#This Row],[Prod. days]]&lt;0),MIN(Tableau242[[#This Row],[Paid leave days]],-Tableau242[[#This Row],[Prod. days]]),0)</f>
        <v>0</v>
      </c>
      <c r="Z572" s="63">
        <f>IFERROR(_xlfn.XLOOKUP(Tableau242[[#This Row],[Consultant]],Tableau2[Collaborateur/Nom affiché],Tableau2[Montant imputé],0),0)</f>
        <v>0</v>
      </c>
      <c r="AA572" s="64">
        <f t="shared" si="9"/>
        <v>0</v>
      </c>
      <c r="AB572" s="89"/>
      <c r="AC572" s="66"/>
      <c r="AD572" s="66"/>
      <c r="AE572" s="105"/>
      <c r="AF572" s="101"/>
    </row>
    <row r="573" spans="1:32" ht="14.45" customHeight="1">
      <c r="A573" s="15">
        <f>Tableau242[[#This Row],[Company number]]+0</f>
        <v>14666</v>
      </c>
      <c r="B573" s="60" t="s">
        <v>1263</v>
      </c>
      <c r="C573" s="61" t="s">
        <v>1264</v>
      </c>
      <c r="D573" s="61" t="s">
        <v>3</v>
      </c>
      <c r="E573" s="62" t="str">
        <f>IFERROR(VLOOKUP(Tableau242[[#This Row],[Manager ou CDM concerné]],Parametres!B:C,2,FALSE),"")</f>
        <v>Squad B</v>
      </c>
      <c r="F573" s="62" t="str">
        <f>IF(Tableau242[[#This Row],[Consultant]]=Tableau242[[#This Row],[Manager ou CDM concerné]],"Non",IF(IFERROR(VLOOKUP(Tableau242[[#This Row],[Consultant]],Parametres!B:C,2,FALSE),0)=0,"Non","Oui"))</f>
        <v>Non</v>
      </c>
      <c r="G573" s="62">
        <f>IFERROR(VLOOKUP(B573,Tableau5[#All],4,FALSE),"Matricule!")</f>
        <v>0</v>
      </c>
      <c r="H573" s="62" t="str">
        <f>IFERROR(VLOOKUP(Tableau242[[#This Row],[Company number]],#REF!,6,FALSE),"")</f>
        <v/>
      </c>
      <c r="I573" s="62">
        <f>IFERROR(VLOOKUP(B573,Tableau5[#All],5,FALSE),"Matricule!")</f>
        <v>19</v>
      </c>
      <c r="J573" s="62">
        <f>IFERROR(VLOOKUP(B573,Tableau5[#All],6,FALSE),"Matricule!")</f>
        <v>1</v>
      </c>
      <c r="K573" s="62">
        <f>IFERROR(VLOOKUP(B573,Tableau5[#All],7,FALSE),"Matricule!")</f>
        <v>0</v>
      </c>
      <c r="L573" s="62" t="e">
        <f>VLOOKUP(Tableau242[[#This Row],[Company number]],#REF!,25,FALSE)</f>
        <v>#REF!</v>
      </c>
      <c r="M573" s="62" t="str">
        <f>IFERROR(VLOOKUP(Tableau242[[#This Row],[Company number]],#REF!,30,FALSE),"")</f>
        <v/>
      </c>
      <c r="N573" s="62" t="str">
        <f>IFERROR(VLOOKUP(Tableau242[[#This Row],[Company number]],#REF!,31,FALSE),"")</f>
        <v/>
      </c>
      <c r="O573" s="62" t="str">
        <f>IFERROR(VLOOKUP(Tableau242[[#This Row],[Company number]],#REF!,32,FALSE),"")</f>
        <v/>
      </c>
      <c r="P573" s="62">
        <f>IFERROR(VLOOKUP(B573,Tableau3[#All],5,FALSE),"Matricule!")</f>
        <v>0</v>
      </c>
      <c r="Q573" s="62">
        <f>IFERROR(SUM(VLOOKUP(B573,Tableau3[#All],6,FALSE),VLOOKUP(B573,Tableau3[#All],8,FALSE)),"Matricule!")</f>
        <v>20</v>
      </c>
      <c r="R573" s="62">
        <f>IFERROR(VLOOKUP(B573,Tableau3[#All],7,FALSE),"Matricule!")</f>
        <v>0</v>
      </c>
      <c r="S573" s="62">
        <f>IFERROR(Tableau242[[#This Row],[Prod. days WK]]-Tableau242[[#This Row],[Prod PXX]],"Matricule")</f>
        <v>0</v>
      </c>
      <c r="T573" s="62">
        <f>IFERROR(Tableau242[[#This Row],[Non prod. days WK]]-Tableau242[[#This Row],[Improd PXX]],"Matricule")</f>
        <v>-1</v>
      </c>
      <c r="U573" s="62">
        <f>IFERROR(Tableau242[[#This Row],[Paid leave days WK]]-Tableau242[[#This Row],[Congé PXX]],"Matricule")</f>
        <v>1</v>
      </c>
      <c r="V573" s="63">
        <f>IFERROR(VLOOKUP($B573,#REF!,4,FALSE),0)</f>
        <v>0</v>
      </c>
      <c r="W57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73" s="63">
        <f>IF(AND(Tableau242[[#This Row],[Paid leave days]]&gt;0,Tableau242[[#This Row],[Prod. days]]&lt;0),MIN(Tableau242[[#This Row],[Paid leave days]],-Tableau242[[#This Row],[Prod. days]]),0)</f>
        <v>0</v>
      </c>
      <c r="Z573" s="63">
        <f>IFERROR(_xlfn.XLOOKUP(Tableau242[[#This Row],[Consultant]],Tableau2[Collaborateur/Nom affiché],Tableau2[Montant imputé],0),0)</f>
        <v>0</v>
      </c>
      <c r="AA573" s="64">
        <f t="shared" si="9"/>
        <v>0</v>
      </c>
      <c r="AB573" s="65"/>
      <c r="AC573" s="66"/>
      <c r="AD573" s="66"/>
      <c r="AE573" s="105"/>
      <c r="AF573" s="90"/>
    </row>
    <row r="574" spans="1:32" ht="14.45" customHeight="1">
      <c r="A574" s="15">
        <f>Tableau242[[#This Row],[Company number]]+0</f>
        <v>139</v>
      </c>
      <c r="B574" s="60" t="s">
        <v>1265</v>
      </c>
      <c r="C574" s="61" t="s">
        <v>1266</v>
      </c>
      <c r="D574" s="61" t="s">
        <v>28</v>
      </c>
      <c r="E574" s="62" t="str">
        <f>IFERROR(VLOOKUP(Tableau242[[#This Row],[Manager ou CDM concerné]],Parametres!B:C,2,FALSE),"")</f>
        <v>Squad D</v>
      </c>
      <c r="F574" s="62" t="str">
        <f>IF(Tableau242[[#This Row],[Consultant]]=Tableau242[[#This Row],[Manager ou CDM concerné]],"Non",IF(IFERROR(VLOOKUP(Tableau242[[#This Row],[Consultant]],Parametres!B:C,2,FALSE),0)=0,"Non","Oui"))</f>
        <v>Non</v>
      </c>
      <c r="G574" s="62">
        <f>IFERROR(VLOOKUP(B574,Tableau5[#All],4,FALSE),"Matricule!")</f>
        <v>20</v>
      </c>
      <c r="H574" s="62" t="str">
        <f>IFERROR(VLOOKUP(Tableau242[[#This Row],[Company number]],#REF!,6,FALSE),"")</f>
        <v/>
      </c>
      <c r="I574" s="62">
        <f>IFERROR(VLOOKUP(B574,Tableau5[#All],5,FALSE),"Matricule!")</f>
        <v>0</v>
      </c>
      <c r="J574" s="62">
        <f>IFERROR(VLOOKUP(B574,Tableau5[#All],6,FALSE),"Matricule!")</f>
        <v>0</v>
      </c>
      <c r="K574" s="62">
        <f>IFERROR(VLOOKUP(B574,Tableau5[#All],7,FALSE),"Matricule!")</f>
        <v>0</v>
      </c>
      <c r="L574" s="62" t="e">
        <f>VLOOKUP(Tableau242[[#This Row],[Company number]],#REF!,25,FALSE)</f>
        <v>#REF!</v>
      </c>
      <c r="M574" s="62" t="str">
        <f>IFERROR(VLOOKUP(Tableau242[[#This Row],[Company number]],#REF!,30,FALSE),"")</f>
        <v/>
      </c>
      <c r="N574" s="62" t="str">
        <f>IFERROR(VLOOKUP(Tableau242[[#This Row],[Company number]],#REF!,31,FALSE),"")</f>
        <v/>
      </c>
      <c r="O574" s="62" t="str">
        <f>IFERROR(VLOOKUP(Tableau242[[#This Row],[Company number]],#REF!,32,FALSE),"")</f>
        <v/>
      </c>
      <c r="P574" s="68">
        <f>IFERROR(VLOOKUP(B574,Tableau3[#All],5,FALSE),"Matricule!")</f>
        <v>20</v>
      </c>
      <c r="Q574" s="68">
        <f>IFERROR(SUM(VLOOKUP(B574,Tableau3[#All],6,FALSE),VLOOKUP(B574,Tableau3[#All],8,FALSE)),"Matricule!")</f>
        <v>0</v>
      </c>
      <c r="R574" s="68">
        <f>IFERROR(VLOOKUP(B574,Tableau3[#All],7,FALSE),"Matricule!")</f>
        <v>0</v>
      </c>
      <c r="S574" s="62">
        <f>IFERROR(Tableau242[[#This Row],[Prod. days WK]]-Tableau242[[#This Row],[Prod PXX]],"Matricule")</f>
        <v>0</v>
      </c>
      <c r="T574" s="62">
        <f>IFERROR(Tableau242[[#This Row],[Non prod. days WK]]-Tableau242[[#This Row],[Improd PXX]],"Matricule")</f>
        <v>0</v>
      </c>
      <c r="U574" s="62">
        <f>IFERROR(Tableau242[[#This Row],[Paid leave days WK]]-Tableau242[[#This Row],[Congé PXX]],"Matricule")</f>
        <v>0</v>
      </c>
      <c r="V574" s="63">
        <f>IFERROR(VLOOKUP($B574,#REF!,4,FALSE),0)</f>
        <v>0</v>
      </c>
      <c r="W57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74" s="63">
        <f>IF(AND(Tableau242[[#This Row],[Paid leave days]]&gt;0,Tableau242[[#This Row],[Prod. days]]&lt;0),MIN(Tableau242[[#This Row],[Paid leave days]],-Tableau242[[#This Row],[Prod. days]]),0)</f>
        <v>0</v>
      </c>
      <c r="Z574" s="63">
        <f>IFERROR(_xlfn.XLOOKUP(Tableau242[[#This Row],[Consultant]],Tableau2[Collaborateur/Nom affiché],Tableau2[Montant imputé],0),0)</f>
        <v>0</v>
      </c>
      <c r="AA574" s="64">
        <f t="shared" si="9"/>
        <v>0</v>
      </c>
      <c r="AB574" s="65"/>
      <c r="AC574" s="66"/>
      <c r="AD574" s="66"/>
      <c r="AE574" s="105"/>
      <c r="AF574" s="90"/>
    </row>
    <row r="575" spans="1:32" ht="14.45" customHeight="1">
      <c r="A575" s="15">
        <f>Tableau242[[#This Row],[Company number]]+0</f>
        <v>4085</v>
      </c>
      <c r="B575" s="60" t="s">
        <v>1267</v>
      </c>
      <c r="C575" s="61" t="s">
        <v>1268</v>
      </c>
      <c r="D575" s="61" t="s">
        <v>28</v>
      </c>
      <c r="E575" s="62" t="str">
        <f>IFERROR(VLOOKUP(Tableau242[[#This Row],[Manager ou CDM concerné]],Parametres!B:C,2,FALSE),"")</f>
        <v>Squad D</v>
      </c>
      <c r="F575" s="62" t="str">
        <f>IF(Tableau242[[#This Row],[Consultant]]=Tableau242[[#This Row],[Manager ou CDM concerné]],"Non",IF(IFERROR(VLOOKUP(Tableau242[[#This Row],[Consultant]],Parametres!B:C,2,FALSE),0)=0,"Non","Oui"))</f>
        <v>Non</v>
      </c>
      <c r="G575" s="62">
        <f>IFERROR(VLOOKUP(B575,Tableau5[#All],4,FALSE),"Matricule!")</f>
        <v>10</v>
      </c>
      <c r="H575" s="62" t="str">
        <f>IFERROR(VLOOKUP(Tableau242[[#This Row],[Company number]],#REF!,6,FALSE),"")</f>
        <v/>
      </c>
      <c r="I575" s="62">
        <f>IFERROR(VLOOKUP(B575,Tableau5[#All],5,FALSE),"Matricule!")</f>
        <v>4</v>
      </c>
      <c r="J575" s="62">
        <f>IFERROR(VLOOKUP(B575,Tableau5[#All],6,FALSE),"Matricule!")</f>
        <v>0</v>
      </c>
      <c r="K575" s="62">
        <f>IFERROR(VLOOKUP(B575,Tableau5[#All],7,FALSE),"Matricule!")</f>
        <v>6</v>
      </c>
      <c r="L575" s="62" t="e">
        <f>VLOOKUP(Tableau242[[#This Row],[Company number]],#REF!,25,FALSE)</f>
        <v>#REF!</v>
      </c>
      <c r="M575" s="62" t="str">
        <f>IFERROR(VLOOKUP(Tableau242[[#This Row],[Company number]],#REF!,30,FALSE),"")</f>
        <v/>
      </c>
      <c r="N575" s="62" t="str">
        <f>IFERROR(VLOOKUP(Tableau242[[#This Row],[Company number]],#REF!,31,FALSE),"")</f>
        <v/>
      </c>
      <c r="O575" s="62" t="str">
        <f>IFERROR(VLOOKUP(Tableau242[[#This Row],[Company number]],#REF!,32,FALSE),"")</f>
        <v/>
      </c>
      <c r="P575" s="62">
        <f>IFERROR(VLOOKUP(B575,Tableau3[#All],5,FALSE),"Matricule!")</f>
        <v>8</v>
      </c>
      <c r="Q575" s="62">
        <f>IFERROR(SUM(VLOOKUP(B575,Tableau3[#All],6,FALSE),VLOOKUP(B575,Tableau3[#All],8,FALSE)),"Matricule!")</f>
        <v>4</v>
      </c>
      <c r="R575" s="62">
        <f>IFERROR(VLOOKUP(B575,Tableau3[#All],7,FALSE),"Matricule!")</f>
        <v>0</v>
      </c>
      <c r="S575" s="62">
        <f>IFERROR(Tableau242[[#This Row],[Prod. days WK]]-Tableau242[[#This Row],[Prod PXX]],"Matricule")</f>
        <v>2</v>
      </c>
      <c r="T575" s="62">
        <f>IFERROR(Tableau242[[#This Row],[Non prod. days WK]]-Tableau242[[#This Row],[Improd PXX]],"Matricule")</f>
        <v>0</v>
      </c>
      <c r="U575" s="62">
        <f>IFERROR(Tableau242[[#This Row],[Paid leave days WK]]-Tableau242[[#This Row],[Congé PXX]],"Matricule")</f>
        <v>0</v>
      </c>
      <c r="V575" s="63">
        <f>IFERROR(VLOOKUP($B575,#REF!,4,FALSE),0)</f>
        <v>0</v>
      </c>
      <c r="W57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75" s="63">
        <f>IF(AND(Tableau242[[#This Row],[Paid leave days]]&gt;0,Tableau242[[#This Row],[Prod. days]]&lt;0),MIN(Tableau242[[#This Row],[Paid leave days]],-Tableau242[[#This Row],[Prod. days]]),0)</f>
        <v>0</v>
      </c>
      <c r="Z575" s="63">
        <f>IFERROR(_xlfn.XLOOKUP(Tableau242[[#This Row],[Consultant]],Tableau2[Collaborateur/Nom affiché],Tableau2[Montant imputé],0),0)</f>
        <v>0</v>
      </c>
      <c r="AA575" s="64">
        <f t="shared" si="9"/>
        <v>2</v>
      </c>
      <c r="AB575" s="65"/>
      <c r="AC575" s="66"/>
      <c r="AD575" s="66"/>
      <c r="AE575" s="105"/>
      <c r="AF575" s="90"/>
    </row>
    <row r="576" spans="1:32">
      <c r="A576" s="15">
        <f>Tableau242[[#This Row],[Company number]]+0</f>
        <v>55</v>
      </c>
      <c r="B576" s="60" t="s">
        <v>1269</v>
      </c>
      <c r="C576" s="61" t="s">
        <v>6</v>
      </c>
      <c r="D576" s="61" t="s">
        <v>88</v>
      </c>
      <c r="E576" s="62" t="str">
        <f>IFERROR(VLOOKUP(Tableau242[[#This Row],[Manager ou CDM concerné]],Parametres!B:C,2,FALSE),"")</f>
        <v>Squad D</v>
      </c>
      <c r="F576" s="62" t="str">
        <f>IF(Tableau242[[#This Row],[Consultant]]=Tableau242[[#This Row],[Manager ou CDM concerné]],"Non",IF(IFERROR(VLOOKUP(Tableau242[[#This Row],[Consultant]],Parametres!B:C,2,FALSE),0)=0,"Non","Oui"))</f>
        <v>Oui</v>
      </c>
      <c r="G576" s="62">
        <f>IFERROR(VLOOKUP(B576,Tableau5[#All],4,FALSE),"Matricule!")</f>
        <v>0</v>
      </c>
      <c r="H576" s="62" t="str">
        <f>IFERROR(VLOOKUP(Tableau242[[#This Row],[Company number]],#REF!,6,FALSE),"")</f>
        <v/>
      </c>
      <c r="I576" s="62">
        <f>IFERROR(VLOOKUP(B576,Tableau5[#All],5,FALSE),"Matricule!")</f>
        <v>20</v>
      </c>
      <c r="J576" s="62">
        <f>IFERROR(VLOOKUP(B576,Tableau5[#All],6,FALSE),"Matricule!")</f>
        <v>0</v>
      </c>
      <c r="K576" s="62">
        <f>IFERROR(VLOOKUP(B576,Tableau5[#All],7,FALSE),"Matricule!")</f>
        <v>0</v>
      </c>
      <c r="L576" s="62" t="e">
        <f>VLOOKUP(Tableau242[[#This Row],[Company number]],#REF!,25,FALSE)</f>
        <v>#REF!</v>
      </c>
      <c r="M576" s="62" t="str">
        <f>IFERROR(VLOOKUP(Tableau242[[#This Row],[Company number]],#REF!,30,FALSE),"")</f>
        <v/>
      </c>
      <c r="N576" s="62" t="str">
        <f>IFERROR(VLOOKUP(Tableau242[[#This Row],[Company number]],#REF!,31,FALSE),"")</f>
        <v/>
      </c>
      <c r="O576" s="62" t="str">
        <f>IFERROR(VLOOKUP(Tableau242[[#This Row],[Company number]],#REF!,32,FALSE),"")</f>
        <v/>
      </c>
      <c r="P576" s="62">
        <f>IFERROR(VLOOKUP(B576,Tableau3[#All],5,FALSE),"Matricule!")</f>
        <v>0</v>
      </c>
      <c r="Q576" s="62">
        <f>IFERROR(SUM(VLOOKUP(B576,Tableau3[#All],6,FALSE),VLOOKUP(B576,Tableau3[#All],8,FALSE)),"Matricule!")</f>
        <v>19</v>
      </c>
      <c r="R576" s="62">
        <f>IFERROR(VLOOKUP(B576,Tableau3[#All],7,FALSE),"Matricule!")</f>
        <v>1</v>
      </c>
      <c r="S576" s="62">
        <f>IFERROR(Tableau242[[#This Row],[Prod. days WK]]-Tableau242[[#This Row],[Prod PXX]],"Matricule")</f>
        <v>0</v>
      </c>
      <c r="T576" s="62">
        <f>IFERROR(Tableau242[[#This Row],[Non prod. days WK]]-Tableau242[[#This Row],[Improd PXX]],"Matricule")</f>
        <v>1</v>
      </c>
      <c r="U576" s="62">
        <f>IFERROR(Tableau242[[#This Row],[Paid leave days WK]]-Tableau242[[#This Row],[Congé PXX]],"Matricule")</f>
        <v>-1</v>
      </c>
      <c r="V576" s="63">
        <f>IFERROR(VLOOKUP($B576,#REF!,4,FALSE),0)</f>
        <v>0</v>
      </c>
      <c r="W57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76" s="63">
        <f>IF(AND(Tableau242[[#This Row],[Paid leave days]]&gt;0,Tableau242[[#This Row],[Prod. days]]&lt;0),MIN(Tableau242[[#This Row],[Paid leave days]],-Tableau242[[#This Row],[Prod. days]]),0)</f>
        <v>0</v>
      </c>
      <c r="Z576" s="63">
        <f>IFERROR(_xlfn.XLOOKUP(Tableau242[[#This Row],[Consultant]],Tableau2[Collaborateur/Nom affiché],Tableau2[Montant imputé],0),0)</f>
        <v>0</v>
      </c>
      <c r="AA576" s="64">
        <f t="shared" si="9"/>
        <v>0</v>
      </c>
      <c r="AB576" s="65"/>
      <c r="AC576" s="66"/>
      <c r="AD576" s="66"/>
      <c r="AE576" s="105"/>
      <c r="AF576" s="90"/>
    </row>
    <row r="577" spans="1:32" ht="14.45" customHeight="1">
      <c r="A577" s="15">
        <f>Tableau242[[#This Row],[Company number]]+0</f>
        <v>16535</v>
      </c>
      <c r="B577" s="60" t="s">
        <v>1270</v>
      </c>
      <c r="C577" s="61" t="s">
        <v>1271</v>
      </c>
      <c r="D577" s="61" t="s">
        <v>27</v>
      </c>
      <c r="E577" s="62" t="str">
        <f>IFERROR(VLOOKUP(Tableau242[[#This Row],[Manager ou CDM concerné]],Parametres!B:C,2,FALSE),"")</f>
        <v>Squad B</v>
      </c>
      <c r="F577" s="62" t="str">
        <f>IF(Tableau242[[#This Row],[Consultant]]=Tableau242[[#This Row],[Manager ou CDM concerné]],"Non",IF(IFERROR(VLOOKUP(Tableau242[[#This Row],[Consultant]],Parametres!B:C,2,FALSE),0)=0,"Non","Oui"))</f>
        <v>Non</v>
      </c>
      <c r="G577" s="62">
        <f>IFERROR(VLOOKUP(B577,Tableau5[#All],4,FALSE),"Matricule!")</f>
        <v>0</v>
      </c>
      <c r="H577" s="62" t="str">
        <f>IFERROR(VLOOKUP(Tableau242[[#This Row],[Company number]],#REF!,6,FALSE),"")</f>
        <v/>
      </c>
      <c r="I577" s="62">
        <f>IFERROR(VLOOKUP(B577,Tableau5[#All],5,FALSE),"Matricule!")</f>
        <v>10</v>
      </c>
      <c r="J577" s="62">
        <f>IFERROR(VLOOKUP(B577,Tableau5[#All],6,FALSE),"Matricule!")</f>
        <v>0</v>
      </c>
      <c r="K577" s="62">
        <f>IFERROR(VLOOKUP(B577,Tableau5[#All],7,FALSE),"Matricule!")</f>
        <v>10</v>
      </c>
      <c r="L577" s="62" t="e">
        <f>VLOOKUP(Tableau242[[#This Row],[Company number]],#REF!,25,FALSE)</f>
        <v>#REF!</v>
      </c>
      <c r="M577" s="62" t="str">
        <f>IFERROR(VLOOKUP(Tableau242[[#This Row],[Company number]],#REF!,30,FALSE),"")</f>
        <v/>
      </c>
      <c r="N577" s="62" t="str">
        <f>IFERROR(VLOOKUP(Tableau242[[#This Row],[Company number]],#REF!,31,FALSE),"")</f>
        <v/>
      </c>
      <c r="O577" s="62" t="str">
        <f>IFERROR(VLOOKUP(Tableau242[[#This Row],[Company number]],#REF!,32,FALSE),"")</f>
        <v/>
      </c>
      <c r="P577" s="62">
        <f>IFERROR(VLOOKUP(B577,Tableau3[#All],5,FALSE),"Matricule!")</f>
        <v>0</v>
      </c>
      <c r="Q577" s="62">
        <f>IFERROR(SUM(VLOOKUP(B577,Tableau3[#All],6,FALSE),VLOOKUP(B577,Tableau3[#All],8,FALSE)),"Matricule!")</f>
        <v>10</v>
      </c>
      <c r="R577" s="62">
        <f>IFERROR(VLOOKUP(B577,Tableau3[#All],7,FALSE),"Matricule!")</f>
        <v>0</v>
      </c>
      <c r="S577" s="62">
        <f>IFERROR(Tableau242[[#This Row],[Prod. days WK]]-Tableau242[[#This Row],[Prod PXX]],"Matricule")</f>
        <v>0</v>
      </c>
      <c r="T577" s="62">
        <f>IFERROR(Tableau242[[#This Row],[Non prod. days WK]]-Tableau242[[#This Row],[Improd PXX]],"Matricule")</f>
        <v>0</v>
      </c>
      <c r="U577" s="62">
        <f>IFERROR(Tableau242[[#This Row],[Paid leave days WK]]-Tableau242[[#This Row],[Congé PXX]],"Matricule")</f>
        <v>0</v>
      </c>
      <c r="V577" s="63">
        <f>IFERROR(VLOOKUP($B577,#REF!,4,FALSE),0)</f>
        <v>0</v>
      </c>
      <c r="W57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77" s="63">
        <f>IF(AND(Tableau242[[#This Row],[Paid leave days]]&gt;0,Tableau242[[#This Row],[Prod. days]]&lt;0),MIN(Tableau242[[#This Row],[Paid leave days]],-Tableau242[[#This Row],[Prod. days]]),0)</f>
        <v>0</v>
      </c>
      <c r="Z577" s="63">
        <f>IFERROR(_xlfn.XLOOKUP(Tableau242[[#This Row],[Consultant]],Tableau2[Collaborateur/Nom affiché],Tableau2[Montant imputé],0),0)</f>
        <v>0</v>
      </c>
      <c r="AA577" s="64">
        <f t="shared" si="9"/>
        <v>0</v>
      </c>
      <c r="AB577" s="78"/>
      <c r="AC577" s="67"/>
      <c r="AD577" s="67"/>
      <c r="AE577" s="114"/>
      <c r="AF577" s="92"/>
    </row>
    <row r="578" spans="1:32" ht="14.45" customHeight="1">
      <c r="A578" s="15">
        <f>Tableau242[[#This Row],[Company number]]+0</f>
        <v>17650</v>
      </c>
      <c r="B578" s="60" t="s">
        <v>1272</v>
      </c>
      <c r="C578" s="61" t="s">
        <v>1273</v>
      </c>
      <c r="D578" s="61" t="s">
        <v>27</v>
      </c>
      <c r="E578" s="62" t="str">
        <f>IFERROR(VLOOKUP(Tableau242[[#This Row],[Manager ou CDM concerné]],Parametres!B:C,2,FALSE),"")</f>
        <v>Squad B</v>
      </c>
      <c r="F578" s="62" t="str">
        <f>IF(Tableau242[[#This Row],[Consultant]]=Tableau242[[#This Row],[Manager ou CDM concerné]],"Non",IF(IFERROR(VLOOKUP(Tableau242[[#This Row],[Consultant]],Parametres!B:C,2,FALSE),0)=0,"Non","Oui"))</f>
        <v>Non</v>
      </c>
      <c r="G578" s="62">
        <f>IFERROR(VLOOKUP(B578,Tableau5[#All],4,FALSE),"Matricule!")</f>
        <v>8</v>
      </c>
      <c r="H578" s="62" t="str">
        <f>IFERROR(VLOOKUP(Tableau242[[#This Row],[Company number]],#REF!,6,FALSE),"")</f>
        <v/>
      </c>
      <c r="I578" s="62">
        <f>IFERROR(VLOOKUP(B578,Tableau5[#All],5,FALSE),"Matricule!")</f>
        <v>7</v>
      </c>
      <c r="J578" s="62">
        <f>IFERROR(VLOOKUP(B578,Tableau5[#All],6,FALSE),"Matricule!")</f>
        <v>5</v>
      </c>
      <c r="K578" s="62">
        <f>IFERROR(VLOOKUP(B578,Tableau5[#All],7,FALSE),"Matricule!")</f>
        <v>0</v>
      </c>
      <c r="L578" s="62" t="e">
        <f>VLOOKUP(Tableau242[[#This Row],[Company number]],#REF!,25,FALSE)</f>
        <v>#REF!</v>
      </c>
      <c r="M578" s="62" t="str">
        <f>IFERROR(VLOOKUP(Tableau242[[#This Row],[Company number]],#REF!,30,FALSE),"")</f>
        <v/>
      </c>
      <c r="N578" s="62" t="str">
        <f>IFERROR(VLOOKUP(Tableau242[[#This Row],[Company number]],#REF!,31,FALSE),"")</f>
        <v/>
      </c>
      <c r="O578" s="62" t="str">
        <f>IFERROR(VLOOKUP(Tableau242[[#This Row],[Company number]],#REF!,32,FALSE),"")</f>
        <v/>
      </c>
      <c r="P578" s="62">
        <f>IFERROR(VLOOKUP(B578,Tableau3[#All],5,FALSE),"Matricule!")</f>
        <v>8</v>
      </c>
      <c r="Q578" s="62">
        <f>IFERROR(SUM(VLOOKUP(B578,Tableau3[#All],6,FALSE),VLOOKUP(B578,Tableau3[#All],8,FALSE)),"Matricule!")</f>
        <v>7</v>
      </c>
      <c r="R578" s="62">
        <f>IFERROR(VLOOKUP(B578,Tableau3[#All],7,FALSE),"Matricule!")</f>
        <v>5</v>
      </c>
      <c r="S578" s="62">
        <f>IFERROR(Tableau242[[#This Row],[Prod. days WK]]-Tableau242[[#This Row],[Prod PXX]],"Matricule")</f>
        <v>0</v>
      </c>
      <c r="T578" s="62">
        <f>IFERROR(Tableau242[[#This Row],[Non prod. days WK]]-Tableau242[[#This Row],[Improd PXX]],"Matricule")</f>
        <v>0</v>
      </c>
      <c r="U578" s="62">
        <f>IFERROR(Tableau242[[#This Row],[Paid leave days WK]]-Tableau242[[#This Row],[Congé PXX]],"Matricule")</f>
        <v>0</v>
      </c>
      <c r="V578" s="63">
        <f>IFERROR(VLOOKUP($B578,#REF!,4,FALSE),0)</f>
        <v>0</v>
      </c>
      <c r="W57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78" s="63">
        <f>IF(AND(Tableau242[[#This Row],[Paid leave days]]&gt;0,Tableau242[[#This Row],[Prod. days]]&lt;0),MIN(Tableau242[[#This Row],[Paid leave days]],-Tableau242[[#This Row],[Prod. days]]),0)</f>
        <v>0</v>
      </c>
      <c r="Z578" s="63">
        <f>IFERROR(_xlfn.XLOOKUP(Tableau242[[#This Row],[Consultant]],Tableau2[Collaborateur/Nom affiché],Tableau2[Montant imputé],0),0)</f>
        <v>0</v>
      </c>
      <c r="AA578" s="64">
        <f t="shared" si="9"/>
        <v>0</v>
      </c>
      <c r="AB578" s="65"/>
      <c r="AC578" s="66"/>
      <c r="AD578" s="66"/>
      <c r="AE578" s="39"/>
      <c r="AF578" s="90"/>
    </row>
    <row r="579" spans="1:32" ht="14.45" customHeight="1">
      <c r="A579" s="15">
        <f>Tableau242[[#This Row],[Company number]]+0</f>
        <v>18110</v>
      </c>
      <c r="B579" s="60" t="s">
        <v>1274</v>
      </c>
      <c r="C579" s="61" t="s">
        <v>1275</v>
      </c>
      <c r="D579" s="61" t="s">
        <v>27</v>
      </c>
      <c r="E579" s="62" t="str">
        <f>IFERROR(VLOOKUP(Tableau242[[#This Row],[Manager ou CDM concerné]],Parametres!B:C,2,FALSE),"")</f>
        <v>Squad B</v>
      </c>
      <c r="F579" s="62" t="str">
        <f>IF(Tableau242[[#This Row],[Consultant]]=Tableau242[[#This Row],[Manager ou CDM concerné]],"Non",IF(IFERROR(VLOOKUP(Tableau242[[#This Row],[Consultant]],Parametres!B:C,2,FALSE),0)=0,"Non","Oui"))</f>
        <v>Non</v>
      </c>
      <c r="G579" s="62">
        <f>IFERROR(VLOOKUP(B579,Tableau5[#All],4,FALSE),"Matricule!")</f>
        <v>20</v>
      </c>
      <c r="H579" s="62" t="str">
        <f>IFERROR(VLOOKUP(Tableau242[[#This Row],[Company number]],#REF!,6,FALSE),"")</f>
        <v/>
      </c>
      <c r="I579" s="62">
        <f>IFERROR(VLOOKUP(B579,Tableau5[#All],5,FALSE),"Matricule!")</f>
        <v>0</v>
      </c>
      <c r="J579" s="62">
        <f>IFERROR(VLOOKUP(B579,Tableau5[#All],6,FALSE),"Matricule!")</f>
        <v>0</v>
      </c>
      <c r="K579" s="62">
        <f>IFERROR(VLOOKUP(B579,Tableau5[#All],7,FALSE),"Matricule!")</f>
        <v>0</v>
      </c>
      <c r="L579" s="62" t="e">
        <f>VLOOKUP(Tableau242[[#This Row],[Company number]],#REF!,25,FALSE)</f>
        <v>#REF!</v>
      </c>
      <c r="M579" s="62" t="str">
        <f>IFERROR(VLOOKUP(Tableau242[[#This Row],[Company number]],#REF!,30,FALSE),"")</f>
        <v/>
      </c>
      <c r="N579" s="62" t="str">
        <f>IFERROR(VLOOKUP(Tableau242[[#This Row],[Company number]],#REF!,31,FALSE),"")</f>
        <v/>
      </c>
      <c r="O579" s="62" t="str">
        <f>IFERROR(VLOOKUP(Tableau242[[#This Row],[Company number]],#REF!,32,FALSE),"")</f>
        <v/>
      </c>
      <c r="P579" s="62">
        <f>IFERROR(VLOOKUP(B579,Tableau3[#All],5,FALSE),"Matricule!")</f>
        <v>20</v>
      </c>
      <c r="Q579" s="62">
        <f>IFERROR(SUM(VLOOKUP(B579,Tableau3[#All],6,FALSE),VLOOKUP(B579,Tableau3[#All],8,FALSE)),"Matricule!")</f>
        <v>0</v>
      </c>
      <c r="R579" s="62">
        <f>IFERROR(VLOOKUP(B579,Tableau3[#All],7,FALSE),"Matricule!")</f>
        <v>0</v>
      </c>
      <c r="S579" s="62">
        <f>IFERROR(Tableau242[[#This Row],[Prod. days WK]]-Tableau242[[#This Row],[Prod PXX]],"Matricule")</f>
        <v>0</v>
      </c>
      <c r="T579" s="62">
        <f>IFERROR(Tableau242[[#This Row],[Non prod. days WK]]-Tableau242[[#This Row],[Improd PXX]],"Matricule")</f>
        <v>0</v>
      </c>
      <c r="U579" s="62">
        <f>IFERROR(Tableau242[[#This Row],[Paid leave days WK]]-Tableau242[[#This Row],[Congé PXX]],"Matricule")</f>
        <v>0</v>
      </c>
      <c r="V579" s="63">
        <f>IFERROR(VLOOKUP($B579,#REF!,4,FALSE),0)</f>
        <v>0</v>
      </c>
      <c r="W57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7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79" s="63">
        <f>IF(AND(Tableau242[[#This Row],[Paid leave days]]&gt;0,Tableau242[[#This Row],[Prod. days]]&lt;0),MIN(Tableau242[[#This Row],[Paid leave days]],-Tableau242[[#This Row],[Prod. days]]),0)</f>
        <v>0</v>
      </c>
      <c r="Z579" s="63">
        <f>IFERROR(_xlfn.XLOOKUP(Tableau242[[#This Row],[Consultant]],Tableau2[Collaborateur/Nom affiché],Tableau2[Montant imputé],0),0)</f>
        <v>0</v>
      </c>
      <c r="AA579" s="64">
        <f t="shared" si="9"/>
        <v>0</v>
      </c>
      <c r="AB579" s="65"/>
      <c r="AC579" s="66"/>
      <c r="AD579" s="66"/>
      <c r="AE579" s="39"/>
      <c r="AF579" s="90"/>
    </row>
    <row r="580" spans="1:32" ht="14.45" customHeight="1">
      <c r="A580" s="15">
        <f>Tableau242[[#This Row],[Company number]]+0</f>
        <v>16097</v>
      </c>
      <c r="B580" s="60" t="s">
        <v>1276</v>
      </c>
      <c r="C580" s="61" t="s">
        <v>1277</v>
      </c>
      <c r="D580" s="61" t="s">
        <v>27</v>
      </c>
      <c r="E580" s="62" t="str">
        <f>IFERROR(VLOOKUP(Tableau242[[#This Row],[Manager ou CDM concerné]],Parametres!B:C,2,FALSE),"")</f>
        <v>Squad B</v>
      </c>
      <c r="F580" s="62" t="str">
        <f>IF(Tableau242[[#This Row],[Consultant]]=Tableau242[[#This Row],[Manager ou CDM concerné]],"Non",IF(IFERROR(VLOOKUP(Tableau242[[#This Row],[Consultant]],Parametres!B:C,2,FALSE),0)=0,"Non","Oui"))</f>
        <v>Non</v>
      </c>
      <c r="G580" s="62">
        <f>IFERROR(VLOOKUP(B580,Tableau5[#All],4,FALSE),"Matricule!")</f>
        <v>17.5</v>
      </c>
      <c r="H580" s="62" t="str">
        <f>IFERROR(VLOOKUP(Tableau242[[#This Row],[Company number]],#REF!,6,FALSE),"")</f>
        <v/>
      </c>
      <c r="I580" s="62">
        <f>IFERROR(VLOOKUP(B580,Tableau5[#All],5,FALSE),"Matricule!")</f>
        <v>0</v>
      </c>
      <c r="J580" s="62">
        <f>IFERROR(VLOOKUP(B580,Tableau5[#All],6,FALSE),"Matricule!")</f>
        <v>2.5</v>
      </c>
      <c r="K580" s="62">
        <f>IFERROR(VLOOKUP(B580,Tableau5[#All],7,FALSE),"Matricule!")</f>
        <v>0</v>
      </c>
      <c r="L580" s="62" t="e">
        <f>VLOOKUP(Tableau242[[#This Row],[Company number]],#REF!,25,FALSE)</f>
        <v>#REF!</v>
      </c>
      <c r="M580" s="62" t="str">
        <f>IFERROR(VLOOKUP(Tableau242[[#This Row],[Company number]],#REF!,30,FALSE),"")</f>
        <v/>
      </c>
      <c r="N580" s="62" t="str">
        <f>IFERROR(VLOOKUP(Tableau242[[#This Row],[Company number]],#REF!,31,FALSE),"")</f>
        <v/>
      </c>
      <c r="O580" s="62" t="str">
        <f>IFERROR(VLOOKUP(Tableau242[[#This Row],[Company number]],#REF!,32,FALSE),"")</f>
        <v/>
      </c>
      <c r="P580" s="62">
        <f>IFERROR(VLOOKUP(B580,Tableau3[#All],5,FALSE),"Matricule!")</f>
        <v>10</v>
      </c>
      <c r="Q580" s="62">
        <f>IFERROR(SUM(VLOOKUP(B580,Tableau3[#All],6,FALSE),VLOOKUP(B580,Tableau3[#All],8,FALSE)),"Matricule!")</f>
        <v>7.5</v>
      </c>
      <c r="R580" s="62">
        <f>IFERROR(VLOOKUP(B580,Tableau3[#All],7,FALSE),"Matricule!")</f>
        <v>2.5</v>
      </c>
      <c r="S580" s="62">
        <f>IFERROR(Tableau242[[#This Row],[Prod. days WK]]-Tableau242[[#This Row],[Prod PXX]],"Matricule")</f>
        <v>7.5</v>
      </c>
      <c r="T580" s="62">
        <f>IFERROR(Tableau242[[#This Row],[Non prod. days WK]]-Tableau242[[#This Row],[Improd PXX]],"Matricule")</f>
        <v>-7.5</v>
      </c>
      <c r="U580" s="62">
        <f>IFERROR(Tableau242[[#This Row],[Paid leave days WK]]-Tableau242[[#This Row],[Congé PXX]],"Matricule")</f>
        <v>0</v>
      </c>
      <c r="V580" s="63">
        <f>IFERROR(VLOOKUP($B580,#REF!,4,FALSE),0)</f>
        <v>0</v>
      </c>
      <c r="W58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80" s="63">
        <f>IF(AND(Tableau242[[#This Row],[Paid leave days]]&gt;0,Tableau242[[#This Row],[Prod. days]]&lt;0),MIN(Tableau242[[#This Row],[Paid leave days]],-Tableau242[[#This Row],[Prod. days]]),0)</f>
        <v>0</v>
      </c>
      <c r="Z580" s="63">
        <f>IFERROR(_xlfn.XLOOKUP(Tableau242[[#This Row],[Consultant]],Tableau2[Collaborateur/Nom affiché],Tableau2[Montant imputé],0),0)</f>
        <v>0</v>
      </c>
      <c r="AA580" s="64">
        <f t="shared" si="9"/>
        <v>7.5</v>
      </c>
      <c r="AB580" s="65"/>
      <c r="AC580" s="67"/>
      <c r="AD580" s="66"/>
      <c r="AE580" s="105"/>
      <c r="AF580" s="93"/>
    </row>
    <row r="581" spans="1:32" ht="14.45" customHeight="1">
      <c r="A581" s="15">
        <f>Tableau242[[#This Row],[Company number]]+0</f>
        <v>22105</v>
      </c>
      <c r="B581" s="60" t="s">
        <v>1278</v>
      </c>
      <c r="C581" s="61" t="s">
        <v>1279</v>
      </c>
      <c r="D581" s="61" t="s">
        <v>69</v>
      </c>
      <c r="E581" s="62" t="str">
        <f>IFERROR(VLOOKUP(Tableau242[[#This Row],[Manager ou CDM concerné]],Parametres!B:C,2,FALSE),"")</f>
        <v>Squad H</v>
      </c>
      <c r="F581" s="62" t="str">
        <f>IF(Tableau242[[#This Row],[Consultant]]=Tableau242[[#This Row],[Manager ou CDM concerné]],"Non",IF(IFERROR(VLOOKUP(Tableau242[[#This Row],[Consultant]],Parametres!B:C,2,FALSE),0)=0,"Non","Oui"))</f>
        <v>Non</v>
      </c>
      <c r="G581" s="62">
        <f>IFERROR(VLOOKUP(B581,Tableau5[#All],4,FALSE),"Matricule!")</f>
        <v>0</v>
      </c>
      <c r="H581" s="62" t="str">
        <f>IFERROR(VLOOKUP(Tableau242[[#This Row],[Company number]],#REF!,6,FALSE),"")</f>
        <v/>
      </c>
      <c r="I581" s="62">
        <f>IFERROR(VLOOKUP(B581,Tableau5[#All],5,FALSE),"Matricule!")</f>
        <v>19.5</v>
      </c>
      <c r="J581" s="62">
        <f>IFERROR(VLOOKUP(B581,Tableau5[#All],6,FALSE),"Matricule!")</f>
        <v>0.5</v>
      </c>
      <c r="K581" s="62">
        <f>IFERROR(VLOOKUP(B581,Tableau5[#All],7,FALSE),"Matricule!")</f>
        <v>0</v>
      </c>
      <c r="L581" s="62" t="e">
        <f>VLOOKUP(Tableau242[[#This Row],[Company number]],#REF!,25,FALSE)</f>
        <v>#REF!</v>
      </c>
      <c r="M581" s="62" t="str">
        <f>IFERROR(VLOOKUP(Tableau242[[#This Row],[Company number]],#REF!,30,FALSE),"")</f>
        <v/>
      </c>
      <c r="N581" s="62" t="str">
        <f>IFERROR(VLOOKUP(Tableau242[[#This Row],[Company number]],#REF!,31,FALSE),"")</f>
        <v/>
      </c>
      <c r="O581" s="62" t="str">
        <f>IFERROR(VLOOKUP(Tableau242[[#This Row],[Company number]],#REF!,32,FALSE),"")</f>
        <v/>
      </c>
      <c r="P581" s="62">
        <f>IFERROR(VLOOKUP(B581,Tableau3[#All],5,FALSE),"Matricule!")</f>
        <v>0</v>
      </c>
      <c r="Q581" s="62">
        <f>IFERROR(SUM(VLOOKUP(B581,Tableau3[#All],6,FALSE),VLOOKUP(B581,Tableau3[#All],8,FALSE)),"Matricule!")</f>
        <v>20</v>
      </c>
      <c r="R581" s="62">
        <f>IFERROR(VLOOKUP(B581,Tableau3[#All],7,FALSE),"Matricule!")</f>
        <v>0</v>
      </c>
      <c r="S581" s="62">
        <f>IFERROR(Tableau242[[#This Row],[Prod. days WK]]-Tableau242[[#This Row],[Prod PXX]],"Matricule")</f>
        <v>0</v>
      </c>
      <c r="T581" s="62">
        <f>IFERROR(Tableau242[[#This Row],[Non prod. days WK]]-Tableau242[[#This Row],[Improd PXX]],"Matricule")</f>
        <v>-0.5</v>
      </c>
      <c r="U581" s="62">
        <f>IFERROR(Tableau242[[#This Row],[Paid leave days WK]]-Tableau242[[#This Row],[Congé PXX]],"Matricule")</f>
        <v>0.5</v>
      </c>
      <c r="V581" s="63">
        <f>IFERROR(VLOOKUP($B581,#REF!,4,FALSE),0)</f>
        <v>0</v>
      </c>
      <c r="W58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81" s="63">
        <f>IF(AND(Tableau242[[#This Row],[Paid leave days]]&gt;0,Tableau242[[#This Row],[Prod. days]]&lt;0),MIN(Tableau242[[#This Row],[Paid leave days]],-Tableau242[[#This Row],[Prod. days]]),0)</f>
        <v>0</v>
      </c>
      <c r="Z581" s="63">
        <f>IFERROR(_xlfn.XLOOKUP(Tableau242[[#This Row],[Consultant]],Tableau2[Collaborateur/Nom affiché],Tableau2[Montant imputé],0),0)</f>
        <v>0</v>
      </c>
      <c r="AA581" s="64">
        <f t="shared" si="9"/>
        <v>0</v>
      </c>
      <c r="AB581" s="65"/>
      <c r="AC581" s="66"/>
      <c r="AD581" s="66"/>
      <c r="AE581" s="105"/>
      <c r="AF581" s="90"/>
    </row>
    <row r="582" spans="1:32" ht="14.45" customHeight="1">
      <c r="A582" s="15">
        <f>Tableau242[[#This Row],[Company number]]+0</f>
        <v>21163</v>
      </c>
      <c r="B582" s="60" t="s">
        <v>1280</v>
      </c>
      <c r="C582" s="61" t="s">
        <v>1281</v>
      </c>
      <c r="D582" s="61" t="s">
        <v>33</v>
      </c>
      <c r="E582" s="62" t="str">
        <f>IFERROR(VLOOKUP(Tableau242[[#This Row],[Manager ou CDM concerné]],Parametres!B:C,2,FALSE),"")</f>
        <v>Squad A</v>
      </c>
      <c r="F582" s="62" t="str">
        <f>IF(Tableau242[[#This Row],[Consultant]]=Tableau242[[#This Row],[Manager ou CDM concerné]],"Non",IF(IFERROR(VLOOKUP(Tableau242[[#This Row],[Consultant]],Parametres!B:C,2,FALSE),0)=0,"Non","Oui"))</f>
        <v>Non</v>
      </c>
      <c r="G582" s="62">
        <f>IFERROR(VLOOKUP(B582,Tableau5[#All],4,FALSE),"Matricule!")</f>
        <v>4.5</v>
      </c>
      <c r="H582" s="62" t="str">
        <f>IFERROR(VLOOKUP(Tableau242[[#This Row],[Company number]],#REF!,6,FALSE),"")</f>
        <v/>
      </c>
      <c r="I582" s="62">
        <f>IFERROR(VLOOKUP(B582,Tableau5[#All],5,FALSE),"Matricule!")</f>
        <v>12.5</v>
      </c>
      <c r="J582" s="62">
        <f>IFERROR(VLOOKUP(B582,Tableau5[#All],6,FALSE),"Matricule!")</f>
        <v>3</v>
      </c>
      <c r="K582" s="62">
        <f>IFERROR(VLOOKUP(B582,Tableau5[#All],7,FALSE),"Matricule!")</f>
        <v>0</v>
      </c>
      <c r="L582" s="62" t="e">
        <f>VLOOKUP(Tableau242[[#This Row],[Company number]],#REF!,25,FALSE)</f>
        <v>#REF!</v>
      </c>
      <c r="M582" s="62" t="str">
        <f>IFERROR(VLOOKUP(Tableau242[[#This Row],[Company number]],#REF!,30,FALSE),"")</f>
        <v/>
      </c>
      <c r="N582" s="62" t="str">
        <f>IFERROR(VLOOKUP(Tableau242[[#This Row],[Company number]],#REF!,31,FALSE),"")</f>
        <v/>
      </c>
      <c r="O582" s="62" t="str">
        <f>IFERROR(VLOOKUP(Tableau242[[#This Row],[Company number]],#REF!,32,FALSE),"")</f>
        <v/>
      </c>
      <c r="P582" s="62">
        <f>IFERROR(VLOOKUP(B582,Tableau3[#All],5,FALSE),"Matricule!")</f>
        <v>4.5</v>
      </c>
      <c r="Q582" s="62">
        <f>IFERROR(SUM(VLOOKUP(B582,Tableau3[#All],6,FALSE),VLOOKUP(B582,Tableau3[#All],8,FALSE)),"Matricule!")</f>
        <v>15.5</v>
      </c>
      <c r="R582" s="62">
        <f>IFERROR(VLOOKUP(B582,Tableau3[#All],7,FALSE),"Matricule!")</f>
        <v>0</v>
      </c>
      <c r="S582" s="62">
        <f>IFERROR(Tableau242[[#This Row],[Prod. days WK]]-Tableau242[[#This Row],[Prod PXX]],"Matricule")</f>
        <v>0</v>
      </c>
      <c r="T582" s="62">
        <f>IFERROR(Tableau242[[#This Row],[Non prod. days WK]]-Tableau242[[#This Row],[Improd PXX]],"Matricule")</f>
        <v>-3</v>
      </c>
      <c r="U582" s="62">
        <f>IFERROR(Tableau242[[#This Row],[Paid leave days WK]]-Tableau242[[#This Row],[Congé PXX]],"Matricule")</f>
        <v>3</v>
      </c>
      <c r="V582" s="63">
        <f>IFERROR(VLOOKUP($B582,#REF!,4,FALSE),0)</f>
        <v>0</v>
      </c>
      <c r="W58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82" s="63">
        <f>IF(AND(Tableau242[[#This Row],[Paid leave days]]&gt;0,Tableau242[[#This Row],[Prod. days]]&lt;0),MIN(Tableau242[[#This Row],[Paid leave days]],-Tableau242[[#This Row],[Prod. days]]),0)</f>
        <v>0</v>
      </c>
      <c r="Z582" s="63">
        <f>IFERROR(_xlfn.XLOOKUP(Tableau242[[#This Row],[Consultant]],Tableau2[Collaborateur/Nom affiché],Tableau2[Montant imputé],0),0)</f>
        <v>0</v>
      </c>
      <c r="AA582" s="64">
        <f t="shared" si="9"/>
        <v>0</v>
      </c>
      <c r="AB582" s="65"/>
      <c r="AC582" s="66"/>
      <c r="AD582" s="66"/>
      <c r="AE582" s="115"/>
      <c r="AF582" s="90"/>
    </row>
    <row r="583" spans="1:32" ht="14.45" customHeight="1">
      <c r="A583" s="15">
        <f>Tableau242[[#This Row],[Company number]]+0</f>
        <v>14627</v>
      </c>
      <c r="B583" s="60" t="s">
        <v>1282</v>
      </c>
      <c r="C583" s="61" t="s">
        <v>1283</v>
      </c>
      <c r="D583" s="61" t="s">
        <v>27</v>
      </c>
      <c r="E583" s="62" t="str">
        <f>IFERROR(VLOOKUP(Tableau242[[#This Row],[Manager ou CDM concerné]],Parametres!B:C,2,FALSE),"")</f>
        <v>Squad B</v>
      </c>
      <c r="F583" s="62" t="str">
        <f>IF(Tableau242[[#This Row],[Consultant]]=Tableau242[[#This Row],[Manager ou CDM concerné]],"Non",IF(IFERROR(VLOOKUP(Tableau242[[#This Row],[Consultant]],Parametres!B:C,2,FALSE),0)=0,"Non","Oui"))</f>
        <v>Non</v>
      </c>
      <c r="G583" s="62">
        <f>IFERROR(VLOOKUP(B583,Tableau5[#All],4,FALSE),"Matricule!")</f>
        <v>10</v>
      </c>
      <c r="H583" s="62" t="str">
        <f>IFERROR(VLOOKUP(Tableau242[[#This Row],[Company number]],#REF!,6,FALSE),"")</f>
        <v/>
      </c>
      <c r="I583" s="62">
        <f>IFERROR(VLOOKUP(B583,Tableau5[#All],5,FALSE),"Matricule!")</f>
        <v>10</v>
      </c>
      <c r="J583" s="62">
        <f>IFERROR(VLOOKUP(B583,Tableau5[#All],6,FALSE),"Matricule!")</f>
        <v>0</v>
      </c>
      <c r="K583" s="62">
        <f>IFERROR(VLOOKUP(B583,Tableau5[#All],7,FALSE),"Matricule!")</f>
        <v>0</v>
      </c>
      <c r="L583" s="62" t="e">
        <f>VLOOKUP(Tableau242[[#This Row],[Company number]],#REF!,25,FALSE)</f>
        <v>#REF!</v>
      </c>
      <c r="M583" s="62" t="str">
        <f>IFERROR(VLOOKUP(Tableau242[[#This Row],[Company number]],#REF!,30,FALSE),"")</f>
        <v/>
      </c>
      <c r="N583" s="62" t="str">
        <f>IFERROR(VLOOKUP(Tableau242[[#This Row],[Company number]],#REF!,31,FALSE),"")</f>
        <v/>
      </c>
      <c r="O583" s="62" t="str">
        <f>IFERROR(VLOOKUP(Tableau242[[#This Row],[Company number]],#REF!,32,FALSE),"")</f>
        <v/>
      </c>
      <c r="P583" s="62">
        <f>IFERROR(VLOOKUP(B583,Tableau3[#All],5,FALSE),"Matricule!")</f>
        <v>8</v>
      </c>
      <c r="Q583" s="62">
        <f>IFERROR(SUM(VLOOKUP(B583,Tableau3[#All],6,FALSE),VLOOKUP(B583,Tableau3[#All],8,FALSE)),"Matricule!")</f>
        <v>12</v>
      </c>
      <c r="R583" s="62">
        <f>IFERROR(VLOOKUP(B583,Tableau3[#All],7,FALSE),"Matricule!")</f>
        <v>0</v>
      </c>
      <c r="S583" s="62">
        <f>IFERROR(Tableau242[[#This Row],[Prod. days WK]]-Tableau242[[#This Row],[Prod PXX]],"Matricule")</f>
        <v>2</v>
      </c>
      <c r="T583" s="62">
        <f>IFERROR(Tableau242[[#This Row],[Non prod. days WK]]-Tableau242[[#This Row],[Improd PXX]],"Matricule")</f>
        <v>-2</v>
      </c>
      <c r="U583" s="62">
        <f>IFERROR(Tableau242[[#This Row],[Paid leave days WK]]-Tableau242[[#This Row],[Congé PXX]],"Matricule")</f>
        <v>0</v>
      </c>
      <c r="V583" s="63">
        <f>IFERROR(VLOOKUP($B583,#REF!,4,FALSE),0)</f>
        <v>0</v>
      </c>
      <c r="W58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83" s="63">
        <f>IF(AND(Tableau242[[#This Row],[Paid leave days]]&gt;0,Tableau242[[#This Row],[Prod. days]]&lt;0),MIN(Tableau242[[#This Row],[Paid leave days]],-Tableau242[[#This Row],[Prod. days]]),0)</f>
        <v>0</v>
      </c>
      <c r="Z583" s="63">
        <f>IFERROR(_xlfn.XLOOKUP(Tableau242[[#This Row],[Consultant]],Tableau2[Collaborateur/Nom affiché],Tableau2[Montant imputé],0),0)</f>
        <v>0</v>
      </c>
      <c r="AA583" s="64">
        <f t="shared" si="9"/>
        <v>2</v>
      </c>
      <c r="AB583" s="65"/>
      <c r="AC583" s="67"/>
      <c r="AD583" s="66"/>
      <c r="AE583" s="115"/>
      <c r="AF583" s="93"/>
    </row>
    <row r="584" spans="1:32" ht="14.45" customHeight="1">
      <c r="A584" s="15">
        <f>Tableau242[[#This Row],[Company number]]+0</f>
        <v>16421</v>
      </c>
      <c r="B584" s="60" t="s">
        <v>1284</v>
      </c>
      <c r="C584" s="61" t="s">
        <v>1285</v>
      </c>
      <c r="D584" s="61" t="s">
        <v>27</v>
      </c>
      <c r="E584" s="62" t="str">
        <f>IFERROR(VLOOKUP(Tableau242[[#This Row],[Manager ou CDM concerné]],Parametres!B:C,2,FALSE),"")</f>
        <v>Squad B</v>
      </c>
      <c r="F584" s="62" t="str">
        <f>IF(Tableau242[[#This Row],[Consultant]]=Tableau242[[#This Row],[Manager ou CDM concerné]],"Non",IF(IFERROR(VLOOKUP(Tableau242[[#This Row],[Consultant]],Parametres!B:C,2,FALSE),0)=0,"Non","Oui"))</f>
        <v>Non</v>
      </c>
      <c r="G584" s="62">
        <f>IFERROR(VLOOKUP(B584,Tableau5[#All],4,FALSE),"Matricule!")</f>
        <v>20</v>
      </c>
      <c r="H584" s="62" t="str">
        <f>IFERROR(VLOOKUP(Tableau242[[#This Row],[Company number]],#REF!,6,FALSE),"")</f>
        <v/>
      </c>
      <c r="I584" s="62">
        <f>IFERROR(VLOOKUP(B584,Tableau5[#All],5,FALSE),"Matricule!")</f>
        <v>0</v>
      </c>
      <c r="J584" s="62">
        <f>IFERROR(VLOOKUP(B584,Tableau5[#All],6,FALSE),"Matricule!")</f>
        <v>0</v>
      </c>
      <c r="K584" s="62">
        <f>IFERROR(VLOOKUP(B584,Tableau5[#All],7,FALSE),"Matricule!")</f>
        <v>0</v>
      </c>
      <c r="L584" s="62" t="e">
        <f>VLOOKUP(Tableau242[[#This Row],[Company number]],#REF!,25,FALSE)</f>
        <v>#REF!</v>
      </c>
      <c r="M584" s="62" t="str">
        <f>IFERROR(VLOOKUP(Tableau242[[#This Row],[Company number]],#REF!,30,FALSE),"")</f>
        <v/>
      </c>
      <c r="N584" s="62" t="str">
        <f>IFERROR(VLOOKUP(Tableau242[[#This Row],[Company number]],#REF!,31,FALSE),"")</f>
        <v/>
      </c>
      <c r="O584" s="62" t="str">
        <f>IFERROR(VLOOKUP(Tableau242[[#This Row],[Company number]],#REF!,32,FALSE),"")</f>
        <v/>
      </c>
      <c r="P584" s="62">
        <f>IFERROR(VLOOKUP(B584,Tableau3[#All],5,FALSE),"Matricule!")</f>
        <v>18</v>
      </c>
      <c r="Q584" s="62">
        <f>IFERROR(SUM(VLOOKUP(B584,Tableau3[#All],6,FALSE),VLOOKUP(B584,Tableau3[#All],8,FALSE)),"Matricule!")</f>
        <v>2</v>
      </c>
      <c r="R584" s="62">
        <f>IFERROR(VLOOKUP(B584,Tableau3[#All],7,FALSE),"Matricule!")</f>
        <v>0</v>
      </c>
      <c r="S584" s="62">
        <f>IFERROR(Tableau242[[#This Row],[Prod. days WK]]-Tableau242[[#This Row],[Prod PXX]],"Matricule")</f>
        <v>2</v>
      </c>
      <c r="T584" s="62">
        <f>IFERROR(Tableau242[[#This Row],[Non prod. days WK]]-Tableau242[[#This Row],[Improd PXX]],"Matricule")</f>
        <v>-2</v>
      </c>
      <c r="U584" s="62">
        <f>IFERROR(Tableau242[[#This Row],[Paid leave days WK]]-Tableau242[[#This Row],[Congé PXX]],"Matricule")</f>
        <v>0</v>
      </c>
      <c r="V584" s="63">
        <f>IFERROR(VLOOKUP($B584,#REF!,4,FALSE),0)</f>
        <v>0</v>
      </c>
      <c r="W58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84" s="63">
        <f>IF(AND(Tableau242[[#This Row],[Paid leave days]]&gt;0,Tableau242[[#This Row],[Prod. days]]&lt;0),MIN(Tableau242[[#This Row],[Paid leave days]],-Tableau242[[#This Row],[Prod. days]]),0)</f>
        <v>0</v>
      </c>
      <c r="Z584" s="63">
        <f>IFERROR(_xlfn.XLOOKUP(Tableau242[[#This Row],[Consultant]],Tableau2[Collaborateur/Nom affiché],Tableau2[Montant imputé],0),0)</f>
        <v>0</v>
      </c>
      <c r="AA584" s="64">
        <f t="shared" si="9"/>
        <v>2</v>
      </c>
      <c r="AB584" s="65"/>
      <c r="AC584" s="66"/>
      <c r="AD584" s="66"/>
      <c r="AE584" s="105"/>
      <c r="AF584" s="90"/>
    </row>
    <row r="585" spans="1:32" ht="14.45" customHeight="1">
      <c r="A585" s="15">
        <f>Tableau242[[#This Row],[Company number]]+0</f>
        <v>17496</v>
      </c>
      <c r="B585" s="60" t="s">
        <v>1286</v>
      </c>
      <c r="C585" s="61" t="s">
        <v>1287</v>
      </c>
      <c r="D585" s="61" t="s">
        <v>27</v>
      </c>
      <c r="E585" s="62" t="str">
        <f>IFERROR(VLOOKUP(Tableau242[[#This Row],[Manager ou CDM concerné]],Parametres!B:C,2,FALSE),"")</f>
        <v>Squad B</v>
      </c>
      <c r="F585" s="62" t="str">
        <f>IF(Tableau242[[#This Row],[Consultant]]=Tableau242[[#This Row],[Manager ou CDM concerné]],"Non",IF(IFERROR(VLOOKUP(Tableau242[[#This Row],[Consultant]],Parametres!B:C,2,FALSE),0)=0,"Non","Oui"))</f>
        <v>Non</v>
      </c>
      <c r="G585" s="62">
        <f>IFERROR(VLOOKUP(B585,Tableau5[#All],4,FALSE),"Matricule!")</f>
        <v>20</v>
      </c>
      <c r="H585" s="62" t="str">
        <f>IFERROR(VLOOKUP(Tableau242[[#This Row],[Company number]],#REF!,6,FALSE),"")</f>
        <v/>
      </c>
      <c r="I585" s="62">
        <f>IFERROR(VLOOKUP(B585,Tableau5[#All],5,FALSE),"Matricule!")</f>
        <v>0</v>
      </c>
      <c r="J585" s="62">
        <f>IFERROR(VLOOKUP(B585,Tableau5[#All],6,FALSE),"Matricule!")</f>
        <v>0</v>
      </c>
      <c r="K585" s="62">
        <f>IFERROR(VLOOKUP(B585,Tableau5[#All],7,FALSE),"Matricule!")</f>
        <v>0</v>
      </c>
      <c r="L585" s="62" t="e">
        <f>VLOOKUP(Tableau242[[#This Row],[Company number]],#REF!,25,FALSE)</f>
        <v>#REF!</v>
      </c>
      <c r="M585" s="62" t="str">
        <f>IFERROR(VLOOKUP(Tableau242[[#This Row],[Company number]],#REF!,30,FALSE),"")</f>
        <v/>
      </c>
      <c r="N585" s="62" t="str">
        <f>IFERROR(VLOOKUP(Tableau242[[#This Row],[Company number]],#REF!,31,FALSE),"")</f>
        <v/>
      </c>
      <c r="O585" s="62" t="str">
        <f>IFERROR(VLOOKUP(Tableau242[[#This Row],[Company number]],#REF!,32,FALSE),"")</f>
        <v/>
      </c>
      <c r="P585" s="62">
        <f>IFERROR(VLOOKUP(B585,Tableau3[#All],5,FALSE),"Matricule!")</f>
        <v>20</v>
      </c>
      <c r="Q585" s="62">
        <f>IFERROR(SUM(VLOOKUP(B585,Tableau3[#All],6,FALSE),VLOOKUP(B585,Tableau3[#All],8,FALSE)),"Matricule!")</f>
        <v>0</v>
      </c>
      <c r="R585" s="62">
        <f>IFERROR(VLOOKUP(B585,Tableau3[#All],7,FALSE),"Matricule!")</f>
        <v>0</v>
      </c>
      <c r="S585" s="62">
        <f>IFERROR(Tableau242[[#This Row],[Prod. days WK]]-Tableau242[[#This Row],[Prod PXX]],"Matricule")</f>
        <v>0</v>
      </c>
      <c r="T585" s="62">
        <f>IFERROR(Tableau242[[#This Row],[Non prod. days WK]]-Tableau242[[#This Row],[Improd PXX]],"Matricule")</f>
        <v>0</v>
      </c>
      <c r="U585" s="62">
        <f>IFERROR(Tableau242[[#This Row],[Paid leave days WK]]-Tableau242[[#This Row],[Congé PXX]],"Matricule")</f>
        <v>0</v>
      </c>
      <c r="V585" s="63">
        <f>IFERROR(VLOOKUP($B585,#REF!,4,FALSE),0)</f>
        <v>0</v>
      </c>
      <c r="W58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85" s="63">
        <f>IF(AND(Tableau242[[#This Row],[Paid leave days]]&gt;0,Tableau242[[#This Row],[Prod. days]]&lt;0),MIN(Tableau242[[#This Row],[Paid leave days]],-Tableau242[[#This Row],[Prod. days]]),0)</f>
        <v>0</v>
      </c>
      <c r="Z585" s="63">
        <f>IFERROR(_xlfn.XLOOKUP(Tableau242[[#This Row],[Consultant]],Tableau2[Collaborateur/Nom affiché],Tableau2[Montant imputé],0),0)</f>
        <v>0</v>
      </c>
      <c r="AA585" s="64">
        <f t="shared" si="9"/>
        <v>0</v>
      </c>
      <c r="AB585" s="65"/>
      <c r="AC585" s="66"/>
      <c r="AD585" s="66"/>
      <c r="AE585" s="105"/>
      <c r="AF585" s="90"/>
    </row>
    <row r="586" spans="1:32">
      <c r="A586" s="15">
        <f>Tableau242[[#This Row],[Company number]]+0</f>
        <v>21499</v>
      </c>
      <c r="B586" s="60" t="s">
        <v>1288</v>
      </c>
      <c r="C586" s="61" t="s">
        <v>1289</v>
      </c>
      <c r="D586" s="61" t="s">
        <v>27</v>
      </c>
      <c r="E586" s="62" t="str">
        <f>IFERROR(VLOOKUP(Tableau242[[#This Row],[Manager ou CDM concerné]],Parametres!B:C,2,FALSE),"")</f>
        <v>Squad B</v>
      </c>
      <c r="F586" s="62" t="str">
        <f>IF(Tableau242[[#This Row],[Consultant]]=Tableau242[[#This Row],[Manager ou CDM concerné]],"Non",IF(IFERROR(VLOOKUP(Tableau242[[#This Row],[Consultant]],Parametres!B:C,2,FALSE),0)=0,"Non","Oui"))</f>
        <v>Non</v>
      </c>
      <c r="G586" s="62">
        <f>IFERROR(VLOOKUP(B586,Tableau5[#All],4,FALSE),"Matricule!")</f>
        <v>20</v>
      </c>
      <c r="H586" s="62" t="str">
        <f>IFERROR(VLOOKUP(Tableau242[[#This Row],[Company number]],#REF!,6,FALSE),"")</f>
        <v/>
      </c>
      <c r="I586" s="62">
        <f>IFERROR(VLOOKUP(B586,Tableau5[#All],5,FALSE),"Matricule!")</f>
        <v>0</v>
      </c>
      <c r="J586" s="62">
        <f>IFERROR(VLOOKUP(B586,Tableau5[#All],6,FALSE),"Matricule!")</f>
        <v>0</v>
      </c>
      <c r="K586" s="62">
        <f>IFERROR(VLOOKUP(B586,Tableau5[#All],7,FALSE),"Matricule!")</f>
        <v>0</v>
      </c>
      <c r="L586" s="62" t="e">
        <f>VLOOKUP(Tableau242[[#This Row],[Company number]],#REF!,25,FALSE)</f>
        <v>#REF!</v>
      </c>
      <c r="M586" s="62" t="str">
        <f>IFERROR(VLOOKUP(Tableau242[[#This Row],[Company number]],#REF!,30,FALSE),"")</f>
        <v/>
      </c>
      <c r="N586" s="62" t="str">
        <f>IFERROR(VLOOKUP(Tableau242[[#This Row],[Company number]],#REF!,31,FALSE),"")</f>
        <v/>
      </c>
      <c r="O586" s="62" t="str">
        <f>IFERROR(VLOOKUP(Tableau242[[#This Row],[Company number]],#REF!,32,FALSE),"")</f>
        <v/>
      </c>
      <c r="P586" s="62">
        <f>IFERROR(VLOOKUP(B586,Tableau3[#All],5,FALSE),"Matricule!")</f>
        <v>20</v>
      </c>
      <c r="Q586" s="62">
        <f>IFERROR(SUM(VLOOKUP(B586,Tableau3[#All],6,FALSE),VLOOKUP(B586,Tableau3[#All],8,FALSE)),"Matricule!")</f>
        <v>0</v>
      </c>
      <c r="R586" s="62">
        <f>IFERROR(VLOOKUP(B586,Tableau3[#All],7,FALSE),"Matricule!")</f>
        <v>0</v>
      </c>
      <c r="S586" s="62">
        <f>IFERROR(Tableau242[[#This Row],[Prod. days WK]]-Tableau242[[#This Row],[Prod PXX]],"Matricule")</f>
        <v>0</v>
      </c>
      <c r="T586" s="62">
        <f>IFERROR(Tableau242[[#This Row],[Non prod. days WK]]-Tableau242[[#This Row],[Improd PXX]],"Matricule")</f>
        <v>0</v>
      </c>
      <c r="U586" s="62">
        <f>IFERROR(Tableau242[[#This Row],[Paid leave days WK]]-Tableau242[[#This Row],[Congé PXX]],"Matricule")</f>
        <v>0</v>
      </c>
      <c r="V586" s="63">
        <f>IFERROR(VLOOKUP($B586,#REF!,4,FALSE),0)</f>
        <v>0</v>
      </c>
      <c r="W58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86" s="63">
        <f>IF(AND(Tableau242[[#This Row],[Paid leave days]]&gt;0,Tableau242[[#This Row],[Prod. days]]&lt;0),MIN(Tableau242[[#This Row],[Paid leave days]],-Tableau242[[#This Row],[Prod. days]]),0)</f>
        <v>0</v>
      </c>
      <c r="Z586" s="63">
        <f>IFERROR(_xlfn.XLOOKUP(Tableau242[[#This Row],[Consultant]],Tableau2[Collaborateur/Nom affiché],Tableau2[Montant imputé],0),0)</f>
        <v>0</v>
      </c>
      <c r="AA586" s="64">
        <f t="shared" si="9"/>
        <v>0</v>
      </c>
      <c r="AB586" s="65"/>
      <c r="AC586" s="66"/>
      <c r="AD586" s="66"/>
      <c r="AE586" s="39"/>
      <c r="AF586" s="90"/>
    </row>
    <row r="587" spans="1:32" ht="14.45" customHeight="1">
      <c r="A587" s="15">
        <f>Tableau242[[#This Row],[Company number]]+0</f>
        <v>7374</v>
      </c>
      <c r="B587" s="60" t="s">
        <v>1290</v>
      </c>
      <c r="C587" s="61" t="s">
        <v>1291</v>
      </c>
      <c r="D587" s="61" t="s">
        <v>90</v>
      </c>
      <c r="E587" s="62" t="str">
        <f>IFERROR(VLOOKUP(Tableau242[[#This Row],[Manager ou CDM concerné]],Parametres!B:C,2,FALSE),"")</f>
        <v/>
      </c>
      <c r="F587" s="62" t="str">
        <f>IF(Tableau242[[#This Row],[Consultant]]=Tableau242[[#This Row],[Manager ou CDM concerné]],"Non",IF(IFERROR(VLOOKUP(Tableau242[[#This Row],[Consultant]],Parametres!B:C,2,FALSE),0)=0,"Non","Oui"))</f>
        <v>Non</v>
      </c>
      <c r="G587" s="62">
        <f>IFERROR(VLOOKUP(B587,Tableau5[#All],4,FALSE),"Matricule!")</f>
        <v>0</v>
      </c>
      <c r="H587" s="62" t="str">
        <f>IFERROR(VLOOKUP(Tableau242[[#This Row],[Company number]],#REF!,6,FALSE),"")</f>
        <v/>
      </c>
      <c r="I587" s="62">
        <f>IFERROR(VLOOKUP(B587,Tableau5[#All],5,FALSE),"Matricule!")</f>
        <v>17.5</v>
      </c>
      <c r="J587" s="62">
        <f>IFERROR(VLOOKUP(B587,Tableau5[#All],6,FALSE),"Matricule!")</f>
        <v>1</v>
      </c>
      <c r="K587" s="62">
        <f>IFERROR(VLOOKUP(B587,Tableau5[#All],7,FALSE),"Matricule!")</f>
        <v>1.5</v>
      </c>
      <c r="L587" s="62" t="e">
        <f>VLOOKUP(Tableau242[[#This Row],[Company number]],#REF!,25,FALSE)</f>
        <v>#REF!</v>
      </c>
      <c r="M587" s="62" t="str">
        <f>IFERROR(VLOOKUP(Tableau242[[#This Row],[Company number]],#REF!,30,FALSE),"")</f>
        <v/>
      </c>
      <c r="N587" s="62" t="str">
        <f>IFERROR(VLOOKUP(Tableau242[[#This Row],[Company number]],#REF!,31,FALSE),"")</f>
        <v/>
      </c>
      <c r="O587" s="62" t="str">
        <f>IFERROR(VLOOKUP(Tableau242[[#This Row],[Company number]],#REF!,32,FALSE),"")</f>
        <v/>
      </c>
      <c r="P587" s="62">
        <f>IFERROR(VLOOKUP(B587,Tableau3[#All],5,FALSE),"Matricule!")</f>
        <v>0</v>
      </c>
      <c r="Q587" s="62">
        <f>IFERROR(SUM(VLOOKUP(B587,Tableau3[#All],6,FALSE),VLOOKUP(B587,Tableau3[#All],8,FALSE)),"Matricule!")</f>
        <v>17</v>
      </c>
      <c r="R587" s="62">
        <f>IFERROR(VLOOKUP(B587,Tableau3[#All],7,FALSE),"Matricule!")</f>
        <v>1</v>
      </c>
      <c r="S587" s="62">
        <f>IFERROR(Tableau242[[#This Row],[Prod. days WK]]-Tableau242[[#This Row],[Prod PXX]],"Matricule")</f>
        <v>0</v>
      </c>
      <c r="T587" s="62">
        <f>IFERROR(Tableau242[[#This Row],[Non prod. days WK]]-Tableau242[[#This Row],[Improd PXX]],"Matricule")</f>
        <v>0.5</v>
      </c>
      <c r="U587" s="62">
        <f>IFERROR(Tableau242[[#This Row],[Paid leave days WK]]-Tableau242[[#This Row],[Congé PXX]],"Matricule")</f>
        <v>0</v>
      </c>
      <c r="V587" s="63">
        <f>IFERROR(VLOOKUP($B587,#REF!,4,FALSE),0)</f>
        <v>0</v>
      </c>
      <c r="W58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87" s="63">
        <f>IF(AND(Tableau242[[#This Row],[Paid leave days]]&gt;0,Tableau242[[#This Row],[Prod. days]]&lt;0),MIN(Tableau242[[#This Row],[Paid leave days]],-Tableau242[[#This Row],[Prod. days]]),0)</f>
        <v>0</v>
      </c>
      <c r="Z587" s="63">
        <f>IFERROR(_xlfn.XLOOKUP(Tableau242[[#This Row],[Consultant]],Tableau2[Collaborateur/Nom affiché],Tableau2[Montant imputé],0),0)</f>
        <v>0</v>
      </c>
      <c r="AA587" s="64">
        <f t="shared" ref="AA587:AA650" si="10">IFERROR(S587+Z587,S587)</f>
        <v>0</v>
      </c>
      <c r="AB587" s="65"/>
      <c r="AC587" s="66"/>
      <c r="AD587" s="66"/>
      <c r="AE587" s="105"/>
      <c r="AF587" s="90"/>
    </row>
    <row r="588" spans="1:32" ht="14.45" customHeight="1">
      <c r="A588" s="15">
        <f>Tableau242[[#This Row],[Company number]]+0</f>
        <v>7372</v>
      </c>
      <c r="B588" s="60" t="s">
        <v>1292</v>
      </c>
      <c r="C588" s="61" t="s">
        <v>74</v>
      </c>
      <c r="D588" s="61" t="s">
        <v>90</v>
      </c>
      <c r="E588" s="62" t="str">
        <f>IFERROR(VLOOKUP(Tableau242[[#This Row],[Manager ou CDM concerné]],Parametres!B:C,2,FALSE),"")</f>
        <v/>
      </c>
      <c r="F588" s="62" t="str">
        <f>IF(Tableau242[[#This Row],[Consultant]]=Tableau242[[#This Row],[Manager ou CDM concerné]],"Non",IF(IFERROR(VLOOKUP(Tableau242[[#This Row],[Consultant]],Parametres!B:C,2,FALSE),0)=0,"Non","Oui"))</f>
        <v>Non</v>
      </c>
      <c r="G588" s="62">
        <f>IFERROR(VLOOKUP(B588,Tableau5[#All],4,FALSE),"Matricule!")</f>
        <v>0</v>
      </c>
      <c r="H588" s="62" t="str">
        <f>IFERROR(VLOOKUP(Tableau242[[#This Row],[Company number]],#REF!,6,FALSE),"")</f>
        <v/>
      </c>
      <c r="I588" s="62">
        <f>IFERROR(VLOOKUP(B588,Tableau5[#All],5,FALSE),"Matricule!")</f>
        <v>16</v>
      </c>
      <c r="J588" s="62">
        <f>IFERROR(VLOOKUP(B588,Tableau5[#All],6,FALSE),"Matricule!")</f>
        <v>0</v>
      </c>
      <c r="K588" s="62">
        <f>IFERROR(VLOOKUP(B588,Tableau5[#All],7,FALSE),"Matricule!")</f>
        <v>4</v>
      </c>
      <c r="L588" s="62" t="e">
        <f>VLOOKUP(Tableau242[[#This Row],[Company number]],#REF!,25,FALSE)</f>
        <v>#REF!</v>
      </c>
      <c r="M588" s="62" t="str">
        <f>IFERROR(VLOOKUP(Tableau242[[#This Row],[Company number]],#REF!,30,FALSE),"")</f>
        <v/>
      </c>
      <c r="N588" s="62" t="str">
        <f>IFERROR(VLOOKUP(Tableau242[[#This Row],[Company number]],#REF!,31,FALSE),"")</f>
        <v/>
      </c>
      <c r="O588" s="62" t="str">
        <f>IFERROR(VLOOKUP(Tableau242[[#This Row],[Company number]],#REF!,32,FALSE),"")</f>
        <v/>
      </c>
      <c r="P588" s="62">
        <f>IFERROR(VLOOKUP(B588,Tableau3[#All],5,FALSE),"Matricule!")</f>
        <v>0</v>
      </c>
      <c r="Q588" s="62">
        <f>IFERROR(SUM(VLOOKUP(B588,Tableau3[#All],6,FALSE),VLOOKUP(B588,Tableau3[#All],8,FALSE)),"Matricule!")</f>
        <v>16</v>
      </c>
      <c r="R588" s="62">
        <f>IFERROR(VLOOKUP(B588,Tableau3[#All],7,FALSE),"Matricule!")</f>
        <v>0</v>
      </c>
      <c r="S588" s="62">
        <f>IFERROR(Tableau242[[#This Row],[Prod. days WK]]-Tableau242[[#This Row],[Prod PXX]],"Matricule")</f>
        <v>0</v>
      </c>
      <c r="T588" s="62">
        <f>IFERROR(Tableau242[[#This Row],[Non prod. days WK]]-Tableau242[[#This Row],[Improd PXX]],"Matricule")</f>
        <v>0</v>
      </c>
      <c r="U588" s="62">
        <f>IFERROR(Tableau242[[#This Row],[Paid leave days WK]]-Tableau242[[#This Row],[Congé PXX]],"Matricule")</f>
        <v>0</v>
      </c>
      <c r="V588" s="63">
        <f>IFERROR(VLOOKUP($B588,#REF!,4,FALSE),0)</f>
        <v>0</v>
      </c>
      <c r="W58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88" s="63">
        <f>IF(AND(Tableau242[[#This Row],[Paid leave days]]&gt;0,Tableau242[[#This Row],[Prod. days]]&lt;0),MIN(Tableau242[[#This Row],[Paid leave days]],-Tableau242[[#This Row],[Prod. days]]),0)</f>
        <v>0</v>
      </c>
      <c r="Z588" s="63">
        <f>IFERROR(_xlfn.XLOOKUP(Tableau242[[#This Row],[Consultant]],Tableau2[Collaborateur/Nom affiché],Tableau2[Montant imputé],0),0)</f>
        <v>0</v>
      </c>
      <c r="AA588" s="64">
        <f t="shared" si="10"/>
        <v>0</v>
      </c>
      <c r="AB588" s="65"/>
      <c r="AC588" s="67"/>
      <c r="AD588" s="66"/>
      <c r="AE588" s="105"/>
      <c r="AF588" s="93"/>
    </row>
    <row r="589" spans="1:32">
      <c r="A589" s="15">
        <f>Tableau242[[#This Row],[Company number]]+0</f>
        <v>22337</v>
      </c>
      <c r="B589" s="60" t="s">
        <v>1293</v>
      </c>
      <c r="C589" s="61" t="s">
        <v>1294</v>
      </c>
      <c r="D589" s="61" t="s">
        <v>357</v>
      </c>
      <c r="E589" s="62" t="str">
        <f>IFERROR(VLOOKUP(Tableau242[[#This Row],[Manager ou CDM concerné]],Parametres!B:C,2,FALSE),"")</f>
        <v>Squad D</v>
      </c>
      <c r="F589" s="62" t="str">
        <f>IF(Tableau242[[#This Row],[Consultant]]=Tableau242[[#This Row],[Manager ou CDM concerné]],"Non",IF(IFERROR(VLOOKUP(Tableau242[[#This Row],[Consultant]],Parametres!B:C,2,FALSE),0)=0,"Non","Oui"))</f>
        <v>Non</v>
      </c>
      <c r="G589" s="62">
        <f>IFERROR(VLOOKUP(B589,Tableau5[#All],4,FALSE),"Matricule!")</f>
        <v>0</v>
      </c>
      <c r="H589" s="62" t="str">
        <f>IFERROR(VLOOKUP(Tableau242[[#This Row],[Company number]],#REF!,6,FALSE),"")</f>
        <v/>
      </c>
      <c r="I589" s="62">
        <f>IFERROR(VLOOKUP(B589,Tableau5[#All],5,FALSE),"Matricule!")</f>
        <v>20</v>
      </c>
      <c r="J589" s="62">
        <f>IFERROR(VLOOKUP(B589,Tableau5[#All],6,FALSE),"Matricule!")</f>
        <v>0</v>
      </c>
      <c r="K589" s="62">
        <f>IFERROR(VLOOKUP(B589,Tableau5[#All],7,FALSE),"Matricule!")</f>
        <v>0</v>
      </c>
      <c r="L589" s="62" t="e">
        <f>VLOOKUP(Tableau242[[#This Row],[Company number]],#REF!,25,FALSE)</f>
        <v>#REF!</v>
      </c>
      <c r="M589" s="62" t="str">
        <f>IFERROR(VLOOKUP(Tableau242[[#This Row],[Company number]],#REF!,30,FALSE),"")</f>
        <v/>
      </c>
      <c r="N589" s="62" t="str">
        <f>IFERROR(VLOOKUP(Tableau242[[#This Row],[Company number]],#REF!,31,FALSE),"")</f>
        <v/>
      </c>
      <c r="O589" s="62" t="str">
        <f>IFERROR(VLOOKUP(Tableau242[[#This Row],[Company number]],#REF!,32,FALSE),"")</f>
        <v/>
      </c>
      <c r="P589" s="62">
        <f>IFERROR(VLOOKUP(B589,Tableau3[#All],5,FALSE),"Matricule!")</f>
        <v>0</v>
      </c>
      <c r="Q589" s="62">
        <f>IFERROR(SUM(VLOOKUP(B589,Tableau3[#All],6,FALSE),VLOOKUP(B589,Tableau3[#All],8,FALSE)),"Matricule!")</f>
        <v>20</v>
      </c>
      <c r="R589" s="62">
        <f>IFERROR(VLOOKUP(B589,Tableau3[#All],7,FALSE),"Matricule!")</f>
        <v>0</v>
      </c>
      <c r="S589" s="62">
        <f>IFERROR(Tableau242[[#This Row],[Prod. days WK]]-Tableau242[[#This Row],[Prod PXX]],"Matricule")</f>
        <v>0</v>
      </c>
      <c r="T589" s="62">
        <f>IFERROR(Tableau242[[#This Row],[Non prod. days WK]]-Tableau242[[#This Row],[Improd PXX]],"Matricule")</f>
        <v>0</v>
      </c>
      <c r="U589" s="62">
        <f>IFERROR(Tableau242[[#This Row],[Paid leave days WK]]-Tableau242[[#This Row],[Congé PXX]],"Matricule")</f>
        <v>0</v>
      </c>
      <c r="V589" s="63">
        <f>IFERROR(VLOOKUP($B589,#REF!,4,FALSE),0)</f>
        <v>0</v>
      </c>
      <c r="W58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8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89" s="63">
        <f>IF(AND(Tableau242[[#This Row],[Paid leave days]]&gt;0,Tableau242[[#This Row],[Prod. days]]&lt;0),MIN(Tableau242[[#This Row],[Paid leave days]],-Tableau242[[#This Row],[Prod. days]]),0)</f>
        <v>0</v>
      </c>
      <c r="Z589" s="63">
        <f>IFERROR(_xlfn.XLOOKUP(Tableau242[[#This Row],[Consultant]],Tableau2[Collaborateur/Nom affiché],Tableau2[Montant imputé],0),0)</f>
        <v>0</v>
      </c>
      <c r="AA589" s="64">
        <f t="shared" si="10"/>
        <v>0</v>
      </c>
      <c r="AB589" s="65"/>
      <c r="AC589" s="66"/>
      <c r="AD589" s="66"/>
      <c r="AE589" s="105"/>
      <c r="AF589" s="90"/>
    </row>
    <row r="590" spans="1:32">
      <c r="A590" s="15">
        <f>Tableau242[[#This Row],[Company number]]+0</f>
        <v>22364</v>
      </c>
      <c r="B590" s="60" t="s">
        <v>1295</v>
      </c>
      <c r="C590" s="61" t="s">
        <v>1296</v>
      </c>
      <c r="D590" s="61" t="s">
        <v>863</v>
      </c>
      <c r="E590" s="62" t="str">
        <f>IFERROR(VLOOKUP(Tableau242[[#This Row],[Manager ou CDM concerné]],Parametres!B:C,2,FALSE),"")</f>
        <v>Squad H</v>
      </c>
      <c r="F590" s="62" t="str">
        <f>IF(Tableau242[[#This Row],[Consultant]]=Tableau242[[#This Row],[Manager ou CDM concerné]],"Non",IF(IFERROR(VLOOKUP(Tableau242[[#This Row],[Consultant]],Parametres!B:C,2,FALSE),0)=0,"Non","Oui"))</f>
        <v>Non</v>
      </c>
      <c r="G590" s="62">
        <f>IFERROR(VLOOKUP(B590,Tableau5[#All],4,FALSE),"Matricule!")</f>
        <v>9.5</v>
      </c>
      <c r="H590" s="62" t="str">
        <f>IFERROR(VLOOKUP(Tableau242[[#This Row],[Company number]],#REF!,6,FALSE),"")</f>
        <v/>
      </c>
      <c r="I590" s="62">
        <f>IFERROR(VLOOKUP(B590,Tableau5[#All],5,FALSE),"Matricule!")</f>
        <v>10.5</v>
      </c>
      <c r="J590" s="62">
        <f>IFERROR(VLOOKUP(B590,Tableau5[#All],6,FALSE),"Matricule!")</f>
        <v>0</v>
      </c>
      <c r="K590" s="62">
        <f>IFERROR(VLOOKUP(B590,Tableau5[#All],7,FALSE),"Matricule!")</f>
        <v>0</v>
      </c>
      <c r="L590" s="62" t="e">
        <f>VLOOKUP(Tableau242[[#This Row],[Company number]],#REF!,25,FALSE)</f>
        <v>#REF!</v>
      </c>
      <c r="M590" s="62" t="str">
        <f>IFERROR(VLOOKUP(Tableau242[[#This Row],[Company number]],#REF!,30,FALSE),"")</f>
        <v/>
      </c>
      <c r="N590" s="62" t="str">
        <f>IFERROR(VLOOKUP(Tableau242[[#This Row],[Company number]],#REF!,31,FALSE),"")</f>
        <v/>
      </c>
      <c r="O590" s="62" t="str">
        <f>IFERROR(VLOOKUP(Tableau242[[#This Row],[Company number]],#REF!,32,FALSE),"")</f>
        <v/>
      </c>
      <c r="P590" s="62">
        <f>IFERROR(VLOOKUP(B590,Tableau3[#All],5,FALSE),"Matricule!")</f>
        <v>0</v>
      </c>
      <c r="Q590" s="62">
        <f>IFERROR(SUM(VLOOKUP(B590,Tableau3[#All],6,FALSE),VLOOKUP(B590,Tableau3[#All],8,FALSE)),"Matricule!")</f>
        <v>20</v>
      </c>
      <c r="R590" s="62">
        <f>IFERROR(VLOOKUP(B590,Tableau3[#All],7,FALSE),"Matricule!")</f>
        <v>0</v>
      </c>
      <c r="S590" s="62">
        <f>IFERROR(Tableau242[[#This Row],[Prod. days WK]]-Tableau242[[#This Row],[Prod PXX]],"Matricule")</f>
        <v>9.5</v>
      </c>
      <c r="T590" s="62">
        <f>IFERROR(Tableau242[[#This Row],[Non prod. days WK]]-Tableau242[[#This Row],[Improd PXX]],"Matricule")</f>
        <v>-9.5</v>
      </c>
      <c r="U590" s="62">
        <f>IFERROR(Tableau242[[#This Row],[Paid leave days WK]]-Tableau242[[#This Row],[Congé PXX]],"Matricule")</f>
        <v>0</v>
      </c>
      <c r="V590" s="63">
        <f>IFERROR(VLOOKUP($B590,#REF!,4,FALSE),0)</f>
        <v>0</v>
      </c>
      <c r="W59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590" s="63">
        <f>IF(AND(Tableau242[[#This Row],[Paid leave days]]&gt;0,Tableau242[[#This Row],[Prod. days]]&lt;0),MIN(Tableau242[[#This Row],[Paid leave days]],-Tableau242[[#This Row],[Prod. days]]),0)</f>
        <v>0</v>
      </c>
      <c r="Z590" s="63">
        <f>IFERROR(_xlfn.XLOOKUP(Tableau242[[#This Row],[Consultant]],Tableau2[Collaborateur/Nom affiché],Tableau2[Montant imputé],0),0)</f>
        <v>0</v>
      </c>
      <c r="AA590" s="64">
        <f t="shared" si="10"/>
        <v>9.5</v>
      </c>
      <c r="AB590" s="65"/>
      <c r="AC590" s="66"/>
      <c r="AD590" s="66"/>
      <c r="AE590" s="105"/>
      <c r="AF590" s="90"/>
    </row>
    <row r="591" spans="1:32">
      <c r="A591" s="15">
        <f>Tableau242[[#This Row],[Company number]]+0</f>
        <v>17314</v>
      </c>
      <c r="B591" s="60" t="s">
        <v>1297</v>
      </c>
      <c r="C591" s="61" t="s">
        <v>1298</v>
      </c>
      <c r="D591" s="61" t="s">
        <v>41</v>
      </c>
      <c r="E591" s="62" t="str">
        <f>IFERROR(VLOOKUP(Tableau242[[#This Row],[Manager ou CDM concerné]],Parametres!B:C,2,FALSE),"")</f>
        <v>Squad B</v>
      </c>
      <c r="F591" s="62" t="str">
        <f>IF(Tableau242[[#This Row],[Consultant]]=Tableau242[[#This Row],[Manager ou CDM concerné]],"Non",IF(IFERROR(VLOOKUP(Tableau242[[#This Row],[Consultant]],Parametres!B:C,2,FALSE),0)=0,"Non","Oui"))</f>
        <v>Non</v>
      </c>
      <c r="G591" s="62">
        <f>IFERROR(VLOOKUP(B591,Tableau5[#All],4,FALSE),"Matricule!")</f>
        <v>20</v>
      </c>
      <c r="H591" s="62" t="str">
        <f>IFERROR(VLOOKUP(Tableau242[[#This Row],[Company number]],#REF!,6,FALSE),"")</f>
        <v/>
      </c>
      <c r="I591" s="62">
        <f>IFERROR(VLOOKUP(B591,Tableau5[#All],5,FALSE),"Matricule!")</f>
        <v>0</v>
      </c>
      <c r="J591" s="62">
        <f>IFERROR(VLOOKUP(B591,Tableau5[#All],6,FALSE),"Matricule!")</f>
        <v>0</v>
      </c>
      <c r="K591" s="62">
        <f>IFERROR(VLOOKUP(B591,Tableau5[#All],7,FALSE),"Matricule!")</f>
        <v>0</v>
      </c>
      <c r="L591" s="62" t="e">
        <f>VLOOKUP(Tableau242[[#This Row],[Company number]],#REF!,25,FALSE)</f>
        <v>#REF!</v>
      </c>
      <c r="M591" s="62" t="str">
        <f>IFERROR(VLOOKUP(Tableau242[[#This Row],[Company number]],#REF!,30,FALSE),"")</f>
        <v/>
      </c>
      <c r="N591" s="62" t="str">
        <f>IFERROR(VLOOKUP(Tableau242[[#This Row],[Company number]],#REF!,31,FALSE),"")</f>
        <v/>
      </c>
      <c r="O591" s="62" t="str">
        <f>IFERROR(VLOOKUP(Tableau242[[#This Row],[Company number]],#REF!,32,FALSE),"")</f>
        <v/>
      </c>
      <c r="P591" s="62">
        <f>IFERROR(VLOOKUP(B591,Tableau3[#All],5,FALSE),"Matricule!")</f>
        <v>20</v>
      </c>
      <c r="Q591" s="62">
        <f>IFERROR(SUM(VLOOKUP(B591,Tableau3[#All],6,FALSE),VLOOKUP(B591,Tableau3[#All],8,FALSE)),"Matricule!")</f>
        <v>0</v>
      </c>
      <c r="R591" s="62">
        <f>IFERROR(VLOOKUP(B591,Tableau3[#All],7,FALSE),"Matricule!")</f>
        <v>0</v>
      </c>
      <c r="S591" s="62">
        <f>IFERROR(Tableau242[[#This Row],[Prod. days WK]]-Tableau242[[#This Row],[Prod PXX]],"Matricule")</f>
        <v>0</v>
      </c>
      <c r="T591" s="62">
        <f>IFERROR(Tableau242[[#This Row],[Non prod. days WK]]-Tableau242[[#This Row],[Improd PXX]],"Matricule")</f>
        <v>0</v>
      </c>
      <c r="U591" s="62">
        <f>IFERROR(Tableau242[[#This Row],[Paid leave days WK]]-Tableau242[[#This Row],[Congé PXX]],"Matricule")</f>
        <v>0</v>
      </c>
      <c r="V591" s="63">
        <f>IFERROR(VLOOKUP($B591,#REF!,4,FALSE),0)</f>
        <v>0</v>
      </c>
      <c r="W59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91" s="63">
        <f>IF(AND(Tableau242[[#This Row],[Paid leave days]]&gt;0,Tableau242[[#This Row],[Prod. days]]&lt;0),MIN(Tableau242[[#This Row],[Paid leave days]],-Tableau242[[#This Row],[Prod. days]]),0)</f>
        <v>0</v>
      </c>
      <c r="Z591" s="63">
        <f>IFERROR(_xlfn.XLOOKUP(Tableau242[[#This Row],[Consultant]],Tableau2[Collaborateur/Nom affiché],Tableau2[Montant imputé],0),0)</f>
        <v>0</v>
      </c>
      <c r="AA591" s="64">
        <f t="shared" si="10"/>
        <v>0</v>
      </c>
      <c r="AB591" s="78"/>
      <c r="AC591" s="67"/>
      <c r="AD591" s="67"/>
      <c r="AE591" s="39"/>
      <c r="AF591" s="92"/>
    </row>
    <row r="592" spans="1:32" ht="14.45" customHeight="1">
      <c r="A592" s="15">
        <f>Tableau242[[#This Row],[Company number]]+0</f>
        <v>12607</v>
      </c>
      <c r="B592" s="60" t="s">
        <v>1299</v>
      </c>
      <c r="C592" s="61" t="s">
        <v>1300</v>
      </c>
      <c r="D592" s="61" t="s">
        <v>41</v>
      </c>
      <c r="E592" s="62" t="str">
        <f>IFERROR(VLOOKUP(Tableau242[[#This Row],[Manager ou CDM concerné]],Parametres!B:C,2,FALSE),"")</f>
        <v>Squad B</v>
      </c>
      <c r="F592" s="62" t="str">
        <f>IF(Tableau242[[#This Row],[Consultant]]=Tableau242[[#This Row],[Manager ou CDM concerné]],"Non",IF(IFERROR(VLOOKUP(Tableau242[[#This Row],[Consultant]],Parametres!B:C,2,FALSE),0)=0,"Non","Oui"))</f>
        <v>Non</v>
      </c>
      <c r="G592" s="62">
        <f>IFERROR(VLOOKUP(B592,Tableau5[#All],4,FALSE),"Matricule!")</f>
        <v>18</v>
      </c>
      <c r="H592" s="62" t="str">
        <f>IFERROR(VLOOKUP(Tableau242[[#This Row],[Company number]],#REF!,6,FALSE),"")</f>
        <v/>
      </c>
      <c r="I592" s="62">
        <f>IFERROR(VLOOKUP(B592,Tableau5[#All],5,FALSE),"Matricule!")</f>
        <v>0</v>
      </c>
      <c r="J592" s="62">
        <f>IFERROR(VLOOKUP(B592,Tableau5[#All],6,FALSE),"Matricule!")</f>
        <v>2</v>
      </c>
      <c r="K592" s="62">
        <f>IFERROR(VLOOKUP(B592,Tableau5[#All],7,FALSE),"Matricule!")</f>
        <v>0</v>
      </c>
      <c r="L592" s="62" t="e">
        <f>VLOOKUP(Tableau242[[#This Row],[Company number]],#REF!,25,FALSE)</f>
        <v>#REF!</v>
      </c>
      <c r="M592" s="62" t="str">
        <f>IFERROR(VLOOKUP(Tableau242[[#This Row],[Company number]],#REF!,30,FALSE),"")</f>
        <v/>
      </c>
      <c r="N592" s="62" t="str">
        <f>IFERROR(VLOOKUP(Tableau242[[#This Row],[Company number]],#REF!,31,FALSE),"")</f>
        <v/>
      </c>
      <c r="O592" s="62" t="str">
        <f>IFERROR(VLOOKUP(Tableau242[[#This Row],[Company number]],#REF!,32,FALSE),"")</f>
        <v/>
      </c>
      <c r="P592" s="62">
        <f>IFERROR(VLOOKUP(B592,Tableau3[#All],5,FALSE),"Matricule!")</f>
        <v>20</v>
      </c>
      <c r="Q592" s="62">
        <f>IFERROR(SUM(VLOOKUP(B592,Tableau3[#All],6,FALSE),VLOOKUP(B592,Tableau3[#All],8,FALSE)),"Matricule!")</f>
        <v>0</v>
      </c>
      <c r="R592" s="62">
        <f>IFERROR(VLOOKUP(B592,Tableau3[#All],7,FALSE),"Matricule!")</f>
        <v>0</v>
      </c>
      <c r="S592" s="62">
        <f>IFERROR(Tableau242[[#This Row],[Prod. days WK]]-Tableau242[[#This Row],[Prod PXX]],"Matricule")</f>
        <v>-2</v>
      </c>
      <c r="T592" s="62">
        <f>IFERROR(Tableau242[[#This Row],[Non prod. days WK]]-Tableau242[[#This Row],[Improd PXX]],"Matricule")</f>
        <v>0</v>
      </c>
      <c r="U592" s="62">
        <f>IFERROR(Tableau242[[#This Row],[Paid leave days WK]]-Tableau242[[#This Row],[Congé PXX]],"Matricule")</f>
        <v>2</v>
      </c>
      <c r="V592" s="63">
        <f>IFERROR(VLOOKUP($B592,#REF!,4,FALSE),0)</f>
        <v>0</v>
      </c>
      <c r="W59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92" s="63">
        <f>IF(AND(Tableau242[[#This Row],[Paid leave days]]&gt;0,Tableau242[[#This Row],[Prod. days]]&lt;0),MIN(Tableau242[[#This Row],[Paid leave days]],-Tableau242[[#This Row],[Prod. days]]),0)</f>
        <v>2</v>
      </c>
      <c r="Z592" s="63">
        <f>IFERROR(_xlfn.XLOOKUP(Tableau242[[#This Row],[Consultant]],Tableau2[Collaborateur/Nom affiché],Tableau2[Montant imputé],0),0)</f>
        <v>0</v>
      </c>
      <c r="AA592" s="64">
        <f t="shared" si="10"/>
        <v>-2</v>
      </c>
      <c r="AB592" s="65"/>
      <c r="AC592" s="66"/>
      <c r="AD592" s="66"/>
      <c r="AE592" s="105"/>
      <c r="AF592" s="90"/>
    </row>
    <row r="593" spans="1:32" ht="14.45" customHeight="1">
      <c r="A593" s="15">
        <f>Tableau242[[#This Row],[Company number]]+0</f>
        <v>12598</v>
      </c>
      <c r="B593" s="60" t="s">
        <v>1301</v>
      </c>
      <c r="C593" s="61" t="s">
        <v>1302</v>
      </c>
      <c r="D593" s="61" t="s">
        <v>4</v>
      </c>
      <c r="E593" s="62" t="str">
        <f>IFERROR(VLOOKUP(Tableau242[[#This Row],[Manager ou CDM concerné]],Parametres!B:C,2,FALSE),"")</f>
        <v>Squad A</v>
      </c>
      <c r="F593" s="62" t="str">
        <f>IF(Tableau242[[#This Row],[Consultant]]=Tableau242[[#This Row],[Manager ou CDM concerné]],"Non",IF(IFERROR(VLOOKUP(Tableau242[[#This Row],[Consultant]],Parametres!B:C,2,FALSE),0)=0,"Non","Oui"))</f>
        <v>Non</v>
      </c>
      <c r="G593" s="62">
        <f>IFERROR(VLOOKUP(B593,Tableau5[#All],4,FALSE),"Matricule!")</f>
        <v>0</v>
      </c>
      <c r="H593" s="62" t="str">
        <f>IFERROR(VLOOKUP(Tableau242[[#This Row],[Company number]],#REF!,6,FALSE),"")</f>
        <v/>
      </c>
      <c r="I593" s="62">
        <f>IFERROR(VLOOKUP(B593,Tableau5[#All],5,FALSE),"Matricule!")</f>
        <v>9</v>
      </c>
      <c r="J593" s="62">
        <f>IFERROR(VLOOKUP(B593,Tableau5[#All],6,FALSE),"Matricule!")</f>
        <v>0</v>
      </c>
      <c r="K593" s="62">
        <f>IFERROR(VLOOKUP(B593,Tableau5[#All],7,FALSE),"Matricule!")</f>
        <v>11</v>
      </c>
      <c r="L593" s="62" t="e">
        <f>VLOOKUP(Tableau242[[#This Row],[Company number]],#REF!,25,FALSE)</f>
        <v>#REF!</v>
      </c>
      <c r="M593" s="62" t="str">
        <f>IFERROR(VLOOKUP(Tableau242[[#This Row],[Company number]],#REF!,30,FALSE),"")</f>
        <v/>
      </c>
      <c r="N593" s="62" t="str">
        <f>IFERROR(VLOOKUP(Tableau242[[#This Row],[Company number]],#REF!,31,FALSE),"")</f>
        <v/>
      </c>
      <c r="O593" s="62" t="str">
        <f>IFERROR(VLOOKUP(Tableau242[[#This Row],[Company number]],#REF!,32,FALSE),"")</f>
        <v/>
      </c>
      <c r="P593" s="62">
        <f>IFERROR(VLOOKUP(B593,Tableau3[#All],5,FALSE),"Matricule!")</f>
        <v>0</v>
      </c>
      <c r="Q593" s="62">
        <f>IFERROR(SUM(VLOOKUP(B593,Tableau3[#All],6,FALSE),VLOOKUP(B593,Tableau3[#All],8,FALSE)),"Matricule!")</f>
        <v>8</v>
      </c>
      <c r="R593" s="62">
        <f>IFERROR(VLOOKUP(B593,Tableau3[#All],7,FALSE),"Matricule!")</f>
        <v>1</v>
      </c>
      <c r="S593" s="62">
        <f>IFERROR(Tableau242[[#This Row],[Prod. days WK]]-Tableau242[[#This Row],[Prod PXX]],"Matricule")</f>
        <v>0</v>
      </c>
      <c r="T593" s="62">
        <f>IFERROR(Tableau242[[#This Row],[Non prod. days WK]]-Tableau242[[#This Row],[Improd PXX]],"Matricule")</f>
        <v>1</v>
      </c>
      <c r="U593" s="62">
        <f>IFERROR(Tableau242[[#This Row],[Paid leave days WK]]-Tableau242[[#This Row],[Congé PXX]],"Matricule")</f>
        <v>-1</v>
      </c>
      <c r="V593" s="63">
        <f>IFERROR(VLOOKUP($B593,#REF!,4,FALSE),0)</f>
        <v>0</v>
      </c>
      <c r="W59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93" s="63">
        <f>IF(AND(Tableau242[[#This Row],[Paid leave days]]&gt;0,Tableau242[[#This Row],[Prod. days]]&lt;0),MIN(Tableau242[[#This Row],[Paid leave days]],-Tableau242[[#This Row],[Prod. days]]),0)</f>
        <v>0</v>
      </c>
      <c r="Z593" s="63">
        <f>IFERROR(_xlfn.XLOOKUP(Tableau242[[#This Row],[Consultant]],Tableau2[Collaborateur/Nom affiché],Tableau2[Montant imputé],0),0)</f>
        <v>0</v>
      </c>
      <c r="AA593" s="64">
        <f t="shared" si="10"/>
        <v>0</v>
      </c>
      <c r="AB593" s="65"/>
      <c r="AC593" s="66"/>
      <c r="AD593" s="66"/>
      <c r="AE593" s="105"/>
      <c r="AF593" s="90"/>
    </row>
    <row r="594" spans="1:32" ht="14.45" customHeight="1">
      <c r="A594" s="15">
        <f>Tableau242[[#This Row],[Company number]]+0</f>
        <v>21469</v>
      </c>
      <c r="B594" s="60" t="s">
        <v>1303</v>
      </c>
      <c r="C594" s="61" t="s">
        <v>1304</v>
      </c>
      <c r="D594" s="61" t="s">
        <v>41</v>
      </c>
      <c r="E594" s="62" t="str">
        <f>IFERROR(VLOOKUP(Tableau242[[#This Row],[Manager ou CDM concerné]],Parametres!B:C,2,FALSE),"")</f>
        <v>Squad B</v>
      </c>
      <c r="F594" s="62" t="str">
        <f>IF(Tableau242[[#This Row],[Consultant]]=Tableau242[[#This Row],[Manager ou CDM concerné]],"Non",IF(IFERROR(VLOOKUP(Tableau242[[#This Row],[Consultant]],Parametres!B:C,2,FALSE),0)=0,"Non","Oui"))</f>
        <v>Non</v>
      </c>
      <c r="G594" s="62">
        <f>IFERROR(VLOOKUP(B594,Tableau5[#All],4,FALSE),"Matricule!")</f>
        <v>20</v>
      </c>
      <c r="H594" s="62" t="str">
        <f>IFERROR(VLOOKUP(Tableau242[[#This Row],[Company number]],#REF!,6,FALSE),"")</f>
        <v/>
      </c>
      <c r="I594" s="62">
        <f>IFERROR(VLOOKUP(B594,Tableau5[#All],5,FALSE),"Matricule!")</f>
        <v>0</v>
      </c>
      <c r="J594" s="62">
        <f>IFERROR(VLOOKUP(B594,Tableau5[#All],6,FALSE),"Matricule!")</f>
        <v>0</v>
      </c>
      <c r="K594" s="62">
        <f>IFERROR(VLOOKUP(B594,Tableau5[#All],7,FALSE),"Matricule!")</f>
        <v>0</v>
      </c>
      <c r="L594" s="62" t="e">
        <f>VLOOKUP(Tableau242[[#This Row],[Company number]],#REF!,25,FALSE)</f>
        <v>#REF!</v>
      </c>
      <c r="M594" s="62" t="str">
        <f>IFERROR(VLOOKUP(Tableau242[[#This Row],[Company number]],#REF!,30,FALSE),"")</f>
        <v/>
      </c>
      <c r="N594" s="62" t="str">
        <f>IFERROR(VLOOKUP(Tableau242[[#This Row],[Company number]],#REF!,31,FALSE),"")</f>
        <v/>
      </c>
      <c r="O594" s="62" t="str">
        <f>IFERROR(VLOOKUP(Tableau242[[#This Row],[Company number]],#REF!,32,FALSE),"")</f>
        <v/>
      </c>
      <c r="P594" s="62">
        <f>IFERROR(VLOOKUP(B594,Tableau3[#All],5,FALSE),"Matricule!")</f>
        <v>20</v>
      </c>
      <c r="Q594" s="62">
        <f>IFERROR(SUM(VLOOKUP(B594,Tableau3[#All],6,FALSE),VLOOKUP(B594,Tableau3[#All],8,FALSE)),"Matricule!")</f>
        <v>0</v>
      </c>
      <c r="R594" s="62">
        <f>IFERROR(VLOOKUP(B594,Tableau3[#All],7,FALSE),"Matricule!")</f>
        <v>0</v>
      </c>
      <c r="S594" s="62">
        <f>IFERROR(Tableau242[[#This Row],[Prod. days WK]]-Tableau242[[#This Row],[Prod PXX]],"Matricule")</f>
        <v>0</v>
      </c>
      <c r="T594" s="62">
        <f>IFERROR(Tableau242[[#This Row],[Non prod. days WK]]-Tableau242[[#This Row],[Improd PXX]],"Matricule")</f>
        <v>0</v>
      </c>
      <c r="U594" s="62">
        <f>IFERROR(Tableau242[[#This Row],[Paid leave days WK]]-Tableau242[[#This Row],[Congé PXX]],"Matricule")</f>
        <v>0</v>
      </c>
      <c r="V594" s="63">
        <f>IFERROR(VLOOKUP($B594,#REF!,4,FALSE),0)</f>
        <v>0</v>
      </c>
      <c r="W59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94" s="63">
        <f>IF(AND(Tableau242[[#This Row],[Paid leave days]]&gt;0,Tableau242[[#This Row],[Prod. days]]&lt;0),MIN(Tableau242[[#This Row],[Paid leave days]],-Tableau242[[#This Row],[Prod. days]]),0)</f>
        <v>0</v>
      </c>
      <c r="Z594" s="63">
        <f>IFERROR(_xlfn.XLOOKUP(Tableau242[[#This Row],[Consultant]],Tableau2[Collaborateur/Nom affiché],Tableau2[Montant imputé],0),0)</f>
        <v>0</v>
      </c>
      <c r="AA594" s="64">
        <f t="shared" si="10"/>
        <v>0</v>
      </c>
      <c r="AB594" s="65"/>
      <c r="AC594" s="66"/>
      <c r="AD594" s="66"/>
      <c r="AE594" s="105"/>
      <c r="AF594" s="90"/>
    </row>
    <row r="595" spans="1:32" ht="14.45" customHeight="1">
      <c r="A595" s="15">
        <f>Tableau242[[#This Row],[Company number]]+0</f>
        <v>20478</v>
      </c>
      <c r="B595" s="60" t="s">
        <v>1305</v>
      </c>
      <c r="C595" s="61" t="s">
        <v>1306</v>
      </c>
      <c r="D595" s="61" t="s">
        <v>41</v>
      </c>
      <c r="E595" s="62" t="str">
        <f>IFERROR(VLOOKUP(Tableau242[[#This Row],[Manager ou CDM concerné]],Parametres!B:C,2,FALSE),"")</f>
        <v>Squad B</v>
      </c>
      <c r="F595" s="62" t="str">
        <f>IF(Tableau242[[#This Row],[Consultant]]=Tableau242[[#This Row],[Manager ou CDM concerné]],"Non",IF(IFERROR(VLOOKUP(Tableau242[[#This Row],[Consultant]],Parametres!B:C,2,FALSE),0)=0,"Non","Oui"))</f>
        <v>Non</v>
      </c>
      <c r="G595" s="62">
        <f>IFERROR(VLOOKUP(B595,Tableau5[#All],4,FALSE),"Matricule!")</f>
        <v>12.5</v>
      </c>
      <c r="H595" s="62" t="str">
        <f>IFERROR(VLOOKUP(Tableau242[[#This Row],[Company number]],#REF!,6,FALSE),"")</f>
        <v/>
      </c>
      <c r="I595" s="62">
        <f>IFERROR(VLOOKUP(B595,Tableau5[#All],5,FALSE),"Matricule!")</f>
        <v>0</v>
      </c>
      <c r="J595" s="62">
        <f>IFERROR(VLOOKUP(B595,Tableau5[#All],6,FALSE),"Matricule!")</f>
        <v>7.5</v>
      </c>
      <c r="K595" s="62">
        <f>IFERROR(VLOOKUP(B595,Tableau5[#All],7,FALSE),"Matricule!")</f>
        <v>0</v>
      </c>
      <c r="L595" s="62" t="e">
        <f>VLOOKUP(Tableau242[[#This Row],[Company number]],#REF!,25,FALSE)</f>
        <v>#REF!</v>
      </c>
      <c r="M595" s="62" t="str">
        <f>IFERROR(VLOOKUP(Tableau242[[#This Row],[Company number]],#REF!,30,FALSE),"")</f>
        <v/>
      </c>
      <c r="N595" s="62" t="str">
        <f>IFERROR(VLOOKUP(Tableau242[[#This Row],[Company number]],#REF!,31,FALSE),"")</f>
        <v/>
      </c>
      <c r="O595" s="62" t="str">
        <f>IFERROR(VLOOKUP(Tableau242[[#This Row],[Company number]],#REF!,32,FALSE),"")</f>
        <v/>
      </c>
      <c r="P595" s="62">
        <f>IFERROR(VLOOKUP(B595,Tableau3[#All],5,FALSE),"Matricule!")</f>
        <v>13.5</v>
      </c>
      <c r="Q595" s="62">
        <f>IFERROR(SUM(VLOOKUP(B595,Tableau3[#All],6,FALSE),VLOOKUP(B595,Tableau3[#All],8,FALSE)),"Matricule!")</f>
        <v>0</v>
      </c>
      <c r="R595" s="62">
        <f>IFERROR(VLOOKUP(B595,Tableau3[#All],7,FALSE),"Matricule!")</f>
        <v>6.5</v>
      </c>
      <c r="S595" s="62">
        <f>IFERROR(Tableau242[[#This Row],[Prod. days WK]]-Tableau242[[#This Row],[Prod PXX]],"Matricule")</f>
        <v>-1</v>
      </c>
      <c r="T595" s="62">
        <f>IFERROR(Tableau242[[#This Row],[Non prod. days WK]]-Tableau242[[#This Row],[Improd PXX]],"Matricule")</f>
        <v>0</v>
      </c>
      <c r="U595" s="62">
        <f>IFERROR(Tableau242[[#This Row],[Paid leave days WK]]-Tableau242[[#This Row],[Congé PXX]],"Matricule")</f>
        <v>1</v>
      </c>
      <c r="V595" s="63">
        <f>IFERROR(VLOOKUP($B595,#REF!,4,FALSE),0)</f>
        <v>0</v>
      </c>
      <c r="W59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595" s="63">
        <f>IF(AND(Tableau242[[#This Row],[Paid leave days]]&gt;0,Tableau242[[#This Row],[Prod. days]]&lt;0),MIN(Tableau242[[#This Row],[Paid leave days]],-Tableau242[[#This Row],[Prod. days]]),0)</f>
        <v>1</v>
      </c>
      <c r="Z595" s="63">
        <f>IFERROR(_xlfn.XLOOKUP(Tableau242[[#This Row],[Consultant]],Tableau2[Collaborateur/Nom affiché],Tableau2[Montant imputé],0),0)</f>
        <v>0</v>
      </c>
      <c r="AA595" s="64">
        <f t="shared" si="10"/>
        <v>-1</v>
      </c>
      <c r="AB595" s="78"/>
      <c r="AC595" s="66"/>
      <c r="AD595" s="66"/>
      <c r="AE595" s="105"/>
      <c r="AF595" s="90"/>
    </row>
    <row r="596" spans="1:32" ht="14.45" customHeight="1">
      <c r="A596" s="15">
        <f>Tableau242[[#This Row],[Company number]]+0</f>
        <v>16987</v>
      </c>
      <c r="B596" s="60" t="s">
        <v>1307</v>
      </c>
      <c r="C596" s="61" t="s">
        <v>1308</v>
      </c>
      <c r="D596" s="61" t="s">
        <v>4</v>
      </c>
      <c r="E596" s="62" t="str">
        <f>IFERROR(VLOOKUP(Tableau242[[#This Row],[Manager ou CDM concerné]],Parametres!B:C,2,FALSE),"")</f>
        <v>Squad A</v>
      </c>
      <c r="F596" s="62" t="str">
        <f>IF(Tableau242[[#This Row],[Consultant]]=Tableau242[[#This Row],[Manager ou CDM concerné]],"Non",IF(IFERROR(VLOOKUP(Tableau242[[#This Row],[Consultant]],Parametres!B:C,2,FALSE),0)=0,"Non","Oui"))</f>
        <v>Non</v>
      </c>
      <c r="G596" s="62">
        <f>IFERROR(VLOOKUP(B596,Tableau5[#All],4,FALSE),"Matricule!")</f>
        <v>0</v>
      </c>
      <c r="H596" s="62" t="str">
        <f>IFERROR(VLOOKUP(Tableau242[[#This Row],[Company number]],#REF!,6,FALSE),"")</f>
        <v/>
      </c>
      <c r="I596" s="62">
        <f>IFERROR(VLOOKUP(B596,Tableau5[#All],5,FALSE),"Matricule!")</f>
        <v>18.5</v>
      </c>
      <c r="J596" s="62">
        <f>IFERROR(VLOOKUP(B596,Tableau5[#All],6,FALSE),"Matricule!")</f>
        <v>1.5</v>
      </c>
      <c r="K596" s="62">
        <f>IFERROR(VLOOKUP(B596,Tableau5[#All],7,FALSE),"Matricule!")</f>
        <v>0</v>
      </c>
      <c r="L596" s="62" t="e">
        <f>VLOOKUP(Tableau242[[#This Row],[Company number]],#REF!,25,FALSE)</f>
        <v>#REF!</v>
      </c>
      <c r="M596" s="62" t="str">
        <f>IFERROR(VLOOKUP(Tableau242[[#This Row],[Company number]],#REF!,30,FALSE),"")</f>
        <v/>
      </c>
      <c r="N596" s="62" t="str">
        <f>IFERROR(VLOOKUP(Tableau242[[#This Row],[Company number]],#REF!,31,FALSE),"")</f>
        <v/>
      </c>
      <c r="O596" s="62" t="str">
        <f>IFERROR(VLOOKUP(Tableau242[[#This Row],[Company number]],#REF!,32,FALSE),"")</f>
        <v/>
      </c>
      <c r="P596" s="62">
        <f>IFERROR(VLOOKUP(B596,Tableau3[#All],5,FALSE),"Matricule!")</f>
        <v>0</v>
      </c>
      <c r="Q596" s="62">
        <f>IFERROR(SUM(VLOOKUP(B596,Tableau3[#All],6,FALSE),VLOOKUP(B596,Tableau3[#All],8,FALSE)),"Matricule!")</f>
        <v>20</v>
      </c>
      <c r="R596" s="62">
        <f>IFERROR(VLOOKUP(B596,Tableau3[#All],7,FALSE),"Matricule!")</f>
        <v>0</v>
      </c>
      <c r="S596" s="62">
        <f>IFERROR(Tableau242[[#This Row],[Prod. days WK]]-Tableau242[[#This Row],[Prod PXX]],"Matricule")</f>
        <v>0</v>
      </c>
      <c r="T596" s="62">
        <f>IFERROR(Tableau242[[#This Row],[Non prod. days WK]]-Tableau242[[#This Row],[Improd PXX]],"Matricule")</f>
        <v>-1.5</v>
      </c>
      <c r="U596" s="62">
        <f>IFERROR(Tableau242[[#This Row],[Paid leave days WK]]-Tableau242[[#This Row],[Congé PXX]],"Matricule")</f>
        <v>1.5</v>
      </c>
      <c r="V596" s="63">
        <f>IFERROR(VLOOKUP($B596,#REF!,4,FALSE),0)</f>
        <v>0</v>
      </c>
      <c r="W59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96" s="63">
        <f>IF(AND(Tableau242[[#This Row],[Paid leave days]]&gt;0,Tableau242[[#This Row],[Prod. days]]&lt;0),MIN(Tableau242[[#This Row],[Paid leave days]],-Tableau242[[#This Row],[Prod. days]]),0)</f>
        <v>0</v>
      </c>
      <c r="Z596" s="63">
        <f>IFERROR(_xlfn.XLOOKUP(Tableau242[[#This Row],[Consultant]],Tableau2[Collaborateur/Nom affiché],Tableau2[Montant imputé],0),0)</f>
        <v>0</v>
      </c>
      <c r="AA596" s="64">
        <f t="shared" si="10"/>
        <v>0</v>
      </c>
      <c r="AB596" s="65"/>
      <c r="AC596" s="66"/>
      <c r="AD596" s="66"/>
      <c r="AE596" s="105"/>
      <c r="AF596" s="90"/>
    </row>
    <row r="597" spans="1:32" ht="14.45" customHeight="1">
      <c r="A597" s="15">
        <f>Tableau242[[#This Row],[Company number]]+0</f>
        <v>5050</v>
      </c>
      <c r="B597" s="60" t="s">
        <v>1309</v>
      </c>
      <c r="C597" s="61" t="s">
        <v>58</v>
      </c>
      <c r="D597" s="61" t="s">
        <v>6</v>
      </c>
      <c r="E597" s="62" t="str">
        <f>IFERROR(VLOOKUP(Tableau242[[#This Row],[Manager ou CDM concerné]],Parametres!B:C,2,FALSE),"")</f>
        <v>Squad A</v>
      </c>
      <c r="F597" s="62" t="str">
        <f>IF(Tableau242[[#This Row],[Consultant]]=Tableau242[[#This Row],[Manager ou CDM concerné]],"Non",IF(IFERROR(VLOOKUP(Tableau242[[#This Row],[Consultant]],Parametres!B:C,2,FALSE),0)=0,"Non","Oui"))</f>
        <v>Oui</v>
      </c>
      <c r="G597" s="62">
        <f>IFERROR(VLOOKUP(B597,Tableau5[#All],4,FALSE),"Matricule!")</f>
        <v>0</v>
      </c>
      <c r="H597" s="62" t="str">
        <f>IFERROR(VLOOKUP(Tableau242[[#This Row],[Company number]],#REF!,6,FALSE),"")</f>
        <v/>
      </c>
      <c r="I597" s="62">
        <f>IFERROR(VLOOKUP(B597,Tableau5[#All],5,FALSE),"Matricule!")</f>
        <v>20</v>
      </c>
      <c r="J597" s="62">
        <f>IFERROR(VLOOKUP(B597,Tableau5[#All],6,FALSE),"Matricule!")</f>
        <v>0</v>
      </c>
      <c r="K597" s="62">
        <f>IFERROR(VLOOKUP(B597,Tableau5[#All],7,FALSE),"Matricule!")</f>
        <v>0</v>
      </c>
      <c r="L597" s="62" t="e">
        <f>VLOOKUP(Tableau242[[#This Row],[Company number]],#REF!,25,FALSE)</f>
        <v>#REF!</v>
      </c>
      <c r="M597" s="62" t="str">
        <f>IFERROR(VLOOKUP(Tableau242[[#This Row],[Company number]],#REF!,30,FALSE),"")</f>
        <v/>
      </c>
      <c r="N597" s="62" t="str">
        <f>IFERROR(VLOOKUP(Tableau242[[#This Row],[Company number]],#REF!,31,FALSE),"")</f>
        <v/>
      </c>
      <c r="O597" s="62" t="str">
        <f>IFERROR(VLOOKUP(Tableau242[[#This Row],[Company number]],#REF!,32,FALSE),"")</f>
        <v/>
      </c>
      <c r="P597" s="62">
        <f>IFERROR(VLOOKUP(B597,Tableau3[#All],5,FALSE),"Matricule!")</f>
        <v>0</v>
      </c>
      <c r="Q597" s="62">
        <f>IFERROR(SUM(VLOOKUP(B597,Tableau3[#All],6,FALSE),VLOOKUP(B597,Tableau3[#All],8,FALSE)),"Matricule!")</f>
        <v>19</v>
      </c>
      <c r="R597" s="62">
        <f>IFERROR(VLOOKUP(B597,Tableau3[#All],7,FALSE),"Matricule!")</f>
        <v>1</v>
      </c>
      <c r="S597" s="62">
        <f>IFERROR(Tableau242[[#This Row],[Prod. days WK]]-Tableau242[[#This Row],[Prod PXX]],"Matricule")</f>
        <v>0</v>
      </c>
      <c r="T597" s="62">
        <f>IFERROR(Tableau242[[#This Row],[Non prod. days WK]]-Tableau242[[#This Row],[Improd PXX]],"Matricule")</f>
        <v>1</v>
      </c>
      <c r="U597" s="62">
        <f>IFERROR(Tableau242[[#This Row],[Paid leave days WK]]-Tableau242[[#This Row],[Congé PXX]],"Matricule")</f>
        <v>-1</v>
      </c>
      <c r="V597" s="63">
        <f>IFERROR(VLOOKUP($B597,#REF!,4,FALSE),0)</f>
        <v>0</v>
      </c>
      <c r="W59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97" s="63">
        <f>IF(AND(Tableau242[[#This Row],[Paid leave days]]&gt;0,Tableau242[[#This Row],[Prod. days]]&lt;0),MIN(Tableau242[[#This Row],[Paid leave days]],-Tableau242[[#This Row],[Prod. days]]),0)</f>
        <v>0</v>
      </c>
      <c r="Z597" s="63">
        <f>IFERROR(_xlfn.XLOOKUP(Tableau242[[#This Row],[Consultant]],Tableau2[Collaborateur/Nom affiché],Tableau2[Montant imputé],0),0)</f>
        <v>0</v>
      </c>
      <c r="AA597" s="64">
        <f t="shared" si="10"/>
        <v>0</v>
      </c>
      <c r="AB597" s="65"/>
      <c r="AC597" s="66"/>
      <c r="AD597" s="66"/>
      <c r="AE597" s="105"/>
      <c r="AF597" s="90"/>
    </row>
    <row r="598" spans="1:32" ht="14.45" customHeight="1">
      <c r="A598" s="15">
        <f>Tableau242[[#This Row],[Company number]]+0</f>
        <v>6062</v>
      </c>
      <c r="B598" s="60" t="s">
        <v>1310</v>
      </c>
      <c r="C598" s="61" t="s">
        <v>5</v>
      </c>
      <c r="D598" s="61" t="s">
        <v>31</v>
      </c>
      <c r="E598" s="62" t="str">
        <f>IFERROR(VLOOKUP(Tableau242[[#This Row],[Manager ou CDM concerné]],Parametres!B:C,2,FALSE),"")</f>
        <v>Squad C</v>
      </c>
      <c r="F598" s="62" t="str">
        <f>IF(Tableau242[[#This Row],[Consultant]]=Tableau242[[#This Row],[Manager ou CDM concerné]],"Non",IF(IFERROR(VLOOKUP(Tableau242[[#This Row],[Consultant]],Parametres!B:C,2,FALSE),0)=0,"Non","Oui"))</f>
        <v>Oui</v>
      </c>
      <c r="G598" s="62">
        <f>IFERROR(VLOOKUP(B598,Tableau5[#All],4,FALSE),"Matricule!")</f>
        <v>0</v>
      </c>
      <c r="H598" s="62" t="str">
        <f>IFERROR(VLOOKUP(Tableau242[[#This Row],[Company number]],#REF!,6,FALSE),"")</f>
        <v/>
      </c>
      <c r="I598" s="62">
        <f>IFERROR(VLOOKUP(B598,Tableau5[#All],5,FALSE),"Matricule!")</f>
        <v>11</v>
      </c>
      <c r="J598" s="62">
        <f>IFERROR(VLOOKUP(B598,Tableau5[#All],6,FALSE),"Matricule!")</f>
        <v>9</v>
      </c>
      <c r="K598" s="62">
        <f>IFERROR(VLOOKUP(B598,Tableau5[#All],7,FALSE),"Matricule!")</f>
        <v>0</v>
      </c>
      <c r="L598" s="62" t="e">
        <f>VLOOKUP(Tableau242[[#This Row],[Company number]],#REF!,25,FALSE)</f>
        <v>#REF!</v>
      </c>
      <c r="M598" s="62" t="str">
        <f>IFERROR(VLOOKUP(Tableau242[[#This Row],[Company number]],#REF!,30,FALSE),"")</f>
        <v/>
      </c>
      <c r="N598" s="62" t="str">
        <f>IFERROR(VLOOKUP(Tableau242[[#This Row],[Company number]],#REF!,31,FALSE),"")</f>
        <v/>
      </c>
      <c r="O598" s="62" t="str">
        <f>IFERROR(VLOOKUP(Tableau242[[#This Row],[Company number]],#REF!,32,FALSE),"")</f>
        <v/>
      </c>
      <c r="P598" s="68">
        <f>IFERROR(VLOOKUP(B598,Tableau3[#All],5,FALSE),"Matricule!")</f>
        <v>0</v>
      </c>
      <c r="Q598" s="68">
        <f>IFERROR(SUM(VLOOKUP(B598,Tableau3[#All],6,FALSE),VLOOKUP(B598,Tableau3[#All],8,FALSE)),"Matricule!")</f>
        <v>10</v>
      </c>
      <c r="R598" s="68">
        <f>IFERROR(VLOOKUP(B598,Tableau3[#All],7,FALSE),"Matricule!")</f>
        <v>10</v>
      </c>
      <c r="S598" s="62">
        <f>IFERROR(Tableau242[[#This Row],[Prod. days WK]]-Tableau242[[#This Row],[Prod PXX]],"Matricule")</f>
        <v>0</v>
      </c>
      <c r="T598" s="62">
        <f>IFERROR(Tableau242[[#This Row],[Non prod. days WK]]-Tableau242[[#This Row],[Improd PXX]],"Matricule")</f>
        <v>1</v>
      </c>
      <c r="U598" s="62">
        <f>IFERROR(Tableau242[[#This Row],[Paid leave days WK]]-Tableau242[[#This Row],[Congé PXX]],"Matricule")</f>
        <v>-1</v>
      </c>
      <c r="V598" s="63">
        <f>IFERROR(VLOOKUP($B598,#REF!,4,FALSE),0)</f>
        <v>0</v>
      </c>
      <c r="W59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98" s="63">
        <f>IF(AND(Tableau242[[#This Row],[Paid leave days]]&gt;0,Tableau242[[#This Row],[Prod. days]]&lt;0),MIN(Tableau242[[#This Row],[Paid leave days]],-Tableau242[[#This Row],[Prod. days]]),0)</f>
        <v>0</v>
      </c>
      <c r="Z598" s="63">
        <f>IFERROR(_xlfn.XLOOKUP(Tableau242[[#This Row],[Consultant]],Tableau2[Collaborateur/Nom affiché],Tableau2[Montant imputé],0),0)</f>
        <v>0</v>
      </c>
      <c r="AA598" s="64">
        <f t="shared" si="10"/>
        <v>0</v>
      </c>
      <c r="AB598" s="78"/>
      <c r="AC598" s="67"/>
      <c r="AD598" s="67"/>
      <c r="AE598" s="106"/>
      <c r="AF598" s="92"/>
    </row>
    <row r="599" spans="1:32" ht="14.45" customHeight="1">
      <c r="A599" s="15">
        <f>Tableau242[[#This Row],[Company number]]+0</f>
        <v>15407</v>
      </c>
      <c r="B599" s="60" t="s">
        <v>1311</v>
      </c>
      <c r="C599" s="61" t="s">
        <v>1312</v>
      </c>
      <c r="D599" s="61" t="s">
        <v>39</v>
      </c>
      <c r="E599" s="62" t="str">
        <f>IFERROR(VLOOKUP(Tableau242[[#This Row],[Manager ou CDM concerné]],Parametres!B:C,2,FALSE),"")</f>
        <v>Squad F</v>
      </c>
      <c r="F599" s="62" t="str">
        <f>IF(Tableau242[[#This Row],[Consultant]]=Tableau242[[#This Row],[Manager ou CDM concerné]],"Non",IF(IFERROR(VLOOKUP(Tableau242[[#This Row],[Consultant]],Parametres!B:C,2,FALSE),0)=0,"Non","Oui"))</f>
        <v>Non</v>
      </c>
      <c r="G599" s="62">
        <f>IFERROR(VLOOKUP(B599,Tableau5[#All],4,FALSE),"Matricule!")</f>
        <v>0</v>
      </c>
      <c r="H599" s="62" t="str">
        <f>IFERROR(VLOOKUP(Tableau242[[#This Row],[Company number]],#REF!,6,FALSE),"")</f>
        <v/>
      </c>
      <c r="I599" s="62">
        <f>IFERROR(VLOOKUP(B599,Tableau5[#All],5,FALSE),"Matricule!")</f>
        <v>18</v>
      </c>
      <c r="J599" s="62">
        <f>IFERROR(VLOOKUP(B599,Tableau5[#All],6,FALSE),"Matricule!")</f>
        <v>2</v>
      </c>
      <c r="K599" s="62">
        <f>IFERROR(VLOOKUP(B599,Tableau5[#All],7,FALSE),"Matricule!")</f>
        <v>0</v>
      </c>
      <c r="L599" s="62" t="e">
        <f>VLOOKUP(Tableau242[[#This Row],[Company number]],#REF!,25,FALSE)</f>
        <v>#REF!</v>
      </c>
      <c r="M599" s="62" t="str">
        <f>IFERROR(VLOOKUP(Tableau242[[#This Row],[Company number]],#REF!,30,FALSE),"")</f>
        <v/>
      </c>
      <c r="N599" s="62" t="str">
        <f>IFERROR(VLOOKUP(Tableau242[[#This Row],[Company number]],#REF!,31,FALSE),"")</f>
        <v/>
      </c>
      <c r="O599" s="62" t="str">
        <f>IFERROR(VLOOKUP(Tableau242[[#This Row],[Company number]],#REF!,32,FALSE),"")</f>
        <v/>
      </c>
      <c r="P599" s="62">
        <f>IFERROR(VLOOKUP(B599,Tableau3[#All],5,FALSE),"Matricule!")</f>
        <v>0</v>
      </c>
      <c r="Q599" s="62">
        <f>IFERROR(SUM(VLOOKUP(B599,Tableau3[#All],6,FALSE),VLOOKUP(B599,Tableau3[#All],8,FALSE)),"Matricule!")</f>
        <v>19</v>
      </c>
      <c r="R599" s="62">
        <f>IFERROR(VLOOKUP(B599,Tableau3[#All],7,FALSE),"Matricule!")</f>
        <v>1</v>
      </c>
      <c r="S599" s="62">
        <f>IFERROR(Tableau242[[#This Row],[Prod. days WK]]-Tableau242[[#This Row],[Prod PXX]],"Matricule")</f>
        <v>0</v>
      </c>
      <c r="T599" s="62">
        <f>IFERROR(Tableau242[[#This Row],[Non prod. days WK]]-Tableau242[[#This Row],[Improd PXX]],"Matricule")</f>
        <v>-1</v>
      </c>
      <c r="U599" s="62">
        <f>IFERROR(Tableau242[[#This Row],[Paid leave days WK]]-Tableau242[[#This Row],[Congé PXX]],"Matricule")</f>
        <v>1</v>
      </c>
      <c r="V599" s="63">
        <f>IFERROR(VLOOKUP($B599,#REF!,4,FALSE),0)</f>
        <v>0</v>
      </c>
      <c r="W59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59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599" s="63">
        <f>IF(AND(Tableau242[[#This Row],[Paid leave days]]&gt;0,Tableau242[[#This Row],[Prod. days]]&lt;0),MIN(Tableau242[[#This Row],[Paid leave days]],-Tableau242[[#This Row],[Prod. days]]),0)</f>
        <v>0</v>
      </c>
      <c r="Z599" s="63">
        <f>IFERROR(_xlfn.XLOOKUP(Tableau242[[#This Row],[Consultant]],Tableau2[Collaborateur/Nom affiché],Tableau2[Montant imputé],0),0)</f>
        <v>0</v>
      </c>
      <c r="AA599" s="64">
        <f t="shared" si="10"/>
        <v>0</v>
      </c>
      <c r="AB599" s="65"/>
      <c r="AC599" s="66"/>
      <c r="AD599" s="66"/>
      <c r="AE599" s="115"/>
      <c r="AF599" s="90"/>
    </row>
    <row r="600" spans="1:32">
      <c r="A600" s="15">
        <f>Tableau242[[#This Row],[Company number]]+0</f>
        <v>20415</v>
      </c>
      <c r="B600" s="60" t="s">
        <v>1313</v>
      </c>
      <c r="C600" s="61" t="s">
        <v>1314</v>
      </c>
      <c r="D600" s="61" t="s">
        <v>41</v>
      </c>
      <c r="E600" s="62" t="str">
        <f>IFERROR(VLOOKUP(Tableau242[[#This Row],[Manager ou CDM concerné]],Parametres!B:C,2,FALSE),"")</f>
        <v>Squad B</v>
      </c>
      <c r="F600" s="62" t="str">
        <f>IF(Tableau242[[#This Row],[Consultant]]=Tableau242[[#This Row],[Manager ou CDM concerné]],"Non",IF(IFERROR(VLOOKUP(Tableau242[[#This Row],[Consultant]],Parametres!B:C,2,FALSE),0)=0,"Non","Oui"))</f>
        <v>Non</v>
      </c>
      <c r="G600" s="62">
        <f>IFERROR(VLOOKUP(B600,Tableau5[#All],4,FALSE),"Matricule!")</f>
        <v>19.5</v>
      </c>
      <c r="H600" s="62" t="str">
        <f>IFERROR(VLOOKUP(Tableau242[[#This Row],[Company number]],#REF!,6,FALSE),"")</f>
        <v/>
      </c>
      <c r="I600" s="62">
        <f>IFERROR(VLOOKUP(B600,Tableau5[#All],5,FALSE),"Matricule!")</f>
        <v>0</v>
      </c>
      <c r="J600" s="62">
        <f>IFERROR(VLOOKUP(B600,Tableau5[#All],6,FALSE),"Matricule!")</f>
        <v>0.5</v>
      </c>
      <c r="K600" s="62">
        <f>IFERROR(VLOOKUP(B600,Tableau5[#All],7,FALSE),"Matricule!")</f>
        <v>0</v>
      </c>
      <c r="L600" s="62" t="e">
        <f>VLOOKUP(Tableau242[[#This Row],[Company number]],#REF!,25,FALSE)</f>
        <v>#REF!</v>
      </c>
      <c r="M600" s="62" t="str">
        <f>IFERROR(VLOOKUP(Tableau242[[#This Row],[Company number]],#REF!,30,FALSE),"")</f>
        <v/>
      </c>
      <c r="N600" s="62" t="str">
        <f>IFERROR(VLOOKUP(Tableau242[[#This Row],[Company number]],#REF!,31,FALSE),"")</f>
        <v/>
      </c>
      <c r="O600" s="62" t="str">
        <f>IFERROR(VLOOKUP(Tableau242[[#This Row],[Company number]],#REF!,32,FALSE),"")</f>
        <v/>
      </c>
      <c r="P600" s="62">
        <f>IFERROR(VLOOKUP(B600,Tableau3[#All],5,FALSE),"Matricule!")</f>
        <v>20</v>
      </c>
      <c r="Q600" s="62">
        <f>IFERROR(SUM(VLOOKUP(B600,Tableau3[#All],6,FALSE),VLOOKUP(B600,Tableau3[#All],8,FALSE)),"Matricule!")</f>
        <v>0</v>
      </c>
      <c r="R600" s="62">
        <f>IFERROR(VLOOKUP(B600,Tableau3[#All],7,FALSE),"Matricule!")</f>
        <v>0</v>
      </c>
      <c r="S600" s="62">
        <f>IFERROR(Tableau242[[#This Row],[Prod. days WK]]-Tableau242[[#This Row],[Prod PXX]],"Matricule")</f>
        <v>-0.5</v>
      </c>
      <c r="T600" s="62">
        <f>IFERROR(Tableau242[[#This Row],[Non prod. days WK]]-Tableau242[[#This Row],[Improd PXX]],"Matricule")</f>
        <v>0</v>
      </c>
      <c r="U600" s="62">
        <f>IFERROR(Tableau242[[#This Row],[Paid leave days WK]]-Tableau242[[#This Row],[Congé PXX]],"Matricule")</f>
        <v>0.5</v>
      </c>
      <c r="V600" s="63">
        <f>IFERROR(VLOOKUP($B600,#REF!,4,FALSE),0)</f>
        <v>0</v>
      </c>
      <c r="W60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00" s="63">
        <f>IF(AND(Tableau242[[#This Row],[Paid leave days]]&gt;0,Tableau242[[#This Row],[Prod. days]]&lt;0),MIN(Tableau242[[#This Row],[Paid leave days]],-Tableau242[[#This Row],[Prod. days]]),0)</f>
        <v>0.5</v>
      </c>
      <c r="Z600" s="63">
        <f>IFERROR(_xlfn.XLOOKUP(Tableau242[[#This Row],[Consultant]],Tableau2[Collaborateur/Nom affiché],Tableau2[Montant imputé],0),0)</f>
        <v>0</v>
      </c>
      <c r="AA600" s="64">
        <f t="shared" si="10"/>
        <v>-0.5</v>
      </c>
      <c r="AB600" s="65"/>
      <c r="AC600" s="66"/>
      <c r="AD600" s="66"/>
      <c r="AE600" s="115"/>
      <c r="AF600" s="90"/>
    </row>
    <row r="601" spans="1:32">
      <c r="A601" s="15">
        <f>Tableau242[[#This Row],[Company number]]+0</f>
        <v>14297</v>
      </c>
      <c r="B601" s="60" t="s">
        <v>1315</v>
      </c>
      <c r="C601" s="61" t="s">
        <v>1316</v>
      </c>
      <c r="D601" s="61" t="s">
        <v>41</v>
      </c>
      <c r="E601" s="62" t="str">
        <f>IFERROR(VLOOKUP(Tableau242[[#This Row],[Manager ou CDM concerné]],Parametres!B:C,2,FALSE),"")</f>
        <v>Squad B</v>
      </c>
      <c r="F601" s="62" t="str">
        <f>IF(Tableau242[[#This Row],[Consultant]]=Tableau242[[#This Row],[Manager ou CDM concerné]],"Non",IF(IFERROR(VLOOKUP(Tableau242[[#This Row],[Consultant]],Parametres!B:C,2,FALSE),0)=0,"Non","Oui"))</f>
        <v>Oui</v>
      </c>
      <c r="G601" s="62">
        <f>IFERROR(VLOOKUP(B601,Tableau5[#All],4,FALSE),"Matricule!")</f>
        <v>19.5</v>
      </c>
      <c r="H601" s="62" t="str">
        <f>IFERROR(VLOOKUP(Tableau242[[#This Row],[Company number]],#REF!,6,FALSE),"")</f>
        <v/>
      </c>
      <c r="I601" s="62">
        <f>IFERROR(VLOOKUP(B601,Tableau5[#All],5,FALSE),"Matricule!")</f>
        <v>0.5</v>
      </c>
      <c r="J601" s="62">
        <f>IFERROR(VLOOKUP(B601,Tableau5[#All],6,FALSE),"Matricule!")</f>
        <v>0</v>
      </c>
      <c r="K601" s="62">
        <f>IFERROR(VLOOKUP(B601,Tableau5[#All],7,FALSE),"Matricule!")</f>
        <v>0</v>
      </c>
      <c r="L601" s="62" t="e">
        <f>VLOOKUP(Tableau242[[#This Row],[Company number]],#REF!,25,FALSE)</f>
        <v>#REF!</v>
      </c>
      <c r="M601" s="62" t="str">
        <f>IFERROR(VLOOKUP(Tableau242[[#This Row],[Company number]],#REF!,30,FALSE),"")</f>
        <v/>
      </c>
      <c r="N601" s="62" t="str">
        <f>IFERROR(VLOOKUP(Tableau242[[#This Row],[Company number]],#REF!,31,FALSE),"")</f>
        <v/>
      </c>
      <c r="O601" s="62" t="str">
        <f>IFERROR(VLOOKUP(Tableau242[[#This Row],[Company number]],#REF!,32,FALSE),"")</f>
        <v/>
      </c>
      <c r="P601" s="68">
        <f>IFERROR(VLOOKUP(B601,Tableau3[#All],5,FALSE),"Matricule!")</f>
        <v>19.5</v>
      </c>
      <c r="Q601" s="68">
        <f>IFERROR(SUM(VLOOKUP(B601,Tableau3[#All],6,FALSE),VLOOKUP(B601,Tableau3[#All],8,FALSE)),"Matricule!")</f>
        <v>0.5</v>
      </c>
      <c r="R601" s="68">
        <f>IFERROR(VLOOKUP(B601,Tableau3[#All],7,FALSE),"Matricule!")</f>
        <v>0</v>
      </c>
      <c r="S601" s="62">
        <f>IFERROR(Tableau242[[#This Row],[Prod. days WK]]-Tableau242[[#This Row],[Prod PXX]],"Matricule")</f>
        <v>0</v>
      </c>
      <c r="T601" s="62">
        <f>IFERROR(Tableau242[[#This Row],[Non prod. days WK]]-Tableau242[[#This Row],[Improd PXX]],"Matricule")</f>
        <v>0</v>
      </c>
      <c r="U601" s="62">
        <f>IFERROR(Tableau242[[#This Row],[Paid leave days WK]]-Tableau242[[#This Row],[Congé PXX]],"Matricule")</f>
        <v>0</v>
      </c>
      <c r="V601" s="63">
        <f>IFERROR(VLOOKUP($B601,#REF!,4,FALSE),0)</f>
        <v>0</v>
      </c>
      <c r="W60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01" s="63">
        <f>IF(AND(Tableau242[[#This Row],[Paid leave days]]&gt;0,Tableau242[[#This Row],[Prod. days]]&lt;0),MIN(Tableau242[[#This Row],[Paid leave days]],-Tableau242[[#This Row],[Prod. days]]),0)</f>
        <v>0</v>
      </c>
      <c r="Z601" s="63">
        <f>IFERROR(_xlfn.XLOOKUP(Tableau242[[#This Row],[Consultant]],Tableau2[Collaborateur/Nom affiché],Tableau2[Montant imputé],0),0)</f>
        <v>0</v>
      </c>
      <c r="AA601" s="64">
        <f t="shared" si="10"/>
        <v>0</v>
      </c>
      <c r="AB601" s="65"/>
      <c r="AC601" s="66"/>
      <c r="AD601" s="66"/>
      <c r="AE601" s="115"/>
      <c r="AF601" s="90"/>
    </row>
    <row r="602" spans="1:32" ht="14.45" customHeight="1">
      <c r="A602" s="15">
        <f>Tableau242[[#This Row],[Company number]]+0</f>
        <v>22485</v>
      </c>
      <c r="B602" s="60" t="s">
        <v>1317</v>
      </c>
      <c r="C602" s="61" t="s">
        <v>1318</v>
      </c>
      <c r="D602" s="61" t="s">
        <v>59</v>
      </c>
      <c r="E602" s="62" t="str">
        <f>IFERROR(VLOOKUP(Tableau242[[#This Row],[Manager ou CDM concerné]],Parametres!B:C,2,FALSE),"")</f>
        <v>Squad A</v>
      </c>
      <c r="F602" s="62" t="str">
        <f>IF(Tableau242[[#This Row],[Consultant]]=Tableau242[[#This Row],[Manager ou CDM concerné]],"Non",IF(IFERROR(VLOOKUP(Tableau242[[#This Row],[Consultant]],Parametres!B:C,2,FALSE),0)=0,"Non","Oui"))</f>
        <v>Non</v>
      </c>
      <c r="G602" s="62">
        <f>IFERROR(VLOOKUP(B602,Tableau5[#All],4,FALSE),"Matricule!")</f>
        <v>0</v>
      </c>
      <c r="H602" s="62" t="str">
        <f>IFERROR(VLOOKUP(Tableau242[[#This Row],[Company number]],#REF!,6,FALSE),"")</f>
        <v/>
      </c>
      <c r="I602" s="62">
        <f>IFERROR(VLOOKUP(B602,Tableau5[#All],5,FALSE),"Matricule!")</f>
        <v>20</v>
      </c>
      <c r="J602" s="62">
        <f>IFERROR(VLOOKUP(B602,Tableau5[#All],6,FALSE),"Matricule!")</f>
        <v>0</v>
      </c>
      <c r="K602" s="62">
        <f>IFERROR(VLOOKUP(B602,Tableau5[#All],7,FALSE),"Matricule!")</f>
        <v>0</v>
      </c>
      <c r="L602" s="62" t="e">
        <f>VLOOKUP(Tableau242[[#This Row],[Company number]],#REF!,25,FALSE)</f>
        <v>#REF!</v>
      </c>
      <c r="M602" s="62" t="str">
        <f>IFERROR(VLOOKUP(Tableau242[[#This Row],[Company number]],#REF!,30,FALSE),"")</f>
        <v/>
      </c>
      <c r="N602" s="62" t="str">
        <f>IFERROR(VLOOKUP(Tableau242[[#This Row],[Company number]],#REF!,31,FALSE),"")</f>
        <v/>
      </c>
      <c r="O602" s="62" t="str">
        <f>IFERROR(VLOOKUP(Tableau242[[#This Row],[Company number]],#REF!,32,FALSE),"")</f>
        <v/>
      </c>
      <c r="P602" s="62">
        <f>IFERROR(VLOOKUP(B602,Tableau3[#All],5,FALSE),"Matricule!")</f>
        <v>0</v>
      </c>
      <c r="Q602" s="62">
        <f>IFERROR(SUM(VLOOKUP(B602,Tableau3[#All],6,FALSE),VLOOKUP(B602,Tableau3[#All],8,FALSE)),"Matricule!")</f>
        <v>20</v>
      </c>
      <c r="R602" s="62">
        <f>IFERROR(VLOOKUP(B602,Tableau3[#All],7,FALSE),"Matricule!")</f>
        <v>0</v>
      </c>
      <c r="S602" s="62">
        <f>IFERROR(Tableau242[[#This Row],[Prod. days WK]]-Tableau242[[#This Row],[Prod PXX]],"Matricule")</f>
        <v>0</v>
      </c>
      <c r="T602" s="62">
        <f>IFERROR(Tableau242[[#This Row],[Non prod. days WK]]-Tableau242[[#This Row],[Improd PXX]],"Matricule")</f>
        <v>0</v>
      </c>
      <c r="U602" s="62">
        <f>IFERROR(Tableau242[[#This Row],[Paid leave days WK]]-Tableau242[[#This Row],[Congé PXX]],"Matricule")</f>
        <v>0</v>
      </c>
      <c r="V602" s="63">
        <f>IFERROR(VLOOKUP($B602,#REF!,4,FALSE),0)</f>
        <v>0</v>
      </c>
      <c r="W60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02" s="63">
        <f>IF(AND(Tableau242[[#This Row],[Paid leave days]]&gt;0,Tableau242[[#This Row],[Prod. days]]&lt;0),MIN(Tableau242[[#This Row],[Paid leave days]],-Tableau242[[#This Row],[Prod. days]]),0)</f>
        <v>0</v>
      </c>
      <c r="Z602" s="63">
        <f>IFERROR(_xlfn.XLOOKUP(Tableau242[[#This Row],[Consultant]],Tableau2[Collaborateur/Nom affiché],Tableau2[Montant imputé],0),0)</f>
        <v>0</v>
      </c>
      <c r="AA602" s="64">
        <f t="shared" si="10"/>
        <v>0</v>
      </c>
      <c r="AB602" s="65"/>
      <c r="AC602" s="67"/>
      <c r="AD602" s="66"/>
      <c r="AE602" s="39"/>
      <c r="AF602" s="93"/>
    </row>
    <row r="603" spans="1:32" ht="14.45" customHeight="1">
      <c r="A603" s="15">
        <f>Tableau242[[#This Row],[Company number]]+0</f>
        <v>21377</v>
      </c>
      <c r="B603" s="60" t="s">
        <v>1319</v>
      </c>
      <c r="C603" s="61" t="s">
        <v>1320</v>
      </c>
      <c r="D603" s="61" t="s">
        <v>59</v>
      </c>
      <c r="E603" s="62" t="str">
        <f>IFERROR(VLOOKUP(Tableau242[[#This Row],[Manager ou CDM concerné]],Parametres!B:C,2,FALSE),"")</f>
        <v>Squad A</v>
      </c>
      <c r="F603" s="62" t="str">
        <f>IF(Tableau242[[#This Row],[Consultant]]=Tableau242[[#This Row],[Manager ou CDM concerné]],"Non",IF(IFERROR(VLOOKUP(Tableau242[[#This Row],[Consultant]],Parametres!B:C,2,FALSE),0)=0,"Non","Oui"))</f>
        <v>Non</v>
      </c>
      <c r="G603" s="62">
        <f>IFERROR(VLOOKUP(B603,Tableau5[#All],4,FALSE),"Matricule!")</f>
        <v>19.5</v>
      </c>
      <c r="H603" s="62" t="str">
        <f>IFERROR(VLOOKUP(Tableau242[[#This Row],[Company number]],#REF!,6,FALSE),"")</f>
        <v/>
      </c>
      <c r="I603" s="62">
        <f>IFERROR(VLOOKUP(B603,Tableau5[#All],5,FALSE),"Matricule!")</f>
        <v>0</v>
      </c>
      <c r="J603" s="62">
        <f>IFERROR(VLOOKUP(B603,Tableau5[#All],6,FALSE),"Matricule!")</f>
        <v>0.5</v>
      </c>
      <c r="K603" s="62">
        <f>IFERROR(VLOOKUP(B603,Tableau5[#All],7,FALSE),"Matricule!")</f>
        <v>0</v>
      </c>
      <c r="L603" s="62" t="e">
        <f>VLOOKUP(Tableau242[[#This Row],[Company number]],#REF!,25,FALSE)</f>
        <v>#REF!</v>
      </c>
      <c r="M603" s="62" t="str">
        <f>IFERROR(VLOOKUP(Tableau242[[#This Row],[Company number]],#REF!,30,FALSE),"")</f>
        <v/>
      </c>
      <c r="N603" s="62" t="str">
        <f>IFERROR(VLOOKUP(Tableau242[[#This Row],[Company number]],#REF!,31,FALSE),"")</f>
        <v/>
      </c>
      <c r="O603" s="62" t="str">
        <f>IFERROR(VLOOKUP(Tableau242[[#This Row],[Company number]],#REF!,32,FALSE),"")</f>
        <v/>
      </c>
      <c r="P603" s="62">
        <f>IFERROR(VLOOKUP(B603,Tableau3[#All],5,FALSE),"Matricule!")</f>
        <v>20</v>
      </c>
      <c r="Q603" s="62">
        <f>IFERROR(SUM(VLOOKUP(B603,Tableau3[#All],6,FALSE),VLOOKUP(B603,Tableau3[#All],8,FALSE)),"Matricule!")</f>
        <v>-0.5</v>
      </c>
      <c r="R603" s="62">
        <f>IFERROR(VLOOKUP(B603,Tableau3[#All],7,FALSE),"Matricule!")</f>
        <v>0.5</v>
      </c>
      <c r="S603" s="62">
        <f>IFERROR(Tableau242[[#This Row],[Prod. days WK]]-Tableau242[[#This Row],[Prod PXX]],"Matricule")</f>
        <v>-0.5</v>
      </c>
      <c r="T603" s="62">
        <f>IFERROR(Tableau242[[#This Row],[Non prod. days WK]]-Tableau242[[#This Row],[Improd PXX]],"Matricule")</f>
        <v>0.5</v>
      </c>
      <c r="U603" s="62">
        <f>IFERROR(Tableau242[[#This Row],[Paid leave days WK]]-Tableau242[[#This Row],[Congé PXX]],"Matricule")</f>
        <v>0</v>
      </c>
      <c r="V603" s="63">
        <f>IFERROR(VLOOKUP($B603,#REF!,4,FALSE),0)</f>
        <v>0</v>
      </c>
      <c r="W60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03" s="63">
        <f>IF(AND(Tableau242[[#This Row],[Paid leave days]]&gt;0,Tableau242[[#This Row],[Prod. days]]&lt;0),MIN(Tableau242[[#This Row],[Paid leave days]],-Tableau242[[#This Row],[Prod. days]]),0)</f>
        <v>0</v>
      </c>
      <c r="Z603" s="63">
        <f>IFERROR(_xlfn.XLOOKUP(Tableau242[[#This Row],[Consultant]],Tableau2[Collaborateur/Nom affiché],Tableau2[Montant imputé],0),0)</f>
        <v>0</v>
      </c>
      <c r="AA603" s="64">
        <f t="shared" si="10"/>
        <v>-0.5</v>
      </c>
      <c r="AB603" s="65" t="s">
        <v>154</v>
      </c>
      <c r="AC603" s="67"/>
      <c r="AD603" s="66"/>
      <c r="AE603" s="39"/>
      <c r="AF603" s="90" t="s">
        <v>1321</v>
      </c>
    </row>
    <row r="604" spans="1:32" ht="14.45" customHeight="1">
      <c r="A604" s="15">
        <f>Tableau242[[#This Row],[Company number]]+0</f>
        <v>16530</v>
      </c>
      <c r="B604" s="60" t="s">
        <v>1322</v>
      </c>
      <c r="C604" s="61" t="s">
        <v>1323</v>
      </c>
      <c r="D604" s="61" t="s">
        <v>59</v>
      </c>
      <c r="E604" s="62" t="str">
        <f>IFERROR(VLOOKUP(Tableau242[[#This Row],[Manager ou CDM concerné]],Parametres!B:C,2,FALSE),"")</f>
        <v>Squad A</v>
      </c>
      <c r="F604" s="62" t="str">
        <f>IF(Tableau242[[#This Row],[Consultant]]=Tableau242[[#This Row],[Manager ou CDM concerné]],"Non",IF(IFERROR(VLOOKUP(Tableau242[[#This Row],[Consultant]],Parametres!B:C,2,FALSE),0)=0,"Non","Oui"))</f>
        <v>Non</v>
      </c>
      <c r="G604" s="62">
        <f>IFERROR(VLOOKUP(B604,Tableau5[#All],4,FALSE),"Matricule!")</f>
        <v>0</v>
      </c>
      <c r="H604" s="62" t="str">
        <f>IFERROR(VLOOKUP(Tableau242[[#This Row],[Company number]],#REF!,6,FALSE),"")</f>
        <v/>
      </c>
      <c r="I604" s="62">
        <f>IFERROR(VLOOKUP(B604,Tableau5[#All],5,FALSE),"Matricule!")</f>
        <v>20</v>
      </c>
      <c r="J604" s="62">
        <f>IFERROR(VLOOKUP(B604,Tableau5[#All],6,FALSE),"Matricule!")</f>
        <v>0</v>
      </c>
      <c r="K604" s="62">
        <f>IFERROR(VLOOKUP(B604,Tableau5[#All],7,FALSE),"Matricule!")</f>
        <v>0</v>
      </c>
      <c r="L604" s="62" t="e">
        <f>VLOOKUP(Tableau242[[#This Row],[Company number]],#REF!,25,FALSE)</f>
        <v>#REF!</v>
      </c>
      <c r="M604" s="62" t="str">
        <f>IFERROR(VLOOKUP(Tableau242[[#This Row],[Company number]],#REF!,30,FALSE),"")</f>
        <v/>
      </c>
      <c r="N604" s="62" t="str">
        <f>IFERROR(VLOOKUP(Tableau242[[#This Row],[Company number]],#REF!,31,FALSE),"")</f>
        <v/>
      </c>
      <c r="O604" s="62" t="str">
        <f>IFERROR(VLOOKUP(Tableau242[[#This Row],[Company number]],#REF!,32,FALSE),"")</f>
        <v/>
      </c>
      <c r="P604" s="62">
        <f>IFERROR(VLOOKUP(B604,Tableau3[#All],5,FALSE),"Matricule!")</f>
        <v>9</v>
      </c>
      <c r="Q604" s="62">
        <f>IFERROR(SUM(VLOOKUP(B604,Tableau3[#All],6,FALSE),VLOOKUP(B604,Tableau3[#All],8,FALSE)),"Matricule!")</f>
        <v>11</v>
      </c>
      <c r="R604" s="62">
        <f>IFERROR(VLOOKUP(B604,Tableau3[#All],7,FALSE),"Matricule!")</f>
        <v>0</v>
      </c>
      <c r="S604" s="62">
        <f>IFERROR(Tableau242[[#This Row],[Prod. days WK]]-Tableau242[[#This Row],[Prod PXX]],"Matricule")</f>
        <v>-9</v>
      </c>
      <c r="T604" s="62">
        <f>IFERROR(Tableau242[[#This Row],[Non prod. days WK]]-Tableau242[[#This Row],[Improd PXX]],"Matricule")</f>
        <v>9</v>
      </c>
      <c r="U604" s="62">
        <f>IFERROR(Tableau242[[#This Row],[Paid leave days WK]]-Tableau242[[#This Row],[Congé PXX]],"Matricule")</f>
        <v>0</v>
      </c>
      <c r="V604" s="63">
        <f>IFERROR(VLOOKUP($B604,#REF!,4,FALSE),0)</f>
        <v>0</v>
      </c>
      <c r="W60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604" s="63">
        <f>IF(AND(Tableau242[[#This Row],[Paid leave days]]&gt;0,Tableau242[[#This Row],[Prod. days]]&lt;0),MIN(Tableau242[[#This Row],[Paid leave days]],-Tableau242[[#This Row],[Prod. days]]),0)</f>
        <v>0</v>
      </c>
      <c r="Z604" s="63">
        <f>IFERROR(_xlfn.XLOOKUP(Tableau242[[#This Row],[Consultant]],Tableau2[Collaborateur/Nom affiché],Tableau2[Montant imputé],0),0)</f>
        <v>8</v>
      </c>
      <c r="AA604" s="64">
        <f t="shared" si="10"/>
        <v>-1</v>
      </c>
      <c r="AB604" s="65" t="s">
        <v>590</v>
      </c>
      <c r="AC604" s="74"/>
      <c r="AD604" s="66"/>
      <c r="AE604" s="39"/>
      <c r="AF604" s="90" t="s">
        <v>1324</v>
      </c>
    </row>
    <row r="605" spans="1:32" ht="29.1" customHeight="1">
      <c r="A605" s="15">
        <f>Tableau242[[#This Row],[Company number]]+0</f>
        <v>16466</v>
      </c>
      <c r="B605" s="60" t="s">
        <v>1325</v>
      </c>
      <c r="C605" s="61" t="s">
        <v>1326</v>
      </c>
      <c r="D605" s="61" t="s">
        <v>59</v>
      </c>
      <c r="E605" s="62" t="str">
        <f>IFERROR(VLOOKUP(Tableau242[[#This Row],[Manager ou CDM concerné]],Parametres!B:C,2,FALSE),"")</f>
        <v>Squad A</v>
      </c>
      <c r="F605" s="62" t="str">
        <f>IF(Tableau242[[#This Row],[Consultant]]=Tableau242[[#This Row],[Manager ou CDM concerné]],"Non",IF(IFERROR(VLOOKUP(Tableau242[[#This Row],[Consultant]],Parametres!B:C,2,FALSE),0)=0,"Non","Oui"))</f>
        <v>Non</v>
      </c>
      <c r="G605" s="62">
        <f>IFERROR(VLOOKUP(B605,Tableau5[#All],4,FALSE),"Matricule!")</f>
        <v>11</v>
      </c>
      <c r="H605" s="62" t="str">
        <f>IFERROR(VLOOKUP(Tableau242[[#This Row],[Company number]],#REF!,6,FALSE),"")</f>
        <v/>
      </c>
      <c r="I605" s="62">
        <f>IFERROR(VLOOKUP(B605,Tableau5[#All],5,FALSE),"Matricule!")</f>
        <v>0</v>
      </c>
      <c r="J605" s="62">
        <f>IFERROR(VLOOKUP(B605,Tableau5[#All],6,FALSE),"Matricule!")</f>
        <v>9</v>
      </c>
      <c r="K605" s="62">
        <f>IFERROR(VLOOKUP(B605,Tableau5[#All],7,FALSE),"Matricule!")</f>
        <v>0</v>
      </c>
      <c r="L605" s="62" t="e">
        <f>VLOOKUP(Tableau242[[#This Row],[Company number]],#REF!,25,FALSE)</f>
        <v>#REF!</v>
      </c>
      <c r="M605" s="62" t="str">
        <f>IFERROR(VLOOKUP(Tableau242[[#This Row],[Company number]],#REF!,30,FALSE),"")</f>
        <v/>
      </c>
      <c r="N605" s="62" t="str">
        <f>IFERROR(VLOOKUP(Tableau242[[#This Row],[Company number]],#REF!,31,FALSE),"")</f>
        <v/>
      </c>
      <c r="O605" s="62" t="str">
        <f>IFERROR(VLOOKUP(Tableau242[[#This Row],[Company number]],#REF!,32,FALSE),"")</f>
        <v/>
      </c>
      <c r="P605" s="62">
        <f>IFERROR(VLOOKUP(B605,Tableau3[#All],5,FALSE),"Matricule!")</f>
        <v>11</v>
      </c>
      <c r="Q605" s="62">
        <f>IFERROR(SUM(VLOOKUP(B605,Tableau3[#All],6,FALSE),VLOOKUP(B605,Tableau3[#All],8,FALSE)),"Matricule!")</f>
        <v>0</v>
      </c>
      <c r="R605" s="62">
        <f>IFERROR(VLOOKUP(B605,Tableau3[#All],7,FALSE),"Matricule!")</f>
        <v>9</v>
      </c>
      <c r="S605" s="62">
        <f>IFERROR(Tableau242[[#This Row],[Prod. days WK]]-Tableau242[[#This Row],[Prod PXX]],"Matricule")</f>
        <v>0</v>
      </c>
      <c r="T605" s="62">
        <f>IFERROR(Tableau242[[#This Row],[Non prod. days WK]]-Tableau242[[#This Row],[Improd PXX]],"Matricule")</f>
        <v>0</v>
      </c>
      <c r="U605" s="62">
        <f>IFERROR(Tableau242[[#This Row],[Paid leave days WK]]-Tableau242[[#This Row],[Congé PXX]],"Matricule")</f>
        <v>0</v>
      </c>
      <c r="V605" s="63">
        <f>IFERROR(VLOOKUP($B605,#REF!,4,FALSE),0)</f>
        <v>0</v>
      </c>
      <c r="W60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05" s="63">
        <f>IF(AND(Tableau242[[#This Row],[Paid leave days]]&gt;0,Tableau242[[#This Row],[Prod. days]]&lt;0),MIN(Tableau242[[#This Row],[Paid leave days]],-Tableau242[[#This Row],[Prod. days]]),0)</f>
        <v>0</v>
      </c>
      <c r="Z605" s="63">
        <f>IFERROR(_xlfn.XLOOKUP(Tableau242[[#This Row],[Consultant]],Tableau2[Collaborateur/Nom affiché],Tableau2[Montant imputé],0),0)</f>
        <v>0</v>
      </c>
      <c r="AA605" s="64">
        <f t="shared" si="10"/>
        <v>0</v>
      </c>
      <c r="AB605" s="65"/>
      <c r="AC605" s="66"/>
      <c r="AD605" s="66"/>
      <c r="AE605" s="39"/>
      <c r="AF605" s="90"/>
    </row>
    <row r="606" spans="1:32" ht="14.45" customHeight="1">
      <c r="A606" s="15">
        <f>Tableau242[[#This Row],[Company number]]+0</f>
        <v>16813</v>
      </c>
      <c r="B606" s="60" t="s">
        <v>1327</v>
      </c>
      <c r="C606" s="61" t="s">
        <v>1328</v>
      </c>
      <c r="D606" s="61" t="s">
        <v>59</v>
      </c>
      <c r="E606" s="62" t="str">
        <f>IFERROR(VLOOKUP(Tableau242[[#This Row],[Manager ou CDM concerné]],Parametres!B:C,2,FALSE),"")</f>
        <v>Squad A</v>
      </c>
      <c r="F606" s="62" t="str">
        <f>IF(Tableau242[[#This Row],[Consultant]]=Tableau242[[#This Row],[Manager ou CDM concerné]],"Non",IF(IFERROR(VLOOKUP(Tableau242[[#This Row],[Consultant]],Parametres!B:C,2,FALSE),0)=0,"Non","Oui"))</f>
        <v>Non</v>
      </c>
      <c r="G606" s="62">
        <f>IFERROR(VLOOKUP(B606,Tableau5[#All],4,FALSE),"Matricule!")</f>
        <v>8</v>
      </c>
      <c r="H606" s="62" t="str">
        <f>IFERROR(VLOOKUP(Tableau242[[#This Row],[Company number]],#REF!,6,FALSE),"")</f>
        <v/>
      </c>
      <c r="I606" s="62">
        <f>IFERROR(VLOOKUP(B606,Tableau5[#All],5,FALSE),"Matricule!")</f>
        <v>10</v>
      </c>
      <c r="J606" s="62">
        <f>IFERROR(VLOOKUP(B606,Tableau5[#All],6,FALSE),"Matricule!")</f>
        <v>2</v>
      </c>
      <c r="K606" s="62">
        <f>IFERROR(VLOOKUP(B606,Tableau5[#All],7,FALSE),"Matricule!")</f>
        <v>0</v>
      </c>
      <c r="L606" s="62" t="e">
        <f>VLOOKUP(Tableau242[[#This Row],[Company number]],#REF!,25,FALSE)</f>
        <v>#REF!</v>
      </c>
      <c r="M606" s="62" t="str">
        <f>IFERROR(VLOOKUP(Tableau242[[#This Row],[Company number]],#REF!,30,FALSE),"")</f>
        <v/>
      </c>
      <c r="N606" s="62" t="str">
        <f>IFERROR(VLOOKUP(Tableau242[[#This Row],[Company number]],#REF!,31,FALSE),"")</f>
        <v/>
      </c>
      <c r="O606" s="62" t="str">
        <f>IFERROR(VLOOKUP(Tableau242[[#This Row],[Company number]],#REF!,32,FALSE),"")</f>
        <v/>
      </c>
      <c r="P606" s="62">
        <f>IFERROR(VLOOKUP(B606,Tableau3[#All],5,FALSE),"Matricule!")</f>
        <v>10</v>
      </c>
      <c r="Q606" s="62">
        <f>IFERROR(SUM(VLOOKUP(B606,Tableau3[#All],6,FALSE),VLOOKUP(B606,Tableau3[#All],8,FALSE)),"Matricule!")</f>
        <v>8</v>
      </c>
      <c r="R606" s="62">
        <f>IFERROR(VLOOKUP(B606,Tableau3[#All],7,FALSE),"Matricule!")</f>
        <v>2</v>
      </c>
      <c r="S606" s="62">
        <f>IFERROR(Tableau242[[#This Row],[Prod. days WK]]-Tableau242[[#This Row],[Prod PXX]],"Matricule")</f>
        <v>-2</v>
      </c>
      <c r="T606" s="62">
        <f>IFERROR(Tableau242[[#This Row],[Non prod. days WK]]-Tableau242[[#This Row],[Improd PXX]],"Matricule")</f>
        <v>2</v>
      </c>
      <c r="U606" s="62">
        <f>IFERROR(Tableau242[[#This Row],[Paid leave days WK]]-Tableau242[[#This Row],[Congé PXX]],"Matricule")</f>
        <v>0</v>
      </c>
      <c r="V606" s="63">
        <f>IFERROR(VLOOKUP($B606,#REF!,4,FALSE),0)</f>
        <v>0</v>
      </c>
      <c r="W60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606" s="63">
        <f>IF(AND(Tableau242[[#This Row],[Paid leave days]]&gt;0,Tableau242[[#This Row],[Prod. days]]&lt;0),MIN(Tableau242[[#This Row],[Paid leave days]],-Tableau242[[#This Row],[Prod. days]]),0)</f>
        <v>0</v>
      </c>
      <c r="Z606" s="63">
        <f>IFERROR(_xlfn.XLOOKUP(Tableau242[[#This Row],[Consultant]],Tableau2[Collaborateur/Nom affiché],Tableau2[Montant imputé],0),0)</f>
        <v>4</v>
      </c>
      <c r="AA606" s="64">
        <f t="shared" si="10"/>
        <v>2</v>
      </c>
      <c r="AB606" s="65"/>
      <c r="AC606" s="67"/>
      <c r="AD606" s="67"/>
      <c r="AE606" s="106"/>
      <c r="AF606" s="90"/>
    </row>
    <row r="607" spans="1:32" ht="14.45" customHeight="1">
      <c r="A607" s="15">
        <f>Tableau242[[#This Row],[Company number]]+0</f>
        <v>21553</v>
      </c>
      <c r="B607" s="60" t="s">
        <v>1329</v>
      </c>
      <c r="C607" s="61" t="s">
        <v>1330</v>
      </c>
      <c r="D607" s="61" t="s">
        <v>59</v>
      </c>
      <c r="E607" s="62" t="str">
        <f>IFERROR(VLOOKUP(Tableau242[[#This Row],[Manager ou CDM concerné]],Parametres!B:C,2,FALSE),"")</f>
        <v>Squad A</v>
      </c>
      <c r="F607" s="62" t="str">
        <f>IF(Tableau242[[#This Row],[Consultant]]=Tableau242[[#This Row],[Manager ou CDM concerné]],"Non",IF(IFERROR(VLOOKUP(Tableau242[[#This Row],[Consultant]],Parametres!B:C,2,FALSE),0)=0,"Non","Oui"))</f>
        <v>Non</v>
      </c>
      <c r="G607" s="62">
        <f>IFERROR(VLOOKUP(B607,Tableau5[#All],4,FALSE),"Matricule!")</f>
        <v>0</v>
      </c>
      <c r="H607" s="62" t="str">
        <f>IFERROR(VLOOKUP(Tableau242[[#This Row],[Company number]],#REF!,6,FALSE),"")</f>
        <v/>
      </c>
      <c r="I607" s="62">
        <f>IFERROR(VLOOKUP(B607,Tableau5[#All],5,FALSE),"Matricule!")</f>
        <v>20</v>
      </c>
      <c r="J607" s="62">
        <f>IFERROR(VLOOKUP(B607,Tableau5[#All],6,FALSE),"Matricule!")</f>
        <v>0</v>
      </c>
      <c r="K607" s="62">
        <f>IFERROR(VLOOKUP(B607,Tableau5[#All],7,FALSE),"Matricule!")</f>
        <v>0</v>
      </c>
      <c r="L607" s="62" t="e">
        <f>VLOOKUP(Tableau242[[#This Row],[Company number]],#REF!,25,FALSE)</f>
        <v>#REF!</v>
      </c>
      <c r="M607" s="62" t="str">
        <f>IFERROR(VLOOKUP(Tableau242[[#This Row],[Company number]],#REF!,30,FALSE),"")</f>
        <v/>
      </c>
      <c r="N607" s="62" t="str">
        <f>IFERROR(VLOOKUP(Tableau242[[#This Row],[Company number]],#REF!,31,FALSE),"")</f>
        <v/>
      </c>
      <c r="O607" s="62" t="str">
        <f>IFERROR(VLOOKUP(Tableau242[[#This Row],[Company number]],#REF!,32,FALSE),"")</f>
        <v/>
      </c>
      <c r="P607" s="62">
        <f>IFERROR(VLOOKUP(B607,Tableau3[#All],5,FALSE),"Matricule!")</f>
        <v>10</v>
      </c>
      <c r="Q607" s="62">
        <f>IFERROR(SUM(VLOOKUP(B607,Tableau3[#All],6,FALSE),VLOOKUP(B607,Tableau3[#All],8,FALSE)),"Matricule!")</f>
        <v>10</v>
      </c>
      <c r="R607" s="62">
        <f>IFERROR(VLOOKUP(B607,Tableau3[#All],7,FALSE),"Matricule!")</f>
        <v>0</v>
      </c>
      <c r="S607" s="62">
        <f>IFERROR(Tableau242[[#This Row],[Prod. days WK]]-Tableau242[[#This Row],[Prod PXX]],"Matricule")</f>
        <v>-10</v>
      </c>
      <c r="T607" s="62">
        <f>IFERROR(Tableau242[[#This Row],[Non prod. days WK]]-Tableau242[[#This Row],[Improd PXX]],"Matricule")</f>
        <v>10</v>
      </c>
      <c r="U607" s="62">
        <f>IFERROR(Tableau242[[#This Row],[Paid leave days WK]]-Tableau242[[#This Row],[Congé PXX]],"Matricule")</f>
        <v>0</v>
      </c>
      <c r="V607" s="63">
        <f>IFERROR(VLOOKUP($B607,#REF!,4,FALSE),0)</f>
        <v>0</v>
      </c>
      <c r="W60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607" s="63">
        <f>IF(AND(Tableau242[[#This Row],[Paid leave days]]&gt;0,Tableau242[[#This Row],[Prod. days]]&lt;0),MIN(Tableau242[[#This Row],[Paid leave days]],-Tableau242[[#This Row],[Prod. days]]),0)</f>
        <v>0</v>
      </c>
      <c r="Z607" s="63">
        <f>IFERROR(_xlfn.XLOOKUP(Tableau242[[#This Row],[Consultant]],Tableau2[Collaborateur/Nom affiché],Tableau2[Montant imputé],0),0)</f>
        <v>20</v>
      </c>
      <c r="AA607" s="64">
        <f t="shared" si="10"/>
        <v>10</v>
      </c>
      <c r="AB607" s="65"/>
      <c r="AC607" s="66"/>
      <c r="AD607" s="66"/>
      <c r="AE607" s="105"/>
      <c r="AF607" s="90"/>
    </row>
    <row r="608" spans="1:32" ht="14.45" customHeight="1">
      <c r="A608" s="15">
        <f>Tableau242[[#This Row],[Company number]]+0</f>
        <v>17060</v>
      </c>
      <c r="B608" s="60" t="s">
        <v>1331</v>
      </c>
      <c r="C608" s="61" t="s">
        <v>1332</v>
      </c>
      <c r="D608" s="61" t="s">
        <v>35</v>
      </c>
      <c r="E608" s="62" t="str">
        <f>IFERROR(VLOOKUP(Tableau242[[#This Row],[Manager ou CDM concerné]],Parametres!B:C,2,FALSE),"")</f>
        <v>Squad B</v>
      </c>
      <c r="F608" s="62" t="str">
        <f>IF(Tableau242[[#This Row],[Consultant]]=Tableau242[[#This Row],[Manager ou CDM concerné]],"Non",IF(IFERROR(VLOOKUP(Tableau242[[#This Row],[Consultant]],Parametres!B:C,2,FALSE),0)=0,"Non","Oui"))</f>
        <v>Non</v>
      </c>
      <c r="G608" s="62">
        <f>IFERROR(VLOOKUP(B608,Tableau5[#All],4,FALSE),"Matricule!")</f>
        <v>0</v>
      </c>
      <c r="H608" s="62" t="str">
        <f>IFERROR(VLOOKUP(Tableau242[[#This Row],[Company number]],#REF!,6,FALSE),"")</f>
        <v/>
      </c>
      <c r="I608" s="62">
        <f>IFERROR(VLOOKUP(B608,Tableau5[#All],5,FALSE),"Matricule!")</f>
        <v>14</v>
      </c>
      <c r="J608" s="62">
        <f>IFERROR(VLOOKUP(B608,Tableau5[#All],6,FALSE),"Matricule!")</f>
        <v>6</v>
      </c>
      <c r="K608" s="62">
        <f>IFERROR(VLOOKUP(B608,Tableau5[#All],7,FALSE),"Matricule!")</f>
        <v>0</v>
      </c>
      <c r="L608" s="62" t="e">
        <f>VLOOKUP(Tableau242[[#This Row],[Company number]],#REF!,25,FALSE)</f>
        <v>#REF!</v>
      </c>
      <c r="M608" s="62" t="str">
        <f>IFERROR(VLOOKUP(Tableau242[[#This Row],[Company number]],#REF!,30,FALSE),"")</f>
        <v/>
      </c>
      <c r="N608" s="62" t="str">
        <f>IFERROR(VLOOKUP(Tableau242[[#This Row],[Company number]],#REF!,31,FALSE),"")</f>
        <v/>
      </c>
      <c r="O608" s="62" t="str">
        <f>IFERROR(VLOOKUP(Tableau242[[#This Row],[Company number]],#REF!,32,FALSE),"")</f>
        <v/>
      </c>
      <c r="P608" s="62">
        <f>IFERROR(VLOOKUP(B608,Tableau3[#All],5,FALSE),"Matricule!")</f>
        <v>0</v>
      </c>
      <c r="Q608" s="62">
        <f>IFERROR(SUM(VLOOKUP(B608,Tableau3[#All],6,FALSE),VLOOKUP(B608,Tableau3[#All],8,FALSE)),"Matricule!")</f>
        <v>15</v>
      </c>
      <c r="R608" s="62">
        <f>IFERROR(VLOOKUP(B608,Tableau3[#All],7,FALSE),"Matricule!")</f>
        <v>5</v>
      </c>
      <c r="S608" s="62">
        <f>IFERROR(Tableau242[[#This Row],[Prod. days WK]]-Tableau242[[#This Row],[Prod PXX]],"Matricule")</f>
        <v>0</v>
      </c>
      <c r="T608" s="62">
        <f>IFERROR(Tableau242[[#This Row],[Non prod. days WK]]-Tableau242[[#This Row],[Improd PXX]],"Matricule")</f>
        <v>-1</v>
      </c>
      <c r="U608" s="62">
        <f>IFERROR(Tableau242[[#This Row],[Paid leave days WK]]-Tableau242[[#This Row],[Congé PXX]],"Matricule")</f>
        <v>1</v>
      </c>
      <c r="V608" s="63">
        <f>IFERROR(VLOOKUP($B608,#REF!,4,FALSE),0)</f>
        <v>0</v>
      </c>
      <c r="W60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08" s="63">
        <f>IF(AND(Tableau242[[#This Row],[Paid leave days]]&gt;0,Tableau242[[#This Row],[Prod. days]]&lt;0),MIN(Tableau242[[#This Row],[Paid leave days]],-Tableau242[[#This Row],[Prod. days]]),0)</f>
        <v>0</v>
      </c>
      <c r="Z608" s="63">
        <f>IFERROR(_xlfn.XLOOKUP(Tableau242[[#This Row],[Consultant]],Tableau2[Collaborateur/Nom affiché],Tableau2[Montant imputé],0),0)</f>
        <v>0</v>
      </c>
      <c r="AA608" s="64">
        <f t="shared" si="10"/>
        <v>0</v>
      </c>
      <c r="AB608" s="70"/>
      <c r="AC608" s="66"/>
      <c r="AD608" s="66"/>
      <c r="AE608" s="105"/>
      <c r="AF608" s="90"/>
    </row>
    <row r="609" spans="1:32" ht="14.45" customHeight="1">
      <c r="A609" s="15">
        <f>Tableau242[[#This Row],[Company number]]+0</f>
        <v>18004</v>
      </c>
      <c r="B609" s="60" t="s">
        <v>1333</v>
      </c>
      <c r="C609" s="61" t="s">
        <v>1334</v>
      </c>
      <c r="D609" s="61" t="s">
        <v>59</v>
      </c>
      <c r="E609" s="62" t="str">
        <f>IFERROR(VLOOKUP(Tableau242[[#This Row],[Manager ou CDM concerné]],Parametres!B:C,2,FALSE),"")</f>
        <v>Squad A</v>
      </c>
      <c r="F609" s="62" t="str">
        <f>IF(Tableau242[[#This Row],[Consultant]]=Tableau242[[#This Row],[Manager ou CDM concerné]],"Non",IF(IFERROR(VLOOKUP(Tableau242[[#This Row],[Consultant]],Parametres!B:C,2,FALSE),0)=0,"Non","Oui"))</f>
        <v>Non</v>
      </c>
      <c r="G609" s="62">
        <f>IFERROR(VLOOKUP(B609,Tableau5[#All],4,FALSE),"Matricule!")</f>
        <v>20</v>
      </c>
      <c r="H609" s="62" t="str">
        <f>IFERROR(VLOOKUP(Tableau242[[#This Row],[Company number]],#REF!,6,FALSE),"")</f>
        <v/>
      </c>
      <c r="I609" s="62">
        <f>IFERROR(VLOOKUP(B609,Tableau5[#All],5,FALSE),"Matricule!")</f>
        <v>0</v>
      </c>
      <c r="J609" s="62">
        <f>IFERROR(VLOOKUP(B609,Tableau5[#All],6,FALSE),"Matricule!")</f>
        <v>0</v>
      </c>
      <c r="K609" s="62">
        <f>IFERROR(VLOOKUP(B609,Tableau5[#All],7,FALSE),"Matricule!")</f>
        <v>0</v>
      </c>
      <c r="L609" s="62" t="e">
        <f>VLOOKUP(Tableau242[[#This Row],[Company number]],#REF!,25,FALSE)</f>
        <v>#REF!</v>
      </c>
      <c r="M609" s="62" t="str">
        <f>IFERROR(VLOOKUP(Tableau242[[#This Row],[Company number]],#REF!,30,FALSE),"")</f>
        <v/>
      </c>
      <c r="N609" s="62" t="str">
        <f>IFERROR(VLOOKUP(Tableau242[[#This Row],[Company number]],#REF!,31,FALSE),"")</f>
        <v/>
      </c>
      <c r="O609" s="62" t="str">
        <f>IFERROR(VLOOKUP(Tableau242[[#This Row],[Company number]],#REF!,32,FALSE),"")</f>
        <v/>
      </c>
      <c r="P609" s="62">
        <f>IFERROR(VLOOKUP(B609,Tableau3[#All],5,FALSE),"Matricule!")</f>
        <v>20</v>
      </c>
      <c r="Q609" s="62">
        <f>IFERROR(SUM(VLOOKUP(B609,Tableau3[#All],6,FALSE),VLOOKUP(B609,Tableau3[#All],8,FALSE)),"Matricule!")</f>
        <v>0</v>
      </c>
      <c r="R609" s="62">
        <f>IFERROR(VLOOKUP(B609,Tableau3[#All],7,FALSE),"Matricule!")</f>
        <v>0</v>
      </c>
      <c r="S609" s="62">
        <f>IFERROR(Tableau242[[#This Row],[Prod. days WK]]-Tableau242[[#This Row],[Prod PXX]],"Matricule")</f>
        <v>0</v>
      </c>
      <c r="T609" s="62">
        <f>IFERROR(Tableau242[[#This Row],[Non prod. days WK]]-Tableau242[[#This Row],[Improd PXX]],"Matricule")</f>
        <v>0</v>
      </c>
      <c r="U609" s="62">
        <f>IFERROR(Tableau242[[#This Row],[Paid leave days WK]]-Tableau242[[#This Row],[Congé PXX]],"Matricule")</f>
        <v>0</v>
      </c>
      <c r="V609" s="63">
        <f>IFERROR(VLOOKUP($B609,#REF!,4,FALSE),0)</f>
        <v>0</v>
      </c>
      <c r="W60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0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09" s="63">
        <f>IF(AND(Tableau242[[#This Row],[Paid leave days]]&gt;0,Tableau242[[#This Row],[Prod. days]]&lt;0),MIN(Tableau242[[#This Row],[Paid leave days]],-Tableau242[[#This Row],[Prod. days]]),0)</f>
        <v>0</v>
      </c>
      <c r="Z609" s="63">
        <f>IFERROR(_xlfn.XLOOKUP(Tableau242[[#This Row],[Consultant]],Tableau2[Collaborateur/Nom affiché],Tableau2[Montant imputé],0),0)</f>
        <v>0</v>
      </c>
      <c r="AA609" s="64">
        <f t="shared" si="10"/>
        <v>0</v>
      </c>
      <c r="AB609" s="65"/>
      <c r="AC609" s="66"/>
      <c r="AD609" s="66"/>
      <c r="AE609" s="105"/>
      <c r="AF609" s="90"/>
    </row>
    <row r="610" spans="1:32" ht="14.45" customHeight="1">
      <c r="A610" s="15">
        <f>Tableau242[[#This Row],[Company number]]+0</f>
        <v>17827</v>
      </c>
      <c r="B610" s="60" t="s">
        <v>1335</v>
      </c>
      <c r="C610" s="61" t="s">
        <v>1336</v>
      </c>
      <c r="D610" s="61" t="s">
        <v>59</v>
      </c>
      <c r="E610" s="62" t="str">
        <f>IFERROR(VLOOKUP(Tableau242[[#This Row],[Manager ou CDM concerné]],Parametres!B:C,2,FALSE),"")</f>
        <v>Squad A</v>
      </c>
      <c r="F610" s="62" t="str">
        <f>IF(Tableau242[[#This Row],[Consultant]]=Tableau242[[#This Row],[Manager ou CDM concerné]],"Non",IF(IFERROR(VLOOKUP(Tableau242[[#This Row],[Consultant]],Parametres!B:C,2,FALSE),0)=0,"Non","Oui"))</f>
        <v>Non</v>
      </c>
      <c r="G610" s="62">
        <f>IFERROR(VLOOKUP(B610,Tableau5[#All],4,FALSE),"Matricule!")</f>
        <v>0</v>
      </c>
      <c r="H610" s="62" t="str">
        <f>IFERROR(VLOOKUP(Tableau242[[#This Row],[Company number]],#REF!,6,FALSE),"")</f>
        <v/>
      </c>
      <c r="I610" s="62">
        <f>IFERROR(VLOOKUP(B610,Tableau5[#All],5,FALSE),"Matricule!")</f>
        <v>20</v>
      </c>
      <c r="J610" s="62">
        <f>IFERROR(VLOOKUP(B610,Tableau5[#All],6,FALSE),"Matricule!")</f>
        <v>0</v>
      </c>
      <c r="K610" s="62">
        <f>IFERROR(VLOOKUP(B610,Tableau5[#All],7,FALSE),"Matricule!")</f>
        <v>0</v>
      </c>
      <c r="L610" s="62" t="e">
        <f>VLOOKUP(Tableau242[[#This Row],[Company number]],#REF!,25,FALSE)</f>
        <v>#REF!</v>
      </c>
      <c r="M610" s="62" t="str">
        <f>IFERROR(VLOOKUP(Tableau242[[#This Row],[Company number]],#REF!,30,FALSE),"")</f>
        <v/>
      </c>
      <c r="N610" s="62" t="str">
        <f>IFERROR(VLOOKUP(Tableau242[[#This Row],[Company number]],#REF!,31,FALSE),"")</f>
        <v/>
      </c>
      <c r="O610" s="62" t="str">
        <f>IFERROR(VLOOKUP(Tableau242[[#This Row],[Company number]],#REF!,32,FALSE),"")</f>
        <v/>
      </c>
      <c r="P610" s="62">
        <f>IFERROR(VLOOKUP(B610,Tableau3[#All],5,FALSE),"Matricule!")</f>
        <v>0</v>
      </c>
      <c r="Q610" s="62">
        <f>IFERROR(SUM(VLOOKUP(B610,Tableau3[#All],6,FALSE),VLOOKUP(B610,Tableau3[#All],8,FALSE)),"Matricule!")</f>
        <v>20</v>
      </c>
      <c r="R610" s="62">
        <f>IFERROR(VLOOKUP(B610,Tableau3[#All],7,FALSE),"Matricule!")</f>
        <v>0</v>
      </c>
      <c r="S610" s="62">
        <f>IFERROR(Tableau242[[#This Row],[Prod. days WK]]-Tableau242[[#This Row],[Prod PXX]],"Matricule")</f>
        <v>0</v>
      </c>
      <c r="T610" s="62">
        <f>IFERROR(Tableau242[[#This Row],[Non prod. days WK]]-Tableau242[[#This Row],[Improd PXX]],"Matricule")</f>
        <v>0</v>
      </c>
      <c r="U610" s="62">
        <f>IFERROR(Tableau242[[#This Row],[Paid leave days WK]]-Tableau242[[#This Row],[Congé PXX]],"Matricule")</f>
        <v>0</v>
      </c>
      <c r="V610" s="63">
        <f>IFERROR(VLOOKUP($B610,#REF!,4,FALSE),0)</f>
        <v>0</v>
      </c>
      <c r="W61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10" s="63">
        <f>IF(AND(Tableau242[[#This Row],[Paid leave days]]&gt;0,Tableau242[[#This Row],[Prod. days]]&lt;0),MIN(Tableau242[[#This Row],[Paid leave days]],-Tableau242[[#This Row],[Prod. days]]),0)</f>
        <v>0</v>
      </c>
      <c r="Z610" s="63">
        <f>IFERROR(_xlfn.XLOOKUP(Tableau242[[#This Row],[Consultant]],Tableau2[Collaborateur/Nom affiché],Tableau2[Montant imputé],0),0)</f>
        <v>0</v>
      </c>
      <c r="AA610" s="64">
        <f t="shared" si="10"/>
        <v>0</v>
      </c>
      <c r="AB610" s="65"/>
      <c r="AC610" s="69"/>
      <c r="AD610" s="67"/>
      <c r="AE610" s="106"/>
      <c r="AF610" s="92"/>
    </row>
    <row r="611" spans="1:32" ht="14.45" customHeight="1">
      <c r="A611" s="15">
        <f>Tableau242[[#This Row],[Company number]]+0</f>
        <v>22068</v>
      </c>
      <c r="B611" s="60" t="s">
        <v>1337</v>
      </c>
      <c r="C611" s="61" t="s">
        <v>1338</v>
      </c>
      <c r="D611" s="61" t="s">
        <v>5</v>
      </c>
      <c r="E611" s="62" t="str">
        <f>IFERROR(VLOOKUP(Tableau242[[#This Row],[Manager ou CDM concerné]],Parametres!B:C,2,FALSE),"")</f>
        <v>Squad C</v>
      </c>
      <c r="F611" s="62" t="str">
        <f>IF(Tableau242[[#This Row],[Consultant]]=Tableau242[[#This Row],[Manager ou CDM concerné]],"Non",IF(IFERROR(VLOOKUP(Tableau242[[#This Row],[Consultant]],Parametres!B:C,2,FALSE),0)=0,"Non","Oui"))</f>
        <v>Non</v>
      </c>
      <c r="G611" s="62">
        <f>IFERROR(VLOOKUP(B611,Tableau5[#All],4,FALSE),"Matricule!")</f>
        <v>0</v>
      </c>
      <c r="H611" s="62" t="str">
        <f>IFERROR(VLOOKUP(Tableau242[[#This Row],[Company number]],#REF!,6,FALSE),"")</f>
        <v/>
      </c>
      <c r="I611" s="62">
        <f>IFERROR(VLOOKUP(B611,Tableau5[#All],5,FALSE),"Matricule!")</f>
        <v>20</v>
      </c>
      <c r="J611" s="62">
        <f>IFERROR(VLOOKUP(B611,Tableau5[#All],6,FALSE),"Matricule!")</f>
        <v>0</v>
      </c>
      <c r="K611" s="62">
        <f>IFERROR(VLOOKUP(B611,Tableau5[#All],7,FALSE),"Matricule!")</f>
        <v>0</v>
      </c>
      <c r="L611" s="62" t="e">
        <f>VLOOKUP(Tableau242[[#This Row],[Company number]],#REF!,25,FALSE)</f>
        <v>#REF!</v>
      </c>
      <c r="M611" s="62" t="str">
        <f>IFERROR(VLOOKUP(Tableau242[[#This Row],[Company number]],#REF!,30,FALSE),"")</f>
        <v/>
      </c>
      <c r="N611" s="62" t="str">
        <f>IFERROR(VLOOKUP(Tableau242[[#This Row],[Company number]],#REF!,31,FALSE),"")</f>
        <v/>
      </c>
      <c r="O611" s="62" t="str">
        <f>IFERROR(VLOOKUP(Tableau242[[#This Row],[Company number]],#REF!,32,FALSE),"")</f>
        <v/>
      </c>
      <c r="P611" s="62">
        <f>IFERROR(VLOOKUP(B611,Tableau3[#All],5,FALSE),"Matricule!")</f>
        <v>0</v>
      </c>
      <c r="Q611" s="62">
        <f>IFERROR(SUM(VLOOKUP(B611,Tableau3[#All],6,FALSE),VLOOKUP(B611,Tableau3[#All],8,FALSE)),"Matricule!")</f>
        <v>19</v>
      </c>
      <c r="R611" s="62">
        <f>IFERROR(VLOOKUP(B611,Tableau3[#All],7,FALSE),"Matricule!")</f>
        <v>1</v>
      </c>
      <c r="S611" s="62">
        <f>IFERROR(Tableau242[[#This Row],[Prod. days WK]]-Tableau242[[#This Row],[Prod PXX]],"Matricule")</f>
        <v>0</v>
      </c>
      <c r="T611" s="62">
        <f>IFERROR(Tableau242[[#This Row],[Non prod. days WK]]-Tableau242[[#This Row],[Improd PXX]],"Matricule")</f>
        <v>1</v>
      </c>
      <c r="U611" s="62">
        <f>IFERROR(Tableau242[[#This Row],[Paid leave days WK]]-Tableau242[[#This Row],[Congé PXX]],"Matricule")</f>
        <v>-1</v>
      </c>
      <c r="V611" s="63">
        <f>IFERROR(VLOOKUP($B611,#REF!,4,FALSE),0)</f>
        <v>0</v>
      </c>
      <c r="W61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11" s="63">
        <f>IF(AND(Tableau242[[#This Row],[Paid leave days]]&gt;0,Tableau242[[#This Row],[Prod. days]]&lt;0),MIN(Tableau242[[#This Row],[Paid leave days]],-Tableau242[[#This Row],[Prod. days]]),0)</f>
        <v>0</v>
      </c>
      <c r="Z611" s="63">
        <f>IFERROR(_xlfn.XLOOKUP(Tableau242[[#This Row],[Consultant]],Tableau2[Collaborateur/Nom affiché],Tableau2[Montant imputé],0),0)</f>
        <v>0</v>
      </c>
      <c r="AA611" s="64">
        <f t="shared" si="10"/>
        <v>0</v>
      </c>
      <c r="AB611" s="65"/>
      <c r="AC611" s="66"/>
      <c r="AD611" s="66"/>
      <c r="AE611" s="105"/>
      <c r="AF611" s="90"/>
    </row>
    <row r="612" spans="1:32" ht="29.1" customHeight="1">
      <c r="A612" s="15">
        <f>Tableau242[[#This Row],[Company number]]+0</f>
        <v>15713</v>
      </c>
      <c r="B612" s="60" t="s">
        <v>1339</v>
      </c>
      <c r="C612" s="61" t="s">
        <v>1340</v>
      </c>
      <c r="D612" s="61" t="s">
        <v>53</v>
      </c>
      <c r="E612" s="62" t="str">
        <f>IFERROR(VLOOKUP(Tableau242[[#This Row],[Manager ou CDM concerné]],Parametres!B:C,2,FALSE),"")</f>
        <v>Squad E</v>
      </c>
      <c r="F612" s="62" t="str">
        <f>IF(Tableau242[[#This Row],[Consultant]]=Tableau242[[#This Row],[Manager ou CDM concerné]],"Non",IF(IFERROR(VLOOKUP(Tableau242[[#This Row],[Consultant]],Parametres!B:C,2,FALSE),0)=0,"Non","Oui"))</f>
        <v>Non</v>
      </c>
      <c r="G612" s="62">
        <f>IFERROR(VLOOKUP(B612,Tableau5[#All],4,FALSE),"Matricule!")</f>
        <v>10</v>
      </c>
      <c r="H612" s="62" t="str">
        <f>IFERROR(VLOOKUP(Tableau242[[#This Row],[Company number]],#REF!,6,FALSE),"")</f>
        <v/>
      </c>
      <c r="I612" s="62">
        <f>IFERROR(VLOOKUP(B612,Tableau5[#All],5,FALSE),"Matricule!")</f>
        <v>8.5</v>
      </c>
      <c r="J612" s="62">
        <f>IFERROR(VLOOKUP(B612,Tableau5[#All],6,FALSE),"Matricule!")</f>
        <v>1.5</v>
      </c>
      <c r="K612" s="62">
        <f>IFERROR(VLOOKUP(B612,Tableau5[#All],7,FALSE),"Matricule!")</f>
        <v>0</v>
      </c>
      <c r="L612" s="62" t="e">
        <f>VLOOKUP(Tableau242[[#This Row],[Company number]],#REF!,25,FALSE)</f>
        <v>#REF!</v>
      </c>
      <c r="M612" s="62" t="str">
        <f>IFERROR(VLOOKUP(Tableau242[[#This Row],[Company number]],#REF!,30,FALSE),"")</f>
        <v/>
      </c>
      <c r="N612" s="62" t="str">
        <f>IFERROR(VLOOKUP(Tableau242[[#This Row],[Company number]],#REF!,31,FALSE),"")</f>
        <v/>
      </c>
      <c r="O612" s="62" t="str">
        <f>IFERROR(VLOOKUP(Tableau242[[#This Row],[Company number]],#REF!,32,FALSE),"")</f>
        <v/>
      </c>
      <c r="P612" s="62">
        <f>IFERROR(VLOOKUP(B612,Tableau3[#All],5,FALSE),"Matricule!")</f>
        <v>10</v>
      </c>
      <c r="Q612" s="62">
        <f>IFERROR(SUM(VLOOKUP(B612,Tableau3[#All],6,FALSE),VLOOKUP(B612,Tableau3[#All],8,FALSE)),"Matricule!")</f>
        <v>8.5</v>
      </c>
      <c r="R612" s="62">
        <f>IFERROR(VLOOKUP(B612,Tableau3[#All],7,FALSE),"Matricule!")</f>
        <v>1.5</v>
      </c>
      <c r="S612" s="62">
        <f>IFERROR(Tableau242[[#This Row],[Prod. days WK]]-Tableau242[[#This Row],[Prod PXX]],"Matricule")</f>
        <v>0</v>
      </c>
      <c r="T612" s="62">
        <f>IFERROR(Tableau242[[#This Row],[Non prod. days WK]]-Tableau242[[#This Row],[Improd PXX]],"Matricule")</f>
        <v>0</v>
      </c>
      <c r="U612" s="62">
        <f>IFERROR(Tableau242[[#This Row],[Paid leave days WK]]-Tableau242[[#This Row],[Congé PXX]],"Matricule")</f>
        <v>0</v>
      </c>
      <c r="V612" s="63">
        <f>IFERROR(VLOOKUP($B612,#REF!,4,FALSE),0)</f>
        <v>0</v>
      </c>
      <c r="W61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12" s="63">
        <f>IF(AND(Tableau242[[#This Row],[Paid leave days]]&gt;0,Tableau242[[#This Row],[Prod. days]]&lt;0),MIN(Tableau242[[#This Row],[Paid leave days]],-Tableau242[[#This Row],[Prod. days]]),0)</f>
        <v>0</v>
      </c>
      <c r="Z612" s="63">
        <f>IFERROR(_xlfn.XLOOKUP(Tableau242[[#This Row],[Consultant]],Tableau2[Collaborateur/Nom affiché],Tableau2[Montant imputé],0),0)</f>
        <v>0</v>
      </c>
      <c r="AA612" s="64">
        <f t="shared" si="10"/>
        <v>0</v>
      </c>
      <c r="AB612" s="65"/>
      <c r="AC612" s="66"/>
      <c r="AD612" s="66"/>
      <c r="AE612" s="114"/>
      <c r="AF612" s="90"/>
    </row>
    <row r="613" spans="1:32" ht="14.45" customHeight="1">
      <c r="A613" s="15">
        <f>Tableau242[[#This Row],[Company number]]+0</f>
        <v>16745</v>
      </c>
      <c r="B613" s="60" t="s">
        <v>1341</v>
      </c>
      <c r="C613" s="61" t="s">
        <v>1342</v>
      </c>
      <c r="D613" s="61" t="s">
        <v>53</v>
      </c>
      <c r="E613" s="62" t="str">
        <f>IFERROR(VLOOKUP(Tableau242[[#This Row],[Manager ou CDM concerné]],Parametres!B:C,2,FALSE),"")</f>
        <v>Squad E</v>
      </c>
      <c r="F613" s="62" t="str">
        <f>IF(Tableau242[[#This Row],[Consultant]]=Tableau242[[#This Row],[Manager ou CDM concerné]],"Non",IF(IFERROR(VLOOKUP(Tableau242[[#This Row],[Consultant]],Parametres!B:C,2,FALSE),0)=0,"Non","Oui"))</f>
        <v>Non</v>
      </c>
      <c r="G613" s="62">
        <f>IFERROR(VLOOKUP(B613,Tableau5[#All],4,FALSE),"Matricule!")</f>
        <v>14</v>
      </c>
      <c r="H613" s="62" t="str">
        <f>IFERROR(VLOOKUP(Tableau242[[#This Row],[Company number]],#REF!,6,FALSE),"")</f>
        <v/>
      </c>
      <c r="I613" s="62">
        <f>IFERROR(VLOOKUP(B613,Tableau5[#All],5,FALSE),"Matricule!")</f>
        <v>6</v>
      </c>
      <c r="J613" s="62">
        <f>IFERROR(VLOOKUP(B613,Tableau5[#All],6,FALSE),"Matricule!")</f>
        <v>0</v>
      </c>
      <c r="K613" s="62">
        <f>IFERROR(VLOOKUP(B613,Tableau5[#All],7,FALSE),"Matricule!")</f>
        <v>0</v>
      </c>
      <c r="L613" s="62" t="e">
        <f>VLOOKUP(Tableau242[[#This Row],[Company number]],#REF!,25,FALSE)</f>
        <v>#REF!</v>
      </c>
      <c r="M613" s="62" t="str">
        <f>IFERROR(VLOOKUP(Tableau242[[#This Row],[Company number]],#REF!,30,FALSE),"")</f>
        <v/>
      </c>
      <c r="N613" s="62" t="str">
        <f>IFERROR(VLOOKUP(Tableau242[[#This Row],[Company number]],#REF!,31,FALSE),"")</f>
        <v/>
      </c>
      <c r="O613" s="62" t="str">
        <f>IFERROR(VLOOKUP(Tableau242[[#This Row],[Company number]],#REF!,32,FALSE),"")</f>
        <v/>
      </c>
      <c r="P613" s="62">
        <f>IFERROR(VLOOKUP(B613,Tableau3[#All],5,FALSE),"Matricule!")</f>
        <v>10</v>
      </c>
      <c r="Q613" s="62">
        <f>IFERROR(SUM(VLOOKUP(B613,Tableau3[#All],6,FALSE),VLOOKUP(B613,Tableau3[#All],8,FALSE)),"Matricule!")</f>
        <v>10</v>
      </c>
      <c r="R613" s="62">
        <f>IFERROR(VLOOKUP(B613,Tableau3[#All],7,FALSE),"Matricule!")</f>
        <v>0</v>
      </c>
      <c r="S613" s="62">
        <f>IFERROR(Tableau242[[#This Row],[Prod. days WK]]-Tableau242[[#This Row],[Prod PXX]],"Matricule")</f>
        <v>4</v>
      </c>
      <c r="T613" s="62">
        <f>IFERROR(Tableau242[[#This Row],[Non prod. days WK]]-Tableau242[[#This Row],[Improd PXX]],"Matricule")</f>
        <v>-4</v>
      </c>
      <c r="U613" s="62">
        <f>IFERROR(Tableau242[[#This Row],[Paid leave days WK]]-Tableau242[[#This Row],[Congé PXX]],"Matricule")</f>
        <v>0</v>
      </c>
      <c r="V613" s="63">
        <f>IFERROR(VLOOKUP($B613,#REF!,4,FALSE),0)</f>
        <v>0</v>
      </c>
      <c r="W61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13" s="63">
        <f>IF(AND(Tableau242[[#This Row],[Paid leave days]]&gt;0,Tableau242[[#This Row],[Prod. days]]&lt;0),MIN(Tableau242[[#This Row],[Paid leave days]],-Tableau242[[#This Row],[Prod. days]]),0)</f>
        <v>0</v>
      </c>
      <c r="Z613" s="63">
        <f>IFERROR(_xlfn.XLOOKUP(Tableau242[[#This Row],[Consultant]],Tableau2[Collaborateur/Nom affiché],Tableau2[Montant imputé],0),0)</f>
        <v>0</v>
      </c>
      <c r="AA613" s="64">
        <f t="shared" si="10"/>
        <v>4</v>
      </c>
      <c r="AB613" s="65"/>
      <c r="AC613" s="66"/>
      <c r="AD613" s="66"/>
      <c r="AE613" s="105"/>
      <c r="AF613" s="90"/>
    </row>
    <row r="614" spans="1:32" ht="14.45" customHeight="1">
      <c r="A614" s="15">
        <f>Tableau242[[#This Row],[Company number]]+0</f>
        <v>16164</v>
      </c>
      <c r="B614" s="60" t="s">
        <v>1343</v>
      </c>
      <c r="C614" s="61" t="s">
        <v>1344</v>
      </c>
      <c r="D614" s="61" t="s">
        <v>53</v>
      </c>
      <c r="E614" s="62" t="str">
        <f>IFERROR(VLOOKUP(Tableau242[[#This Row],[Manager ou CDM concerné]],Parametres!B:C,2,FALSE),"")</f>
        <v>Squad E</v>
      </c>
      <c r="F614" s="62" t="str">
        <f>IF(Tableau242[[#This Row],[Consultant]]=Tableau242[[#This Row],[Manager ou CDM concerné]],"Non",IF(IFERROR(VLOOKUP(Tableau242[[#This Row],[Consultant]],Parametres!B:C,2,FALSE),0)=0,"Non","Oui"))</f>
        <v>Non</v>
      </c>
      <c r="G614" s="62">
        <f>IFERROR(VLOOKUP(B614,Tableau5[#All],4,FALSE),"Matricule!")</f>
        <v>20</v>
      </c>
      <c r="H614" s="62" t="str">
        <f>IFERROR(VLOOKUP(Tableau242[[#This Row],[Company number]],#REF!,6,FALSE),"")</f>
        <v/>
      </c>
      <c r="I614" s="62">
        <f>IFERROR(VLOOKUP(B614,Tableau5[#All],5,FALSE),"Matricule!")</f>
        <v>0</v>
      </c>
      <c r="J614" s="62">
        <f>IFERROR(VLOOKUP(B614,Tableau5[#All],6,FALSE),"Matricule!")</f>
        <v>0</v>
      </c>
      <c r="K614" s="62">
        <f>IFERROR(VLOOKUP(B614,Tableau5[#All],7,FALSE),"Matricule!")</f>
        <v>0</v>
      </c>
      <c r="L614" s="62" t="e">
        <f>VLOOKUP(Tableau242[[#This Row],[Company number]],#REF!,25,FALSE)</f>
        <v>#REF!</v>
      </c>
      <c r="M614" s="62" t="str">
        <f>IFERROR(VLOOKUP(Tableau242[[#This Row],[Company number]],#REF!,30,FALSE),"")</f>
        <v/>
      </c>
      <c r="N614" s="62" t="str">
        <f>IFERROR(VLOOKUP(Tableau242[[#This Row],[Company number]],#REF!,31,FALSE),"")</f>
        <v/>
      </c>
      <c r="O614" s="62" t="str">
        <f>IFERROR(VLOOKUP(Tableau242[[#This Row],[Company number]],#REF!,32,FALSE),"")</f>
        <v/>
      </c>
      <c r="P614" s="62">
        <f>IFERROR(VLOOKUP(B614,Tableau3[#All],5,FALSE),"Matricule!")</f>
        <v>20</v>
      </c>
      <c r="Q614" s="62">
        <f>IFERROR(SUM(VLOOKUP(B614,Tableau3[#All],6,FALSE),VLOOKUP(B614,Tableau3[#All],8,FALSE)),"Matricule!")</f>
        <v>0</v>
      </c>
      <c r="R614" s="62">
        <f>IFERROR(VLOOKUP(B614,Tableau3[#All],7,FALSE),"Matricule!")</f>
        <v>0</v>
      </c>
      <c r="S614" s="62">
        <f>IFERROR(Tableau242[[#This Row],[Prod. days WK]]-Tableau242[[#This Row],[Prod PXX]],"Matricule")</f>
        <v>0</v>
      </c>
      <c r="T614" s="62">
        <f>IFERROR(Tableau242[[#This Row],[Non prod. days WK]]-Tableau242[[#This Row],[Improd PXX]],"Matricule")</f>
        <v>0</v>
      </c>
      <c r="U614" s="62">
        <f>IFERROR(Tableau242[[#This Row],[Paid leave days WK]]-Tableau242[[#This Row],[Congé PXX]],"Matricule")</f>
        <v>0</v>
      </c>
      <c r="V614" s="63">
        <f>IFERROR(VLOOKUP($B614,#REF!,4,FALSE),0)</f>
        <v>0</v>
      </c>
      <c r="W61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14" s="63">
        <f>IF(AND(Tableau242[[#This Row],[Paid leave days]]&gt;0,Tableau242[[#This Row],[Prod. days]]&lt;0),MIN(Tableau242[[#This Row],[Paid leave days]],-Tableau242[[#This Row],[Prod. days]]),0)</f>
        <v>0</v>
      </c>
      <c r="Z614" s="63">
        <f>IFERROR(_xlfn.XLOOKUP(Tableau242[[#This Row],[Consultant]],Tableau2[Collaborateur/Nom affiché],Tableau2[Montant imputé],0),0)</f>
        <v>0</v>
      </c>
      <c r="AA614" s="64">
        <f t="shared" si="10"/>
        <v>0</v>
      </c>
      <c r="AB614" s="65"/>
      <c r="AC614" s="66"/>
      <c r="AD614" s="66"/>
      <c r="AE614" s="105"/>
      <c r="AF614" s="90"/>
    </row>
    <row r="615" spans="1:32" ht="14.45" customHeight="1">
      <c r="A615" s="15">
        <f>Tableau242[[#This Row],[Company number]]+0</f>
        <v>15506</v>
      </c>
      <c r="B615" s="60" t="s">
        <v>1345</v>
      </c>
      <c r="C615" s="61" t="s">
        <v>1346</v>
      </c>
      <c r="D615" s="61" t="s">
        <v>53</v>
      </c>
      <c r="E615" s="62" t="str">
        <f>IFERROR(VLOOKUP(Tableau242[[#This Row],[Manager ou CDM concerné]],Parametres!B:C,2,FALSE),"")</f>
        <v>Squad E</v>
      </c>
      <c r="F615" s="62" t="str">
        <f>IF(Tableau242[[#This Row],[Consultant]]=Tableau242[[#This Row],[Manager ou CDM concerné]],"Non",IF(IFERROR(VLOOKUP(Tableau242[[#This Row],[Consultant]],Parametres!B:C,2,FALSE),0)=0,"Non","Oui"))</f>
        <v>Non</v>
      </c>
      <c r="G615" s="62">
        <f>IFERROR(VLOOKUP(B615,Tableau5[#All],4,FALSE),"Matricule!")</f>
        <v>20</v>
      </c>
      <c r="H615" s="62" t="str">
        <f>IFERROR(VLOOKUP(Tableau242[[#This Row],[Company number]],#REF!,6,FALSE),"")</f>
        <v/>
      </c>
      <c r="I615" s="62">
        <f>IFERROR(VLOOKUP(B615,Tableau5[#All],5,FALSE),"Matricule!")</f>
        <v>0</v>
      </c>
      <c r="J615" s="62">
        <f>IFERROR(VLOOKUP(B615,Tableau5[#All],6,FALSE),"Matricule!")</f>
        <v>0</v>
      </c>
      <c r="K615" s="62">
        <f>IFERROR(VLOOKUP(B615,Tableau5[#All],7,FALSE),"Matricule!")</f>
        <v>0</v>
      </c>
      <c r="L615" s="62" t="e">
        <f>VLOOKUP(Tableau242[[#This Row],[Company number]],#REF!,25,FALSE)</f>
        <v>#REF!</v>
      </c>
      <c r="M615" s="62" t="str">
        <f>IFERROR(VLOOKUP(Tableau242[[#This Row],[Company number]],#REF!,30,FALSE),"")</f>
        <v/>
      </c>
      <c r="N615" s="62" t="str">
        <f>IFERROR(VLOOKUP(Tableau242[[#This Row],[Company number]],#REF!,31,FALSE),"")</f>
        <v/>
      </c>
      <c r="O615" s="62" t="str">
        <f>IFERROR(VLOOKUP(Tableau242[[#This Row],[Company number]],#REF!,32,FALSE),"")</f>
        <v/>
      </c>
      <c r="P615" s="68">
        <f>IFERROR(VLOOKUP(B615,Tableau3[#All],5,FALSE),"Matricule!")</f>
        <v>20</v>
      </c>
      <c r="Q615" s="68">
        <f>IFERROR(SUM(VLOOKUP(B615,Tableau3[#All],6,FALSE),VLOOKUP(B615,Tableau3[#All],8,FALSE)),"Matricule!")</f>
        <v>0</v>
      </c>
      <c r="R615" s="68">
        <f>IFERROR(VLOOKUP(B615,Tableau3[#All],7,FALSE),"Matricule!")</f>
        <v>0</v>
      </c>
      <c r="S615" s="62">
        <f>IFERROR(Tableau242[[#This Row],[Prod. days WK]]-Tableau242[[#This Row],[Prod PXX]],"Matricule")</f>
        <v>0</v>
      </c>
      <c r="T615" s="62">
        <f>IFERROR(Tableau242[[#This Row],[Non prod. days WK]]-Tableau242[[#This Row],[Improd PXX]],"Matricule")</f>
        <v>0</v>
      </c>
      <c r="U615" s="62">
        <f>IFERROR(Tableau242[[#This Row],[Paid leave days WK]]-Tableau242[[#This Row],[Congé PXX]],"Matricule")</f>
        <v>0</v>
      </c>
      <c r="V615" s="63">
        <f>IFERROR(VLOOKUP($B615,#REF!,4,FALSE),0)</f>
        <v>0</v>
      </c>
      <c r="W61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15" s="63">
        <f>IF(AND(Tableau242[[#This Row],[Paid leave days]]&gt;0,Tableau242[[#This Row],[Prod. days]]&lt;0),MIN(Tableau242[[#This Row],[Paid leave days]],-Tableau242[[#This Row],[Prod. days]]),0)</f>
        <v>0</v>
      </c>
      <c r="Z615" s="63">
        <f>IFERROR(_xlfn.XLOOKUP(Tableau242[[#This Row],[Consultant]],Tableau2[Collaborateur/Nom affiché],Tableau2[Montant imputé],0),0)</f>
        <v>0</v>
      </c>
      <c r="AA615" s="64">
        <f t="shared" si="10"/>
        <v>0</v>
      </c>
      <c r="AB615" s="65"/>
      <c r="AC615" s="66"/>
      <c r="AD615" s="66"/>
      <c r="AE615" s="105"/>
      <c r="AF615" s="90"/>
    </row>
    <row r="616" spans="1:32" ht="14.45" customHeight="1">
      <c r="A616" s="15">
        <f>Tableau242[[#This Row],[Company number]]+0</f>
        <v>16107</v>
      </c>
      <c r="B616" s="60" t="s">
        <v>1347</v>
      </c>
      <c r="C616" s="61" t="s">
        <v>1348</v>
      </c>
      <c r="D616" s="61" t="s">
        <v>53</v>
      </c>
      <c r="E616" s="62" t="str">
        <f>IFERROR(VLOOKUP(Tableau242[[#This Row],[Manager ou CDM concerné]],Parametres!B:C,2,FALSE),"")</f>
        <v>Squad E</v>
      </c>
      <c r="F616" s="62" t="str">
        <f>IF(Tableau242[[#This Row],[Consultant]]=Tableau242[[#This Row],[Manager ou CDM concerné]],"Non",IF(IFERROR(VLOOKUP(Tableau242[[#This Row],[Consultant]],Parametres!B:C,2,FALSE),0)=0,"Non","Oui"))</f>
        <v>Non</v>
      </c>
      <c r="G616" s="62">
        <f>IFERROR(VLOOKUP(B616,Tableau5[#All],4,FALSE),"Matricule!")</f>
        <v>19</v>
      </c>
      <c r="H616" s="62" t="str">
        <f>IFERROR(VLOOKUP(Tableau242[[#This Row],[Company number]],#REF!,6,FALSE),"")</f>
        <v/>
      </c>
      <c r="I616" s="62">
        <f>IFERROR(VLOOKUP(B616,Tableau5[#All],5,FALSE),"Matricule!")</f>
        <v>0</v>
      </c>
      <c r="J616" s="62">
        <f>IFERROR(VLOOKUP(B616,Tableau5[#All],6,FALSE),"Matricule!")</f>
        <v>1</v>
      </c>
      <c r="K616" s="62">
        <f>IFERROR(VLOOKUP(B616,Tableau5[#All],7,FALSE),"Matricule!")</f>
        <v>0</v>
      </c>
      <c r="L616" s="62" t="e">
        <f>VLOOKUP(Tableau242[[#This Row],[Company number]],#REF!,25,FALSE)</f>
        <v>#REF!</v>
      </c>
      <c r="M616" s="62" t="str">
        <f>IFERROR(VLOOKUP(Tableau242[[#This Row],[Company number]],#REF!,30,FALSE),"")</f>
        <v/>
      </c>
      <c r="N616" s="62" t="str">
        <f>IFERROR(VLOOKUP(Tableau242[[#This Row],[Company number]],#REF!,31,FALSE),"")</f>
        <v/>
      </c>
      <c r="O616" s="62" t="str">
        <f>IFERROR(VLOOKUP(Tableau242[[#This Row],[Company number]],#REF!,32,FALSE),"")</f>
        <v/>
      </c>
      <c r="P616" s="68">
        <f>IFERROR(VLOOKUP(B616,Tableau3[#All],5,FALSE),"Matricule!")</f>
        <v>19</v>
      </c>
      <c r="Q616" s="68">
        <f>IFERROR(SUM(VLOOKUP(B616,Tableau3[#All],6,FALSE),VLOOKUP(B616,Tableau3[#All],8,FALSE)),"Matricule!")</f>
        <v>0</v>
      </c>
      <c r="R616" s="68">
        <f>IFERROR(VLOOKUP(B616,Tableau3[#All],7,FALSE),"Matricule!")</f>
        <v>1</v>
      </c>
      <c r="S616" s="62">
        <f>IFERROR(Tableau242[[#This Row],[Prod. days WK]]-Tableau242[[#This Row],[Prod PXX]],"Matricule")</f>
        <v>0</v>
      </c>
      <c r="T616" s="62">
        <f>IFERROR(Tableau242[[#This Row],[Non prod. days WK]]-Tableau242[[#This Row],[Improd PXX]],"Matricule")</f>
        <v>0</v>
      </c>
      <c r="U616" s="62">
        <f>IFERROR(Tableau242[[#This Row],[Paid leave days WK]]-Tableau242[[#This Row],[Congé PXX]],"Matricule")</f>
        <v>0</v>
      </c>
      <c r="V616" s="63">
        <f>IFERROR(VLOOKUP($B616,#REF!,4,FALSE),0)</f>
        <v>0</v>
      </c>
      <c r="W61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16" s="63">
        <f>IF(AND(Tableau242[[#This Row],[Paid leave days]]&gt;0,Tableau242[[#This Row],[Prod. days]]&lt;0),MIN(Tableau242[[#This Row],[Paid leave days]],-Tableau242[[#This Row],[Prod. days]]),0)</f>
        <v>0</v>
      </c>
      <c r="Z616" s="63">
        <f>IFERROR(_xlfn.XLOOKUP(Tableau242[[#This Row],[Consultant]],Tableau2[Collaborateur/Nom affiché],Tableau2[Montant imputé],0),0)</f>
        <v>0</v>
      </c>
      <c r="AA616" s="64">
        <f t="shared" si="10"/>
        <v>0</v>
      </c>
      <c r="AB616" s="65"/>
      <c r="AC616" s="66"/>
      <c r="AD616" s="66"/>
      <c r="AE616" s="114"/>
      <c r="AF616" s="90"/>
    </row>
    <row r="617" spans="1:32" ht="14.45" customHeight="1">
      <c r="A617" s="15">
        <f>Tableau242[[#This Row],[Company number]]+0</f>
        <v>13379</v>
      </c>
      <c r="B617" s="60" t="s">
        <v>1349</v>
      </c>
      <c r="C617" s="61" t="s">
        <v>1350</v>
      </c>
      <c r="D617" s="61" t="s">
        <v>53</v>
      </c>
      <c r="E617" s="62" t="str">
        <f>IFERROR(VLOOKUP(Tableau242[[#This Row],[Manager ou CDM concerné]],Parametres!B:C,2,FALSE),"")</f>
        <v>Squad E</v>
      </c>
      <c r="F617" s="62" t="str">
        <f>IF(Tableau242[[#This Row],[Consultant]]=Tableau242[[#This Row],[Manager ou CDM concerné]],"Non",IF(IFERROR(VLOOKUP(Tableau242[[#This Row],[Consultant]],Parametres!B:C,2,FALSE),0)=0,"Non","Oui"))</f>
        <v>Non</v>
      </c>
      <c r="G617" s="62">
        <f>IFERROR(VLOOKUP(B617,Tableau5[#All],4,FALSE),"Matricule!")</f>
        <v>14</v>
      </c>
      <c r="H617" s="62" t="str">
        <f>IFERROR(VLOOKUP(Tableau242[[#This Row],[Company number]],#REF!,6,FALSE),"")</f>
        <v/>
      </c>
      <c r="I617" s="62">
        <f>IFERROR(VLOOKUP(B617,Tableau5[#All],5,FALSE),"Matricule!")</f>
        <v>2</v>
      </c>
      <c r="J617" s="62">
        <f>IFERROR(VLOOKUP(B617,Tableau5[#All],6,FALSE),"Matricule!")</f>
        <v>4</v>
      </c>
      <c r="K617" s="62">
        <f>IFERROR(VLOOKUP(B617,Tableau5[#All],7,FALSE),"Matricule!")</f>
        <v>0</v>
      </c>
      <c r="L617" s="62" t="e">
        <f>VLOOKUP(Tableau242[[#This Row],[Company number]],#REF!,25,FALSE)</f>
        <v>#REF!</v>
      </c>
      <c r="M617" s="62" t="str">
        <f>IFERROR(VLOOKUP(Tableau242[[#This Row],[Company number]],#REF!,30,FALSE),"")</f>
        <v/>
      </c>
      <c r="N617" s="62" t="str">
        <f>IFERROR(VLOOKUP(Tableau242[[#This Row],[Company number]],#REF!,31,FALSE),"")</f>
        <v/>
      </c>
      <c r="O617" s="62" t="str">
        <f>IFERROR(VLOOKUP(Tableau242[[#This Row],[Company number]],#REF!,32,FALSE),"")</f>
        <v/>
      </c>
      <c r="P617" s="62">
        <f>IFERROR(VLOOKUP(B617,Tableau3[#All],5,FALSE),"Matricule!")</f>
        <v>16</v>
      </c>
      <c r="Q617" s="62">
        <f>IFERROR(SUM(VLOOKUP(B617,Tableau3[#All],6,FALSE),VLOOKUP(B617,Tableau3[#All],8,FALSE)),"Matricule!")</f>
        <v>0</v>
      </c>
      <c r="R617" s="62">
        <f>IFERROR(VLOOKUP(B617,Tableau3[#All],7,FALSE),"Matricule!")</f>
        <v>4</v>
      </c>
      <c r="S617" s="62">
        <f>IFERROR(Tableau242[[#This Row],[Prod. days WK]]-Tableau242[[#This Row],[Prod PXX]],"Matricule")</f>
        <v>-2</v>
      </c>
      <c r="T617" s="62">
        <f>IFERROR(Tableau242[[#This Row],[Non prod. days WK]]-Tableau242[[#This Row],[Improd PXX]],"Matricule")</f>
        <v>2</v>
      </c>
      <c r="U617" s="62">
        <f>IFERROR(Tableau242[[#This Row],[Paid leave days WK]]-Tableau242[[#This Row],[Congé PXX]],"Matricule")</f>
        <v>0</v>
      </c>
      <c r="V617" s="63">
        <f>IFERROR(VLOOKUP($B617,#REF!,4,FALSE),0)</f>
        <v>0</v>
      </c>
      <c r="W61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7" s="63" t="s">
        <v>235</v>
      </c>
      <c r="Y617" s="63">
        <f>IF(AND(Tableau242[[#This Row],[Paid leave days]]&gt;0,Tableau242[[#This Row],[Prod. days]]&lt;0),MIN(Tableau242[[#This Row],[Paid leave days]],-Tableau242[[#This Row],[Prod. days]]),0)</f>
        <v>0</v>
      </c>
      <c r="Z617" s="63">
        <f>IFERROR(_xlfn.XLOOKUP(Tableau242[[#This Row],[Consultant]],Tableau2[Collaborateur/Nom affiché],Tableau2[Montant imputé],0),0)</f>
        <v>0</v>
      </c>
      <c r="AA617" s="64">
        <f t="shared" si="10"/>
        <v>-2</v>
      </c>
      <c r="AB617" s="65"/>
      <c r="AC617" s="66"/>
      <c r="AD617" s="66"/>
      <c r="AE617" s="105"/>
      <c r="AF617" s="90"/>
    </row>
    <row r="618" spans="1:32" ht="14.45" customHeight="1">
      <c r="A618" s="15">
        <f>Tableau242[[#This Row],[Company number]]+0</f>
        <v>21373</v>
      </c>
      <c r="B618" s="60" t="s">
        <v>1351</v>
      </c>
      <c r="C618" s="61" t="s">
        <v>1352</v>
      </c>
      <c r="D618" s="61" t="s">
        <v>5</v>
      </c>
      <c r="E618" s="62" t="str">
        <f>IFERROR(VLOOKUP(Tableau242[[#This Row],[Manager ou CDM concerné]],Parametres!B:C,2,FALSE),"")</f>
        <v>Squad C</v>
      </c>
      <c r="F618" s="62" t="str">
        <f>IF(Tableau242[[#This Row],[Consultant]]=Tableau242[[#This Row],[Manager ou CDM concerné]],"Non",IF(IFERROR(VLOOKUP(Tableau242[[#This Row],[Consultant]],Parametres!B:C,2,FALSE),0)=0,"Non","Oui"))</f>
        <v>Non</v>
      </c>
      <c r="G618" s="62">
        <f>IFERROR(VLOOKUP(B618,Tableau5[#All],4,FALSE),"Matricule!")</f>
        <v>0</v>
      </c>
      <c r="H618" s="62" t="str">
        <f>IFERROR(VLOOKUP(Tableau242[[#This Row],[Company number]],#REF!,6,FALSE),"")</f>
        <v/>
      </c>
      <c r="I618" s="62">
        <f>IFERROR(VLOOKUP(B618,Tableau5[#All],5,FALSE),"Matricule!")</f>
        <v>12</v>
      </c>
      <c r="J618" s="62">
        <f>IFERROR(VLOOKUP(B618,Tableau5[#All],6,FALSE),"Matricule!")</f>
        <v>8</v>
      </c>
      <c r="K618" s="62">
        <f>IFERROR(VLOOKUP(B618,Tableau5[#All],7,FALSE),"Matricule!")</f>
        <v>0</v>
      </c>
      <c r="L618" s="62" t="e">
        <f>VLOOKUP(Tableau242[[#This Row],[Company number]],#REF!,25,FALSE)</f>
        <v>#REF!</v>
      </c>
      <c r="M618" s="62" t="str">
        <f>IFERROR(VLOOKUP(Tableau242[[#This Row],[Company number]],#REF!,30,FALSE),"")</f>
        <v/>
      </c>
      <c r="N618" s="62" t="str">
        <f>IFERROR(VLOOKUP(Tableau242[[#This Row],[Company number]],#REF!,31,FALSE),"")</f>
        <v/>
      </c>
      <c r="O618" s="62" t="str">
        <f>IFERROR(VLOOKUP(Tableau242[[#This Row],[Company number]],#REF!,32,FALSE),"")</f>
        <v/>
      </c>
      <c r="P618" s="62">
        <f>IFERROR(VLOOKUP(B618,Tableau3[#All],5,FALSE),"Matricule!")</f>
        <v>0</v>
      </c>
      <c r="Q618" s="62">
        <f>IFERROR(SUM(VLOOKUP(B618,Tableau3[#All],6,FALSE),VLOOKUP(B618,Tableau3[#All],8,FALSE)),"Matricule!")</f>
        <v>20</v>
      </c>
      <c r="R618" s="62">
        <f>IFERROR(VLOOKUP(B618,Tableau3[#All],7,FALSE),"Matricule!")</f>
        <v>0</v>
      </c>
      <c r="S618" s="62">
        <f>IFERROR(Tableau242[[#This Row],[Prod. days WK]]-Tableau242[[#This Row],[Prod PXX]],"Matricule")</f>
        <v>0</v>
      </c>
      <c r="T618" s="62">
        <f>IFERROR(Tableau242[[#This Row],[Non prod. days WK]]-Tableau242[[#This Row],[Improd PXX]],"Matricule")</f>
        <v>-8</v>
      </c>
      <c r="U618" s="62">
        <f>IFERROR(Tableau242[[#This Row],[Paid leave days WK]]-Tableau242[[#This Row],[Congé PXX]],"Matricule")</f>
        <v>8</v>
      </c>
      <c r="V618" s="63">
        <f>IFERROR(VLOOKUP($B618,#REF!,4,FALSE),0)</f>
        <v>0</v>
      </c>
      <c r="W61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18" s="63">
        <f>IF(AND(Tableau242[[#This Row],[Paid leave days]]&gt;0,Tableau242[[#This Row],[Prod. days]]&lt;0),MIN(Tableau242[[#This Row],[Paid leave days]],-Tableau242[[#This Row],[Prod. days]]),0)</f>
        <v>0</v>
      </c>
      <c r="Z618" s="63">
        <f>IFERROR(_xlfn.XLOOKUP(Tableau242[[#This Row],[Consultant]],Tableau2[Collaborateur/Nom affiché],Tableau2[Montant imputé],0),0)</f>
        <v>0</v>
      </c>
      <c r="AA618" s="64">
        <f t="shared" si="10"/>
        <v>0</v>
      </c>
      <c r="AB618" s="65"/>
      <c r="AC618" s="66"/>
      <c r="AD618" s="66"/>
      <c r="AE618" s="105"/>
      <c r="AF618" s="90"/>
    </row>
    <row r="619" spans="1:32" ht="14.45" customHeight="1">
      <c r="A619" s="15">
        <f>Tableau242[[#This Row],[Company number]]+0</f>
        <v>14427</v>
      </c>
      <c r="B619" s="60" t="s">
        <v>1353</v>
      </c>
      <c r="C619" s="61" t="s">
        <v>1354</v>
      </c>
      <c r="D619" s="61" t="s">
        <v>53</v>
      </c>
      <c r="E619" s="62" t="str">
        <f>IFERROR(VLOOKUP(Tableau242[[#This Row],[Manager ou CDM concerné]],Parametres!B:C,2,FALSE),"")</f>
        <v>Squad E</v>
      </c>
      <c r="F619" s="62" t="str">
        <f>IF(Tableau242[[#This Row],[Consultant]]=Tableau242[[#This Row],[Manager ou CDM concerné]],"Non",IF(IFERROR(VLOOKUP(Tableau242[[#This Row],[Consultant]],Parametres!B:C,2,FALSE),0)=0,"Non","Oui"))</f>
        <v>Non</v>
      </c>
      <c r="G619" s="62">
        <f>IFERROR(VLOOKUP(B619,Tableau5[#All],4,FALSE),"Matricule!")</f>
        <v>19.5</v>
      </c>
      <c r="H619" s="62" t="str">
        <f>IFERROR(VLOOKUP(Tableau242[[#This Row],[Company number]],#REF!,6,FALSE),"")</f>
        <v/>
      </c>
      <c r="I619" s="62">
        <f>IFERROR(VLOOKUP(B619,Tableau5[#All],5,FALSE),"Matricule!")</f>
        <v>0</v>
      </c>
      <c r="J619" s="62">
        <f>IFERROR(VLOOKUP(B619,Tableau5[#All],6,FALSE),"Matricule!")</f>
        <v>0.5</v>
      </c>
      <c r="K619" s="62">
        <f>IFERROR(VLOOKUP(B619,Tableau5[#All],7,FALSE),"Matricule!")</f>
        <v>0</v>
      </c>
      <c r="L619" s="62" t="e">
        <f>VLOOKUP(Tableau242[[#This Row],[Company number]],#REF!,25,FALSE)</f>
        <v>#REF!</v>
      </c>
      <c r="M619" s="62" t="str">
        <f>IFERROR(VLOOKUP(Tableau242[[#This Row],[Company number]],#REF!,30,FALSE),"")</f>
        <v/>
      </c>
      <c r="N619" s="62" t="str">
        <f>IFERROR(VLOOKUP(Tableau242[[#This Row],[Company number]],#REF!,31,FALSE),"")</f>
        <v/>
      </c>
      <c r="O619" s="62" t="str">
        <f>IFERROR(VLOOKUP(Tableau242[[#This Row],[Company number]],#REF!,32,FALSE),"")</f>
        <v/>
      </c>
      <c r="P619" s="62">
        <f>IFERROR(VLOOKUP(B619,Tableau3[#All],5,FALSE),"Matricule!")</f>
        <v>19.5</v>
      </c>
      <c r="Q619" s="62">
        <f>IFERROR(SUM(VLOOKUP(B619,Tableau3[#All],6,FALSE),VLOOKUP(B619,Tableau3[#All],8,FALSE)),"Matricule!")</f>
        <v>0</v>
      </c>
      <c r="R619" s="62">
        <f>IFERROR(VLOOKUP(B619,Tableau3[#All],7,FALSE),"Matricule!")</f>
        <v>0.5</v>
      </c>
      <c r="S619" s="62">
        <f>IFERROR(Tableau242[[#This Row],[Prod. days WK]]-Tableau242[[#This Row],[Prod PXX]],"Matricule")</f>
        <v>0</v>
      </c>
      <c r="T619" s="62">
        <f>IFERROR(Tableau242[[#This Row],[Non prod. days WK]]-Tableau242[[#This Row],[Improd PXX]],"Matricule")</f>
        <v>0</v>
      </c>
      <c r="U619" s="62">
        <f>IFERROR(Tableau242[[#This Row],[Paid leave days WK]]-Tableau242[[#This Row],[Congé PXX]],"Matricule")</f>
        <v>0</v>
      </c>
      <c r="V619" s="63">
        <f>IFERROR(VLOOKUP($B619,#REF!,4,FALSE),0)</f>
        <v>0</v>
      </c>
      <c r="W61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1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19" s="63">
        <f>IF(AND(Tableau242[[#This Row],[Paid leave days]]&gt;0,Tableau242[[#This Row],[Prod. days]]&lt;0),MIN(Tableau242[[#This Row],[Paid leave days]],-Tableau242[[#This Row],[Prod. days]]),0)</f>
        <v>0</v>
      </c>
      <c r="Z619" s="63">
        <f>IFERROR(_xlfn.XLOOKUP(Tableau242[[#This Row],[Consultant]],Tableau2[Collaborateur/Nom affiché],Tableau2[Montant imputé],0),0)</f>
        <v>0</v>
      </c>
      <c r="AA619" s="64">
        <f t="shared" si="10"/>
        <v>0</v>
      </c>
      <c r="AB619" s="65"/>
      <c r="AC619" s="67"/>
      <c r="AD619" s="67"/>
      <c r="AE619" s="106"/>
      <c r="AF619" s="92"/>
    </row>
    <row r="620" spans="1:32" ht="14.45" customHeight="1">
      <c r="A620" s="15">
        <f>Tableau242[[#This Row],[Company number]]+0</f>
        <v>21477</v>
      </c>
      <c r="B620" s="60" t="s">
        <v>1355</v>
      </c>
      <c r="C620" s="61" t="s">
        <v>1356</v>
      </c>
      <c r="D620" s="61" t="s">
        <v>77</v>
      </c>
      <c r="E620" s="62" t="str">
        <f>IFERROR(VLOOKUP(Tableau242[[#This Row],[Manager ou CDM concerné]],Parametres!B:C,2,FALSE),"")</f>
        <v>Squad A</v>
      </c>
      <c r="F620" s="62" t="str">
        <f>IF(Tableau242[[#This Row],[Consultant]]=Tableau242[[#This Row],[Manager ou CDM concerné]],"Non",IF(IFERROR(VLOOKUP(Tableau242[[#This Row],[Consultant]],Parametres!B:C,2,FALSE),0)=0,"Non","Oui"))</f>
        <v>Non</v>
      </c>
      <c r="G620" s="62">
        <f>IFERROR(VLOOKUP(B620,Tableau5[#All],4,FALSE),"Matricule!")</f>
        <v>4</v>
      </c>
      <c r="H620" s="62" t="str">
        <f>IFERROR(VLOOKUP(Tableau242[[#This Row],[Company number]],#REF!,6,FALSE),"")</f>
        <v/>
      </c>
      <c r="I620" s="62">
        <f>IFERROR(VLOOKUP(B620,Tableau5[#All],5,FALSE),"Matricule!")</f>
        <v>14.5</v>
      </c>
      <c r="J620" s="62">
        <f>IFERROR(VLOOKUP(B620,Tableau5[#All],6,FALSE),"Matricule!")</f>
        <v>1.5</v>
      </c>
      <c r="K620" s="62">
        <f>IFERROR(VLOOKUP(B620,Tableau5[#All],7,FALSE),"Matricule!")</f>
        <v>0</v>
      </c>
      <c r="L620" s="62" t="e">
        <f>VLOOKUP(Tableau242[[#This Row],[Company number]],#REF!,25,FALSE)</f>
        <v>#REF!</v>
      </c>
      <c r="M620" s="62" t="str">
        <f>IFERROR(VLOOKUP(Tableau242[[#This Row],[Company number]],#REF!,30,FALSE),"")</f>
        <v/>
      </c>
      <c r="N620" s="62" t="str">
        <f>IFERROR(VLOOKUP(Tableau242[[#This Row],[Company number]],#REF!,31,FALSE),"")</f>
        <v/>
      </c>
      <c r="O620" s="62" t="str">
        <f>IFERROR(VLOOKUP(Tableau242[[#This Row],[Company number]],#REF!,32,FALSE),"")</f>
        <v/>
      </c>
      <c r="P620" s="62">
        <f>IFERROR(VLOOKUP(B620,Tableau3[#All],5,FALSE),"Matricule!")</f>
        <v>4</v>
      </c>
      <c r="Q620" s="62">
        <f>IFERROR(SUM(VLOOKUP(B620,Tableau3[#All],6,FALSE),VLOOKUP(B620,Tableau3[#All],8,FALSE)),"Matricule!")</f>
        <v>15</v>
      </c>
      <c r="R620" s="62">
        <f>IFERROR(VLOOKUP(B620,Tableau3[#All],7,FALSE),"Matricule!")</f>
        <v>1</v>
      </c>
      <c r="S620" s="62">
        <f>IFERROR(Tableau242[[#This Row],[Prod. days WK]]-Tableau242[[#This Row],[Prod PXX]],"Matricule")</f>
        <v>0</v>
      </c>
      <c r="T620" s="62">
        <f>IFERROR(Tableau242[[#This Row],[Non prod. days WK]]-Tableau242[[#This Row],[Improd PXX]],"Matricule")</f>
        <v>-0.5</v>
      </c>
      <c r="U620" s="62">
        <f>IFERROR(Tableau242[[#This Row],[Paid leave days WK]]-Tableau242[[#This Row],[Congé PXX]],"Matricule")</f>
        <v>0.5</v>
      </c>
      <c r="V620" s="63">
        <f>IFERROR(VLOOKUP($B620,#REF!,4,FALSE),0)</f>
        <v>0</v>
      </c>
      <c r="W62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20" s="63">
        <f>IF(AND(Tableau242[[#This Row],[Paid leave days]]&gt;0,Tableau242[[#This Row],[Prod. days]]&lt;0),MIN(Tableau242[[#This Row],[Paid leave days]],-Tableau242[[#This Row],[Prod. days]]),0)</f>
        <v>0</v>
      </c>
      <c r="Z620" s="63">
        <f>IFERROR(_xlfn.XLOOKUP(Tableau242[[#This Row],[Consultant]],Tableau2[Collaborateur/Nom affiché],Tableau2[Montant imputé],0),0)</f>
        <v>0</v>
      </c>
      <c r="AA620" s="64">
        <f t="shared" si="10"/>
        <v>0</v>
      </c>
      <c r="AB620" s="65"/>
      <c r="AC620" s="66"/>
      <c r="AD620" s="66"/>
      <c r="AE620" s="105"/>
      <c r="AF620" s="90"/>
    </row>
    <row r="621" spans="1:32" ht="29.1">
      <c r="A621" s="15">
        <f>Tableau242[[#This Row],[Company number]]+0</f>
        <v>17786</v>
      </c>
      <c r="B621" s="60" t="s">
        <v>1357</v>
      </c>
      <c r="C621" s="61" t="s">
        <v>1358</v>
      </c>
      <c r="D621" s="61" t="s">
        <v>18</v>
      </c>
      <c r="E621" s="62" t="str">
        <f>IFERROR(VLOOKUP(Tableau242[[#This Row],[Manager ou CDM concerné]],Parametres!B:C,2,FALSE),"")</f>
        <v>Squad H</v>
      </c>
      <c r="F621" s="62" t="str">
        <f>IF(Tableau242[[#This Row],[Consultant]]=Tableau242[[#This Row],[Manager ou CDM concerné]],"Non",IF(IFERROR(VLOOKUP(Tableau242[[#This Row],[Consultant]],Parametres!B:C,2,FALSE),0)=0,"Non","Oui"))</f>
        <v>Non</v>
      </c>
      <c r="G621" s="62">
        <f>IFERROR(VLOOKUP(B621,Tableau5[#All],4,FALSE),"Matricule!")</f>
        <v>0</v>
      </c>
      <c r="H621" s="62" t="str">
        <f>IFERROR(VLOOKUP(Tableau242[[#This Row],[Company number]],#REF!,6,FALSE),"")</f>
        <v/>
      </c>
      <c r="I621" s="62">
        <f>IFERROR(VLOOKUP(B621,Tableau5[#All],5,FALSE),"Matricule!")</f>
        <v>20</v>
      </c>
      <c r="J621" s="62">
        <f>IFERROR(VLOOKUP(B621,Tableau5[#All],6,FALSE),"Matricule!")</f>
        <v>0</v>
      </c>
      <c r="K621" s="62">
        <f>IFERROR(VLOOKUP(B621,Tableau5[#All],7,FALSE),"Matricule!")</f>
        <v>0</v>
      </c>
      <c r="L621" s="62" t="e">
        <f>VLOOKUP(Tableau242[[#This Row],[Company number]],#REF!,25,FALSE)</f>
        <v>#REF!</v>
      </c>
      <c r="M621" s="62" t="str">
        <f>IFERROR(VLOOKUP(Tableau242[[#This Row],[Company number]],#REF!,30,FALSE),"")</f>
        <v/>
      </c>
      <c r="N621" s="62" t="str">
        <f>IFERROR(VLOOKUP(Tableau242[[#This Row],[Company number]],#REF!,31,FALSE),"")</f>
        <v/>
      </c>
      <c r="O621" s="62" t="str">
        <f>IFERROR(VLOOKUP(Tableau242[[#This Row],[Company number]],#REF!,32,FALSE),"")</f>
        <v/>
      </c>
      <c r="P621" s="62">
        <f>IFERROR(VLOOKUP(B621,Tableau3[#All],5,FALSE),"Matricule!")</f>
        <v>0</v>
      </c>
      <c r="Q621" s="62">
        <f>IFERROR(SUM(VLOOKUP(B621,Tableau3[#All],6,FALSE),VLOOKUP(B621,Tableau3[#All],8,FALSE)),"Matricule!")</f>
        <v>16</v>
      </c>
      <c r="R621" s="62">
        <f>IFERROR(VLOOKUP(B621,Tableau3[#All],7,FALSE),"Matricule!")</f>
        <v>4</v>
      </c>
      <c r="S621" s="62">
        <f>IFERROR(Tableau242[[#This Row],[Prod. days WK]]-Tableau242[[#This Row],[Prod PXX]],"Matricule")</f>
        <v>0</v>
      </c>
      <c r="T621" s="62">
        <f>IFERROR(Tableau242[[#This Row],[Non prod. days WK]]-Tableau242[[#This Row],[Improd PXX]],"Matricule")</f>
        <v>4</v>
      </c>
      <c r="U621" s="62">
        <f>IFERROR(Tableau242[[#This Row],[Paid leave days WK]]-Tableau242[[#This Row],[Congé PXX]],"Matricule")</f>
        <v>-4</v>
      </c>
      <c r="V621" s="63">
        <f>IFERROR(VLOOKUP($B621,#REF!,4,FALSE),0)</f>
        <v>0</v>
      </c>
      <c r="W62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21" s="63">
        <f>IF(AND(Tableau242[[#This Row],[Paid leave days]]&gt;0,Tableau242[[#This Row],[Prod. days]]&lt;0),MIN(Tableau242[[#This Row],[Paid leave days]],-Tableau242[[#This Row],[Prod. days]]),0)</f>
        <v>0</v>
      </c>
      <c r="Z621" s="63">
        <f>IFERROR(_xlfn.XLOOKUP(Tableau242[[#This Row],[Consultant]],Tableau2[Collaborateur/Nom affiché],Tableau2[Montant imputé],0),0)</f>
        <v>0</v>
      </c>
      <c r="AA621" s="64">
        <f t="shared" si="10"/>
        <v>0</v>
      </c>
      <c r="AB621" s="65"/>
      <c r="AC621" s="66"/>
      <c r="AD621" s="66"/>
      <c r="AE621" s="105"/>
      <c r="AF621" s="90"/>
    </row>
    <row r="622" spans="1:32" ht="14.45" customHeight="1">
      <c r="A622" s="15">
        <f>Tableau242[[#This Row],[Company number]]+0</f>
        <v>21793</v>
      </c>
      <c r="B622" s="60" t="s">
        <v>1359</v>
      </c>
      <c r="C622" s="61" t="s">
        <v>1360</v>
      </c>
      <c r="D622" s="61" t="s">
        <v>15</v>
      </c>
      <c r="E622" s="62" t="str">
        <f>IFERROR(VLOOKUP(Tableau242[[#This Row],[Manager ou CDM concerné]],Parametres!B:C,2,FALSE),"")</f>
        <v>Squad B</v>
      </c>
      <c r="F622" s="62" t="str">
        <f>IF(Tableau242[[#This Row],[Consultant]]=Tableau242[[#This Row],[Manager ou CDM concerné]],"Non",IF(IFERROR(VLOOKUP(Tableau242[[#This Row],[Consultant]],Parametres!B:C,2,FALSE),0)=0,"Non","Oui"))</f>
        <v>Non</v>
      </c>
      <c r="G622" s="62">
        <f>IFERROR(VLOOKUP(B622,Tableau5[#All],4,FALSE),"Matricule!")</f>
        <v>0</v>
      </c>
      <c r="H622" s="62" t="str">
        <f>IFERROR(VLOOKUP(Tableau242[[#This Row],[Company number]],#REF!,6,FALSE),"")</f>
        <v/>
      </c>
      <c r="I622" s="62">
        <f>IFERROR(VLOOKUP(B622,Tableau5[#All],5,FALSE),"Matricule!")</f>
        <v>20</v>
      </c>
      <c r="J622" s="62">
        <f>IFERROR(VLOOKUP(B622,Tableau5[#All],6,FALSE),"Matricule!")</f>
        <v>0</v>
      </c>
      <c r="K622" s="62">
        <f>IFERROR(VLOOKUP(B622,Tableau5[#All],7,FALSE),"Matricule!")</f>
        <v>0</v>
      </c>
      <c r="L622" s="62" t="e">
        <f>VLOOKUP(Tableau242[[#This Row],[Company number]],#REF!,25,FALSE)</f>
        <v>#REF!</v>
      </c>
      <c r="M622" s="62" t="str">
        <f>IFERROR(VLOOKUP(Tableau242[[#This Row],[Company number]],#REF!,30,FALSE),"")</f>
        <v/>
      </c>
      <c r="N622" s="62" t="str">
        <f>IFERROR(VLOOKUP(Tableau242[[#This Row],[Company number]],#REF!,31,FALSE),"")</f>
        <v/>
      </c>
      <c r="O622" s="62" t="str">
        <f>IFERROR(VLOOKUP(Tableau242[[#This Row],[Company number]],#REF!,32,FALSE),"")</f>
        <v/>
      </c>
      <c r="P622" s="62">
        <f>IFERROR(VLOOKUP(B622,Tableau3[#All],5,FALSE),"Matricule!")</f>
        <v>0</v>
      </c>
      <c r="Q622" s="62">
        <f>IFERROR(SUM(VLOOKUP(B622,Tableau3[#All],6,FALSE),VLOOKUP(B622,Tableau3[#All],8,FALSE)),"Matricule!")</f>
        <v>20</v>
      </c>
      <c r="R622" s="62">
        <f>IFERROR(VLOOKUP(B622,Tableau3[#All],7,FALSE),"Matricule!")</f>
        <v>0</v>
      </c>
      <c r="S622" s="62">
        <f>IFERROR(Tableau242[[#This Row],[Prod. days WK]]-Tableau242[[#This Row],[Prod PXX]],"Matricule")</f>
        <v>0</v>
      </c>
      <c r="T622" s="62">
        <f>IFERROR(Tableau242[[#This Row],[Non prod. days WK]]-Tableau242[[#This Row],[Improd PXX]],"Matricule")</f>
        <v>0</v>
      </c>
      <c r="U622" s="62">
        <f>IFERROR(Tableau242[[#This Row],[Paid leave days WK]]-Tableau242[[#This Row],[Congé PXX]],"Matricule")</f>
        <v>0</v>
      </c>
      <c r="V622" s="63">
        <f>IFERROR(VLOOKUP($B622,#REF!,4,FALSE),0)</f>
        <v>0</v>
      </c>
      <c r="W62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22" s="63">
        <f>IF(AND(Tableau242[[#This Row],[Paid leave days]]&gt;0,Tableau242[[#This Row],[Prod. days]]&lt;0),MIN(Tableau242[[#This Row],[Paid leave days]],-Tableau242[[#This Row],[Prod. days]]),0)</f>
        <v>0</v>
      </c>
      <c r="Z622" s="63">
        <f>IFERROR(_xlfn.XLOOKUP(Tableau242[[#This Row],[Consultant]],Tableau2[Collaborateur/Nom affiché],Tableau2[Montant imputé],0),0)</f>
        <v>0</v>
      </c>
      <c r="AA622" s="64">
        <f t="shared" si="10"/>
        <v>0</v>
      </c>
      <c r="AB622" s="65"/>
      <c r="AC622" s="66"/>
      <c r="AD622" s="66"/>
      <c r="AE622" s="39"/>
      <c r="AF622" s="90"/>
    </row>
    <row r="623" spans="1:32" ht="14.45" customHeight="1">
      <c r="A623" s="15">
        <f>Tableau242[[#This Row],[Company number]]+0</f>
        <v>14448</v>
      </c>
      <c r="B623" s="60" t="s">
        <v>1361</v>
      </c>
      <c r="C623" s="61" t="s">
        <v>1362</v>
      </c>
      <c r="D623" s="61" t="s">
        <v>15</v>
      </c>
      <c r="E623" s="62" t="str">
        <f>IFERROR(VLOOKUP(Tableau242[[#This Row],[Manager ou CDM concerné]],Parametres!B:C,2,FALSE),"")</f>
        <v>Squad B</v>
      </c>
      <c r="F623" s="62" t="str">
        <f>IF(Tableau242[[#This Row],[Consultant]]=Tableau242[[#This Row],[Manager ou CDM concerné]],"Non",IF(IFERROR(VLOOKUP(Tableau242[[#This Row],[Consultant]],Parametres!B:C,2,FALSE),0)=0,"Non","Oui"))</f>
        <v>Non</v>
      </c>
      <c r="G623" s="62">
        <f>IFERROR(VLOOKUP(B623,Tableau5[#All],4,FALSE),"Matricule!")</f>
        <v>0</v>
      </c>
      <c r="H623" s="62" t="str">
        <f>IFERROR(VLOOKUP(Tableau242[[#This Row],[Company number]],#REF!,6,FALSE),"")</f>
        <v/>
      </c>
      <c r="I623" s="62">
        <f>IFERROR(VLOOKUP(B623,Tableau5[#All],5,FALSE),"Matricule!")</f>
        <v>10</v>
      </c>
      <c r="J623" s="62">
        <f>IFERROR(VLOOKUP(B623,Tableau5[#All],6,FALSE),"Matricule!")</f>
        <v>0</v>
      </c>
      <c r="K623" s="62">
        <f>IFERROR(VLOOKUP(B623,Tableau5[#All],7,FALSE),"Matricule!")</f>
        <v>10</v>
      </c>
      <c r="L623" s="62" t="e">
        <f>VLOOKUP(Tableau242[[#This Row],[Company number]],#REF!,25,FALSE)</f>
        <v>#REF!</v>
      </c>
      <c r="M623" s="62" t="str">
        <f>IFERROR(VLOOKUP(Tableau242[[#This Row],[Company number]],#REF!,30,FALSE),"")</f>
        <v/>
      </c>
      <c r="N623" s="62" t="str">
        <f>IFERROR(VLOOKUP(Tableau242[[#This Row],[Company number]],#REF!,31,FALSE),"")</f>
        <v/>
      </c>
      <c r="O623" s="62" t="str">
        <f>IFERROR(VLOOKUP(Tableau242[[#This Row],[Company number]],#REF!,32,FALSE),"")</f>
        <v/>
      </c>
      <c r="P623" s="62">
        <f>IFERROR(VLOOKUP(B623,Tableau3[#All],5,FALSE),"Matricule!")</f>
        <v>0</v>
      </c>
      <c r="Q623" s="62">
        <f>IFERROR(SUM(VLOOKUP(B623,Tableau3[#All],6,FALSE),VLOOKUP(B623,Tableau3[#All],8,FALSE)),"Matricule!")</f>
        <v>10</v>
      </c>
      <c r="R623" s="62">
        <f>IFERROR(VLOOKUP(B623,Tableau3[#All],7,FALSE),"Matricule!")</f>
        <v>0</v>
      </c>
      <c r="S623" s="62">
        <f>IFERROR(Tableau242[[#This Row],[Prod. days WK]]-Tableau242[[#This Row],[Prod PXX]],"Matricule")</f>
        <v>0</v>
      </c>
      <c r="T623" s="62">
        <f>IFERROR(Tableau242[[#This Row],[Non prod. days WK]]-Tableau242[[#This Row],[Improd PXX]],"Matricule")</f>
        <v>0</v>
      </c>
      <c r="U623" s="62">
        <f>IFERROR(Tableau242[[#This Row],[Paid leave days WK]]-Tableau242[[#This Row],[Congé PXX]],"Matricule")</f>
        <v>0</v>
      </c>
      <c r="V623" s="63">
        <f>IFERROR(VLOOKUP($B623,#REF!,4,FALSE),0)</f>
        <v>0</v>
      </c>
      <c r="W62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23" s="63">
        <f>IF(AND(Tableau242[[#This Row],[Paid leave days]]&gt;0,Tableau242[[#This Row],[Prod. days]]&lt;0),MIN(Tableau242[[#This Row],[Paid leave days]],-Tableau242[[#This Row],[Prod. days]]),0)</f>
        <v>0</v>
      </c>
      <c r="Z623" s="63">
        <f>IFERROR(_xlfn.XLOOKUP(Tableau242[[#This Row],[Consultant]],Tableau2[Collaborateur/Nom affiché],Tableau2[Montant imputé],0),0)</f>
        <v>0</v>
      </c>
      <c r="AA623" s="64">
        <f t="shared" si="10"/>
        <v>0</v>
      </c>
      <c r="AB623" s="65"/>
      <c r="AC623" s="65"/>
      <c r="AD623" s="66"/>
      <c r="AE623" s="115"/>
      <c r="AF623" s="90"/>
    </row>
    <row r="624" spans="1:32" ht="14.45" customHeight="1">
      <c r="A624" s="15">
        <f>Tableau242[[#This Row],[Company number]]+0</f>
        <v>14960</v>
      </c>
      <c r="B624" s="60" t="s">
        <v>1363</v>
      </c>
      <c r="C624" s="61" t="s">
        <v>1364</v>
      </c>
      <c r="D624" s="61" t="s">
        <v>15</v>
      </c>
      <c r="E624" s="62" t="str">
        <f>IFERROR(VLOOKUP(Tableau242[[#This Row],[Manager ou CDM concerné]],Parametres!B:C,2,FALSE),"")</f>
        <v>Squad B</v>
      </c>
      <c r="F624" s="62" t="str">
        <f>IF(Tableau242[[#This Row],[Consultant]]=Tableau242[[#This Row],[Manager ou CDM concerné]],"Non",IF(IFERROR(VLOOKUP(Tableau242[[#This Row],[Consultant]],Parametres!B:C,2,FALSE),0)=0,"Non","Oui"))</f>
        <v>Non</v>
      </c>
      <c r="G624" s="62">
        <f>IFERROR(VLOOKUP(B624,Tableau5[#All],4,FALSE),"Matricule!")</f>
        <v>19</v>
      </c>
      <c r="H624" s="62" t="str">
        <f>IFERROR(VLOOKUP(Tableau242[[#This Row],[Company number]],#REF!,6,FALSE),"")</f>
        <v/>
      </c>
      <c r="I624" s="62">
        <f>IFERROR(VLOOKUP(B624,Tableau5[#All],5,FALSE),"Matricule!")</f>
        <v>0</v>
      </c>
      <c r="J624" s="62">
        <f>IFERROR(VLOOKUP(B624,Tableau5[#All],6,FALSE),"Matricule!")</f>
        <v>1</v>
      </c>
      <c r="K624" s="62">
        <f>IFERROR(VLOOKUP(B624,Tableau5[#All],7,FALSE),"Matricule!")</f>
        <v>0</v>
      </c>
      <c r="L624" s="62" t="e">
        <f>VLOOKUP(Tableau242[[#This Row],[Company number]],#REF!,25,FALSE)</f>
        <v>#REF!</v>
      </c>
      <c r="M624" s="62" t="str">
        <f>IFERROR(VLOOKUP(Tableau242[[#This Row],[Company number]],#REF!,30,FALSE),"")</f>
        <v/>
      </c>
      <c r="N624" s="62" t="str">
        <f>IFERROR(VLOOKUP(Tableau242[[#This Row],[Company number]],#REF!,31,FALSE),"")</f>
        <v/>
      </c>
      <c r="O624" s="62" t="str">
        <f>IFERROR(VLOOKUP(Tableau242[[#This Row],[Company number]],#REF!,32,FALSE),"")</f>
        <v/>
      </c>
      <c r="P624" s="62">
        <f>IFERROR(VLOOKUP(B624,Tableau3[#All],5,FALSE),"Matricule!")</f>
        <v>19</v>
      </c>
      <c r="Q624" s="62">
        <f>IFERROR(SUM(VLOOKUP(B624,Tableau3[#All],6,FALSE),VLOOKUP(B624,Tableau3[#All],8,FALSE)),"Matricule!")</f>
        <v>0</v>
      </c>
      <c r="R624" s="62">
        <f>IFERROR(VLOOKUP(B624,Tableau3[#All],7,FALSE),"Matricule!")</f>
        <v>1</v>
      </c>
      <c r="S624" s="62">
        <f>IFERROR(Tableau242[[#This Row],[Prod. days WK]]-Tableau242[[#This Row],[Prod PXX]],"Matricule")</f>
        <v>0</v>
      </c>
      <c r="T624" s="62">
        <f>IFERROR(Tableau242[[#This Row],[Non prod. days WK]]-Tableau242[[#This Row],[Improd PXX]],"Matricule")</f>
        <v>0</v>
      </c>
      <c r="U624" s="62">
        <f>IFERROR(Tableau242[[#This Row],[Paid leave days WK]]-Tableau242[[#This Row],[Congé PXX]],"Matricule")</f>
        <v>0</v>
      </c>
      <c r="V624" s="63">
        <f>IFERROR(VLOOKUP($B624,#REF!,4,FALSE),0)</f>
        <v>0</v>
      </c>
      <c r="W62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24" s="63">
        <f>IF(AND(Tableau242[[#This Row],[Paid leave days]]&gt;0,Tableau242[[#This Row],[Prod. days]]&lt;0),MIN(Tableau242[[#This Row],[Paid leave days]],-Tableau242[[#This Row],[Prod. days]]),0)</f>
        <v>0</v>
      </c>
      <c r="Z624" s="63">
        <f>IFERROR(_xlfn.XLOOKUP(Tableau242[[#This Row],[Consultant]],Tableau2[Collaborateur/Nom affiché],Tableau2[Montant imputé],0),0)</f>
        <v>0</v>
      </c>
      <c r="AA624" s="64">
        <f t="shared" si="10"/>
        <v>0</v>
      </c>
      <c r="AB624" s="65"/>
      <c r="AC624" s="66"/>
      <c r="AD624" s="66"/>
      <c r="AE624" s="105"/>
      <c r="AF624" s="90"/>
    </row>
    <row r="625" spans="1:32" ht="14.45" customHeight="1">
      <c r="A625" s="15">
        <f>Tableau242[[#This Row],[Company number]]+0</f>
        <v>16527</v>
      </c>
      <c r="B625" s="60" t="s">
        <v>1365</v>
      </c>
      <c r="C625" s="61" t="s">
        <v>1366</v>
      </c>
      <c r="D625" s="61" t="s">
        <v>15</v>
      </c>
      <c r="E625" s="62" t="str">
        <f>IFERROR(VLOOKUP(Tableau242[[#This Row],[Manager ou CDM concerné]],Parametres!B:C,2,FALSE),"")</f>
        <v>Squad B</v>
      </c>
      <c r="F625" s="62" t="str">
        <f>IF(Tableau242[[#This Row],[Consultant]]=Tableau242[[#This Row],[Manager ou CDM concerné]],"Non",IF(IFERROR(VLOOKUP(Tableau242[[#This Row],[Consultant]],Parametres!B:C,2,FALSE),0)=0,"Non","Oui"))</f>
        <v>Non</v>
      </c>
      <c r="G625" s="62">
        <f>IFERROR(VLOOKUP(B625,Tableau5[#All],4,FALSE),"Matricule!")</f>
        <v>20</v>
      </c>
      <c r="H625" s="62" t="str">
        <f>IFERROR(VLOOKUP(Tableau242[[#This Row],[Company number]],#REF!,6,FALSE),"")</f>
        <v/>
      </c>
      <c r="I625" s="62">
        <f>IFERROR(VLOOKUP(B625,Tableau5[#All],5,FALSE),"Matricule!")</f>
        <v>0</v>
      </c>
      <c r="J625" s="62">
        <f>IFERROR(VLOOKUP(B625,Tableau5[#All],6,FALSE),"Matricule!")</f>
        <v>0</v>
      </c>
      <c r="K625" s="62">
        <f>IFERROR(VLOOKUP(B625,Tableau5[#All],7,FALSE),"Matricule!")</f>
        <v>0</v>
      </c>
      <c r="L625" s="62" t="e">
        <f>VLOOKUP(Tableau242[[#This Row],[Company number]],#REF!,25,FALSE)</f>
        <v>#REF!</v>
      </c>
      <c r="M625" s="62" t="str">
        <f>IFERROR(VLOOKUP(Tableau242[[#This Row],[Company number]],#REF!,30,FALSE),"")</f>
        <v/>
      </c>
      <c r="N625" s="62" t="str">
        <f>IFERROR(VLOOKUP(Tableau242[[#This Row],[Company number]],#REF!,31,FALSE),"")</f>
        <v/>
      </c>
      <c r="O625" s="62" t="str">
        <f>IFERROR(VLOOKUP(Tableau242[[#This Row],[Company number]],#REF!,32,FALSE),"")</f>
        <v/>
      </c>
      <c r="P625" s="62">
        <f>IFERROR(VLOOKUP(B625,Tableau3[#All],5,FALSE),"Matricule!")</f>
        <v>20</v>
      </c>
      <c r="Q625" s="62">
        <f>IFERROR(SUM(VLOOKUP(B625,Tableau3[#All],6,FALSE),VLOOKUP(B625,Tableau3[#All],8,FALSE)),"Matricule!")</f>
        <v>0</v>
      </c>
      <c r="R625" s="62">
        <f>IFERROR(VLOOKUP(B625,Tableau3[#All],7,FALSE),"Matricule!")</f>
        <v>0</v>
      </c>
      <c r="S625" s="62">
        <f>IFERROR(Tableau242[[#This Row],[Prod. days WK]]-Tableau242[[#This Row],[Prod PXX]],"Matricule")</f>
        <v>0</v>
      </c>
      <c r="T625" s="62">
        <f>IFERROR(Tableau242[[#This Row],[Non prod. days WK]]-Tableau242[[#This Row],[Improd PXX]],"Matricule")</f>
        <v>0</v>
      </c>
      <c r="U625" s="62">
        <f>IFERROR(Tableau242[[#This Row],[Paid leave days WK]]-Tableau242[[#This Row],[Congé PXX]],"Matricule")</f>
        <v>0</v>
      </c>
      <c r="V625" s="63">
        <f>IFERROR(VLOOKUP($B625,#REF!,4,FALSE),0)</f>
        <v>0</v>
      </c>
      <c r="W62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25" s="63">
        <f>IF(AND(Tableau242[[#This Row],[Paid leave days]]&gt;0,Tableau242[[#This Row],[Prod. days]]&lt;0),MIN(Tableau242[[#This Row],[Paid leave days]],-Tableau242[[#This Row],[Prod. days]]),0)</f>
        <v>0</v>
      </c>
      <c r="Z625" s="63">
        <f>IFERROR(_xlfn.XLOOKUP(Tableau242[[#This Row],[Consultant]],Tableau2[Collaborateur/Nom affiché],Tableau2[Montant imputé],0),0)</f>
        <v>0</v>
      </c>
      <c r="AA625" s="64">
        <f t="shared" si="10"/>
        <v>0</v>
      </c>
      <c r="AB625" s="65"/>
      <c r="AC625" s="67"/>
      <c r="AD625" s="67"/>
      <c r="AE625" s="106"/>
      <c r="AF625" s="92"/>
    </row>
    <row r="626" spans="1:32" ht="14.45" customHeight="1">
      <c r="A626" s="15">
        <f>Tableau242[[#This Row],[Company number]]+0</f>
        <v>15697</v>
      </c>
      <c r="B626" s="60" t="s">
        <v>1367</v>
      </c>
      <c r="C626" s="61" t="s">
        <v>1368</v>
      </c>
      <c r="D626" s="61" t="s">
        <v>15</v>
      </c>
      <c r="E626" s="62" t="str">
        <f>IFERROR(VLOOKUP(Tableau242[[#This Row],[Manager ou CDM concerné]],Parametres!B:C,2,FALSE),"")</f>
        <v>Squad B</v>
      </c>
      <c r="F626" s="62" t="str">
        <f>IF(Tableau242[[#This Row],[Consultant]]=Tableau242[[#This Row],[Manager ou CDM concerné]],"Non",IF(IFERROR(VLOOKUP(Tableau242[[#This Row],[Consultant]],Parametres!B:C,2,FALSE),0)=0,"Non","Oui"))</f>
        <v>Non</v>
      </c>
      <c r="G626" s="62">
        <f>IFERROR(VLOOKUP(B626,Tableau5[#All],4,FALSE),"Matricule!")</f>
        <v>20</v>
      </c>
      <c r="H626" s="62" t="str">
        <f>IFERROR(VLOOKUP(Tableau242[[#This Row],[Company number]],#REF!,6,FALSE),"")</f>
        <v/>
      </c>
      <c r="I626" s="62">
        <f>IFERROR(VLOOKUP(B626,Tableau5[#All],5,FALSE),"Matricule!")</f>
        <v>0</v>
      </c>
      <c r="J626" s="62">
        <f>IFERROR(VLOOKUP(B626,Tableau5[#All],6,FALSE),"Matricule!")</f>
        <v>0</v>
      </c>
      <c r="K626" s="62">
        <f>IFERROR(VLOOKUP(B626,Tableau5[#All],7,FALSE),"Matricule!")</f>
        <v>0</v>
      </c>
      <c r="L626" s="62" t="e">
        <f>VLOOKUP(Tableau242[[#This Row],[Company number]],#REF!,25,FALSE)</f>
        <v>#REF!</v>
      </c>
      <c r="M626" s="62" t="str">
        <f>IFERROR(VLOOKUP(Tableau242[[#This Row],[Company number]],#REF!,30,FALSE),"")</f>
        <v/>
      </c>
      <c r="N626" s="62" t="str">
        <f>IFERROR(VLOOKUP(Tableau242[[#This Row],[Company number]],#REF!,31,FALSE),"")</f>
        <v/>
      </c>
      <c r="O626" s="62" t="str">
        <f>IFERROR(VLOOKUP(Tableau242[[#This Row],[Company number]],#REF!,32,FALSE),"")</f>
        <v/>
      </c>
      <c r="P626" s="62">
        <f>IFERROR(VLOOKUP(B626,Tableau3[#All],5,FALSE),"Matricule!")</f>
        <v>20</v>
      </c>
      <c r="Q626" s="62">
        <f>IFERROR(SUM(VLOOKUP(B626,Tableau3[#All],6,FALSE),VLOOKUP(B626,Tableau3[#All],8,FALSE)),"Matricule!")</f>
        <v>0</v>
      </c>
      <c r="R626" s="62">
        <f>IFERROR(VLOOKUP(B626,Tableau3[#All],7,FALSE),"Matricule!")</f>
        <v>0</v>
      </c>
      <c r="S626" s="62">
        <f>IFERROR(Tableau242[[#This Row],[Prod. days WK]]-Tableau242[[#This Row],[Prod PXX]],"Matricule")</f>
        <v>0</v>
      </c>
      <c r="T626" s="62">
        <f>IFERROR(Tableau242[[#This Row],[Non prod. days WK]]-Tableau242[[#This Row],[Improd PXX]],"Matricule")</f>
        <v>0</v>
      </c>
      <c r="U626" s="62">
        <f>IFERROR(Tableau242[[#This Row],[Paid leave days WK]]-Tableau242[[#This Row],[Congé PXX]],"Matricule")</f>
        <v>0</v>
      </c>
      <c r="V626" s="63">
        <f>IFERROR(VLOOKUP($B626,#REF!,4,FALSE),0)</f>
        <v>0</v>
      </c>
      <c r="W62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26" s="63">
        <f>IF(AND(Tableau242[[#This Row],[Paid leave days]]&gt;0,Tableau242[[#This Row],[Prod. days]]&lt;0),MIN(Tableau242[[#This Row],[Paid leave days]],-Tableau242[[#This Row],[Prod. days]]),0)</f>
        <v>0</v>
      </c>
      <c r="Z626" s="63">
        <f>IFERROR(_xlfn.XLOOKUP(Tableau242[[#This Row],[Consultant]],Tableau2[Collaborateur/Nom affiché],Tableau2[Montant imputé],0),0)</f>
        <v>0</v>
      </c>
      <c r="AA626" s="64">
        <f t="shared" si="10"/>
        <v>0</v>
      </c>
      <c r="AB626" s="65"/>
      <c r="AC626" s="66"/>
      <c r="AD626" s="66"/>
      <c r="AE626" s="105"/>
      <c r="AF626" s="90"/>
    </row>
    <row r="627" spans="1:32" ht="14.45" customHeight="1">
      <c r="A627" s="15">
        <f>Tableau242[[#This Row],[Company number]]+0</f>
        <v>17355</v>
      </c>
      <c r="B627" s="60" t="s">
        <v>1369</v>
      </c>
      <c r="C627" s="61" t="s">
        <v>1370</v>
      </c>
      <c r="D627" s="61" t="s">
        <v>15</v>
      </c>
      <c r="E627" s="62" t="str">
        <f>IFERROR(VLOOKUP(Tableau242[[#This Row],[Manager ou CDM concerné]],Parametres!B:C,2,FALSE),"")</f>
        <v>Squad B</v>
      </c>
      <c r="F627" s="62" t="str">
        <f>IF(Tableau242[[#This Row],[Consultant]]=Tableau242[[#This Row],[Manager ou CDM concerné]],"Non",IF(IFERROR(VLOOKUP(Tableau242[[#This Row],[Consultant]],Parametres!B:C,2,FALSE),0)=0,"Non","Oui"))</f>
        <v>Non</v>
      </c>
      <c r="G627" s="62">
        <f>IFERROR(VLOOKUP(B627,Tableau5[#All],4,FALSE),"Matricule!")</f>
        <v>19.5</v>
      </c>
      <c r="H627" s="62" t="str">
        <f>IFERROR(VLOOKUP(Tableau242[[#This Row],[Company number]],#REF!,6,FALSE),"")</f>
        <v/>
      </c>
      <c r="I627" s="62">
        <f>IFERROR(VLOOKUP(B627,Tableau5[#All],5,FALSE),"Matricule!")</f>
        <v>0.5</v>
      </c>
      <c r="J627" s="62">
        <f>IFERROR(VLOOKUP(B627,Tableau5[#All],6,FALSE),"Matricule!")</f>
        <v>0</v>
      </c>
      <c r="K627" s="62">
        <f>IFERROR(VLOOKUP(B627,Tableau5[#All],7,FALSE),"Matricule!")</f>
        <v>0</v>
      </c>
      <c r="L627" s="62" t="e">
        <f>VLOOKUP(Tableau242[[#This Row],[Company number]],#REF!,25,FALSE)</f>
        <v>#REF!</v>
      </c>
      <c r="M627" s="62" t="str">
        <f>IFERROR(VLOOKUP(Tableau242[[#This Row],[Company number]],#REF!,30,FALSE),"")</f>
        <v/>
      </c>
      <c r="N627" s="62" t="str">
        <f>IFERROR(VLOOKUP(Tableau242[[#This Row],[Company number]],#REF!,31,FALSE),"")</f>
        <v/>
      </c>
      <c r="O627" s="62" t="str">
        <f>IFERROR(VLOOKUP(Tableau242[[#This Row],[Company number]],#REF!,32,FALSE),"")</f>
        <v/>
      </c>
      <c r="P627" s="62">
        <f>IFERROR(VLOOKUP(B627,Tableau3[#All],5,FALSE),"Matricule!")</f>
        <v>19.5</v>
      </c>
      <c r="Q627" s="62">
        <f>IFERROR(SUM(VLOOKUP(B627,Tableau3[#All],6,FALSE),VLOOKUP(B627,Tableau3[#All],8,FALSE)),"Matricule!")</f>
        <v>0.5</v>
      </c>
      <c r="R627" s="62">
        <f>IFERROR(VLOOKUP(B627,Tableau3[#All],7,FALSE),"Matricule!")</f>
        <v>0</v>
      </c>
      <c r="S627" s="62">
        <f>IFERROR(Tableau242[[#This Row],[Prod. days WK]]-Tableau242[[#This Row],[Prod PXX]],"Matricule")</f>
        <v>0</v>
      </c>
      <c r="T627" s="62">
        <f>IFERROR(Tableau242[[#This Row],[Non prod. days WK]]-Tableau242[[#This Row],[Improd PXX]],"Matricule")</f>
        <v>0</v>
      </c>
      <c r="U627" s="62">
        <f>IFERROR(Tableau242[[#This Row],[Paid leave days WK]]-Tableau242[[#This Row],[Congé PXX]],"Matricule")</f>
        <v>0</v>
      </c>
      <c r="V627" s="63">
        <f>IFERROR(VLOOKUP($B627,#REF!,4,FALSE),0)</f>
        <v>0</v>
      </c>
      <c r="W62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27" s="63">
        <f>IF(AND(Tableau242[[#This Row],[Paid leave days]]&gt;0,Tableau242[[#This Row],[Prod. days]]&lt;0),MIN(Tableau242[[#This Row],[Paid leave days]],-Tableau242[[#This Row],[Prod. days]]),0)</f>
        <v>0</v>
      </c>
      <c r="Z627" s="63">
        <f>IFERROR(_xlfn.XLOOKUP(Tableau242[[#This Row],[Consultant]],Tableau2[Collaborateur/Nom affiché],Tableau2[Montant imputé],0),0)</f>
        <v>0</v>
      </c>
      <c r="AA627" s="64">
        <f t="shared" si="10"/>
        <v>0</v>
      </c>
      <c r="AB627" s="65"/>
      <c r="AC627" s="74"/>
      <c r="AD627" s="74"/>
      <c r="AE627" s="108"/>
      <c r="AF627" s="90"/>
    </row>
    <row r="628" spans="1:32">
      <c r="A628" s="15">
        <f>Tableau242[[#This Row],[Company number]]+0</f>
        <v>15180</v>
      </c>
      <c r="B628" s="60" t="s">
        <v>1371</v>
      </c>
      <c r="C628" s="61" t="s">
        <v>1372</v>
      </c>
      <c r="D628" s="61" t="s">
        <v>15</v>
      </c>
      <c r="E628" s="62" t="str">
        <f>IFERROR(VLOOKUP(Tableau242[[#This Row],[Manager ou CDM concerné]],Parametres!B:C,2,FALSE),"")</f>
        <v>Squad B</v>
      </c>
      <c r="F628" s="62" t="str">
        <f>IF(Tableau242[[#This Row],[Consultant]]=Tableau242[[#This Row],[Manager ou CDM concerné]],"Non",IF(IFERROR(VLOOKUP(Tableau242[[#This Row],[Consultant]],Parametres!B:C,2,FALSE),0)=0,"Non","Oui"))</f>
        <v>Non</v>
      </c>
      <c r="G628" s="62">
        <f>IFERROR(VLOOKUP(B628,Tableau5[#All],4,FALSE),"Matricule!")</f>
        <v>18</v>
      </c>
      <c r="H628" s="62" t="str">
        <f>IFERROR(VLOOKUP(Tableau242[[#This Row],[Company number]],#REF!,6,FALSE),"")</f>
        <v/>
      </c>
      <c r="I628" s="62">
        <f>IFERROR(VLOOKUP(B628,Tableau5[#All],5,FALSE),"Matricule!")</f>
        <v>2</v>
      </c>
      <c r="J628" s="62">
        <f>IFERROR(VLOOKUP(B628,Tableau5[#All],6,FALSE),"Matricule!")</f>
        <v>0</v>
      </c>
      <c r="K628" s="62">
        <f>IFERROR(VLOOKUP(B628,Tableau5[#All],7,FALSE),"Matricule!")</f>
        <v>0</v>
      </c>
      <c r="L628" s="62" t="e">
        <f>VLOOKUP(Tableau242[[#This Row],[Company number]],#REF!,25,FALSE)</f>
        <v>#REF!</v>
      </c>
      <c r="M628" s="62" t="str">
        <f>IFERROR(VLOOKUP(Tableau242[[#This Row],[Company number]],#REF!,30,FALSE),"")</f>
        <v/>
      </c>
      <c r="N628" s="62" t="str">
        <f>IFERROR(VLOOKUP(Tableau242[[#This Row],[Company number]],#REF!,31,FALSE),"")</f>
        <v/>
      </c>
      <c r="O628" s="62" t="str">
        <f>IFERROR(VLOOKUP(Tableau242[[#This Row],[Company number]],#REF!,32,FALSE),"")</f>
        <v/>
      </c>
      <c r="P628" s="62">
        <f>IFERROR(VLOOKUP(B628,Tableau3[#All],5,FALSE),"Matricule!")</f>
        <v>18</v>
      </c>
      <c r="Q628" s="62">
        <f>IFERROR(SUM(VLOOKUP(B628,Tableau3[#All],6,FALSE),VLOOKUP(B628,Tableau3[#All],8,FALSE)),"Matricule!")</f>
        <v>2</v>
      </c>
      <c r="R628" s="62">
        <f>IFERROR(VLOOKUP(B628,Tableau3[#All],7,FALSE),"Matricule!")</f>
        <v>0</v>
      </c>
      <c r="S628" s="62">
        <f>IFERROR(Tableau242[[#This Row],[Prod. days WK]]-Tableau242[[#This Row],[Prod PXX]],"Matricule")</f>
        <v>0</v>
      </c>
      <c r="T628" s="62">
        <f>IFERROR(Tableau242[[#This Row],[Non prod. days WK]]-Tableau242[[#This Row],[Improd PXX]],"Matricule")</f>
        <v>0</v>
      </c>
      <c r="U628" s="62">
        <f>IFERROR(Tableau242[[#This Row],[Paid leave days WK]]-Tableau242[[#This Row],[Congé PXX]],"Matricule")</f>
        <v>0</v>
      </c>
      <c r="V628" s="63">
        <f>IFERROR(VLOOKUP($B628,#REF!,4,FALSE),0)</f>
        <v>0</v>
      </c>
      <c r="W62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28" s="63">
        <f>IF(AND(Tableau242[[#This Row],[Paid leave days]]&gt;0,Tableau242[[#This Row],[Prod. days]]&lt;0),MIN(Tableau242[[#This Row],[Paid leave days]],-Tableau242[[#This Row],[Prod. days]]),0)</f>
        <v>0</v>
      </c>
      <c r="Z628" s="63">
        <f>IFERROR(_xlfn.XLOOKUP(Tableau242[[#This Row],[Consultant]],Tableau2[Collaborateur/Nom affiché],Tableau2[Montant imputé],0),0)</f>
        <v>0</v>
      </c>
      <c r="AA628" s="64">
        <f t="shared" si="10"/>
        <v>0</v>
      </c>
      <c r="AB628" s="65"/>
      <c r="AC628" s="67"/>
      <c r="AD628" s="67"/>
      <c r="AE628" s="106"/>
      <c r="AF628" s="92"/>
    </row>
    <row r="629" spans="1:32" ht="14.45" customHeight="1">
      <c r="A629" s="15">
        <f>Tableau242[[#This Row],[Company number]]+0</f>
        <v>15357</v>
      </c>
      <c r="B629" s="60" t="s">
        <v>1373</v>
      </c>
      <c r="C629" s="61" t="s">
        <v>1374</v>
      </c>
      <c r="D629" s="61" t="s">
        <v>15</v>
      </c>
      <c r="E629" s="62" t="str">
        <f>IFERROR(VLOOKUP(Tableau242[[#This Row],[Manager ou CDM concerné]],Parametres!B:C,2,FALSE),"")</f>
        <v>Squad B</v>
      </c>
      <c r="F629" s="62" t="str">
        <f>IF(Tableau242[[#This Row],[Consultant]]=Tableau242[[#This Row],[Manager ou CDM concerné]],"Non",IF(IFERROR(VLOOKUP(Tableau242[[#This Row],[Consultant]],Parametres!B:C,2,FALSE),0)=0,"Non","Oui"))</f>
        <v>Non</v>
      </c>
      <c r="G629" s="62">
        <f>IFERROR(VLOOKUP(B629,Tableau5[#All],4,FALSE),"Matricule!")</f>
        <v>0</v>
      </c>
      <c r="H629" s="62" t="str">
        <f>IFERROR(VLOOKUP(Tableau242[[#This Row],[Company number]],#REF!,6,FALSE),"")</f>
        <v/>
      </c>
      <c r="I629" s="62">
        <f>IFERROR(VLOOKUP(B629,Tableau5[#All],5,FALSE),"Matricule!")</f>
        <v>20</v>
      </c>
      <c r="J629" s="62">
        <f>IFERROR(VLOOKUP(B629,Tableau5[#All],6,FALSE),"Matricule!")</f>
        <v>0</v>
      </c>
      <c r="K629" s="62">
        <f>IFERROR(VLOOKUP(B629,Tableau5[#All],7,FALSE),"Matricule!")</f>
        <v>0</v>
      </c>
      <c r="L629" s="62" t="e">
        <f>VLOOKUP(Tableau242[[#This Row],[Company number]],#REF!,25,FALSE)</f>
        <v>#REF!</v>
      </c>
      <c r="M629" s="62" t="str">
        <f>IFERROR(VLOOKUP(Tableau242[[#This Row],[Company number]],#REF!,30,FALSE),"")</f>
        <v/>
      </c>
      <c r="N629" s="62" t="str">
        <f>IFERROR(VLOOKUP(Tableau242[[#This Row],[Company number]],#REF!,31,FALSE),"")</f>
        <v/>
      </c>
      <c r="O629" s="62" t="str">
        <f>IFERROR(VLOOKUP(Tableau242[[#This Row],[Company number]],#REF!,32,FALSE),"")</f>
        <v/>
      </c>
      <c r="P629" s="62">
        <f>IFERROR(VLOOKUP(B629,Tableau3[#All],5,FALSE),"Matricule!")</f>
        <v>20</v>
      </c>
      <c r="Q629" s="62">
        <f>IFERROR(SUM(VLOOKUP(B629,Tableau3[#All],6,FALSE),VLOOKUP(B629,Tableau3[#All],8,FALSE)),"Matricule!")</f>
        <v>0</v>
      </c>
      <c r="R629" s="62">
        <f>IFERROR(VLOOKUP(B629,Tableau3[#All],7,FALSE),"Matricule!")</f>
        <v>0</v>
      </c>
      <c r="S629" s="62">
        <f>IFERROR(Tableau242[[#This Row],[Prod. days WK]]-Tableau242[[#This Row],[Prod PXX]],"Matricule")</f>
        <v>-20</v>
      </c>
      <c r="T629" s="62">
        <f>IFERROR(Tableau242[[#This Row],[Non prod. days WK]]-Tableau242[[#This Row],[Improd PXX]],"Matricule")</f>
        <v>20</v>
      </c>
      <c r="U629" s="62">
        <f>IFERROR(Tableau242[[#This Row],[Paid leave days WK]]-Tableau242[[#This Row],[Congé PXX]],"Matricule")</f>
        <v>0</v>
      </c>
      <c r="V629" s="63">
        <f>IFERROR(VLOOKUP($B629,#REF!,4,FALSE),0)</f>
        <v>0</v>
      </c>
      <c r="W62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2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629" s="63">
        <f>IF(AND(Tableau242[[#This Row],[Paid leave days]]&gt;0,Tableau242[[#This Row],[Prod. days]]&lt;0),MIN(Tableau242[[#This Row],[Paid leave days]],-Tableau242[[#This Row],[Prod. days]]),0)</f>
        <v>0</v>
      </c>
      <c r="Z629" s="63">
        <f>IFERROR(_xlfn.XLOOKUP(Tableau242[[#This Row],[Consultant]],Tableau2[Collaborateur/Nom affiché],Tableau2[Montant imputé],0),0)</f>
        <v>20</v>
      </c>
      <c r="AA629" s="64">
        <f t="shared" si="10"/>
        <v>0</v>
      </c>
      <c r="AB629" s="65"/>
      <c r="AC629" s="74"/>
      <c r="AD629" s="66"/>
      <c r="AE629" s="105"/>
      <c r="AF629" s="90"/>
    </row>
    <row r="630" spans="1:32" ht="14.45" customHeight="1">
      <c r="A630" s="15">
        <f>Tableau242[[#This Row],[Company number]]+0</f>
        <v>13915</v>
      </c>
      <c r="B630" s="60" t="s">
        <v>1375</v>
      </c>
      <c r="C630" s="61" t="s">
        <v>1376</v>
      </c>
      <c r="D630" s="61" t="s">
        <v>15</v>
      </c>
      <c r="E630" s="62" t="str">
        <f>IFERROR(VLOOKUP(Tableau242[[#This Row],[Manager ou CDM concerné]],Parametres!B:C,2,FALSE),"")</f>
        <v>Squad B</v>
      </c>
      <c r="F630" s="62" t="str">
        <f>IF(Tableau242[[#This Row],[Consultant]]=Tableau242[[#This Row],[Manager ou CDM concerné]],"Non",IF(IFERROR(VLOOKUP(Tableau242[[#This Row],[Consultant]],Parametres!B:C,2,FALSE),0)=0,"Non","Oui"))</f>
        <v>Non</v>
      </c>
      <c r="G630" s="62">
        <f>IFERROR(VLOOKUP(B630,Tableau5[#All],4,FALSE),"Matricule!")</f>
        <v>19</v>
      </c>
      <c r="H630" s="62" t="str">
        <f>IFERROR(VLOOKUP(Tableau242[[#This Row],[Company number]],#REF!,6,FALSE),"")</f>
        <v/>
      </c>
      <c r="I630" s="62">
        <f>IFERROR(VLOOKUP(B630,Tableau5[#All],5,FALSE),"Matricule!")</f>
        <v>0</v>
      </c>
      <c r="J630" s="62">
        <f>IFERROR(VLOOKUP(B630,Tableau5[#All],6,FALSE),"Matricule!")</f>
        <v>1</v>
      </c>
      <c r="K630" s="62">
        <f>IFERROR(VLOOKUP(B630,Tableau5[#All],7,FALSE),"Matricule!")</f>
        <v>0</v>
      </c>
      <c r="L630" s="62" t="e">
        <f>VLOOKUP(Tableau242[[#This Row],[Company number]],#REF!,25,FALSE)</f>
        <v>#REF!</v>
      </c>
      <c r="M630" s="62" t="str">
        <f>IFERROR(VLOOKUP(Tableau242[[#This Row],[Company number]],#REF!,30,FALSE),"")</f>
        <v/>
      </c>
      <c r="N630" s="62" t="str">
        <f>IFERROR(VLOOKUP(Tableau242[[#This Row],[Company number]],#REF!,31,FALSE),"")</f>
        <v/>
      </c>
      <c r="O630" s="62" t="str">
        <f>IFERROR(VLOOKUP(Tableau242[[#This Row],[Company number]],#REF!,32,FALSE),"")</f>
        <v/>
      </c>
      <c r="P630" s="62">
        <f>IFERROR(VLOOKUP(B630,Tableau3[#All],5,FALSE),"Matricule!")</f>
        <v>19</v>
      </c>
      <c r="Q630" s="62">
        <f>IFERROR(SUM(VLOOKUP(B630,Tableau3[#All],6,FALSE),VLOOKUP(B630,Tableau3[#All],8,FALSE)),"Matricule!")</f>
        <v>0</v>
      </c>
      <c r="R630" s="62">
        <f>IFERROR(VLOOKUP(B630,Tableau3[#All],7,FALSE),"Matricule!")</f>
        <v>1</v>
      </c>
      <c r="S630" s="62">
        <f>IFERROR(Tableau242[[#This Row],[Prod. days WK]]-Tableau242[[#This Row],[Prod PXX]],"Matricule")</f>
        <v>0</v>
      </c>
      <c r="T630" s="62">
        <f>IFERROR(Tableau242[[#This Row],[Non prod. days WK]]-Tableau242[[#This Row],[Improd PXX]],"Matricule")</f>
        <v>0</v>
      </c>
      <c r="U630" s="62">
        <f>IFERROR(Tableau242[[#This Row],[Paid leave days WK]]-Tableau242[[#This Row],[Congé PXX]],"Matricule")</f>
        <v>0</v>
      </c>
      <c r="V630" s="63">
        <f>IFERROR(VLOOKUP($B630,#REF!,4,FALSE),0)</f>
        <v>0</v>
      </c>
      <c r="W63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30" s="63">
        <f>IF(AND(Tableau242[[#This Row],[Paid leave days]]&gt;0,Tableau242[[#This Row],[Prod. days]]&lt;0),MIN(Tableau242[[#This Row],[Paid leave days]],-Tableau242[[#This Row],[Prod. days]]),0)</f>
        <v>0</v>
      </c>
      <c r="Z630" s="63">
        <f>IFERROR(_xlfn.XLOOKUP(Tableau242[[#This Row],[Consultant]],Tableau2[Collaborateur/Nom affiché],Tableau2[Montant imputé],0),0)</f>
        <v>0</v>
      </c>
      <c r="AA630" s="64">
        <f t="shared" si="10"/>
        <v>0</v>
      </c>
      <c r="AB630" s="78"/>
      <c r="AC630" s="66"/>
      <c r="AD630" s="66"/>
      <c r="AE630" s="39"/>
      <c r="AF630" s="97"/>
    </row>
    <row r="631" spans="1:32" ht="14.45" customHeight="1">
      <c r="A631" s="15">
        <f>Tableau242[[#This Row],[Company number]]+0</f>
        <v>16993</v>
      </c>
      <c r="B631" s="60" t="s">
        <v>1377</v>
      </c>
      <c r="C631" s="61" t="s">
        <v>1378</v>
      </c>
      <c r="D631" s="61" t="s">
        <v>78</v>
      </c>
      <c r="E631" s="62" t="str">
        <f>IFERROR(VLOOKUP(Tableau242[[#This Row],[Manager ou CDM concerné]],Parametres!B:C,2,FALSE),"")</f>
        <v>Squad G</v>
      </c>
      <c r="F631" s="62" t="str">
        <f>IF(Tableau242[[#This Row],[Consultant]]=Tableau242[[#This Row],[Manager ou CDM concerné]],"Non",IF(IFERROR(VLOOKUP(Tableau242[[#This Row],[Consultant]],Parametres!B:C,2,FALSE),0)=0,"Non","Oui"))</f>
        <v>Non</v>
      </c>
      <c r="G631" s="62">
        <f>IFERROR(VLOOKUP(B631,Tableau5[#All],4,FALSE),"Matricule!")</f>
        <v>20</v>
      </c>
      <c r="H631" s="62" t="str">
        <f>IFERROR(VLOOKUP(Tableau242[[#This Row],[Company number]],#REF!,6,FALSE),"")</f>
        <v/>
      </c>
      <c r="I631" s="62">
        <f>IFERROR(VLOOKUP(B631,Tableau5[#All],5,FALSE),"Matricule!")</f>
        <v>0</v>
      </c>
      <c r="J631" s="62">
        <f>IFERROR(VLOOKUP(B631,Tableau5[#All],6,FALSE),"Matricule!")</f>
        <v>0</v>
      </c>
      <c r="K631" s="62">
        <f>IFERROR(VLOOKUP(B631,Tableau5[#All],7,FALSE),"Matricule!")</f>
        <v>0</v>
      </c>
      <c r="L631" s="62" t="e">
        <f>VLOOKUP(Tableau242[[#This Row],[Company number]],#REF!,25,FALSE)</f>
        <v>#REF!</v>
      </c>
      <c r="M631" s="62" t="str">
        <f>IFERROR(VLOOKUP(Tableau242[[#This Row],[Company number]],#REF!,30,FALSE),"")</f>
        <v/>
      </c>
      <c r="N631" s="62" t="str">
        <f>IFERROR(VLOOKUP(Tableau242[[#This Row],[Company number]],#REF!,31,FALSE),"")</f>
        <v/>
      </c>
      <c r="O631" s="62" t="str">
        <f>IFERROR(VLOOKUP(Tableau242[[#This Row],[Company number]],#REF!,32,FALSE),"")</f>
        <v/>
      </c>
      <c r="P631" s="62">
        <f>IFERROR(VLOOKUP(B631,Tableau3[#All],5,FALSE),"Matricule!")</f>
        <v>20</v>
      </c>
      <c r="Q631" s="62">
        <f>IFERROR(SUM(VLOOKUP(B631,Tableau3[#All],6,FALSE),VLOOKUP(B631,Tableau3[#All],8,FALSE)),"Matricule!")</f>
        <v>0</v>
      </c>
      <c r="R631" s="62">
        <f>IFERROR(VLOOKUP(B631,Tableau3[#All],7,FALSE),"Matricule!")</f>
        <v>0</v>
      </c>
      <c r="S631" s="62">
        <f>IFERROR(Tableau242[[#This Row],[Prod. days WK]]-Tableau242[[#This Row],[Prod PXX]],"Matricule")</f>
        <v>0</v>
      </c>
      <c r="T631" s="62">
        <f>IFERROR(Tableau242[[#This Row],[Non prod. days WK]]-Tableau242[[#This Row],[Improd PXX]],"Matricule")</f>
        <v>0</v>
      </c>
      <c r="U631" s="62">
        <f>IFERROR(Tableau242[[#This Row],[Paid leave days WK]]-Tableau242[[#This Row],[Congé PXX]],"Matricule")</f>
        <v>0</v>
      </c>
      <c r="V631" s="63">
        <f>IFERROR(VLOOKUP($B631,#REF!,4,FALSE),0)</f>
        <v>0</v>
      </c>
      <c r="W63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31" s="63">
        <f>IF(AND(Tableau242[[#This Row],[Paid leave days]]&gt;0,Tableau242[[#This Row],[Prod. days]]&lt;0),MIN(Tableau242[[#This Row],[Paid leave days]],-Tableau242[[#This Row],[Prod. days]]),0)</f>
        <v>0</v>
      </c>
      <c r="Z631" s="63">
        <f>IFERROR(_xlfn.XLOOKUP(Tableau242[[#This Row],[Consultant]],Tableau2[Collaborateur/Nom affiché],Tableau2[Montant imputé],0),0)</f>
        <v>0</v>
      </c>
      <c r="AA631" s="64">
        <f t="shared" si="10"/>
        <v>0</v>
      </c>
      <c r="AB631" s="65"/>
      <c r="AC631" s="66"/>
      <c r="AD631" s="66"/>
      <c r="AE631" s="39"/>
      <c r="AF631" s="90"/>
    </row>
    <row r="632" spans="1:32" ht="14.45" customHeight="1">
      <c r="A632" s="15">
        <f>Tableau242[[#This Row],[Company number]]+0</f>
        <v>21777</v>
      </c>
      <c r="B632" s="60" t="s">
        <v>1379</v>
      </c>
      <c r="C632" s="61" t="s">
        <v>1380</v>
      </c>
      <c r="D632" s="61" t="s">
        <v>78</v>
      </c>
      <c r="E632" s="62" t="str">
        <f>IFERROR(VLOOKUP(Tableau242[[#This Row],[Manager ou CDM concerné]],Parametres!B:C,2,FALSE),"")</f>
        <v>Squad G</v>
      </c>
      <c r="F632" s="62" t="str">
        <f>IF(Tableau242[[#This Row],[Consultant]]=Tableau242[[#This Row],[Manager ou CDM concerné]],"Non",IF(IFERROR(VLOOKUP(Tableau242[[#This Row],[Consultant]],Parametres!B:C,2,FALSE),0)=0,"Non","Oui"))</f>
        <v>Non</v>
      </c>
      <c r="G632" s="62">
        <f>IFERROR(VLOOKUP(B632,Tableau5[#All],4,FALSE),"Matricule!")</f>
        <v>19</v>
      </c>
      <c r="H632" s="62" t="str">
        <f>IFERROR(VLOOKUP(Tableau242[[#This Row],[Company number]],#REF!,6,FALSE),"")</f>
        <v/>
      </c>
      <c r="I632" s="62">
        <f>IFERROR(VLOOKUP(B632,Tableau5[#All],5,FALSE),"Matricule!")</f>
        <v>0</v>
      </c>
      <c r="J632" s="62">
        <f>IFERROR(VLOOKUP(B632,Tableau5[#All],6,FALSE),"Matricule!")</f>
        <v>1</v>
      </c>
      <c r="K632" s="62">
        <f>IFERROR(VLOOKUP(B632,Tableau5[#All],7,FALSE),"Matricule!")</f>
        <v>0</v>
      </c>
      <c r="L632" s="62" t="e">
        <f>VLOOKUP(Tableau242[[#This Row],[Company number]],#REF!,25,FALSE)</f>
        <v>#REF!</v>
      </c>
      <c r="M632" s="62" t="str">
        <f>IFERROR(VLOOKUP(Tableau242[[#This Row],[Company number]],#REF!,30,FALSE),"")</f>
        <v/>
      </c>
      <c r="N632" s="62" t="str">
        <f>IFERROR(VLOOKUP(Tableau242[[#This Row],[Company number]],#REF!,31,FALSE),"")</f>
        <v/>
      </c>
      <c r="O632" s="62" t="str">
        <f>IFERROR(VLOOKUP(Tableau242[[#This Row],[Company number]],#REF!,32,FALSE),"")</f>
        <v/>
      </c>
      <c r="P632" s="62">
        <f>IFERROR(VLOOKUP(B632,Tableau3[#All],5,FALSE),"Matricule!")</f>
        <v>19</v>
      </c>
      <c r="Q632" s="62">
        <f>IFERROR(SUM(VLOOKUP(B632,Tableau3[#All],6,FALSE),VLOOKUP(B632,Tableau3[#All],8,FALSE)),"Matricule!")</f>
        <v>0</v>
      </c>
      <c r="R632" s="62">
        <f>IFERROR(VLOOKUP(B632,Tableau3[#All],7,FALSE),"Matricule!")</f>
        <v>1</v>
      </c>
      <c r="S632" s="62">
        <f>IFERROR(Tableau242[[#This Row],[Prod. days WK]]-Tableau242[[#This Row],[Prod PXX]],"Matricule")</f>
        <v>0</v>
      </c>
      <c r="T632" s="62">
        <f>IFERROR(Tableau242[[#This Row],[Non prod. days WK]]-Tableau242[[#This Row],[Improd PXX]],"Matricule")</f>
        <v>0</v>
      </c>
      <c r="U632" s="62">
        <f>IFERROR(Tableau242[[#This Row],[Paid leave days WK]]-Tableau242[[#This Row],[Congé PXX]],"Matricule")</f>
        <v>0</v>
      </c>
      <c r="V632" s="63">
        <f>IFERROR(VLOOKUP($B632,#REF!,4,FALSE),0)</f>
        <v>0</v>
      </c>
      <c r="W63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32" s="63">
        <f>IF(AND(Tableau242[[#This Row],[Paid leave days]]&gt;0,Tableau242[[#This Row],[Prod. days]]&lt;0),MIN(Tableau242[[#This Row],[Paid leave days]],-Tableau242[[#This Row],[Prod. days]]),0)</f>
        <v>0</v>
      </c>
      <c r="Z632" s="63">
        <f>IFERROR(_xlfn.XLOOKUP(Tableau242[[#This Row],[Consultant]],Tableau2[Collaborateur/Nom affiché],Tableau2[Montant imputé],0),0)</f>
        <v>0</v>
      </c>
      <c r="AA632" s="64">
        <f t="shared" si="10"/>
        <v>0</v>
      </c>
      <c r="AB632" s="65"/>
      <c r="AC632" s="66"/>
      <c r="AD632" s="66"/>
      <c r="AE632" s="105"/>
      <c r="AF632" s="90"/>
    </row>
    <row r="633" spans="1:32" ht="14.45" customHeight="1">
      <c r="A633" s="15">
        <f>Tableau242[[#This Row],[Company number]]+0</f>
        <v>20861</v>
      </c>
      <c r="B633" s="60" t="s">
        <v>1381</v>
      </c>
      <c r="C633" s="61" t="s">
        <v>1382</v>
      </c>
      <c r="D633" s="61" t="s">
        <v>78</v>
      </c>
      <c r="E633" s="62" t="str">
        <f>IFERROR(VLOOKUP(Tableau242[[#This Row],[Manager ou CDM concerné]],Parametres!B:C,2,FALSE),"")</f>
        <v>Squad G</v>
      </c>
      <c r="F633" s="62" t="str">
        <f>IF(Tableau242[[#This Row],[Consultant]]=Tableau242[[#This Row],[Manager ou CDM concerné]],"Non",IF(IFERROR(VLOOKUP(Tableau242[[#This Row],[Consultant]],Parametres!B:C,2,FALSE),0)=0,"Non","Oui"))</f>
        <v>Non</v>
      </c>
      <c r="G633" s="62">
        <f>IFERROR(VLOOKUP(B633,Tableau5[#All],4,FALSE),"Matricule!")</f>
        <v>10</v>
      </c>
      <c r="H633" s="62" t="str">
        <f>IFERROR(VLOOKUP(Tableau242[[#This Row],[Company number]],#REF!,6,FALSE),"")</f>
        <v/>
      </c>
      <c r="I633" s="62">
        <f>IFERROR(VLOOKUP(B633,Tableau5[#All],5,FALSE),"Matricule!")</f>
        <v>9.5</v>
      </c>
      <c r="J633" s="62">
        <f>IFERROR(VLOOKUP(B633,Tableau5[#All],6,FALSE),"Matricule!")</f>
        <v>0.5</v>
      </c>
      <c r="K633" s="62">
        <f>IFERROR(VLOOKUP(B633,Tableau5[#All],7,FALSE),"Matricule!")</f>
        <v>0</v>
      </c>
      <c r="L633" s="62" t="e">
        <f>VLOOKUP(Tableau242[[#This Row],[Company number]],#REF!,25,FALSE)</f>
        <v>#REF!</v>
      </c>
      <c r="M633" s="62" t="str">
        <f>IFERROR(VLOOKUP(Tableau242[[#This Row],[Company number]],#REF!,30,FALSE),"")</f>
        <v/>
      </c>
      <c r="N633" s="62" t="str">
        <f>IFERROR(VLOOKUP(Tableau242[[#This Row],[Company number]],#REF!,31,FALSE),"")</f>
        <v/>
      </c>
      <c r="O633" s="62" t="str">
        <f>IFERROR(VLOOKUP(Tableau242[[#This Row],[Company number]],#REF!,32,FALSE),"")</f>
        <v/>
      </c>
      <c r="P633" s="62">
        <f>IFERROR(VLOOKUP(B633,Tableau3[#All],5,FALSE),"Matricule!")</f>
        <v>10</v>
      </c>
      <c r="Q633" s="62">
        <f>IFERROR(SUM(VLOOKUP(B633,Tableau3[#All],6,FALSE),VLOOKUP(B633,Tableau3[#All],8,FALSE)),"Matricule!")</f>
        <v>9.5</v>
      </c>
      <c r="R633" s="62">
        <f>IFERROR(VLOOKUP(B633,Tableau3[#All],7,FALSE),"Matricule!")</f>
        <v>0.5</v>
      </c>
      <c r="S633" s="62">
        <f>IFERROR(Tableau242[[#This Row],[Prod. days WK]]-Tableau242[[#This Row],[Prod PXX]],"Matricule")</f>
        <v>0</v>
      </c>
      <c r="T633" s="62">
        <f>IFERROR(Tableau242[[#This Row],[Non prod. days WK]]-Tableau242[[#This Row],[Improd PXX]],"Matricule")</f>
        <v>0</v>
      </c>
      <c r="U633" s="62">
        <f>IFERROR(Tableau242[[#This Row],[Paid leave days WK]]-Tableau242[[#This Row],[Congé PXX]],"Matricule")</f>
        <v>0</v>
      </c>
      <c r="V633" s="63">
        <f>IFERROR(VLOOKUP($B633,#REF!,4,FALSE),0)</f>
        <v>0</v>
      </c>
      <c r="W63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33" s="63">
        <f>IF(AND(Tableau242[[#This Row],[Paid leave days]]&gt;0,Tableau242[[#This Row],[Prod. days]]&lt;0),MIN(Tableau242[[#This Row],[Paid leave days]],-Tableau242[[#This Row],[Prod. days]]),0)</f>
        <v>0</v>
      </c>
      <c r="Z633" s="63">
        <f>IFERROR(_xlfn.XLOOKUP(Tableau242[[#This Row],[Consultant]],Tableau2[Collaborateur/Nom affiché],Tableau2[Montant imputé],0),0)</f>
        <v>0</v>
      </c>
      <c r="AA633" s="64">
        <f t="shared" si="10"/>
        <v>0</v>
      </c>
      <c r="AB633" s="65" t="s">
        <v>154</v>
      </c>
      <c r="AC633" s="67"/>
      <c r="AD633" s="66"/>
      <c r="AE633" s="105"/>
      <c r="AF633" s="96"/>
    </row>
    <row r="634" spans="1:32" ht="14.45" customHeight="1">
      <c r="A634" s="15">
        <f>Tableau242[[#This Row],[Company number]]+0</f>
        <v>20813</v>
      </c>
      <c r="B634" s="60" t="s">
        <v>1383</v>
      </c>
      <c r="C634" s="61" t="s">
        <v>1384</v>
      </c>
      <c r="D634" s="61" t="s">
        <v>78</v>
      </c>
      <c r="E634" s="62" t="str">
        <f>IFERROR(VLOOKUP(Tableau242[[#This Row],[Manager ou CDM concerné]],Parametres!B:C,2,FALSE),"")</f>
        <v>Squad G</v>
      </c>
      <c r="F634" s="62" t="str">
        <f>IF(Tableau242[[#This Row],[Consultant]]=Tableau242[[#This Row],[Manager ou CDM concerné]],"Non",IF(IFERROR(VLOOKUP(Tableau242[[#This Row],[Consultant]],Parametres!B:C,2,FALSE),0)=0,"Non","Oui"))</f>
        <v>Non</v>
      </c>
      <c r="G634" s="62">
        <f>IFERROR(VLOOKUP(B634,Tableau5[#All],4,FALSE),"Matricule!")</f>
        <v>0</v>
      </c>
      <c r="H634" s="62" t="str">
        <f>IFERROR(VLOOKUP(Tableau242[[#This Row],[Company number]],#REF!,6,FALSE),"")</f>
        <v/>
      </c>
      <c r="I634" s="62">
        <f>IFERROR(VLOOKUP(B634,Tableau5[#All],5,FALSE),"Matricule!")</f>
        <v>20</v>
      </c>
      <c r="J634" s="62">
        <f>IFERROR(VLOOKUP(B634,Tableau5[#All],6,FALSE),"Matricule!")</f>
        <v>0</v>
      </c>
      <c r="K634" s="62">
        <f>IFERROR(VLOOKUP(B634,Tableau5[#All],7,FALSE),"Matricule!")</f>
        <v>0</v>
      </c>
      <c r="L634" s="62" t="e">
        <f>VLOOKUP(Tableau242[[#This Row],[Company number]],#REF!,25,FALSE)</f>
        <v>#REF!</v>
      </c>
      <c r="M634" s="62" t="str">
        <f>IFERROR(VLOOKUP(Tableau242[[#This Row],[Company number]],#REF!,30,FALSE),"")</f>
        <v/>
      </c>
      <c r="N634" s="62" t="str">
        <f>IFERROR(VLOOKUP(Tableau242[[#This Row],[Company number]],#REF!,31,FALSE),"")</f>
        <v/>
      </c>
      <c r="O634" s="62" t="str">
        <f>IFERROR(VLOOKUP(Tableau242[[#This Row],[Company number]],#REF!,32,FALSE),"")</f>
        <v/>
      </c>
      <c r="P634" s="62">
        <f>IFERROR(VLOOKUP(B634,Tableau3[#All],5,FALSE),"Matricule!")</f>
        <v>0</v>
      </c>
      <c r="Q634" s="62">
        <f>IFERROR(SUM(VLOOKUP(B634,Tableau3[#All],6,FALSE),VLOOKUP(B634,Tableau3[#All],8,FALSE)),"Matricule!")</f>
        <v>20</v>
      </c>
      <c r="R634" s="62">
        <f>IFERROR(VLOOKUP(B634,Tableau3[#All],7,FALSE),"Matricule!")</f>
        <v>0</v>
      </c>
      <c r="S634" s="62">
        <f>IFERROR(Tableau242[[#This Row],[Prod. days WK]]-Tableau242[[#This Row],[Prod PXX]],"Matricule")</f>
        <v>0</v>
      </c>
      <c r="T634" s="62">
        <f>IFERROR(Tableau242[[#This Row],[Non prod. days WK]]-Tableau242[[#This Row],[Improd PXX]],"Matricule")</f>
        <v>0</v>
      </c>
      <c r="U634" s="62">
        <f>IFERROR(Tableau242[[#This Row],[Paid leave days WK]]-Tableau242[[#This Row],[Congé PXX]],"Matricule")</f>
        <v>0</v>
      </c>
      <c r="V634" s="63">
        <f>IFERROR(VLOOKUP($B634,#REF!,4,FALSE),0)</f>
        <v>0</v>
      </c>
      <c r="W63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34" s="63">
        <f>IF(AND(Tableau242[[#This Row],[Paid leave days]]&gt;0,Tableau242[[#This Row],[Prod. days]]&lt;0),MIN(Tableau242[[#This Row],[Paid leave days]],-Tableau242[[#This Row],[Prod. days]]),0)</f>
        <v>0</v>
      </c>
      <c r="Z634" s="63">
        <f>IFERROR(_xlfn.XLOOKUP(Tableau242[[#This Row],[Consultant]],Tableau2[Collaborateur/Nom affiché],Tableau2[Montant imputé],0),0)</f>
        <v>0</v>
      </c>
      <c r="AA634" s="64">
        <f t="shared" si="10"/>
        <v>0</v>
      </c>
      <c r="AB634" s="65" t="s">
        <v>154</v>
      </c>
      <c r="AC634" s="67"/>
      <c r="AD634" s="67"/>
      <c r="AE634" s="106"/>
      <c r="AF634" s="92"/>
    </row>
    <row r="635" spans="1:32" ht="14.45" customHeight="1">
      <c r="A635" s="15">
        <f>Tableau242[[#This Row],[Company number]]+0</f>
        <v>22200</v>
      </c>
      <c r="B635" s="60" t="s">
        <v>1385</v>
      </c>
      <c r="C635" s="61" t="s">
        <v>1386</v>
      </c>
      <c r="D635" s="61" t="s">
        <v>78</v>
      </c>
      <c r="E635" s="62" t="str">
        <f>IFERROR(VLOOKUP(Tableau242[[#This Row],[Manager ou CDM concerné]],Parametres!B:C,2,FALSE),"")</f>
        <v>Squad G</v>
      </c>
      <c r="F635" s="62" t="str">
        <f>IF(Tableau242[[#This Row],[Consultant]]=Tableau242[[#This Row],[Manager ou CDM concerné]],"Non",IF(IFERROR(VLOOKUP(Tableau242[[#This Row],[Consultant]],Parametres!B:C,2,FALSE),0)=0,"Non","Oui"))</f>
        <v>Non</v>
      </c>
      <c r="G635" s="62">
        <f>IFERROR(VLOOKUP(B635,Tableau5[#All],4,FALSE),"Matricule!")</f>
        <v>0</v>
      </c>
      <c r="H635" s="62" t="str">
        <f>IFERROR(VLOOKUP(Tableau242[[#This Row],[Company number]],#REF!,6,FALSE),"")</f>
        <v/>
      </c>
      <c r="I635" s="62">
        <f>IFERROR(VLOOKUP(B635,Tableau5[#All],5,FALSE),"Matricule!")</f>
        <v>15</v>
      </c>
      <c r="J635" s="62">
        <f>IFERROR(VLOOKUP(B635,Tableau5[#All],6,FALSE),"Matricule!")</f>
        <v>5</v>
      </c>
      <c r="K635" s="62">
        <f>IFERROR(VLOOKUP(B635,Tableau5[#All],7,FALSE),"Matricule!")</f>
        <v>0</v>
      </c>
      <c r="L635" s="62" t="e">
        <f>VLOOKUP(Tableau242[[#This Row],[Company number]],#REF!,25,FALSE)</f>
        <v>#REF!</v>
      </c>
      <c r="M635" s="62" t="str">
        <f>IFERROR(VLOOKUP(Tableau242[[#This Row],[Company number]],#REF!,30,FALSE),"")</f>
        <v/>
      </c>
      <c r="N635" s="62" t="str">
        <f>IFERROR(VLOOKUP(Tableau242[[#This Row],[Company number]],#REF!,31,FALSE),"")</f>
        <v/>
      </c>
      <c r="O635" s="62" t="str">
        <f>IFERROR(VLOOKUP(Tableau242[[#This Row],[Company number]],#REF!,32,FALSE),"")</f>
        <v/>
      </c>
      <c r="P635" s="62">
        <f>IFERROR(VLOOKUP(B635,Tableau3[#All],5,FALSE),"Matricule!")</f>
        <v>0</v>
      </c>
      <c r="Q635" s="62">
        <f>IFERROR(SUM(VLOOKUP(B635,Tableau3[#All],6,FALSE),VLOOKUP(B635,Tableau3[#All],8,FALSE)),"Matricule!")</f>
        <v>15</v>
      </c>
      <c r="R635" s="62">
        <f>IFERROR(VLOOKUP(B635,Tableau3[#All],7,FALSE),"Matricule!")</f>
        <v>5</v>
      </c>
      <c r="S635" s="62">
        <f>IFERROR(Tableau242[[#This Row],[Prod. days WK]]-Tableau242[[#This Row],[Prod PXX]],"Matricule")</f>
        <v>0</v>
      </c>
      <c r="T635" s="62">
        <f>IFERROR(Tableau242[[#This Row],[Non prod. days WK]]-Tableau242[[#This Row],[Improd PXX]],"Matricule")</f>
        <v>0</v>
      </c>
      <c r="U635" s="62">
        <f>IFERROR(Tableau242[[#This Row],[Paid leave days WK]]-Tableau242[[#This Row],[Congé PXX]],"Matricule")</f>
        <v>0</v>
      </c>
      <c r="V635" s="63">
        <f>IFERROR(VLOOKUP($B635,#REF!,4,FALSE),0)</f>
        <v>0</v>
      </c>
      <c r="W63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35" s="63">
        <f>IF(AND(Tableau242[[#This Row],[Paid leave days]]&gt;0,Tableau242[[#This Row],[Prod. days]]&lt;0),MIN(Tableau242[[#This Row],[Paid leave days]],-Tableau242[[#This Row],[Prod. days]]),0)</f>
        <v>0</v>
      </c>
      <c r="Z635" s="63">
        <f>IFERROR(_xlfn.XLOOKUP(Tableau242[[#This Row],[Consultant]],Tableau2[Collaborateur/Nom affiché],Tableau2[Montant imputé],0),0)</f>
        <v>0</v>
      </c>
      <c r="AA635" s="64">
        <f t="shared" si="10"/>
        <v>0</v>
      </c>
      <c r="AB635" s="65" t="s">
        <v>154</v>
      </c>
      <c r="AC635" s="66"/>
      <c r="AD635" s="66"/>
      <c r="AE635" s="105"/>
      <c r="AF635" s="90"/>
    </row>
    <row r="636" spans="1:32">
      <c r="A636" s="15">
        <f>Tableau242[[#This Row],[Company number]]+0</f>
        <v>21261</v>
      </c>
      <c r="B636" s="60" t="s">
        <v>1387</v>
      </c>
      <c r="C636" s="61" t="s">
        <v>1388</v>
      </c>
      <c r="D636" s="61" t="s">
        <v>78</v>
      </c>
      <c r="E636" s="62" t="str">
        <f>IFERROR(VLOOKUP(Tableau242[[#This Row],[Manager ou CDM concerné]],Parametres!B:C,2,FALSE),"")</f>
        <v>Squad G</v>
      </c>
      <c r="F636" s="62" t="str">
        <f>IF(Tableau242[[#This Row],[Consultant]]=Tableau242[[#This Row],[Manager ou CDM concerné]],"Non",IF(IFERROR(VLOOKUP(Tableau242[[#This Row],[Consultant]],Parametres!B:C,2,FALSE),0)=0,"Non","Oui"))</f>
        <v>Non</v>
      </c>
      <c r="G636" s="62">
        <f>IFERROR(VLOOKUP(B636,Tableau5[#All],4,FALSE),"Matricule!")</f>
        <v>13.5</v>
      </c>
      <c r="H636" s="62" t="str">
        <f>IFERROR(VLOOKUP(Tableau242[[#This Row],[Company number]],#REF!,6,FALSE),"")</f>
        <v/>
      </c>
      <c r="I636" s="62">
        <f>IFERROR(VLOOKUP(B636,Tableau5[#All],5,FALSE),"Matricule!")</f>
        <v>0</v>
      </c>
      <c r="J636" s="62">
        <f>IFERROR(VLOOKUP(B636,Tableau5[#All],6,FALSE),"Matricule!")</f>
        <v>6.5</v>
      </c>
      <c r="K636" s="62">
        <f>IFERROR(VLOOKUP(B636,Tableau5[#All],7,FALSE),"Matricule!")</f>
        <v>0</v>
      </c>
      <c r="L636" s="62" t="e">
        <f>VLOOKUP(Tableau242[[#This Row],[Company number]],#REF!,25,FALSE)</f>
        <v>#REF!</v>
      </c>
      <c r="M636" s="62" t="str">
        <f>IFERROR(VLOOKUP(Tableau242[[#This Row],[Company number]],#REF!,30,FALSE),"")</f>
        <v/>
      </c>
      <c r="N636" s="62" t="str">
        <f>IFERROR(VLOOKUP(Tableau242[[#This Row],[Company number]],#REF!,31,FALSE),"")</f>
        <v/>
      </c>
      <c r="O636" s="62" t="str">
        <f>IFERROR(VLOOKUP(Tableau242[[#This Row],[Company number]],#REF!,32,FALSE),"")</f>
        <v/>
      </c>
      <c r="P636" s="62">
        <f>IFERROR(VLOOKUP(B636,Tableau3[#All],5,FALSE),"Matricule!")</f>
        <v>14</v>
      </c>
      <c r="Q636" s="62">
        <f>IFERROR(SUM(VLOOKUP(B636,Tableau3[#All],6,FALSE),VLOOKUP(B636,Tableau3[#All],8,FALSE)),"Matricule!")</f>
        <v>0</v>
      </c>
      <c r="R636" s="62">
        <f>IFERROR(VLOOKUP(B636,Tableau3[#All],7,FALSE),"Matricule!")</f>
        <v>6</v>
      </c>
      <c r="S636" s="62">
        <f>IFERROR(Tableau242[[#This Row],[Prod. days WK]]-Tableau242[[#This Row],[Prod PXX]],"Matricule")</f>
        <v>-0.5</v>
      </c>
      <c r="T636" s="62">
        <f>IFERROR(Tableau242[[#This Row],[Non prod. days WK]]-Tableau242[[#This Row],[Improd PXX]],"Matricule")</f>
        <v>0</v>
      </c>
      <c r="U636" s="62">
        <f>IFERROR(Tableau242[[#This Row],[Paid leave days WK]]-Tableau242[[#This Row],[Congé PXX]],"Matricule")</f>
        <v>0.5</v>
      </c>
      <c r="V636" s="63">
        <f>IFERROR(VLOOKUP($B636,#REF!,4,FALSE),0)</f>
        <v>0</v>
      </c>
      <c r="W63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36" s="63">
        <f>IF(AND(Tableau242[[#This Row],[Paid leave days]]&gt;0,Tableau242[[#This Row],[Prod. days]]&lt;0),MIN(Tableau242[[#This Row],[Paid leave days]],-Tableau242[[#This Row],[Prod. days]]),0)</f>
        <v>0.5</v>
      </c>
      <c r="Z636" s="63">
        <f>IFERROR(_xlfn.XLOOKUP(Tableau242[[#This Row],[Consultant]],Tableau2[Collaborateur/Nom affiché],Tableau2[Montant imputé],0),0)</f>
        <v>0</v>
      </c>
      <c r="AA636" s="64">
        <f t="shared" si="10"/>
        <v>-0.5</v>
      </c>
      <c r="AB636" s="65" t="s">
        <v>299</v>
      </c>
      <c r="AC636" s="66"/>
      <c r="AD636" s="66"/>
      <c r="AE636" s="39"/>
      <c r="AF636" s="90"/>
    </row>
    <row r="637" spans="1:32">
      <c r="A637" s="15">
        <f>Tableau242[[#This Row],[Company number]]+0</f>
        <v>21860</v>
      </c>
      <c r="B637" s="60" t="s">
        <v>1389</v>
      </c>
      <c r="C637" s="61" t="s">
        <v>1390</v>
      </c>
      <c r="D637" s="61" t="s">
        <v>78</v>
      </c>
      <c r="E637" s="75" t="str">
        <f>IFERROR(VLOOKUP(Tableau242[[#This Row],[Manager ou CDM concerné]],Parametres!B:C,2,FALSE),"")</f>
        <v>Squad G</v>
      </c>
      <c r="F637" s="75" t="str">
        <f>IF(Tableau242[[#This Row],[Consultant]]=Tableau242[[#This Row],[Manager ou CDM concerné]],"Non",IF(IFERROR(VLOOKUP(Tableau242[[#This Row],[Consultant]],Parametres!B:C,2,FALSE),0)=0,"Non","Oui"))</f>
        <v>Non</v>
      </c>
      <c r="G637" s="62">
        <f>IFERROR(VLOOKUP(B637,Tableau5[#All],4,FALSE),"Matricule!")</f>
        <v>19</v>
      </c>
      <c r="H637" s="75" t="str">
        <f>IFERROR(VLOOKUP(Tableau242[[#This Row],[Company number]],#REF!,6,FALSE),"")</f>
        <v/>
      </c>
      <c r="I637" s="62">
        <f>IFERROR(VLOOKUP(B637,Tableau5[#All],5,FALSE),"Matricule!")</f>
        <v>0</v>
      </c>
      <c r="J637" s="62">
        <f>IFERROR(VLOOKUP(B637,Tableau5[#All],6,FALSE),"Matricule!")</f>
        <v>1</v>
      </c>
      <c r="K637" s="62">
        <f>IFERROR(VLOOKUP(B637,Tableau5[#All],7,FALSE),"Matricule!")</f>
        <v>0</v>
      </c>
      <c r="L637" s="75" t="e">
        <f>VLOOKUP(Tableau242[[#This Row],[Company number]],#REF!,25,FALSE)</f>
        <v>#REF!</v>
      </c>
      <c r="M637" s="75" t="str">
        <f>IFERROR(VLOOKUP(Tableau242[[#This Row],[Company number]],#REF!,30,FALSE),"")</f>
        <v/>
      </c>
      <c r="N637" s="75" t="str">
        <f>IFERROR(VLOOKUP(Tableau242[[#This Row],[Company number]],#REF!,31,FALSE),"")</f>
        <v/>
      </c>
      <c r="O637" s="75" t="str">
        <f>IFERROR(VLOOKUP(Tableau242[[#This Row],[Company number]],#REF!,32,FALSE),"")</f>
        <v/>
      </c>
      <c r="P637" s="62">
        <f>IFERROR(VLOOKUP(B637,Tableau3[#All],5,FALSE),"Matricule!")</f>
        <v>19</v>
      </c>
      <c r="Q637" s="62">
        <f>IFERROR(SUM(VLOOKUP(B637,Tableau3[#All],6,FALSE),VLOOKUP(B637,Tableau3[#All],8,FALSE)),"Matricule!")</f>
        <v>0</v>
      </c>
      <c r="R637" s="62">
        <f>IFERROR(VLOOKUP(B637,Tableau3[#All],7,FALSE),"Matricule!")</f>
        <v>1</v>
      </c>
      <c r="S637" s="62">
        <f>IFERROR(Tableau242[[#This Row],[Prod. days WK]]-Tableau242[[#This Row],[Prod PXX]],"Matricule")</f>
        <v>0</v>
      </c>
      <c r="T637" s="62">
        <f>IFERROR(Tableau242[[#This Row],[Non prod. days WK]]-Tableau242[[#This Row],[Improd PXX]],"Matricule")</f>
        <v>0</v>
      </c>
      <c r="U637" s="62">
        <f>IFERROR(Tableau242[[#This Row],[Paid leave days WK]]-Tableau242[[#This Row],[Congé PXX]],"Matricule")</f>
        <v>0</v>
      </c>
      <c r="V637" s="76">
        <f>IFERROR(VLOOKUP($B637,#REF!,4,FALSE),0)</f>
        <v>0</v>
      </c>
      <c r="W637" s="76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7" s="76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37" s="76">
        <f>IF(AND(Tableau242[[#This Row],[Paid leave days]]&gt;0,Tableau242[[#This Row],[Prod. days]]&lt;0),MIN(Tableau242[[#This Row],[Paid leave days]],-Tableau242[[#This Row],[Prod. days]]),0)</f>
        <v>0</v>
      </c>
      <c r="Z637" s="63">
        <f>IFERROR(_xlfn.XLOOKUP(Tableau242[[#This Row],[Consultant]],Tableau2[Collaborateur/Nom affiché],Tableau2[Montant imputé],0),0)</f>
        <v>0</v>
      </c>
      <c r="AA637" s="77">
        <f t="shared" si="10"/>
        <v>0</v>
      </c>
      <c r="AB637" s="65"/>
      <c r="AC637" s="66"/>
      <c r="AD637" s="66"/>
      <c r="AE637" s="105"/>
      <c r="AF637" s="90"/>
    </row>
    <row r="638" spans="1:32" ht="14.45" customHeight="1">
      <c r="A638" s="15">
        <f>Tableau242[[#This Row],[Company number]]+0</f>
        <v>9670</v>
      </c>
      <c r="B638" s="60" t="s">
        <v>1391</v>
      </c>
      <c r="C638" s="61" t="s">
        <v>93</v>
      </c>
      <c r="D638" s="61" t="s">
        <v>38</v>
      </c>
      <c r="E638" s="62" t="str">
        <f>IFERROR(VLOOKUP(Tableau242[[#This Row],[Manager ou CDM concerné]],Parametres!B:C,2,FALSE),"")</f>
        <v>Squad H</v>
      </c>
      <c r="F638" s="62" t="str">
        <f>IF(Tableau242[[#This Row],[Consultant]]=Tableau242[[#This Row],[Manager ou CDM concerné]],"Non",IF(IFERROR(VLOOKUP(Tableau242[[#This Row],[Consultant]],Parametres!B:C,2,FALSE),0)=0,"Non","Oui"))</f>
        <v>Oui</v>
      </c>
      <c r="G638" s="62">
        <f>IFERROR(VLOOKUP(B638,Tableau5[#All],4,FALSE),"Matricule!")</f>
        <v>0</v>
      </c>
      <c r="H638" s="62" t="str">
        <f>IFERROR(VLOOKUP(Tableau242[[#This Row],[Company number]],#REF!,6,FALSE),"")</f>
        <v/>
      </c>
      <c r="I638" s="62">
        <f>IFERROR(VLOOKUP(B638,Tableau5[#All],5,FALSE),"Matricule!")</f>
        <v>20</v>
      </c>
      <c r="J638" s="62">
        <f>IFERROR(VLOOKUP(B638,Tableau5[#All],6,FALSE),"Matricule!")</f>
        <v>0</v>
      </c>
      <c r="K638" s="62">
        <f>IFERROR(VLOOKUP(B638,Tableau5[#All],7,FALSE),"Matricule!")</f>
        <v>0</v>
      </c>
      <c r="L638" s="62" t="e">
        <f>VLOOKUP(Tableau242[[#This Row],[Company number]],#REF!,25,FALSE)</f>
        <v>#REF!</v>
      </c>
      <c r="M638" s="62" t="str">
        <f>IFERROR(VLOOKUP(Tableau242[[#This Row],[Company number]],#REF!,30,FALSE),"")</f>
        <v/>
      </c>
      <c r="N638" s="62" t="str">
        <f>IFERROR(VLOOKUP(Tableau242[[#This Row],[Company number]],#REF!,31,FALSE),"")</f>
        <v/>
      </c>
      <c r="O638" s="62" t="str">
        <f>IFERROR(VLOOKUP(Tableau242[[#This Row],[Company number]],#REF!,32,FALSE),"")</f>
        <v/>
      </c>
      <c r="P638" s="62">
        <f>IFERROR(VLOOKUP(B638,Tableau3[#All],5,FALSE),"Matricule!")</f>
        <v>0</v>
      </c>
      <c r="Q638" s="62">
        <f>IFERROR(SUM(VLOOKUP(B638,Tableau3[#All],6,FALSE),VLOOKUP(B638,Tableau3[#All],8,FALSE)),"Matricule!")</f>
        <v>19</v>
      </c>
      <c r="R638" s="62">
        <f>IFERROR(VLOOKUP(B638,Tableau3[#All],7,FALSE),"Matricule!")</f>
        <v>1</v>
      </c>
      <c r="S638" s="62">
        <f>IFERROR(Tableau242[[#This Row],[Prod. days WK]]-Tableau242[[#This Row],[Prod PXX]],"Matricule")</f>
        <v>0</v>
      </c>
      <c r="T638" s="62">
        <f>IFERROR(Tableau242[[#This Row],[Non prod. days WK]]-Tableau242[[#This Row],[Improd PXX]],"Matricule")</f>
        <v>1</v>
      </c>
      <c r="U638" s="62">
        <f>IFERROR(Tableau242[[#This Row],[Paid leave days WK]]-Tableau242[[#This Row],[Congé PXX]],"Matricule")</f>
        <v>-1</v>
      </c>
      <c r="V638" s="63">
        <f>IFERROR(VLOOKUP($B638,#REF!,4,FALSE),0)</f>
        <v>0</v>
      </c>
      <c r="W63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38" s="63">
        <f>IF(AND(Tableau242[[#This Row],[Paid leave days]]&gt;0,Tableau242[[#This Row],[Prod. days]]&lt;0),MIN(Tableau242[[#This Row],[Paid leave days]],-Tableau242[[#This Row],[Prod. days]]),0)</f>
        <v>0</v>
      </c>
      <c r="Z638" s="63">
        <f>IFERROR(_xlfn.XLOOKUP(Tableau242[[#This Row],[Consultant]],Tableau2[Collaborateur/Nom affiché],Tableau2[Montant imputé],0),0)</f>
        <v>0</v>
      </c>
      <c r="AA638" s="64">
        <f t="shared" si="10"/>
        <v>0</v>
      </c>
      <c r="AB638" s="65"/>
      <c r="AC638" s="66"/>
      <c r="AD638" s="66"/>
      <c r="AE638" s="105"/>
      <c r="AF638" s="90"/>
    </row>
    <row r="639" spans="1:32" ht="14.45" customHeight="1">
      <c r="A639" s="15">
        <f>Tableau242[[#This Row],[Company number]]+0</f>
        <v>21265</v>
      </c>
      <c r="B639" s="60" t="s">
        <v>1392</v>
      </c>
      <c r="C639" s="61" t="s">
        <v>1393</v>
      </c>
      <c r="D639" s="61" t="s">
        <v>95</v>
      </c>
      <c r="E639" s="62" t="str">
        <f>IFERROR(VLOOKUP(Tableau242[[#This Row],[Manager ou CDM concerné]],Parametres!B:C,2,FALSE),"")</f>
        <v>Squad G</v>
      </c>
      <c r="F639" s="62" t="str">
        <f>IF(Tableau242[[#This Row],[Consultant]]=Tableau242[[#This Row],[Manager ou CDM concerné]],"Non",IF(IFERROR(VLOOKUP(Tableau242[[#This Row],[Consultant]],Parametres!B:C,2,FALSE),0)=0,"Non","Oui"))</f>
        <v>Non</v>
      </c>
      <c r="G639" s="62">
        <f>IFERROR(VLOOKUP(B639,Tableau5[#All],4,FALSE),"Matricule!")</f>
        <v>11</v>
      </c>
      <c r="H639" s="62" t="str">
        <f>IFERROR(VLOOKUP(Tableau242[[#This Row],[Company number]],#REF!,6,FALSE),"")</f>
        <v/>
      </c>
      <c r="I639" s="62">
        <f>IFERROR(VLOOKUP(B639,Tableau5[#All],5,FALSE),"Matricule!")</f>
        <v>0</v>
      </c>
      <c r="J639" s="62">
        <f>IFERROR(VLOOKUP(B639,Tableau5[#All],6,FALSE),"Matricule!")</f>
        <v>9</v>
      </c>
      <c r="K639" s="62">
        <f>IFERROR(VLOOKUP(B639,Tableau5[#All],7,FALSE),"Matricule!")</f>
        <v>0</v>
      </c>
      <c r="L639" s="62" t="e">
        <f>VLOOKUP(Tableau242[[#This Row],[Company number]],#REF!,25,FALSE)</f>
        <v>#REF!</v>
      </c>
      <c r="M639" s="62" t="str">
        <f>IFERROR(VLOOKUP(Tableau242[[#This Row],[Company number]],#REF!,30,FALSE),"")</f>
        <v/>
      </c>
      <c r="N639" s="62" t="str">
        <f>IFERROR(VLOOKUP(Tableau242[[#This Row],[Company number]],#REF!,31,FALSE),"")</f>
        <v/>
      </c>
      <c r="O639" s="62" t="str">
        <f>IFERROR(VLOOKUP(Tableau242[[#This Row],[Company number]],#REF!,32,FALSE),"")</f>
        <v/>
      </c>
      <c r="P639" s="62">
        <f>IFERROR(VLOOKUP(B639,Tableau3[#All],5,FALSE),"Matricule!")</f>
        <v>11</v>
      </c>
      <c r="Q639" s="62">
        <f>IFERROR(SUM(VLOOKUP(B639,Tableau3[#All],6,FALSE),VLOOKUP(B639,Tableau3[#All],8,FALSE)),"Matricule!")</f>
        <v>0</v>
      </c>
      <c r="R639" s="62">
        <f>IFERROR(VLOOKUP(B639,Tableau3[#All],7,FALSE),"Matricule!")</f>
        <v>9</v>
      </c>
      <c r="S639" s="62">
        <f>IFERROR(Tableau242[[#This Row],[Prod. days WK]]-Tableau242[[#This Row],[Prod PXX]],"Matricule")</f>
        <v>0</v>
      </c>
      <c r="T639" s="62">
        <f>IFERROR(Tableau242[[#This Row],[Non prod. days WK]]-Tableau242[[#This Row],[Improd PXX]],"Matricule")</f>
        <v>0</v>
      </c>
      <c r="U639" s="62">
        <f>IFERROR(Tableau242[[#This Row],[Paid leave days WK]]-Tableau242[[#This Row],[Congé PXX]],"Matricule")</f>
        <v>0</v>
      </c>
      <c r="V639" s="63">
        <f>IFERROR(VLOOKUP($B639,#REF!,4,FALSE),0)</f>
        <v>0</v>
      </c>
      <c r="W63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39" s="63" t="s">
        <v>849</v>
      </c>
      <c r="Y639" s="63">
        <f>IF(AND(Tableau242[[#This Row],[Paid leave days]]&gt;0,Tableau242[[#This Row],[Prod. days]]&lt;0),MIN(Tableau242[[#This Row],[Paid leave days]],-Tableau242[[#This Row],[Prod. days]]),0)</f>
        <v>0</v>
      </c>
      <c r="Z639" s="63">
        <f>IFERROR(_xlfn.XLOOKUP(Tableau242[[#This Row],[Consultant]],Tableau2[Collaborateur/Nom affiché],Tableau2[Montant imputé],0),0)</f>
        <v>0</v>
      </c>
      <c r="AA639" s="64">
        <f t="shared" si="10"/>
        <v>0</v>
      </c>
      <c r="AB639" s="65"/>
      <c r="AC639" s="66"/>
      <c r="AD639" s="66"/>
      <c r="AE639" s="39"/>
      <c r="AF639" s="90"/>
    </row>
    <row r="640" spans="1:32">
      <c r="A640" s="15">
        <f>Tableau242[[#This Row],[Company number]]+0</f>
        <v>21210</v>
      </c>
      <c r="B640" s="60" t="s">
        <v>1394</v>
      </c>
      <c r="C640" s="61" t="s">
        <v>1395</v>
      </c>
      <c r="D640" s="61" t="s">
        <v>95</v>
      </c>
      <c r="E640" s="62" t="str">
        <f>IFERROR(VLOOKUP(Tableau242[[#This Row],[Manager ou CDM concerné]],Parametres!B:C,2,FALSE),"")</f>
        <v>Squad G</v>
      </c>
      <c r="F640" s="62" t="str">
        <f>IF(Tableau242[[#This Row],[Consultant]]=Tableau242[[#This Row],[Manager ou CDM concerné]],"Non",IF(IFERROR(VLOOKUP(Tableau242[[#This Row],[Consultant]],Parametres!B:C,2,FALSE),0)=0,"Non","Oui"))</f>
        <v>Non</v>
      </c>
      <c r="G640" s="62">
        <f>IFERROR(VLOOKUP(B640,Tableau5[#All],4,FALSE),"Matricule!")</f>
        <v>19</v>
      </c>
      <c r="H640" s="62" t="str">
        <f>IFERROR(VLOOKUP(Tableau242[[#This Row],[Company number]],#REF!,6,FALSE),"")</f>
        <v/>
      </c>
      <c r="I640" s="62">
        <f>IFERROR(VLOOKUP(B640,Tableau5[#All],5,FALSE),"Matricule!")</f>
        <v>0</v>
      </c>
      <c r="J640" s="62">
        <f>IFERROR(VLOOKUP(B640,Tableau5[#All],6,FALSE),"Matricule!")</f>
        <v>1</v>
      </c>
      <c r="K640" s="62">
        <f>IFERROR(VLOOKUP(B640,Tableau5[#All],7,FALSE),"Matricule!")</f>
        <v>0</v>
      </c>
      <c r="L640" s="62" t="e">
        <f>VLOOKUP(Tableau242[[#This Row],[Company number]],#REF!,25,FALSE)</f>
        <v>#REF!</v>
      </c>
      <c r="M640" s="62" t="str">
        <f>IFERROR(VLOOKUP(Tableau242[[#This Row],[Company number]],#REF!,30,FALSE),"")</f>
        <v/>
      </c>
      <c r="N640" s="62" t="str">
        <f>IFERROR(VLOOKUP(Tableau242[[#This Row],[Company number]],#REF!,31,FALSE),"")</f>
        <v/>
      </c>
      <c r="O640" s="62" t="str">
        <f>IFERROR(VLOOKUP(Tableau242[[#This Row],[Company number]],#REF!,32,FALSE),"")</f>
        <v/>
      </c>
      <c r="P640" s="62">
        <f>IFERROR(VLOOKUP(B640,Tableau3[#All],5,FALSE),"Matricule!")</f>
        <v>19</v>
      </c>
      <c r="Q640" s="62">
        <f>IFERROR(SUM(VLOOKUP(B640,Tableau3[#All],6,FALSE),VLOOKUP(B640,Tableau3[#All],8,FALSE)),"Matricule!")</f>
        <v>0</v>
      </c>
      <c r="R640" s="62">
        <f>IFERROR(VLOOKUP(B640,Tableau3[#All],7,FALSE),"Matricule!")</f>
        <v>1</v>
      </c>
      <c r="S640" s="62">
        <f>IFERROR(Tableau242[[#This Row],[Prod. days WK]]-Tableau242[[#This Row],[Prod PXX]],"Matricule")</f>
        <v>0</v>
      </c>
      <c r="T640" s="62">
        <f>IFERROR(Tableau242[[#This Row],[Non prod. days WK]]-Tableau242[[#This Row],[Improd PXX]],"Matricule")</f>
        <v>0</v>
      </c>
      <c r="U640" s="62">
        <f>IFERROR(Tableau242[[#This Row],[Paid leave days WK]]-Tableau242[[#This Row],[Congé PXX]],"Matricule")</f>
        <v>0</v>
      </c>
      <c r="V640" s="63">
        <f>IFERROR(VLOOKUP($B640,#REF!,4,FALSE),0)</f>
        <v>0</v>
      </c>
      <c r="W64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40" s="63">
        <f>IF(AND(Tableau242[[#This Row],[Paid leave days]]&gt;0,Tableau242[[#This Row],[Prod. days]]&lt;0),MIN(Tableau242[[#This Row],[Paid leave days]],-Tableau242[[#This Row],[Prod. days]]),0)</f>
        <v>0</v>
      </c>
      <c r="Z640" s="63">
        <f>IFERROR(_xlfn.XLOOKUP(Tableau242[[#This Row],[Consultant]],Tableau2[Collaborateur/Nom affiché],Tableau2[Montant imputé],0),0)</f>
        <v>0</v>
      </c>
      <c r="AA640" s="64">
        <f t="shared" si="10"/>
        <v>0</v>
      </c>
      <c r="AB640" s="65"/>
      <c r="AC640" s="66"/>
      <c r="AD640" s="66"/>
      <c r="AE640" s="105"/>
      <c r="AF640" s="90"/>
    </row>
    <row r="641" spans="1:32" ht="14.45" customHeight="1">
      <c r="A641" s="15">
        <f>Tableau242[[#This Row],[Company number]]+0</f>
        <v>21751</v>
      </c>
      <c r="B641" s="60" t="s">
        <v>1396</v>
      </c>
      <c r="C641" s="61" t="s">
        <v>1397</v>
      </c>
      <c r="D641" s="61" t="s">
        <v>95</v>
      </c>
      <c r="E641" s="62" t="str">
        <f>IFERROR(VLOOKUP(Tableau242[[#This Row],[Manager ou CDM concerné]],Parametres!B:C,2,FALSE),"")</f>
        <v>Squad G</v>
      </c>
      <c r="F641" s="62" t="str">
        <f>IF(Tableau242[[#This Row],[Consultant]]=Tableau242[[#This Row],[Manager ou CDM concerné]],"Non",IF(IFERROR(VLOOKUP(Tableau242[[#This Row],[Consultant]],Parametres!B:C,2,FALSE),0)=0,"Non","Oui"))</f>
        <v>Non</v>
      </c>
      <c r="G641" s="62">
        <f>IFERROR(VLOOKUP(B641,Tableau5[#All],4,FALSE),"Matricule!")</f>
        <v>15</v>
      </c>
      <c r="H641" s="62" t="str">
        <f>IFERROR(VLOOKUP(Tableau242[[#This Row],[Company number]],#REF!,6,FALSE),"")</f>
        <v/>
      </c>
      <c r="I641" s="62">
        <f>IFERROR(VLOOKUP(B641,Tableau5[#All],5,FALSE),"Matricule!")</f>
        <v>5</v>
      </c>
      <c r="J641" s="62">
        <f>IFERROR(VLOOKUP(B641,Tableau5[#All],6,FALSE),"Matricule!")</f>
        <v>0</v>
      </c>
      <c r="K641" s="62">
        <f>IFERROR(VLOOKUP(B641,Tableau5[#All],7,FALSE),"Matricule!")</f>
        <v>0</v>
      </c>
      <c r="L641" s="62" t="e">
        <f>VLOOKUP(Tableau242[[#This Row],[Company number]],#REF!,25,FALSE)</f>
        <v>#REF!</v>
      </c>
      <c r="M641" s="62" t="str">
        <f>IFERROR(VLOOKUP(Tableau242[[#This Row],[Company number]],#REF!,30,FALSE),"")</f>
        <v/>
      </c>
      <c r="N641" s="62" t="str">
        <f>IFERROR(VLOOKUP(Tableau242[[#This Row],[Company number]],#REF!,31,FALSE),"")</f>
        <v/>
      </c>
      <c r="O641" s="62" t="str">
        <f>IFERROR(VLOOKUP(Tableau242[[#This Row],[Company number]],#REF!,32,FALSE),"")</f>
        <v/>
      </c>
      <c r="P641" s="62">
        <f>IFERROR(VLOOKUP(B641,Tableau3[#All],5,FALSE),"Matricule!")</f>
        <v>15</v>
      </c>
      <c r="Q641" s="62">
        <f>IFERROR(SUM(VLOOKUP(B641,Tableau3[#All],6,FALSE),VLOOKUP(B641,Tableau3[#All],8,FALSE)),"Matricule!")</f>
        <v>5</v>
      </c>
      <c r="R641" s="62">
        <f>IFERROR(VLOOKUP(B641,Tableau3[#All],7,FALSE),"Matricule!")</f>
        <v>0</v>
      </c>
      <c r="S641" s="62">
        <f>IFERROR(Tableau242[[#This Row],[Prod. days WK]]-Tableau242[[#This Row],[Prod PXX]],"Matricule")</f>
        <v>0</v>
      </c>
      <c r="T641" s="62">
        <f>IFERROR(Tableau242[[#This Row],[Non prod. days WK]]-Tableau242[[#This Row],[Improd PXX]],"Matricule")</f>
        <v>0</v>
      </c>
      <c r="U641" s="62">
        <f>IFERROR(Tableau242[[#This Row],[Paid leave days WK]]-Tableau242[[#This Row],[Congé PXX]],"Matricule")</f>
        <v>0</v>
      </c>
      <c r="V641" s="63">
        <f>IFERROR(VLOOKUP($B641,#REF!,4,FALSE),0)</f>
        <v>0</v>
      </c>
      <c r="W64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41" s="63">
        <f>IF(AND(Tableau242[[#This Row],[Paid leave days]]&gt;0,Tableau242[[#This Row],[Prod. days]]&lt;0),MIN(Tableau242[[#This Row],[Paid leave days]],-Tableau242[[#This Row],[Prod. days]]),0)</f>
        <v>0</v>
      </c>
      <c r="Z641" s="63">
        <f>IFERROR(_xlfn.XLOOKUP(Tableau242[[#This Row],[Consultant]],Tableau2[Collaborateur/Nom affiché],Tableau2[Montant imputé],0),0)</f>
        <v>0</v>
      </c>
      <c r="AA641" s="64">
        <f t="shared" si="10"/>
        <v>0</v>
      </c>
      <c r="AB641" s="65"/>
      <c r="AC641" s="66"/>
      <c r="AD641" s="66"/>
      <c r="AE641" s="105"/>
      <c r="AF641" s="90"/>
    </row>
    <row r="642" spans="1:32" ht="14.45" customHeight="1">
      <c r="A642" s="15">
        <f>Tableau242[[#This Row],[Company number]]+0</f>
        <v>18063</v>
      </c>
      <c r="B642" s="60" t="s">
        <v>1398</v>
      </c>
      <c r="C642" s="61" t="s">
        <v>1399</v>
      </c>
      <c r="D642" s="61" t="s">
        <v>95</v>
      </c>
      <c r="E642" s="62" t="str">
        <f>IFERROR(VLOOKUP(Tableau242[[#This Row],[Manager ou CDM concerné]],Parametres!B:C,2,FALSE),"")</f>
        <v>Squad G</v>
      </c>
      <c r="F642" s="62" t="str">
        <f>IF(Tableau242[[#This Row],[Consultant]]=Tableau242[[#This Row],[Manager ou CDM concerné]],"Non",IF(IFERROR(VLOOKUP(Tableau242[[#This Row],[Consultant]],Parametres!B:C,2,FALSE),0)=0,"Non","Oui"))</f>
        <v>Non</v>
      </c>
      <c r="G642" s="62">
        <f>IFERROR(VLOOKUP(B642,Tableau5[#All],4,FALSE),"Matricule!")</f>
        <v>19</v>
      </c>
      <c r="H642" s="62" t="str">
        <f>IFERROR(VLOOKUP(Tableau242[[#This Row],[Company number]],#REF!,6,FALSE),"")</f>
        <v/>
      </c>
      <c r="I642" s="62">
        <f>IFERROR(VLOOKUP(B642,Tableau5[#All],5,FALSE),"Matricule!")</f>
        <v>0</v>
      </c>
      <c r="J642" s="62">
        <f>IFERROR(VLOOKUP(B642,Tableau5[#All],6,FALSE),"Matricule!")</f>
        <v>1</v>
      </c>
      <c r="K642" s="62">
        <f>IFERROR(VLOOKUP(B642,Tableau5[#All],7,FALSE),"Matricule!")</f>
        <v>0</v>
      </c>
      <c r="L642" s="62" t="e">
        <f>VLOOKUP(Tableau242[[#This Row],[Company number]],#REF!,25,FALSE)</f>
        <v>#REF!</v>
      </c>
      <c r="M642" s="62" t="str">
        <f>IFERROR(VLOOKUP(Tableau242[[#This Row],[Company number]],#REF!,30,FALSE),"")</f>
        <v/>
      </c>
      <c r="N642" s="62" t="str">
        <f>IFERROR(VLOOKUP(Tableau242[[#This Row],[Company number]],#REF!,31,FALSE),"")</f>
        <v/>
      </c>
      <c r="O642" s="62" t="str">
        <f>IFERROR(VLOOKUP(Tableau242[[#This Row],[Company number]],#REF!,32,FALSE),"")</f>
        <v/>
      </c>
      <c r="P642" s="62">
        <f>IFERROR(VLOOKUP(B642,Tableau3[#All],5,FALSE),"Matricule!")</f>
        <v>19</v>
      </c>
      <c r="Q642" s="62">
        <f>IFERROR(SUM(VLOOKUP(B642,Tableau3[#All],6,FALSE),VLOOKUP(B642,Tableau3[#All],8,FALSE)),"Matricule!")</f>
        <v>0</v>
      </c>
      <c r="R642" s="62">
        <f>IFERROR(VLOOKUP(B642,Tableau3[#All],7,FALSE),"Matricule!")</f>
        <v>1</v>
      </c>
      <c r="S642" s="62">
        <f>IFERROR(Tableau242[[#This Row],[Prod. days WK]]-Tableau242[[#This Row],[Prod PXX]],"Matricule")</f>
        <v>0</v>
      </c>
      <c r="T642" s="62">
        <f>IFERROR(Tableau242[[#This Row],[Non prod. days WK]]-Tableau242[[#This Row],[Improd PXX]],"Matricule")</f>
        <v>0</v>
      </c>
      <c r="U642" s="62">
        <f>IFERROR(Tableau242[[#This Row],[Paid leave days WK]]-Tableau242[[#This Row],[Congé PXX]],"Matricule")</f>
        <v>0</v>
      </c>
      <c r="V642" s="63">
        <f>IFERROR(VLOOKUP($B642,#REF!,4,FALSE),0)</f>
        <v>0</v>
      </c>
      <c r="W64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42" s="63">
        <f>IF(AND(Tableau242[[#This Row],[Paid leave days]]&gt;0,Tableau242[[#This Row],[Prod. days]]&lt;0),MIN(Tableau242[[#This Row],[Paid leave days]],-Tableau242[[#This Row],[Prod. days]]),0)</f>
        <v>0</v>
      </c>
      <c r="Z642" s="63">
        <f>IFERROR(_xlfn.XLOOKUP(Tableau242[[#This Row],[Consultant]],Tableau2[Collaborateur/Nom affiché],Tableau2[Montant imputé],0),0)</f>
        <v>0</v>
      </c>
      <c r="AA642" s="64">
        <f t="shared" si="10"/>
        <v>0</v>
      </c>
      <c r="AB642" s="65"/>
      <c r="AC642" s="66"/>
      <c r="AD642" s="66"/>
      <c r="AE642" s="105"/>
      <c r="AF642" s="92"/>
    </row>
    <row r="643" spans="1:32" ht="14.45" customHeight="1">
      <c r="A643" s="15">
        <f>Tableau242[[#This Row],[Company number]]+0</f>
        <v>21480</v>
      </c>
      <c r="B643" s="60" t="s">
        <v>1400</v>
      </c>
      <c r="C643" s="61" t="s">
        <v>1401</v>
      </c>
      <c r="D643" s="61" t="s">
        <v>95</v>
      </c>
      <c r="E643" s="62" t="str">
        <f>IFERROR(VLOOKUP(Tableau242[[#This Row],[Manager ou CDM concerné]],Parametres!B:C,2,FALSE),"")</f>
        <v>Squad G</v>
      </c>
      <c r="F643" s="62" t="str">
        <f>IF(Tableau242[[#This Row],[Consultant]]=Tableau242[[#This Row],[Manager ou CDM concerné]],"Non",IF(IFERROR(VLOOKUP(Tableau242[[#This Row],[Consultant]],Parametres!B:C,2,FALSE),0)=0,"Non","Oui"))</f>
        <v>Non</v>
      </c>
      <c r="G643" s="62">
        <f>IFERROR(VLOOKUP(B643,Tableau5[#All],4,FALSE),"Matricule!")</f>
        <v>20</v>
      </c>
      <c r="H643" s="62" t="str">
        <f>IFERROR(VLOOKUP(Tableau242[[#This Row],[Company number]],#REF!,6,FALSE),"")</f>
        <v/>
      </c>
      <c r="I643" s="62">
        <f>IFERROR(VLOOKUP(B643,Tableau5[#All],5,FALSE),"Matricule!")</f>
        <v>0</v>
      </c>
      <c r="J643" s="62">
        <f>IFERROR(VLOOKUP(B643,Tableau5[#All],6,FALSE),"Matricule!")</f>
        <v>0</v>
      </c>
      <c r="K643" s="62">
        <f>IFERROR(VLOOKUP(B643,Tableau5[#All],7,FALSE),"Matricule!")</f>
        <v>0</v>
      </c>
      <c r="L643" s="62" t="e">
        <f>VLOOKUP(Tableau242[[#This Row],[Company number]],#REF!,25,FALSE)</f>
        <v>#REF!</v>
      </c>
      <c r="M643" s="62" t="str">
        <f>IFERROR(VLOOKUP(Tableau242[[#This Row],[Company number]],#REF!,30,FALSE),"")</f>
        <v/>
      </c>
      <c r="N643" s="62" t="str">
        <f>IFERROR(VLOOKUP(Tableau242[[#This Row],[Company number]],#REF!,31,FALSE),"")</f>
        <v/>
      </c>
      <c r="O643" s="62" t="str">
        <f>IFERROR(VLOOKUP(Tableau242[[#This Row],[Company number]],#REF!,32,FALSE),"")</f>
        <v/>
      </c>
      <c r="P643" s="62">
        <f>IFERROR(VLOOKUP(B643,Tableau3[#All],5,FALSE),"Matricule!")</f>
        <v>20</v>
      </c>
      <c r="Q643" s="62">
        <f>IFERROR(SUM(VLOOKUP(B643,Tableau3[#All],6,FALSE),VLOOKUP(B643,Tableau3[#All],8,FALSE)),"Matricule!")</f>
        <v>0</v>
      </c>
      <c r="R643" s="62">
        <f>IFERROR(VLOOKUP(B643,Tableau3[#All],7,FALSE),"Matricule!")</f>
        <v>0</v>
      </c>
      <c r="S643" s="62">
        <f>IFERROR(Tableau242[[#This Row],[Prod. days WK]]-Tableau242[[#This Row],[Prod PXX]],"Matricule")</f>
        <v>0</v>
      </c>
      <c r="T643" s="62">
        <f>IFERROR(Tableau242[[#This Row],[Non prod. days WK]]-Tableau242[[#This Row],[Improd PXX]],"Matricule")</f>
        <v>0</v>
      </c>
      <c r="U643" s="62">
        <f>IFERROR(Tableau242[[#This Row],[Paid leave days WK]]-Tableau242[[#This Row],[Congé PXX]],"Matricule")</f>
        <v>0</v>
      </c>
      <c r="V643" s="63">
        <f>IFERROR(VLOOKUP($B643,#REF!,4,FALSE),0)</f>
        <v>0</v>
      </c>
      <c r="W64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43" s="63">
        <f>IF(AND(Tableau242[[#This Row],[Paid leave days]]&gt;0,Tableau242[[#This Row],[Prod. days]]&lt;0),MIN(Tableau242[[#This Row],[Paid leave days]],-Tableau242[[#This Row],[Prod. days]]),0)</f>
        <v>0</v>
      </c>
      <c r="Z643" s="63">
        <f>IFERROR(_xlfn.XLOOKUP(Tableau242[[#This Row],[Consultant]],Tableau2[Collaborateur/Nom affiché],Tableau2[Montant imputé],0),0)</f>
        <v>0</v>
      </c>
      <c r="AA643" s="64">
        <f t="shared" si="10"/>
        <v>0</v>
      </c>
      <c r="AB643" s="65"/>
      <c r="AC643" s="66"/>
      <c r="AD643" s="66"/>
      <c r="AE643" s="105"/>
      <c r="AF643" s="90"/>
    </row>
    <row r="644" spans="1:32">
      <c r="A644" s="15">
        <f>Tableau242[[#This Row],[Company number]]+0</f>
        <v>22270</v>
      </c>
      <c r="B644" s="60" t="s">
        <v>1402</v>
      </c>
      <c r="C644" s="61" t="s">
        <v>1403</v>
      </c>
      <c r="D644" s="61" t="s">
        <v>95</v>
      </c>
      <c r="E644" s="62" t="str">
        <f>IFERROR(VLOOKUP(Tableau242[[#This Row],[Manager ou CDM concerné]],Parametres!B:C,2,FALSE),"")</f>
        <v>Squad G</v>
      </c>
      <c r="F644" s="62" t="str">
        <f>IF(Tableau242[[#This Row],[Consultant]]=Tableau242[[#This Row],[Manager ou CDM concerné]],"Non",IF(IFERROR(VLOOKUP(Tableau242[[#This Row],[Consultant]],Parametres!B:C,2,FALSE),0)=0,"Non","Oui"))</f>
        <v>Non</v>
      </c>
      <c r="G644" s="62">
        <f>IFERROR(VLOOKUP(B644,Tableau5[#All],4,FALSE),"Matricule!")</f>
        <v>16</v>
      </c>
      <c r="H644" s="62" t="str">
        <f>IFERROR(VLOOKUP(Tableau242[[#This Row],[Company number]],#REF!,6,FALSE),"")</f>
        <v/>
      </c>
      <c r="I644" s="62">
        <f>IFERROR(VLOOKUP(B644,Tableau5[#All],5,FALSE),"Matricule!")</f>
        <v>4</v>
      </c>
      <c r="J644" s="62">
        <f>IFERROR(VLOOKUP(B644,Tableau5[#All],6,FALSE),"Matricule!")</f>
        <v>0</v>
      </c>
      <c r="K644" s="62">
        <f>IFERROR(VLOOKUP(B644,Tableau5[#All],7,FALSE),"Matricule!")</f>
        <v>0</v>
      </c>
      <c r="L644" s="62" t="e">
        <f>VLOOKUP(Tableau242[[#This Row],[Company number]],#REF!,25,FALSE)</f>
        <v>#REF!</v>
      </c>
      <c r="M644" s="62" t="str">
        <f>IFERROR(VLOOKUP(Tableau242[[#This Row],[Company number]],#REF!,30,FALSE),"")</f>
        <v/>
      </c>
      <c r="N644" s="62" t="str">
        <f>IFERROR(VLOOKUP(Tableau242[[#This Row],[Company number]],#REF!,31,FALSE),"")</f>
        <v/>
      </c>
      <c r="O644" s="62" t="str">
        <f>IFERROR(VLOOKUP(Tableau242[[#This Row],[Company number]],#REF!,32,FALSE),"")</f>
        <v/>
      </c>
      <c r="P644" s="62">
        <f>IFERROR(VLOOKUP(B644,Tableau3[#All],5,FALSE),"Matricule!")</f>
        <v>16</v>
      </c>
      <c r="Q644" s="62">
        <f>IFERROR(SUM(VLOOKUP(B644,Tableau3[#All],6,FALSE),VLOOKUP(B644,Tableau3[#All],8,FALSE)),"Matricule!")</f>
        <v>4</v>
      </c>
      <c r="R644" s="62">
        <f>IFERROR(VLOOKUP(B644,Tableau3[#All],7,FALSE),"Matricule!")</f>
        <v>0</v>
      </c>
      <c r="S644" s="62">
        <f>IFERROR(Tableau242[[#This Row],[Prod. days WK]]-Tableau242[[#This Row],[Prod PXX]],"Matricule")</f>
        <v>0</v>
      </c>
      <c r="T644" s="62">
        <f>IFERROR(Tableau242[[#This Row],[Non prod. days WK]]-Tableau242[[#This Row],[Improd PXX]],"Matricule")</f>
        <v>0</v>
      </c>
      <c r="U644" s="62">
        <f>IFERROR(Tableau242[[#This Row],[Paid leave days WK]]-Tableau242[[#This Row],[Congé PXX]],"Matricule")</f>
        <v>0</v>
      </c>
      <c r="V644" s="63">
        <f>IFERROR(VLOOKUP($B644,#REF!,4,FALSE),0)</f>
        <v>0</v>
      </c>
      <c r="W64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44" s="63">
        <f>IF(AND(Tableau242[[#This Row],[Paid leave days]]&gt;0,Tableau242[[#This Row],[Prod. days]]&lt;0),MIN(Tableau242[[#This Row],[Paid leave days]],-Tableau242[[#This Row],[Prod. days]]),0)</f>
        <v>0</v>
      </c>
      <c r="Z644" s="63">
        <f>IFERROR(_xlfn.XLOOKUP(Tableau242[[#This Row],[Consultant]],Tableau2[Collaborateur/Nom affiché],Tableau2[Montant imputé],0),0)</f>
        <v>0</v>
      </c>
      <c r="AA644" s="64">
        <f t="shared" si="10"/>
        <v>0</v>
      </c>
      <c r="AB644" s="65"/>
      <c r="AC644" s="66"/>
      <c r="AD644" s="66"/>
      <c r="AE644" s="105"/>
      <c r="AF644" s="90"/>
    </row>
    <row r="645" spans="1:32" ht="14.45" customHeight="1">
      <c r="A645" s="15">
        <f>Tableau242[[#This Row],[Company number]]+0</f>
        <v>20334</v>
      </c>
      <c r="B645" s="60" t="s">
        <v>1404</v>
      </c>
      <c r="C645" s="61" t="s">
        <v>1405</v>
      </c>
      <c r="D645" s="61" t="s">
        <v>95</v>
      </c>
      <c r="E645" s="62" t="str">
        <f>IFERROR(VLOOKUP(Tableau242[[#This Row],[Manager ou CDM concerné]],Parametres!B:C,2,FALSE),"")</f>
        <v>Squad G</v>
      </c>
      <c r="F645" s="62" t="str">
        <f>IF(Tableau242[[#This Row],[Consultant]]=Tableau242[[#This Row],[Manager ou CDM concerné]],"Non",IF(IFERROR(VLOOKUP(Tableau242[[#This Row],[Consultant]],Parametres!B:C,2,FALSE),0)=0,"Non","Oui"))</f>
        <v>Non</v>
      </c>
      <c r="G645" s="62">
        <f>IFERROR(VLOOKUP(B645,Tableau5[#All],4,FALSE),"Matricule!")</f>
        <v>15</v>
      </c>
      <c r="H645" s="62" t="str">
        <f>IFERROR(VLOOKUP(Tableau242[[#This Row],[Company number]],#REF!,6,FALSE),"")</f>
        <v/>
      </c>
      <c r="I645" s="62">
        <f>IFERROR(VLOOKUP(B645,Tableau5[#All],5,FALSE),"Matricule!")</f>
        <v>0</v>
      </c>
      <c r="J645" s="62">
        <f>IFERROR(VLOOKUP(B645,Tableau5[#All],6,FALSE),"Matricule!")</f>
        <v>5</v>
      </c>
      <c r="K645" s="62">
        <f>IFERROR(VLOOKUP(B645,Tableau5[#All],7,FALSE),"Matricule!")</f>
        <v>0</v>
      </c>
      <c r="L645" s="62" t="e">
        <f>VLOOKUP(Tableau242[[#This Row],[Company number]],#REF!,25,FALSE)</f>
        <v>#REF!</v>
      </c>
      <c r="M645" s="62" t="str">
        <f>IFERROR(VLOOKUP(Tableau242[[#This Row],[Company number]],#REF!,30,FALSE),"")</f>
        <v/>
      </c>
      <c r="N645" s="62" t="str">
        <f>IFERROR(VLOOKUP(Tableau242[[#This Row],[Company number]],#REF!,31,FALSE),"")</f>
        <v/>
      </c>
      <c r="O645" s="62" t="str">
        <f>IFERROR(VLOOKUP(Tableau242[[#This Row],[Company number]],#REF!,32,FALSE),"")</f>
        <v/>
      </c>
      <c r="P645" s="62">
        <f>IFERROR(VLOOKUP(B645,Tableau3[#All],5,FALSE),"Matricule!")</f>
        <v>15</v>
      </c>
      <c r="Q645" s="62">
        <f>IFERROR(SUM(VLOOKUP(B645,Tableau3[#All],6,FALSE),VLOOKUP(B645,Tableau3[#All],8,FALSE)),"Matricule!")</f>
        <v>0</v>
      </c>
      <c r="R645" s="62">
        <f>IFERROR(VLOOKUP(B645,Tableau3[#All],7,FALSE),"Matricule!")</f>
        <v>5</v>
      </c>
      <c r="S645" s="62">
        <f>IFERROR(Tableau242[[#This Row],[Prod. days WK]]-Tableau242[[#This Row],[Prod PXX]],"Matricule")</f>
        <v>0</v>
      </c>
      <c r="T645" s="62">
        <f>IFERROR(Tableau242[[#This Row],[Non prod. days WK]]-Tableau242[[#This Row],[Improd PXX]],"Matricule")</f>
        <v>0</v>
      </c>
      <c r="U645" s="62">
        <f>IFERROR(Tableau242[[#This Row],[Paid leave days WK]]-Tableau242[[#This Row],[Congé PXX]],"Matricule")</f>
        <v>0</v>
      </c>
      <c r="V645" s="63">
        <f>IFERROR(VLOOKUP($B645,#REF!,4,FALSE),0)</f>
        <v>0</v>
      </c>
      <c r="W64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45" s="63">
        <f>IF(AND(Tableau242[[#This Row],[Paid leave days]]&gt;0,Tableau242[[#This Row],[Prod. days]]&lt;0),MIN(Tableau242[[#This Row],[Paid leave days]],-Tableau242[[#This Row],[Prod. days]]),0)</f>
        <v>0</v>
      </c>
      <c r="Z645" s="63">
        <f>IFERROR(_xlfn.XLOOKUP(Tableau242[[#This Row],[Consultant]],Tableau2[Collaborateur/Nom affiché],Tableau2[Montant imputé],0),0)</f>
        <v>0</v>
      </c>
      <c r="AA645" s="64">
        <f t="shared" si="10"/>
        <v>0</v>
      </c>
      <c r="AB645" s="65"/>
      <c r="AC645" s="66"/>
      <c r="AD645" s="66"/>
      <c r="AE645" s="39"/>
      <c r="AF645" s="92"/>
    </row>
    <row r="646" spans="1:32" ht="14.45" customHeight="1">
      <c r="A646" s="15">
        <f>Tableau242[[#This Row],[Company number]]+0</f>
        <v>16035</v>
      </c>
      <c r="B646" s="60" t="s">
        <v>1406</v>
      </c>
      <c r="C646" s="61" t="s">
        <v>1407</v>
      </c>
      <c r="D646" s="61" t="s">
        <v>32</v>
      </c>
      <c r="E646" s="62" t="str">
        <f>IFERROR(VLOOKUP(Tableau242[[#This Row],[Manager ou CDM concerné]],Parametres!B:C,2,FALSE),"")</f>
        <v>Squad D</v>
      </c>
      <c r="F646" s="62" t="str">
        <f>IF(Tableau242[[#This Row],[Consultant]]=Tableau242[[#This Row],[Manager ou CDM concerné]],"Non",IF(IFERROR(VLOOKUP(Tableau242[[#This Row],[Consultant]],Parametres!B:C,2,FALSE),0)=0,"Non","Oui"))</f>
        <v>Non</v>
      </c>
      <c r="G646" s="62">
        <f>IFERROR(VLOOKUP(B646,Tableau5[#All],4,FALSE),"Matricule!")</f>
        <v>20</v>
      </c>
      <c r="H646" s="62" t="str">
        <f>IFERROR(VLOOKUP(Tableau242[[#This Row],[Company number]],#REF!,6,FALSE),"")</f>
        <v/>
      </c>
      <c r="I646" s="62">
        <f>IFERROR(VLOOKUP(B646,Tableau5[#All],5,FALSE),"Matricule!")</f>
        <v>0</v>
      </c>
      <c r="J646" s="62">
        <f>IFERROR(VLOOKUP(B646,Tableau5[#All],6,FALSE),"Matricule!")</f>
        <v>0</v>
      </c>
      <c r="K646" s="62">
        <f>IFERROR(VLOOKUP(B646,Tableau5[#All],7,FALSE),"Matricule!")</f>
        <v>0</v>
      </c>
      <c r="L646" s="62" t="e">
        <f>VLOOKUP(Tableau242[[#This Row],[Company number]],#REF!,25,FALSE)</f>
        <v>#REF!</v>
      </c>
      <c r="M646" s="62" t="str">
        <f>IFERROR(VLOOKUP(Tableau242[[#This Row],[Company number]],#REF!,30,FALSE),"")</f>
        <v/>
      </c>
      <c r="N646" s="62" t="str">
        <f>IFERROR(VLOOKUP(Tableau242[[#This Row],[Company number]],#REF!,31,FALSE),"")</f>
        <v/>
      </c>
      <c r="O646" s="62" t="str">
        <f>IFERROR(VLOOKUP(Tableau242[[#This Row],[Company number]],#REF!,32,FALSE),"")</f>
        <v/>
      </c>
      <c r="P646" s="62">
        <f>IFERROR(VLOOKUP(B646,Tableau3[#All],5,FALSE),"Matricule!")</f>
        <v>20</v>
      </c>
      <c r="Q646" s="62">
        <f>IFERROR(SUM(VLOOKUP(B646,Tableau3[#All],6,FALSE),VLOOKUP(B646,Tableau3[#All],8,FALSE)),"Matricule!")</f>
        <v>0</v>
      </c>
      <c r="R646" s="62">
        <f>IFERROR(VLOOKUP(B646,Tableau3[#All],7,FALSE),"Matricule!")</f>
        <v>0</v>
      </c>
      <c r="S646" s="62">
        <f>IFERROR(Tableau242[[#This Row],[Prod. days WK]]-Tableau242[[#This Row],[Prod PXX]],"Matricule")</f>
        <v>0</v>
      </c>
      <c r="T646" s="62">
        <f>IFERROR(Tableau242[[#This Row],[Non prod. days WK]]-Tableau242[[#This Row],[Improd PXX]],"Matricule")</f>
        <v>0</v>
      </c>
      <c r="U646" s="62">
        <f>IFERROR(Tableau242[[#This Row],[Paid leave days WK]]-Tableau242[[#This Row],[Congé PXX]],"Matricule")</f>
        <v>0</v>
      </c>
      <c r="V646" s="63">
        <f>IFERROR(VLOOKUP($B646,#REF!,4,FALSE),0)</f>
        <v>0</v>
      </c>
      <c r="W64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46" s="63">
        <f>IF(AND(Tableau242[[#This Row],[Paid leave days]]&gt;0,Tableau242[[#This Row],[Prod. days]]&lt;0),MIN(Tableau242[[#This Row],[Paid leave days]],-Tableau242[[#This Row],[Prod. days]]),0)</f>
        <v>0</v>
      </c>
      <c r="Z646" s="63">
        <f>IFERROR(_xlfn.XLOOKUP(Tableau242[[#This Row],[Consultant]],Tableau2[Collaborateur/Nom affiché],Tableau2[Montant imputé],0),0)</f>
        <v>0</v>
      </c>
      <c r="AA646" s="64">
        <f t="shared" si="10"/>
        <v>0</v>
      </c>
      <c r="AB646" s="65"/>
      <c r="AC646" s="66"/>
      <c r="AD646" s="66"/>
      <c r="AE646" s="39"/>
      <c r="AF646" s="90"/>
    </row>
    <row r="647" spans="1:32" ht="14.45" customHeight="1">
      <c r="A647" s="15">
        <f>Tableau242[[#This Row],[Company number]]+0</f>
        <v>15503</v>
      </c>
      <c r="B647" s="60" t="s">
        <v>1408</v>
      </c>
      <c r="C647" s="61" t="s">
        <v>1409</v>
      </c>
      <c r="D647" s="61" t="s">
        <v>32</v>
      </c>
      <c r="E647" s="62" t="str">
        <f>IFERROR(VLOOKUP(Tableau242[[#This Row],[Manager ou CDM concerné]],Parametres!B:C,2,FALSE),"")</f>
        <v>Squad D</v>
      </c>
      <c r="F647" s="62" t="str">
        <f>IF(Tableau242[[#This Row],[Consultant]]=Tableau242[[#This Row],[Manager ou CDM concerné]],"Non",IF(IFERROR(VLOOKUP(Tableau242[[#This Row],[Consultant]],Parametres!B:C,2,FALSE),0)=0,"Non","Oui"))</f>
        <v>Non</v>
      </c>
      <c r="G647" s="62">
        <f>IFERROR(VLOOKUP(B647,Tableau5[#All],4,FALSE),"Matricule!")</f>
        <v>16</v>
      </c>
      <c r="H647" s="62" t="str">
        <f>IFERROR(VLOOKUP(Tableau242[[#This Row],[Company number]],#REF!,6,FALSE),"")</f>
        <v/>
      </c>
      <c r="I647" s="62">
        <f>IFERROR(VLOOKUP(B647,Tableau5[#All],5,FALSE),"Matricule!")</f>
        <v>0</v>
      </c>
      <c r="J647" s="62">
        <f>IFERROR(VLOOKUP(B647,Tableau5[#All],6,FALSE),"Matricule!")</f>
        <v>4</v>
      </c>
      <c r="K647" s="62">
        <f>IFERROR(VLOOKUP(B647,Tableau5[#All],7,FALSE),"Matricule!")</f>
        <v>0</v>
      </c>
      <c r="L647" s="62" t="e">
        <f>VLOOKUP(Tableau242[[#This Row],[Company number]],#REF!,25,FALSE)</f>
        <v>#REF!</v>
      </c>
      <c r="M647" s="62" t="str">
        <f>IFERROR(VLOOKUP(Tableau242[[#This Row],[Company number]],#REF!,30,FALSE),"")</f>
        <v/>
      </c>
      <c r="N647" s="62" t="str">
        <f>IFERROR(VLOOKUP(Tableau242[[#This Row],[Company number]],#REF!,31,FALSE),"")</f>
        <v/>
      </c>
      <c r="O647" s="62" t="str">
        <f>IFERROR(VLOOKUP(Tableau242[[#This Row],[Company number]],#REF!,32,FALSE),"")</f>
        <v/>
      </c>
      <c r="P647" s="62">
        <f>IFERROR(VLOOKUP(B647,Tableau3[#All],5,FALSE),"Matricule!")</f>
        <v>16</v>
      </c>
      <c r="Q647" s="62">
        <f>IFERROR(SUM(VLOOKUP(B647,Tableau3[#All],6,FALSE),VLOOKUP(B647,Tableau3[#All],8,FALSE)),"Matricule!")</f>
        <v>0</v>
      </c>
      <c r="R647" s="62">
        <f>IFERROR(VLOOKUP(B647,Tableau3[#All],7,FALSE),"Matricule!")</f>
        <v>4</v>
      </c>
      <c r="S647" s="62">
        <f>IFERROR(Tableau242[[#This Row],[Prod. days WK]]-Tableau242[[#This Row],[Prod PXX]],"Matricule")</f>
        <v>0</v>
      </c>
      <c r="T647" s="62">
        <f>IFERROR(Tableau242[[#This Row],[Non prod. days WK]]-Tableau242[[#This Row],[Improd PXX]],"Matricule")</f>
        <v>0</v>
      </c>
      <c r="U647" s="62">
        <f>IFERROR(Tableau242[[#This Row],[Paid leave days WK]]-Tableau242[[#This Row],[Congé PXX]],"Matricule")</f>
        <v>0</v>
      </c>
      <c r="V647" s="63">
        <f>IFERROR(VLOOKUP($B647,#REF!,4,FALSE),0)</f>
        <v>0</v>
      </c>
      <c r="W64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47" s="63">
        <f>IF(AND(Tableau242[[#This Row],[Paid leave days]]&gt;0,Tableau242[[#This Row],[Prod. days]]&lt;0),MIN(Tableau242[[#This Row],[Paid leave days]],-Tableau242[[#This Row],[Prod. days]]),0)</f>
        <v>0</v>
      </c>
      <c r="Z647" s="63">
        <f>IFERROR(_xlfn.XLOOKUP(Tableau242[[#This Row],[Consultant]],Tableau2[Collaborateur/Nom affiché],Tableau2[Montant imputé],0),0)</f>
        <v>0</v>
      </c>
      <c r="AA647" s="64">
        <f t="shared" si="10"/>
        <v>0</v>
      </c>
      <c r="AB647" s="65"/>
      <c r="AC647" s="66"/>
      <c r="AD647" s="66"/>
      <c r="AE647" s="39"/>
      <c r="AF647" s="90"/>
    </row>
    <row r="648" spans="1:32" ht="14.45" customHeight="1">
      <c r="A648" s="15">
        <f>Tableau242[[#This Row],[Company number]]+0</f>
        <v>18150</v>
      </c>
      <c r="B648" s="60" t="s">
        <v>1410</v>
      </c>
      <c r="C648" s="61" t="s">
        <v>1411</v>
      </c>
      <c r="D648" s="61" t="s">
        <v>32</v>
      </c>
      <c r="E648" s="62" t="str">
        <f>IFERROR(VLOOKUP(Tableau242[[#This Row],[Manager ou CDM concerné]],Parametres!B:C,2,FALSE),"")</f>
        <v>Squad D</v>
      </c>
      <c r="F648" s="62" t="str">
        <f>IF(Tableau242[[#This Row],[Consultant]]=Tableau242[[#This Row],[Manager ou CDM concerné]],"Non",IF(IFERROR(VLOOKUP(Tableau242[[#This Row],[Consultant]],Parametres!B:C,2,FALSE),0)=0,"Non","Oui"))</f>
        <v>Non</v>
      </c>
      <c r="G648" s="62">
        <f>IFERROR(VLOOKUP(B648,Tableau5[#All],4,FALSE),"Matricule!")</f>
        <v>16</v>
      </c>
      <c r="H648" s="62" t="str">
        <f>IFERROR(VLOOKUP(Tableau242[[#This Row],[Company number]],#REF!,6,FALSE),"")</f>
        <v/>
      </c>
      <c r="I648" s="62">
        <f>IFERROR(VLOOKUP(B648,Tableau5[#All],5,FALSE),"Matricule!")</f>
        <v>0</v>
      </c>
      <c r="J648" s="62">
        <f>IFERROR(VLOOKUP(B648,Tableau5[#All],6,FALSE),"Matricule!")</f>
        <v>4</v>
      </c>
      <c r="K648" s="62">
        <f>IFERROR(VLOOKUP(B648,Tableau5[#All],7,FALSE),"Matricule!")</f>
        <v>0</v>
      </c>
      <c r="L648" s="62" t="e">
        <f>VLOOKUP(Tableau242[[#This Row],[Company number]],#REF!,25,FALSE)</f>
        <v>#REF!</v>
      </c>
      <c r="M648" s="62" t="str">
        <f>IFERROR(VLOOKUP(Tableau242[[#This Row],[Company number]],#REF!,30,FALSE),"")</f>
        <v/>
      </c>
      <c r="N648" s="62" t="str">
        <f>IFERROR(VLOOKUP(Tableau242[[#This Row],[Company number]],#REF!,31,FALSE),"")</f>
        <v/>
      </c>
      <c r="O648" s="62" t="str">
        <f>IFERROR(VLOOKUP(Tableau242[[#This Row],[Company number]],#REF!,32,FALSE),"")</f>
        <v/>
      </c>
      <c r="P648" s="62">
        <f>IFERROR(VLOOKUP(B648,Tableau3[#All],5,FALSE),"Matricule!")</f>
        <v>16</v>
      </c>
      <c r="Q648" s="62">
        <f>IFERROR(SUM(VLOOKUP(B648,Tableau3[#All],6,FALSE),VLOOKUP(B648,Tableau3[#All],8,FALSE)),"Matricule!")</f>
        <v>0</v>
      </c>
      <c r="R648" s="62">
        <f>IFERROR(VLOOKUP(B648,Tableau3[#All],7,FALSE),"Matricule!")</f>
        <v>4</v>
      </c>
      <c r="S648" s="62">
        <f>IFERROR(Tableau242[[#This Row],[Prod. days WK]]-Tableau242[[#This Row],[Prod PXX]],"Matricule")</f>
        <v>0</v>
      </c>
      <c r="T648" s="62">
        <f>IFERROR(Tableau242[[#This Row],[Non prod. days WK]]-Tableau242[[#This Row],[Improd PXX]],"Matricule")</f>
        <v>0</v>
      </c>
      <c r="U648" s="62">
        <f>IFERROR(Tableau242[[#This Row],[Paid leave days WK]]-Tableau242[[#This Row],[Congé PXX]],"Matricule")</f>
        <v>0</v>
      </c>
      <c r="V648" s="63">
        <f>IFERROR(VLOOKUP($B648,#REF!,4,FALSE),0)</f>
        <v>0</v>
      </c>
      <c r="W64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48" s="63">
        <f>IF(AND(Tableau242[[#This Row],[Paid leave days]]&gt;0,Tableau242[[#This Row],[Prod. days]]&lt;0),MIN(Tableau242[[#This Row],[Paid leave days]],-Tableau242[[#This Row],[Prod. days]]),0)</f>
        <v>0</v>
      </c>
      <c r="Z648" s="63">
        <f>IFERROR(_xlfn.XLOOKUP(Tableau242[[#This Row],[Consultant]],Tableau2[Collaborateur/Nom affiché],Tableau2[Montant imputé],0),0)</f>
        <v>0</v>
      </c>
      <c r="AA648" s="64">
        <f t="shared" si="10"/>
        <v>0</v>
      </c>
      <c r="AB648" s="65"/>
      <c r="AC648" s="66"/>
      <c r="AD648" s="66"/>
      <c r="AE648" s="105"/>
      <c r="AF648" s="92"/>
    </row>
    <row r="649" spans="1:32" ht="14.45" customHeight="1">
      <c r="A649" s="15">
        <f>Tableau242[[#This Row],[Company number]]+0</f>
        <v>18023</v>
      </c>
      <c r="B649" s="60" t="s">
        <v>1412</v>
      </c>
      <c r="C649" s="61" t="s">
        <v>1413</v>
      </c>
      <c r="D649" s="61" t="s">
        <v>32</v>
      </c>
      <c r="E649" s="62" t="str">
        <f>IFERROR(VLOOKUP(Tableau242[[#This Row],[Manager ou CDM concerné]],Parametres!B:C,2,FALSE),"")</f>
        <v>Squad D</v>
      </c>
      <c r="F649" s="62" t="str">
        <f>IF(Tableau242[[#This Row],[Consultant]]=Tableau242[[#This Row],[Manager ou CDM concerné]],"Non",IF(IFERROR(VLOOKUP(Tableau242[[#This Row],[Consultant]],Parametres!B:C,2,FALSE),0)=0,"Non","Oui"))</f>
        <v>Non</v>
      </c>
      <c r="G649" s="62">
        <f>IFERROR(VLOOKUP(B649,Tableau5[#All],4,FALSE),"Matricule!")</f>
        <v>19.5</v>
      </c>
      <c r="H649" s="62" t="str">
        <f>IFERROR(VLOOKUP(Tableau242[[#This Row],[Company number]],#REF!,6,FALSE),"")</f>
        <v/>
      </c>
      <c r="I649" s="62">
        <f>IFERROR(VLOOKUP(B649,Tableau5[#All],5,FALSE),"Matricule!")</f>
        <v>0</v>
      </c>
      <c r="J649" s="62">
        <f>IFERROR(VLOOKUP(B649,Tableau5[#All],6,FALSE),"Matricule!")</f>
        <v>0.5</v>
      </c>
      <c r="K649" s="62">
        <f>IFERROR(VLOOKUP(B649,Tableau5[#All],7,FALSE),"Matricule!")</f>
        <v>0</v>
      </c>
      <c r="L649" s="62" t="e">
        <f>VLOOKUP(Tableau242[[#This Row],[Company number]],#REF!,25,FALSE)</f>
        <v>#REF!</v>
      </c>
      <c r="M649" s="62" t="str">
        <f>IFERROR(VLOOKUP(Tableau242[[#This Row],[Company number]],#REF!,30,FALSE),"")</f>
        <v/>
      </c>
      <c r="N649" s="62" t="str">
        <f>IFERROR(VLOOKUP(Tableau242[[#This Row],[Company number]],#REF!,31,FALSE),"")</f>
        <v/>
      </c>
      <c r="O649" s="62" t="str">
        <f>IFERROR(VLOOKUP(Tableau242[[#This Row],[Company number]],#REF!,32,FALSE),"")</f>
        <v/>
      </c>
      <c r="P649" s="62">
        <f>IFERROR(VLOOKUP(B649,Tableau3[#All],5,FALSE),"Matricule!")</f>
        <v>19.5</v>
      </c>
      <c r="Q649" s="62">
        <f>IFERROR(SUM(VLOOKUP(B649,Tableau3[#All],6,FALSE),VLOOKUP(B649,Tableau3[#All],8,FALSE)),"Matricule!")</f>
        <v>0</v>
      </c>
      <c r="R649" s="62">
        <f>IFERROR(VLOOKUP(B649,Tableau3[#All],7,FALSE),"Matricule!")</f>
        <v>0.5</v>
      </c>
      <c r="S649" s="62">
        <f>IFERROR(Tableau242[[#This Row],[Prod. days WK]]-Tableau242[[#This Row],[Prod PXX]],"Matricule")</f>
        <v>0</v>
      </c>
      <c r="T649" s="62">
        <f>IFERROR(Tableau242[[#This Row],[Non prod. days WK]]-Tableau242[[#This Row],[Improd PXX]],"Matricule")</f>
        <v>0</v>
      </c>
      <c r="U649" s="62">
        <f>IFERROR(Tableau242[[#This Row],[Paid leave days WK]]-Tableau242[[#This Row],[Congé PXX]],"Matricule")</f>
        <v>0</v>
      </c>
      <c r="V649" s="63">
        <f>IFERROR(VLOOKUP($B649,#REF!,4,FALSE),0)</f>
        <v>0</v>
      </c>
      <c r="W64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4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49" s="63">
        <f>IF(AND(Tableau242[[#This Row],[Paid leave days]]&gt;0,Tableau242[[#This Row],[Prod. days]]&lt;0),MIN(Tableau242[[#This Row],[Paid leave days]],-Tableau242[[#This Row],[Prod. days]]),0)</f>
        <v>0</v>
      </c>
      <c r="Z649" s="63">
        <f>IFERROR(_xlfn.XLOOKUP(Tableau242[[#This Row],[Consultant]],Tableau2[Collaborateur/Nom affiché],Tableau2[Montant imputé],0),0)</f>
        <v>0</v>
      </c>
      <c r="AA649" s="64">
        <f t="shared" si="10"/>
        <v>0</v>
      </c>
      <c r="AB649" s="70"/>
      <c r="AC649" s="66"/>
      <c r="AD649" s="66"/>
      <c r="AE649" s="105"/>
      <c r="AF649" s="93"/>
    </row>
    <row r="650" spans="1:32" ht="14.45" customHeight="1">
      <c r="A650" s="15">
        <f>Tableau242[[#This Row],[Company number]]+0</f>
        <v>11393</v>
      </c>
      <c r="B650" s="60" t="s">
        <v>1414</v>
      </c>
      <c r="C650" s="61" t="s">
        <v>76</v>
      </c>
      <c r="D650" s="61" t="s">
        <v>28</v>
      </c>
      <c r="E650" s="62" t="str">
        <f>IFERROR(VLOOKUP(Tableau242[[#This Row],[Manager ou CDM concerné]],Parametres!B:C,2,FALSE),"")</f>
        <v>Squad D</v>
      </c>
      <c r="F650" s="62" t="str">
        <f>IF(Tableau242[[#This Row],[Consultant]]=Tableau242[[#This Row],[Manager ou CDM concerné]],"Non",IF(IFERROR(VLOOKUP(Tableau242[[#This Row],[Consultant]],Parametres!B:C,2,FALSE),0)=0,"Non","Oui"))</f>
        <v>Oui</v>
      </c>
      <c r="G650" s="62">
        <f>IFERROR(VLOOKUP(B650,Tableau5[#All],4,FALSE),"Matricule!")</f>
        <v>0</v>
      </c>
      <c r="H650" s="62" t="str">
        <f>IFERROR(VLOOKUP(Tableau242[[#This Row],[Company number]],#REF!,6,FALSE),"")</f>
        <v/>
      </c>
      <c r="I650" s="62">
        <f>IFERROR(VLOOKUP(B650,Tableau5[#All],5,FALSE),"Matricule!")</f>
        <v>19</v>
      </c>
      <c r="J650" s="62">
        <f>IFERROR(VLOOKUP(B650,Tableau5[#All],6,FALSE),"Matricule!")</f>
        <v>1</v>
      </c>
      <c r="K650" s="62">
        <f>IFERROR(VLOOKUP(B650,Tableau5[#All],7,FALSE),"Matricule!")</f>
        <v>0</v>
      </c>
      <c r="L650" s="62" t="e">
        <f>VLOOKUP(Tableau242[[#This Row],[Company number]],#REF!,25,FALSE)</f>
        <v>#REF!</v>
      </c>
      <c r="M650" s="62" t="str">
        <f>IFERROR(VLOOKUP(Tableau242[[#This Row],[Company number]],#REF!,30,FALSE),"")</f>
        <v/>
      </c>
      <c r="N650" s="62" t="str">
        <f>IFERROR(VLOOKUP(Tableau242[[#This Row],[Company number]],#REF!,31,FALSE),"")</f>
        <v/>
      </c>
      <c r="O650" s="62" t="str">
        <f>IFERROR(VLOOKUP(Tableau242[[#This Row],[Company number]],#REF!,32,FALSE),"")</f>
        <v/>
      </c>
      <c r="P650" s="62">
        <f>IFERROR(VLOOKUP(B650,Tableau3[#All],5,FALSE),"Matricule!")</f>
        <v>0</v>
      </c>
      <c r="Q650" s="62">
        <f>IFERROR(SUM(VLOOKUP(B650,Tableau3[#All],6,FALSE),VLOOKUP(B650,Tableau3[#All],8,FALSE)),"Matricule!")</f>
        <v>20</v>
      </c>
      <c r="R650" s="62">
        <f>IFERROR(VLOOKUP(B650,Tableau3[#All],7,FALSE),"Matricule!")</f>
        <v>0</v>
      </c>
      <c r="S650" s="62">
        <f>IFERROR(Tableau242[[#This Row],[Prod. days WK]]-Tableau242[[#This Row],[Prod PXX]],"Matricule")</f>
        <v>0</v>
      </c>
      <c r="T650" s="62">
        <f>IFERROR(Tableau242[[#This Row],[Non prod. days WK]]-Tableau242[[#This Row],[Improd PXX]],"Matricule")</f>
        <v>-1</v>
      </c>
      <c r="U650" s="62">
        <f>IFERROR(Tableau242[[#This Row],[Paid leave days WK]]-Tableau242[[#This Row],[Congé PXX]],"Matricule")</f>
        <v>1</v>
      </c>
      <c r="V650" s="63">
        <f>IFERROR(VLOOKUP($B650,#REF!,4,FALSE),0)</f>
        <v>0</v>
      </c>
      <c r="W65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50" s="63">
        <f>IF(AND(Tableau242[[#This Row],[Paid leave days]]&gt;0,Tableau242[[#This Row],[Prod. days]]&lt;0),MIN(Tableau242[[#This Row],[Paid leave days]],-Tableau242[[#This Row],[Prod. days]]),0)</f>
        <v>0</v>
      </c>
      <c r="Z650" s="63">
        <f>IFERROR(_xlfn.XLOOKUP(Tableau242[[#This Row],[Consultant]],Tableau2[Collaborateur/Nom affiché],Tableau2[Montant imputé],0),0)</f>
        <v>0</v>
      </c>
      <c r="AA650" s="64">
        <f t="shared" si="10"/>
        <v>0</v>
      </c>
      <c r="AB650" s="70"/>
      <c r="AC650" s="66"/>
      <c r="AD650" s="66"/>
      <c r="AE650" s="105"/>
      <c r="AF650" s="90"/>
    </row>
    <row r="651" spans="1:32" ht="14.45" customHeight="1">
      <c r="A651" s="15">
        <f>Tableau242[[#This Row],[Company number]]+0</f>
        <v>15012</v>
      </c>
      <c r="B651" s="60" t="s">
        <v>1415</v>
      </c>
      <c r="C651" s="61" t="s">
        <v>1416</v>
      </c>
      <c r="D651" s="61" t="s">
        <v>32</v>
      </c>
      <c r="E651" s="62" t="str">
        <f>IFERROR(VLOOKUP(Tableau242[[#This Row],[Manager ou CDM concerné]],Parametres!B:C,2,FALSE),"")</f>
        <v>Squad D</v>
      </c>
      <c r="F651" s="62" t="str">
        <f>IF(Tableau242[[#This Row],[Consultant]]=Tableau242[[#This Row],[Manager ou CDM concerné]],"Non",IF(IFERROR(VLOOKUP(Tableau242[[#This Row],[Consultant]],Parametres!B:C,2,FALSE),0)=0,"Non","Oui"))</f>
        <v>Non</v>
      </c>
      <c r="G651" s="62">
        <f>IFERROR(VLOOKUP(B651,Tableau5[#All],4,FALSE),"Matricule!")</f>
        <v>20</v>
      </c>
      <c r="H651" s="62" t="str">
        <f>IFERROR(VLOOKUP(Tableau242[[#This Row],[Company number]],#REF!,6,FALSE),"")</f>
        <v/>
      </c>
      <c r="I651" s="62">
        <f>IFERROR(VLOOKUP(B651,Tableau5[#All],5,FALSE),"Matricule!")</f>
        <v>0</v>
      </c>
      <c r="J651" s="62">
        <f>IFERROR(VLOOKUP(B651,Tableau5[#All],6,FALSE),"Matricule!")</f>
        <v>0</v>
      </c>
      <c r="K651" s="62">
        <f>IFERROR(VLOOKUP(B651,Tableau5[#All],7,FALSE),"Matricule!")</f>
        <v>0</v>
      </c>
      <c r="L651" s="62" t="e">
        <f>VLOOKUP(Tableau242[[#This Row],[Company number]],#REF!,25,FALSE)</f>
        <v>#REF!</v>
      </c>
      <c r="M651" s="62" t="str">
        <f>IFERROR(VLOOKUP(Tableau242[[#This Row],[Company number]],#REF!,30,FALSE),"")</f>
        <v/>
      </c>
      <c r="N651" s="62" t="str">
        <f>IFERROR(VLOOKUP(Tableau242[[#This Row],[Company number]],#REF!,31,FALSE),"")</f>
        <v/>
      </c>
      <c r="O651" s="62" t="str">
        <f>IFERROR(VLOOKUP(Tableau242[[#This Row],[Company number]],#REF!,32,FALSE),"")</f>
        <v/>
      </c>
      <c r="P651" s="62">
        <f>IFERROR(VLOOKUP(B651,Tableau3[#All],5,FALSE),"Matricule!")</f>
        <v>20</v>
      </c>
      <c r="Q651" s="62">
        <f>IFERROR(SUM(VLOOKUP(B651,Tableau3[#All],6,FALSE),VLOOKUP(B651,Tableau3[#All],8,FALSE)),"Matricule!")</f>
        <v>0</v>
      </c>
      <c r="R651" s="62">
        <f>IFERROR(VLOOKUP(B651,Tableau3[#All],7,FALSE),"Matricule!")</f>
        <v>0</v>
      </c>
      <c r="S651" s="62">
        <f>IFERROR(Tableau242[[#This Row],[Prod. days WK]]-Tableau242[[#This Row],[Prod PXX]],"Matricule")</f>
        <v>0</v>
      </c>
      <c r="T651" s="62">
        <f>IFERROR(Tableau242[[#This Row],[Non prod. days WK]]-Tableau242[[#This Row],[Improd PXX]],"Matricule")</f>
        <v>0</v>
      </c>
      <c r="U651" s="62">
        <f>IFERROR(Tableau242[[#This Row],[Paid leave days WK]]-Tableau242[[#This Row],[Congé PXX]],"Matricule")</f>
        <v>0</v>
      </c>
      <c r="V651" s="63">
        <f>IFERROR(VLOOKUP($B651,#REF!,4,FALSE),0)</f>
        <v>0</v>
      </c>
      <c r="W65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51" s="63">
        <f>IF(AND(Tableau242[[#This Row],[Paid leave days]]&gt;0,Tableau242[[#This Row],[Prod. days]]&lt;0),MIN(Tableau242[[#This Row],[Paid leave days]],-Tableau242[[#This Row],[Prod. days]]),0)</f>
        <v>0</v>
      </c>
      <c r="Z651" s="63">
        <f>IFERROR(_xlfn.XLOOKUP(Tableau242[[#This Row],[Consultant]],Tableau2[Collaborateur/Nom affiché],Tableau2[Montant imputé],0),0)</f>
        <v>0</v>
      </c>
      <c r="AA651" s="64">
        <f t="shared" ref="AA651:AA714" si="11">IFERROR(S651+Z651,S651)</f>
        <v>0</v>
      </c>
      <c r="AB651" s="65"/>
      <c r="AC651" s="66"/>
      <c r="AD651" s="66"/>
      <c r="AE651" s="115"/>
      <c r="AF651" s="90"/>
    </row>
    <row r="652" spans="1:32" ht="14.45" customHeight="1">
      <c r="A652" s="15">
        <f>Tableau242[[#This Row],[Company number]]+0</f>
        <v>21384</v>
      </c>
      <c r="B652" s="60" t="s">
        <v>1417</v>
      </c>
      <c r="C652" s="61" t="s">
        <v>1418</v>
      </c>
      <c r="D652" s="61" t="s">
        <v>32</v>
      </c>
      <c r="E652" s="62" t="str">
        <f>IFERROR(VLOOKUP(Tableau242[[#This Row],[Manager ou CDM concerné]],Parametres!B:C,2,FALSE),"")</f>
        <v>Squad D</v>
      </c>
      <c r="F652" s="62" t="str">
        <f>IF(Tableau242[[#This Row],[Consultant]]=Tableau242[[#This Row],[Manager ou CDM concerné]],"Non",IF(IFERROR(VLOOKUP(Tableau242[[#This Row],[Consultant]],Parametres!B:C,2,FALSE),0)=0,"Non","Oui"))</f>
        <v>Non</v>
      </c>
      <c r="G652" s="62">
        <f>IFERROR(VLOOKUP(B652,Tableau5[#All],4,FALSE),"Matricule!")</f>
        <v>20</v>
      </c>
      <c r="H652" s="62" t="str">
        <f>IFERROR(VLOOKUP(Tableau242[[#This Row],[Company number]],#REF!,6,FALSE),"")</f>
        <v/>
      </c>
      <c r="I652" s="62">
        <f>IFERROR(VLOOKUP(B652,Tableau5[#All],5,FALSE),"Matricule!")</f>
        <v>0</v>
      </c>
      <c r="J652" s="62">
        <f>IFERROR(VLOOKUP(B652,Tableau5[#All],6,FALSE),"Matricule!")</f>
        <v>0</v>
      </c>
      <c r="K652" s="62">
        <f>IFERROR(VLOOKUP(B652,Tableau5[#All],7,FALSE),"Matricule!")</f>
        <v>0</v>
      </c>
      <c r="L652" s="62" t="e">
        <f>VLOOKUP(Tableau242[[#This Row],[Company number]],#REF!,25,FALSE)</f>
        <v>#REF!</v>
      </c>
      <c r="M652" s="62" t="str">
        <f>IFERROR(VLOOKUP(Tableau242[[#This Row],[Company number]],#REF!,30,FALSE),"")</f>
        <v/>
      </c>
      <c r="N652" s="62" t="str">
        <f>IFERROR(VLOOKUP(Tableau242[[#This Row],[Company number]],#REF!,31,FALSE),"")</f>
        <v/>
      </c>
      <c r="O652" s="62" t="str">
        <f>IFERROR(VLOOKUP(Tableau242[[#This Row],[Company number]],#REF!,32,FALSE),"")</f>
        <v/>
      </c>
      <c r="P652" s="62">
        <f>IFERROR(VLOOKUP(B652,Tableau3[#All],5,FALSE),"Matricule!")</f>
        <v>20</v>
      </c>
      <c r="Q652" s="62">
        <f>IFERROR(SUM(VLOOKUP(B652,Tableau3[#All],6,FALSE),VLOOKUP(B652,Tableau3[#All],8,FALSE)),"Matricule!")</f>
        <v>0</v>
      </c>
      <c r="R652" s="62">
        <f>IFERROR(VLOOKUP(B652,Tableau3[#All],7,FALSE),"Matricule!")</f>
        <v>0</v>
      </c>
      <c r="S652" s="62">
        <f>IFERROR(Tableau242[[#This Row],[Prod. days WK]]-Tableau242[[#This Row],[Prod PXX]],"Matricule")</f>
        <v>0</v>
      </c>
      <c r="T652" s="62">
        <f>IFERROR(Tableau242[[#This Row],[Non prod. days WK]]-Tableau242[[#This Row],[Improd PXX]],"Matricule")</f>
        <v>0</v>
      </c>
      <c r="U652" s="62">
        <f>IFERROR(Tableau242[[#This Row],[Paid leave days WK]]-Tableau242[[#This Row],[Congé PXX]],"Matricule")</f>
        <v>0</v>
      </c>
      <c r="V652" s="63">
        <f>IFERROR(VLOOKUP($B652,#REF!,4,FALSE),0)</f>
        <v>0</v>
      </c>
      <c r="W65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52" s="63">
        <f>IF(AND(Tableau242[[#This Row],[Paid leave days]]&gt;0,Tableau242[[#This Row],[Prod. days]]&lt;0),MIN(Tableau242[[#This Row],[Paid leave days]],-Tableau242[[#This Row],[Prod. days]]),0)</f>
        <v>0</v>
      </c>
      <c r="Z652" s="63">
        <f>IFERROR(_xlfn.XLOOKUP(Tableau242[[#This Row],[Consultant]],Tableau2[Collaborateur/Nom affiché],Tableau2[Montant imputé],0),0)</f>
        <v>0</v>
      </c>
      <c r="AA652" s="64">
        <f t="shared" si="11"/>
        <v>0</v>
      </c>
      <c r="AB652" s="65"/>
      <c r="AC652" s="66"/>
      <c r="AD652" s="66"/>
      <c r="AE652" s="115"/>
      <c r="AF652" s="90"/>
    </row>
    <row r="653" spans="1:32" ht="14.45" customHeight="1">
      <c r="A653" s="15">
        <f>Tableau242[[#This Row],[Company number]]+0</f>
        <v>17843</v>
      </c>
      <c r="B653" s="60" t="s">
        <v>1419</v>
      </c>
      <c r="C653" s="61" t="s">
        <v>1420</v>
      </c>
      <c r="D653" s="61" t="s">
        <v>32</v>
      </c>
      <c r="E653" s="62" t="str">
        <f>IFERROR(VLOOKUP(Tableau242[[#This Row],[Manager ou CDM concerné]],Parametres!B:C,2,FALSE),"")</f>
        <v>Squad D</v>
      </c>
      <c r="F653" s="62" t="str">
        <f>IF(Tableau242[[#This Row],[Consultant]]=Tableau242[[#This Row],[Manager ou CDM concerné]],"Non",IF(IFERROR(VLOOKUP(Tableau242[[#This Row],[Consultant]],Parametres!B:C,2,FALSE),0)=0,"Non","Oui"))</f>
        <v>Non</v>
      </c>
      <c r="G653" s="62">
        <f>IFERROR(VLOOKUP(B653,Tableau5[#All],4,FALSE),"Matricule!")</f>
        <v>12</v>
      </c>
      <c r="H653" s="62" t="str">
        <f>IFERROR(VLOOKUP(Tableau242[[#This Row],[Company number]],#REF!,6,FALSE),"")</f>
        <v/>
      </c>
      <c r="I653" s="62">
        <f>IFERROR(VLOOKUP(B653,Tableau5[#All],5,FALSE),"Matricule!")</f>
        <v>8</v>
      </c>
      <c r="J653" s="62">
        <f>IFERROR(VLOOKUP(B653,Tableau5[#All],6,FALSE),"Matricule!")</f>
        <v>0</v>
      </c>
      <c r="K653" s="62">
        <f>IFERROR(VLOOKUP(B653,Tableau5[#All],7,FALSE),"Matricule!")</f>
        <v>0</v>
      </c>
      <c r="L653" s="62" t="e">
        <f>VLOOKUP(Tableau242[[#This Row],[Company number]],#REF!,25,FALSE)</f>
        <v>#REF!</v>
      </c>
      <c r="M653" s="62" t="str">
        <f>IFERROR(VLOOKUP(Tableau242[[#This Row],[Company number]],#REF!,30,FALSE),"")</f>
        <v/>
      </c>
      <c r="N653" s="62" t="str">
        <f>IFERROR(VLOOKUP(Tableau242[[#This Row],[Company number]],#REF!,31,FALSE),"")</f>
        <v/>
      </c>
      <c r="O653" s="62" t="str">
        <f>IFERROR(VLOOKUP(Tableau242[[#This Row],[Company number]],#REF!,32,FALSE),"")</f>
        <v/>
      </c>
      <c r="P653" s="62">
        <f>IFERROR(VLOOKUP(B653,Tableau3[#All],5,FALSE),"Matricule!")</f>
        <v>12</v>
      </c>
      <c r="Q653" s="62">
        <f>IFERROR(SUM(VLOOKUP(B653,Tableau3[#All],6,FALSE),VLOOKUP(B653,Tableau3[#All],8,FALSE)),"Matricule!")</f>
        <v>8</v>
      </c>
      <c r="R653" s="62">
        <f>IFERROR(VLOOKUP(B653,Tableau3[#All],7,FALSE),"Matricule!")</f>
        <v>0</v>
      </c>
      <c r="S653" s="62">
        <f>IFERROR(Tableau242[[#This Row],[Prod. days WK]]-Tableau242[[#This Row],[Prod PXX]],"Matricule")</f>
        <v>0</v>
      </c>
      <c r="T653" s="62">
        <f>IFERROR(Tableau242[[#This Row],[Non prod. days WK]]-Tableau242[[#This Row],[Improd PXX]],"Matricule")</f>
        <v>0</v>
      </c>
      <c r="U653" s="62">
        <f>IFERROR(Tableau242[[#This Row],[Paid leave days WK]]-Tableau242[[#This Row],[Congé PXX]],"Matricule")</f>
        <v>0</v>
      </c>
      <c r="V653" s="63">
        <f>IFERROR(VLOOKUP($B653,#REF!,4,FALSE),0)</f>
        <v>0</v>
      </c>
      <c r="W65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53" s="63">
        <f>IF(AND(Tableau242[[#This Row],[Paid leave days]]&gt;0,Tableau242[[#This Row],[Prod. days]]&lt;0),MIN(Tableau242[[#This Row],[Paid leave days]],-Tableau242[[#This Row],[Prod. days]]),0)</f>
        <v>0</v>
      </c>
      <c r="Z653" s="63">
        <f>IFERROR(_xlfn.XLOOKUP(Tableau242[[#This Row],[Consultant]],Tableau2[Collaborateur/Nom affiché],Tableau2[Montant imputé],0),0)</f>
        <v>0</v>
      </c>
      <c r="AA653" s="64">
        <f t="shared" si="11"/>
        <v>0</v>
      </c>
      <c r="AB653" s="65" t="s">
        <v>154</v>
      </c>
      <c r="AC653" s="66"/>
      <c r="AD653" s="66"/>
      <c r="AE653"/>
      <c r="AF653" s="90"/>
    </row>
    <row r="654" spans="1:32" ht="29.1">
      <c r="A654" s="15">
        <f>Tableau242[[#This Row],[Company number]]+0</f>
        <v>13173</v>
      </c>
      <c r="B654" s="60" t="s">
        <v>1421</v>
      </c>
      <c r="C654" s="61" t="s">
        <v>1422</v>
      </c>
      <c r="D654" s="61" t="s">
        <v>41</v>
      </c>
      <c r="E654" s="62" t="str">
        <f>IFERROR(VLOOKUP(Tableau242[[#This Row],[Manager ou CDM concerné]],Parametres!B:C,2,FALSE),"")</f>
        <v>Squad B</v>
      </c>
      <c r="F654" s="62" t="str">
        <f>IF(Tableau242[[#This Row],[Consultant]]=Tableau242[[#This Row],[Manager ou CDM concerné]],"Non",IF(IFERROR(VLOOKUP(Tableau242[[#This Row],[Consultant]],Parametres!B:C,2,FALSE),0)=0,"Non","Oui"))</f>
        <v>Non</v>
      </c>
      <c r="G654" s="62">
        <f>IFERROR(VLOOKUP(B654,Tableau5[#All],4,FALSE),"Matricule!")</f>
        <v>0</v>
      </c>
      <c r="H654" s="62" t="str">
        <f>IFERROR(VLOOKUP(Tableau242[[#This Row],[Company number]],#REF!,6,FALSE),"")</f>
        <v/>
      </c>
      <c r="I654" s="62">
        <f>IFERROR(VLOOKUP(B654,Tableau5[#All],5,FALSE),"Matricule!")</f>
        <v>12.5</v>
      </c>
      <c r="J654" s="62">
        <f>IFERROR(VLOOKUP(B654,Tableau5[#All],6,FALSE),"Matricule!")</f>
        <v>7.5</v>
      </c>
      <c r="K654" s="62">
        <f>IFERROR(VLOOKUP(B654,Tableau5[#All],7,FALSE),"Matricule!")</f>
        <v>0</v>
      </c>
      <c r="L654" s="62" t="e">
        <f>VLOOKUP(Tableau242[[#This Row],[Company number]],#REF!,25,FALSE)</f>
        <v>#REF!</v>
      </c>
      <c r="M654" s="62" t="str">
        <f>IFERROR(VLOOKUP(Tableau242[[#This Row],[Company number]],#REF!,30,FALSE),"")</f>
        <v/>
      </c>
      <c r="N654" s="62" t="str">
        <f>IFERROR(VLOOKUP(Tableau242[[#This Row],[Company number]],#REF!,31,FALSE),"")</f>
        <v/>
      </c>
      <c r="O654" s="62" t="str">
        <f>IFERROR(VLOOKUP(Tableau242[[#This Row],[Company number]],#REF!,32,FALSE),"")</f>
        <v/>
      </c>
      <c r="P654" s="62">
        <f>IFERROR(VLOOKUP(B654,Tableau3[#All],5,FALSE),"Matricule!")</f>
        <v>0</v>
      </c>
      <c r="Q654" s="62">
        <f>IFERROR(SUM(VLOOKUP(B654,Tableau3[#All],6,FALSE),VLOOKUP(B654,Tableau3[#All],8,FALSE)),"Matricule!")</f>
        <v>12</v>
      </c>
      <c r="R654" s="62">
        <f>IFERROR(VLOOKUP(B654,Tableau3[#All],7,FALSE),"Matricule!")</f>
        <v>8</v>
      </c>
      <c r="S654" s="62">
        <f>IFERROR(Tableau242[[#This Row],[Prod. days WK]]-Tableau242[[#This Row],[Prod PXX]],"Matricule")</f>
        <v>0</v>
      </c>
      <c r="T654" s="62">
        <f>IFERROR(Tableau242[[#This Row],[Non prod. days WK]]-Tableau242[[#This Row],[Improd PXX]],"Matricule")</f>
        <v>0.5</v>
      </c>
      <c r="U654" s="62">
        <f>IFERROR(Tableau242[[#This Row],[Paid leave days WK]]-Tableau242[[#This Row],[Congé PXX]],"Matricule")</f>
        <v>-0.5</v>
      </c>
      <c r="V654" s="63">
        <f>IFERROR(VLOOKUP($B654,#REF!,4,FALSE),0)</f>
        <v>0</v>
      </c>
      <c r="W65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54" s="63">
        <f>IF(AND(Tableau242[[#This Row],[Paid leave days]]&gt;0,Tableau242[[#This Row],[Prod. days]]&lt;0),MIN(Tableau242[[#This Row],[Paid leave days]],-Tableau242[[#This Row],[Prod. days]]),0)</f>
        <v>0</v>
      </c>
      <c r="Z654" s="63">
        <f>IFERROR(_xlfn.XLOOKUP(Tableau242[[#This Row],[Consultant]],Tableau2[Collaborateur/Nom affiché],Tableau2[Montant imputé],0),0)</f>
        <v>0</v>
      </c>
      <c r="AA654" s="64">
        <f t="shared" si="11"/>
        <v>0</v>
      </c>
      <c r="AB654" s="65"/>
      <c r="AC654" s="66"/>
      <c r="AD654" s="66"/>
      <c r="AE654" s="115"/>
      <c r="AF654" s="90"/>
    </row>
    <row r="655" spans="1:32" ht="14.45" customHeight="1">
      <c r="A655" s="15">
        <f>Tableau242[[#This Row],[Company number]]+0</f>
        <v>13340</v>
      </c>
      <c r="B655" s="60" t="s">
        <v>1423</v>
      </c>
      <c r="C655" s="61" t="s">
        <v>1424</v>
      </c>
      <c r="D655" s="61" t="s">
        <v>32</v>
      </c>
      <c r="E655" s="62" t="str">
        <f>IFERROR(VLOOKUP(Tableau242[[#This Row],[Manager ou CDM concerné]],Parametres!B:C,2,FALSE),"")</f>
        <v>Squad D</v>
      </c>
      <c r="F655" s="62" t="str">
        <f>IF(Tableau242[[#This Row],[Consultant]]=Tableau242[[#This Row],[Manager ou CDM concerné]],"Non",IF(IFERROR(VLOOKUP(Tableau242[[#This Row],[Consultant]],Parametres!B:C,2,FALSE),0)=0,"Non","Oui"))</f>
        <v>Non</v>
      </c>
      <c r="G655" s="62">
        <f>IFERROR(VLOOKUP(B655,Tableau5[#All],4,FALSE),"Matricule!")</f>
        <v>20</v>
      </c>
      <c r="H655" s="62" t="str">
        <f>IFERROR(VLOOKUP(Tableau242[[#This Row],[Company number]],#REF!,6,FALSE),"")</f>
        <v/>
      </c>
      <c r="I655" s="62">
        <f>IFERROR(VLOOKUP(B655,Tableau5[#All],5,FALSE),"Matricule!")</f>
        <v>0</v>
      </c>
      <c r="J655" s="62">
        <f>IFERROR(VLOOKUP(B655,Tableau5[#All],6,FALSE),"Matricule!")</f>
        <v>0</v>
      </c>
      <c r="K655" s="62">
        <f>IFERROR(VLOOKUP(B655,Tableau5[#All],7,FALSE),"Matricule!")</f>
        <v>0</v>
      </c>
      <c r="L655" s="62" t="e">
        <f>VLOOKUP(Tableau242[[#This Row],[Company number]],#REF!,25,FALSE)</f>
        <v>#REF!</v>
      </c>
      <c r="M655" s="62" t="str">
        <f>IFERROR(VLOOKUP(Tableau242[[#This Row],[Company number]],#REF!,30,FALSE),"")</f>
        <v/>
      </c>
      <c r="N655" s="62" t="str">
        <f>IFERROR(VLOOKUP(Tableau242[[#This Row],[Company number]],#REF!,31,FALSE),"")</f>
        <v/>
      </c>
      <c r="O655" s="62" t="str">
        <f>IFERROR(VLOOKUP(Tableau242[[#This Row],[Company number]],#REF!,32,FALSE),"")</f>
        <v/>
      </c>
      <c r="P655" s="62">
        <f>IFERROR(VLOOKUP(B655,Tableau3[#All],5,FALSE),"Matricule!")</f>
        <v>20</v>
      </c>
      <c r="Q655" s="62">
        <f>IFERROR(SUM(VLOOKUP(B655,Tableau3[#All],6,FALSE),VLOOKUP(B655,Tableau3[#All],8,FALSE)),"Matricule!")</f>
        <v>0</v>
      </c>
      <c r="R655" s="62">
        <f>IFERROR(VLOOKUP(B655,Tableau3[#All],7,FALSE),"Matricule!")</f>
        <v>0</v>
      </c>
      <c r="S655" s="62">
        <f>IFERROR(Tableau242[[#This Row],[Prod. days WK]]-Tableau242[[#This Row],[Prod PXX]],"Matricule")</f>
        <v>0</v>
      </c>
      <c r="T655" s="62">
        <f>IFERROR(Tableau242[[#This Row],[Non prod. days WK]]-Tableau242[[#This Row],[Improd PXX]],"Matricule")</f>
        <v>0</v>
      </c>
      <c r="U655" s="62">
        <f>IFERROR(Tableau242[[#This Row],[Paid leave days WK]]-Tableau242[[#This Row],[Congé PXX]],"Matricule")</f>
        <v>0</v>
      </c>
      <c r="V655" s="63">
        <f>IFERROR(VLOOKUP($B655,#REF!,4,FALSE),0)</f>
        <v>0</v>
      </c>
      <c r="W65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55" s="63">
        <f>IF(AND(Tableau242[[#This Row],[Paid leave days]]&gt;0,Tableau242[[#This Row],[Prod. days]]&lt;0),MIN(Tableau242[[#This Row],[Paid leave days]],-Tableau242[[#This Row],[Prod. days]]),0)</f>
        <v>0</v>
      </c>
      <c r="Z655" s="63">
        <f>IFERROR(_xlfn.XLOOKUP(Tableau242[[#This Row],[Consultant]],Tableau2[Collaborateur/Nom affiché],Tableau2[Montant imputé],0),0)</f>
        <v>0</v>
      </c>
      <c r="AA655" s="64">
        <f t="shared" si="11"/>
        <v>0</v>
      </c>
      <c r="AB655" s="84"/>
      <c r="AC655" s="66"/>
      <c r="AD655" s="66"/>
      <c r="AE655" s="115"/>
      <c r="AF655" s="90"/>
    </row>
    <row r="656" spans="1:32" ht="14.45" customHeight="1">
      <c r="A656" s="15">
        <f>Tableau242[[#This Row],[Company number]]+0</f>
        <v>20765</v>
      </c>
      <c r="B656" s="60" t="s">
        <v>1425</v>
      </c>
      <c r="C656" s="61" t="s">
        <v>1426</v>
      </c>
      <c r="D656" s="61" t="s">
        <v>10</v>
      </c>
      <c r="E656" s="62" t="str">
        <f>IFERROR(VLOOKUP(Tableau242[[#This Row],[Manager ou CDM concerné]],Parametres!B:C,2,FALSE),"")</f>
        <v>Squad A</v>
      </c>
      <c r="F656" s="62" t="str">
        <f>IF(Tableau242[[#This Row],[Consultant]]=Tableau242[[#This Row],[Manager ou CDM concerné]],"Non",IF(IFERROR(VLOOKUP(Tableau242[[#This Row],[Consultant]],Parametres!B:C,2,FALSE),0)=0,"Non","Oui"))</f>
        <v>Non</v>
      </c>
      <c r="G656" s="62">
        <f>IFERROR(VLOOKUP(B656,Tableau5[#All],4,FALSE),"Matricule!")</f>
        <v>20</v>
      </c>
      <c r="H656" s="62" t="str">
        <f>IFERROR(VLOOKUP(Tableau242[[#This Row],[Company number]],#REF!,6,FALSE),"")</f>
        <v/>
      </c>
      <c r="I656" s="62">
        <f>IFERROR(VLOOKUP(B656,Tableau5[#All],5,FALSE),"Matricule!")</f>
        <v>0</v>
      </c>
      <c r="J656" s="62">
        <f>IFERROR(VLOOKUP(B656,Tableau5[#All],6,FALSE),"Matricule!")</f>
        <v>0</v>
      </c>
      <c r="K656" s="62">
        <f>IFERROR(VLOOKUP(B656,Tableau5[#All],7,FALSE),"Matricule!")</f>
        <v>0</v>
      </c>
      <c r="L656" s="62" t="e">
        <f>VLOOKUP(Tableau242[[#This Row],[Company number]],#REF!,25,FALSE)</f>
        <v>#REF!</v>
      </c>
      <c r="M656" s="62" t="str">
        <f>IFERROR(VLOOKUP(Tableau242[[#This Row],[Company number]],#REF!,30,FALSE),"")</f>
        <v/>
      </c>
      <c r="N656" s="62" t="str">
        <f>IFERROR(VLOOKUP(Tableau242[[#This Row],[Company number]],#REF!,31,FALSE),"")</f>
        <v/>
      </c>
      <c r="O656" s="62" t="str">
        <f>IFERROR(VLOOKUP(Tableau242[[#This Row],[Company number]],#REF!,32,FALSE),"")</f>
        <v/>
      </c>
      <c r="P656" s="62">
        <f>IFERROR(VLOOKUP(B656,Tableau3[#All],5,FALSE),"Matricule!")</f>
        <v>20</v>
      </c>
      <c r="Q656" s="62">
        <f>IFERROR(SUM(VLOOKUP(B656,Tableau3[#All],6,FALSE),VLOOKUP(B656,Tableau3[#All],8,FALSE)),"Matricule!")</f>
        <v>0</v>
      </c>
      <c r="R656" s="62">
        <f>IFERROR(VLOOKUP(B656,Tableau3[#All],7,FALSE),"Matricule!")</f>
        <v>0</v>
      </c>
      <c r="S656" s="62">
        <f>IFERROR(Tableau242[[#This Row],[Prod. days WK]]-Tableau242[[#This Row],[Prod PXX]],"Matricule")</f>
        <v>0</v>
      </c>
      <c r="T656" s="62">
        <f>IFERROR(Tableau242[[#This Row],[Non prod. days WK]]-Tableau242[[#This Row],[Improd PXX]],"Matricule")</f>
        <v>0</v>
      </c>
      <c r="U656" s="62">
        <f>IFERROR(Tableau242[[#This Row],[Paid leave days WK]]-Tableau242[[#This Row],[Congé PXX]],"Matricule")</f>
        <v>0</v>
      </c>
      <c r="V656" s="63">
        <f>IFERROR(VLOOKUP($B656,#REF!,4,FALSE),0)</f>
        <v>0</v>
      </c>
      <c r="W65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56" s="63">
        <f>IF(AND(Tableau242[[#This Row],[Paid leave days]]&gt;0,Tableau242[[#This Row],[Prod. days]]&lt;0),MIN(Tableau242[[#This Row],[Paid leave days]],-Tableau242[[#This Row],[Prod. days]]),0)</f>
        <v>0</v>
      </c>
      <c r="Z656" s="63">
        <f>IFERROR(_xlfn.XLOOKUP(Tableau242[[#This Row],[Consultant]],Tableau2[Collaborateur/Nom affiché],Tableau2[Montant imputé],0),0)</f>
        <v>0</v>
      </c>
      <c r="AA656" s="64">
        <f t="shared" si="11"/>
        <v>0</v>
      </c>
      <c r="AB656" s="65"/>
      <c r="AC656" s="66"/>
      <c r="AD656" s="66"/>
      <c r="AE656"/>
      <c r="AF656" s="90"/>
    </row>
    <row r="657" spans="1:32" ht="14.45" customHeight="1">
      <c r="A657" s="15">
        <f>Tableau242[[#This Row],[Company number]]+0</f>
        <v>20886</v>
      </c>
      <c r="B657" s="60" t="s">
        <v>1427</v>
      </c>
      <c r="C657" s="61" t="s">
        <v>1428</v>
      </c>
      <c r="D657" s="61" t="s">
        <v>10</v>
      </c>
      <c r="E657" s="62" t="str">
        <f>IFERROR(VLOOKUP(Tableau242[[#This Row],[Manager ou CDM concerné]],Parametres!B:C,2,FALSE),"")</f>
        <v>Squad A</v>
      </c>
      <c r="F657" s="62" t="str">
        <f>IF(Tableau242[[#This Row],[Consultant]]=Tableau242[[#This Row],[Manager ou CDM concerné]],"Non",IF(IFERROR(VLOOKUP(Tableau242[[#This Row],[Consultant]],Parametres!B:C,2,FALSE),0)=0,"Non","Oui"))</f>
        <v>Non</v>
      </c>
      <c r="G657" s="62">
        <f>IFERROR(VLOOKUP(B657,Tableau5[#All],4,FALSE),"Matricule!")</f>
        <v>20</v>
      </c>
      <c r="H657" s="62" t="str">
        <f>IFERROR(VLOOKUP(Tableau242[[#This Row],[Company number]],#REF!,6,FALSE),"")</f>
        <v/>
      </c>
      <c r="I657" s="62">
        <f>IFERROR(VLOOKUP(B657,Tableau5[#All],5,FALSE),"Matricule!")</f>
        <v>0</v>
      </c>
      <c r="J657" s="62">
        <f>IFERROR(VLOOKUP(B657,Tableau5[#All],6,FALSE),"Matricule!")</f>
        <v>0</v>
      </c>
      <c r="K657" s="62">
        <f>IFERROR(VLOOKUP(B657,Tableau5[#All],7,FALSE),"Matricule!")</f>
        <v>0</v>
      </c>
      <c r="L657" s="62" t="e">
        <f>VLOOKUP(Tableau242[[#This Row],[Company number]],#REF!,25,FALSE)</f>
        <v>#REF!</v>
      </c>
      <c r="M657" s="62" t="str">
        <f>IFERROR(VLOOKUP(Tableau242[[#This Row],[Company number]],#REF!,30,FALSE),"")</f>
        <v/>
      </c>
      <c r="N657" s="62" t="str">
        <f>IFERROR(VLOOKUP(Tableau242[[#This Row],[Company number]],#REF!,31,FALSE),"")</f>
        <v/>
      </c>
      <c r="O657" s="62" t="str">
        <f>IFERROR(VLOOKUP(Tableau242[[#This Row],[Company number]],#REF!,32,FALSE),"")</f>
        <v/>
      </c>
      <c r="P657" s="62">
        <f>IFERROR(VLOOKUP(B657,Tableau3[#All],5,FALSE),"Matricule!")</f>
        <v>20</v>
      </c>
      <c r="Q657" s="62">
        <f>IFERROR(SUM(VLOOKUP(B657,Tableau3[#All],6,FALSE),VLOOKUP(B657,Tableau3[#All],8,FALSE)),"Matricule!")</f>
        <v>0</v>
      </c>
      <c r="R657" s="62">
        <f>IFERROR(VLOOKUP(B657,Tableau3[#All],7,FALSE),"Matricule!")</f>
        <v>0</v>
      </c>
      <c r="S657" s="62">
        <f>IFERROR(Tableau242[[#This Row],[Prod. days WK]]-Tableau242[[#This Row],[Prod PXX]],"Matricule")</f>
        <v>0</v>
      </c>
      <c r="T657" s="62">
        <f>IFERROR(Tableau242[[#This Row],[Non prod. days WK]]-Tableau242[[#This Row],[Improd PXX]],"Matricule")</f>
        <v>0</v>
      </c>
      <c r="U657" s="62">
        <f>IFERROR(Tableau242[[#This Row],[Paid leave days WK]]-Tableau242[[#This Row],[Congé PXX]],"Matricule")</f>
        <v>0</v>
      </c>
      <c r="V657" s="63">
        <f>IFERROR(VLOOKUP($B657,#REF!,4,FALSE),0)</f>
        <v>0</v>
      </c>
      <c r="W65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57" s="63">
        <f>IF(AND(Tableau242[[#This Row],[Paid leave days]]&gt;0,Tableau242[[#This Row],[Prod. days]]&lt;0),MIN(Tableau242[[#This Row],[Paid leave days]],-Tableau242[[#This Row],[Prod. days]]),0)</f>
        <v>0</v>
      </c>
      <c r="Z657" s="63">
        <f>IFERROR(_xlfn.XLOOKUP(Tableau242[[#This Row],[Consultant]],Tableau2[Collaborateur/Nom affiché],Tableau2[Montant imputé],0),0)</f>
        <v>0</v>
      </c>
      <c r="AA657" s="64">
        <f t="shared" si="11"/>
        <v>0</v>
      </c>
      <c r="AB657" s="78"/>
      <c r="AC657" s="67"/>
      <c r="AD657" s="67"/>
      <c r="AE657" s="119"/>
      <c r="AF657" s="92"/>
    </row>
    <row r="658" spans="1:32" ht="14.45" customHeight="1">
      <c r="A658" s="15">
        <f>Tableau242[[#This Row],[Company number]]+0</f>
        <v>20328</v>
      </c>
      <c r="B658" s="60" t="s">
        <v>1429</v>
      </c>
      <c r="C658" s="61" t="s">
        <v>1430</v>
      </c>
      <c r="D658" s="61" t="s">
        <v>10</v>
      </c>
      <c r="E658" s="62" t="str">
        <f>IFERROR(VLOOKUP(Tableau242[[#This Row],[Manager ou CDM concerné]],Parametres!B:C,2,FALSE),"")</f>
        <v>Squad A</v>
      </c>
      <c r="F658" s="62" t="str">
        <f>IF(Tableau242[[#This Row],[Consultant]]=Tableau242[[#This Row],[Manager ou CDM concerné]],"Non",IF(IFERROR(VLOOKUP(Tableau242[[#This Row],[Consultant]],Parametres!B:C,2,FALSE),0)=0,"Non","Oui"))</f>
        <v>Non</v>
      </c>
      <c r="G658" s="62">
        <f>IFERROR(VLOOKUP(B658,Tableau5[#All],4,FALSE),"Matricule!")</f>
        <v>18</v>
      </c>
      <c r="H658" s="62" t="str">
        <f>IFERROR(VLOOKUP(Tableau242[[#This Row],[Company number]],#REF!,6,FALSE),"")</f>
        <v/>
      </c>
      <c r="I658" s="62">
        <f>IFERROR(VLOOKUP(B658,Tableau5[#All],5,FALSE),"Matricule!")</f>
        <v>0</v>
      </c>
      <c r="J658" s="62">
        <f>IFERROR(VLOOKUP(B658,Tableau5[#All],6,FALSE),"Matricule!")</f>
        <v>2</v>
      </c>
      <c r="K658" s="62">
        <f>IFERROR(VLOOKUP(B658,Tableau5[#All],7,FALSE),"Matricule!")</f>
        <v>0</v>
      </c>
      <c r="L658" s="62" t="e">
        <f>VLOOKUP(Tableau242[[#This Row],[Company number]],#REF!,25,FALSE)</f>
        <v>#REF!</v>
      </c>
      <c r="M658" s="62" t="str">
        <f>IFERROR(VLOOKUP(Tableau242[[#This Row],[Company number]],#REF!,30,FALSE),"")</f>
        <v/>
      </c>
      <c r="N658" s="62" t="str">
        <f>IFERROR(VLOOKUP(Tableau242[[#This Row],[Company number]],#REF!,31,FALSE),"")</f>
        <v/>
      </c>
      <c r="O658" s="62" t="str">
        <f>IFERROR(VLOOKUP(Tableau242[[#This Row],[Company number]],#REF!,32,FALSE),"")</f>
        <v/>
      </c>
      <c r="P658" s="62">
        <f>IFERROR(VLOOKUP(B658,Tableau3[#All],5,FALSE),"Matricule!")</f>
        <v>18</v>
      </c>
      <c r="Q658" s="62">
        <f>IFERROR(SUM(VLOOKUP(B658,Tableau3[#All],6,FALSE),VLOOKUP(B658,Tableau3[#All],8,FALSE)),"Matricule!")</f>
        <v>0</v>
      </c>
      <c r="R658" s="62">
        <f>IFERROR(VLOOKUP(B658,Tableau3[#All],7,FALSE),"Matricule!")</f>
        <v>2</v>
      </c>
      <c r="S658" s="62">
        <f>IFERROR(Tableau242[[#This Row],[Prod. days WK]]-Tableau242[[#This Row],[Prod PXX]],"Matricule")</f>
        <v>0</v>
      </c>
      <c r="T658" s="62">
        <f>IFERROR(Tableau242[[#This Row],[Non prod. days WK]]-Tableau242[[#This Row],[Improd PXX]],"Matricule")</f>
        <v>0</v>
      </c>
      <c r="U658" s="62">
        <f>IFERROR(Tableau242[[#This Row],[Paid leave days WK]]-Tableau242[[#This Row],[Congé PXX]],"Matricule")</f>
        <v>0</v>
      </c>
      <c r="V658" s="63">
        <f>IFERROR(VLOOKUP($B658,#REF!,4,FALSE),0)</f>
        <v>0</v>
      </c>
      <c r="W65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58" s="63">
        <f>IF(AND(Tableau242[[#This Row],[Paid leave days]]&gt;0,Tableau242[[#This Row],[Prod. days]]&lt;0),MIN(Tableau242[[#This Row],[Paid leave days]],-Tableau242[[#This Row],[Prod. days]]),0)</f>
        <v>0</v>
      </c>
      <c r="Z658" s="63">
        <f>IFERROR(_xlfn.XLOOKUP(Tableau242[[#This Row],[Consultant]],Tableau2[Collaborateur/Nom affiché],Tableau2[Montant imputé],0),0)</f>
        <v>0</v>
      </c>
      <c r="AA658" s="64">
        <f t="shared" si="11"/>
        <v>0</v>
      </c>
      <c r="AB658" s="65"/>
      <c r="AC658" s="67"/>
      <c r="AD658" s="66"/>
      <c r="AE658" s="115"/>
      <c r="AF658" s="93"/>
    </row>
    <row r="659" spans="1:32" ht="14.45" customHeight="1">
      <c r="A659" s="15">
        <f>Tableau242[[#This Row],[Company number]]+0</f>
        <v>21568</v>
      </c>
      <c r="B659" s="60" t="s">
        <v>1431</v>
      </c>
      <c r="C659" s="61" t="s">
        <v>1432</v>
      </c>
      <c r="D659" s="61" t="s">
        <v>10</v>
      </c>
      <c r="E659" s="62" t="str">
        <f>IFERROR(VLOOKUP(Tableau242[[#This Row],[Manager ou CDM concerné]],Parametres!B:C,2,FALSE),"")</f>
        <v>Squad A</v>
      </c>
      <c r="F659" s="62" t="str">
        <f>IF(Tableau242[[#This Row],[Consultant]]=Tableau242[[#This Row],[Manager ou CDM concerné]],"Non",IF(IFERROR(VLOOKUP(Tableau242[[#This Row],[Consultant]],Parametres!B:C,2,FALSE),0)=0,"Non","Oui"))</f>
        <v>Non</v>
      </c>
      <c r="G659" s="62">
        <f>IFERROR(VLOOKUP(B659,Tableau5[#All],4,FALSE),"Matricule!")</f>
        <v>0</v>
      </c>
      <c r="H659" s="62" t="str">
        <f>IFERROR(VLOOKUP(Tableau242[[#This Row],[Company number]],#REF!,6,FALSE),"")</f>
        <v/>
      </c>
      <c r="I659" s="62">
        <f>IFERROR(VLOOKUP(B659,Tableau5[#All],5,FALSE),"Matricule!")</f>
        <v>20</v>
      </c>
      <c r="J659" s="62">
        <f>IFERROR(VLOOKUP(B659,Tableau5[#All],6,FALSE),"Matricule!")</f>
        <v>0</v>
      </c>
      <c r="K659" s="62">
        <f>IFERROR(VLOOKUP(B659,Tableau5[#All],7,FALSE),"Matricule!")</f>
        <v>0</v>
      </c>
      <c r="L659" s="62" t="e">
        <f>VLOOKUP(Tableau242[[#This Row],[Company number]],#REF!,25,FALSE)</f>
        <v>#REF!</v>
      </c>
      <c r="M659" s="62" t="str">
        <f>IFERROR(VLOOKUP(Tableau242[[#This Row],[Company number]],#REF!,30,FALSE),"")</f>
        <v/>
      </c>
      <c r="N659" s="62" t="str">
        <f>IFERROR(VLOOKUP(Tableau242[[#This Row],[Company number]],#REF!,31,FALSE),"")</f>
        <v/>
      </c>
      <c r="O659" s="62" t="str">
        <f>IFERROR(VLOOKUP(Tableau242[[#This Row],[Company number]],#REF!,32,FALSE),"")</f>
        <v/>
      </c>
      <c r="P659" s="62">
        <f>IFERROR(VLOOKUP(B659,Tableau3[#All],5,FALSE),"Matricule!")</f>
        <v>0</v>
      </c>
      <c r="Q659" s="62">
        <f>IFERROR(SUM(VLOOKUP(B659,Tableau3[#All],6,FALSE),VLOOKUP(B659,Tableau3[#All],8,FALSE)),"Matricule!")</f>
        <v>20</v>
      </c>
      <c r="R659" s="62">
        <f>IFERROR(VLOOKUP(B659,Tableau3[#All],7,FALSE),"Matricule!")</f>
        <v>0</v>
      </c>
      <c r="S659" s="62">
        <f>IFERROR(Tableau242[[#This Row],[Prod. days WK]]-Tableau242[[#This Row],[Prod PXX]],"Matricule")</f>
        <v>0</v>
      </c>
      <c r="T659" s="62">
        <f>IFERROR(Tableau242[[#This Row],[Non prod. days WK]]-Tableau242[[#This Row],[Improd PXX]],"Matricule")</f>
        <v>0</v>
      </c>
      <c r="U659" s="62">
        <f>IFERROR(Tableau242[[#This Row],[Paid leave days WK]]-Tableau242[[#This Row],[Congé PXX]],"Matricule")</f>
        <v>0</v>
      </c>
      <c r="V659" s="63">
        <f>IFERROR(VLOOKUP($B659,#REF!,4,FALSE),0)</f>
        <v>0</v>
      </c>
      <c r="W65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5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59" s="63">
        <f>IF(AND(Tableau242[[#This Row],[Paid leave days]]&gt;0,Tableau242[[#This Row],[Prod. days]]&lt;0),MIN(Tableau242[[#This Row],[Paid leave days]],-Tableau242[[#This Row],[Prod. days]]),0)</f>
        <v>0</v>
      </c>
      <c r="Z659" s="63">
        <f>IFERROR(_xlfn.XLOOKUP(Tableau242[[#This Row],[Consultant]],Tableau2[Collaborateur/Nom affiché],Tableau2[Montant imputé],0),0)</f>
        <v>0</v>
      </c>
      <c r="AA659" s="64">
        <f t="shared" si="11"/>
        <v>0</v>
      </c>
      <c r="AB659" s="65"/>
      <c r="AC659" s="66"/>
      <c r="AD659" s="66"/>
      <c r="AE659" s="105"/>
      <c r="AF659" s="90"/>
    </row>
    <row r="660" spans="1:32" ht="29.1" customHeight="1">
      <c r="A660" s="15">
        <f>Tableau242[[#This Row],[Company number]]+0</f>
        <v>15514</v>
      </c>
      <c r="B660" s="60" t="s">
        <v>1433</v>
      </c>
      <c r="C660" s="61" t="s">
        <v>1434</v>
      </c>
      <c r="D660" s="61" t="s">
        <v>32</v>
      </c>
      <c r="E660" s="62" t="str">
        <f>IFERROR(VLOOKUP(Tableau242[[#This Row],[Manager ou CDM concerné]],Parametres!B:C,2,FALSE),"")</f>
        <v>Squad D</v>
      </c>
      <c r="F660" s="62" t="str">
        <f>IF(Tableau242[[#This Row],[Consultant]]=Tableau242[[#This Row],[Manager ou CDM concerné]],"Non",IF(IFERROR(VLOOKUP(Tableau242[[#This Row],[Consultant]],Parametres!B:C,2,FALSE),0)=0,"Non","Oui"))</f>
        <v>Non</v>
      </c>
      <c r="G660" s="62">
        <f>IFERROR(VLOOKUP(B660,Tableau5[#All],4,FALSE),"Matricule!")</f>
        <v>0</v>
      </c>
      <c r="H660" s="62" t="str">
        <f>IFERROR(VLOOKUP(Tableau242[[#This Row],[Company number]],#REF!,6,FALSE),"")</f>
        <v/>
      </c>
      <c r="I660" s="62">
        <f>IFERROR(VLOOKUP(B660,Tableau5[#All],5,FALSE),"Matricule!")</f>
        <v>9</v>
      </c>
      <c r="J660" s="62">
        <f>IFERROR(VLOOKUP(B660,Tableau5[#All],6,FALSE),"Matricule!")</f>
        <v>11</v>
      </c>
      <c r="K660" s="62">
        <f>IFERROR(VLOOKUP(B660,Tableau5[#All],7,FALSE),"Matricule!")</f>
        <v>0</v>
      </c>
      <c r="L660" s="62" t="e">
        <f>VLOOKUP(Tableau242[[#This Row],[Company number]],#REF!,25,FALSE)</f>
        <v>#REF!</v>
      </c>
      <c r="M660" s="62" t="str">
        <f>IFERROR(VLOOKUP(Tableau242[[#This Row],[Company number]],#REF!,30,FALSE),"")</f>
        <v/>
      </c>
      <c r="N660" s="62" t="str">
        <f>IFERROR(VLOOKUP(Tableau242[[#This Row],[Company number]],#REF!,31,FALSE),"")</f>
        <v/>
      </c>
      <c r="O660" s="62" t="str">
        <f>IFERROR(VLOOKUP(Tableau242[[#This Row],[Company number]],#REF!,32,FALSE),"")</f>
        <v/>
      </c>
      <c r="P660" s="62">
        <f>IFERROR(VLOOKUP(B660,Tableau3[#All],5,FALSE),"Matricule!")</f>
        <v>0</v>
      </c>
      <c r="Q660" s="62">
        <f>IFERROR(SUM(VLOOKUP(B660,Tableau3[#All],6,FALSE),VLOOKUP(B660,Tableau3[#All],8,FALSE)),"Matricule!")</f>
        <v>10</v>
      </c>
      <c r="R660" s="62">
        <f>IFERROR(VLOOKUP(B660,Tableau3[#All],7,FALSE),"Matricule!")</f>
        <v>10</v>
      </c>
      <c r="S660" s="62">
        <f>IFERROR(Tableau242[[#This Row],[Prod. days WK]]-Tableau242[[#This Row],[Prod PXX]],"Matricule")</f>
        <v>0</v>
      </c>
      <c r="T660" s="62">
        <f>IFERROR(Tableau242[[#This Row],[Non prod. days WK]]-Tableau242[[#This Row],[Improd PXX]],"Matricule")</f>
        <v>-1</v>
      </c>
      <c r="U660" s="62">
        <f>IFERROR(Tableau242[[#This Row],[Paid leave days WK]]-Tableau242[[#This Row],[Congé PXX]],"Matricule")</f>
        <v>1</v>
      </c>
      <c r="V660" s="63">
        <f>IFERROR(VLOOKUP($B660,#REF!,4,FALSE),0)</f>
        <v>0</v>
      </c>
      <c r="W66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60" s="63">
        <f>IF(AND(Tableau242[[#This Row],[Paid leave days]]&gt;0,Tableau242[[#This Row],[Prod. days]]&lt;0),MIN(Tableau242[[#This Row],[Paid leave days]],-Tableau242[[#This Row],[Prod. days]]),0)</f>
        <v>0</v>
      </c>
      <c r="Z660" s="63">
        <f>IFERROR(_xlfn.XLOOKUP(Tableau242[[#This Row],[Consultant]],Tableau2[Collaborateur/Nom affiché],Tableau2[Montant imputé],0),0)</f>
        <v>0</v>
      </c>
      <c r="AA660" s="64">
        <f t="shared" si="11"/>
        <v>0</v>
      </c>
      <c r="AB660" s="65" t="s">
        <v>154</v>
      </c>
      <c r="AC660" s="66"/>
      <c r="AD660" s="66"/>
      <c r="AE660" s="105"/>
      <c r="AF660" s="90"/>
    </row>
    <row r="661" spans="1:32" ht="14.45" customHeight="1">
      <c r="A661" s="15">
        <f>Tableau242[[#This Row],[Company number]]+0</f>
        <v>2574</v>
      </c>
      <c r="B661" s="60" t="s">
        <v>1435</v>
      </c>
      <c r="C661" s="61" t="s">
        <v>1436</v>
      </c>
      <c r="D661" s="61" t="s">
        <v>23</v>
      </c>
      <c r="E661" s="62" t="str">
        <f>IFERROR(VLOOKUP(Tableau242[[#This Row],[Manager ou CDM concerné]],Parametres!B:C,2,FALSE),"")</f>
        <v>Squad G</v>
      </c>
      <c r="F661" s="62" t="str">
        <f>IF(Tableau242[[#This Row],[Consultant]]=Tableau242[[#This Row],[Manager ou CDM concerné]],"Non",IF(IFERROR(VLOOKUP(Tableau242[[#This Row],[Consultant]],Parametres!B:C,2,FALSE),0)=0,"Non","Oui"))</f>
        <v>Non</v>
      </c>
      <c r="G661" s="62">
        <f>IFERROR(VLOOKUP(B661,Tableau5[#All],4,FALSE),"Matricule!")</f>
        <v>0</v>
      </c>
      <c r="H661" s="62" t="str">
        <f>IFERROR(VLOOKUP(Tableau242[[#This Row],[Company number]],#REF!,6,FALSE),"")</f>
        <v/>
      </c>
      <c r="I661" s="62">
        <f>IFERROR(VLOOKUP(B661,Tableau5[#All],5,FALSE),"Matricule!")</f>
        <v>20</v>
      </c>
      <c r="J661" s="62">
        <f>IFERROR(VLOOKUP(B661,Tableau5[#All],6,FALSE),"Matricule!")</f>
        <v>0</v>
      </c>
      <c r="K661" s="62">
        <f>IFERROR(VLOOKUP(B661,Tableau5[#All],7,FALSE),"Matricule!")</f>
        <v>0</v>
      </c>
      <c r="L661" s="62" t="e">
        <f>VLOOKUP(Tableau242[[#This Row],[Company number]],#REF!,25,FALSE)</f>
        <v>#REF!</v>
      </c>
      <c r="M661" s="62" t="str">
        <f>IFERROR(VLOOKUP(Tableau242[[#This Row],[Company number]],#REF!,30,FALSE),"")</f>
        <v/>
      </c>
      <c r="N661" s="62" t="str">
        <f>IFERROR(VLOOKUP(Tableau242[[#This Row],[Company number]],#REF!,31,FALSE),"")</f>
        <v/>
      </c>
      <c r="O661" s="62" t="str">
        <f>IFERROR(VLOOKUP(Tableau242[[#This Row],[Company number]],#REF!,32,FALSE),"")</f>
        <v/>
      </c>
      <c r="P661" s="68">
        <f>IFERROR(VLOOKUP(B661,Tableau3[#All],5,FALSE),"Matricule!")</f>
        <v>0</v>
      </c>
      <c r="Q661" s="68">
        <f>IFERROR(SUM(VLOOKUP(B661,Tableau3[#All],6,FALSE),VLOOKUP(B661,Tableau3[#All],8,FALSE)),"Matricule!")</f>
        <v>20</v>
      </c>
      <c r="R661" s="68">
        <f>IFERROR(VLOOKUP(B661,Tableau3[#All],7,FALSE),"Matricule!")</f>
        <v>0</v>
      </c>
      <c r="S661" s="62">
        <f>IFERROR(Tableau242[[#This Row],[Prod. days WK]]-Tableau242[[#This Row],[Prod PXX]],"Matricule")</f>
        <v>0</v>
      </c>
      <c r="T661" s="62">
        <f>IFERROR(Tableau242[[#This Row],[Non prod. days WK]]-Tableau242[[#This Row],[Improd PXX]],"Matricule")</f>
        <v>0</v>
      </c>
      <c r="U661" s="62">
        <f>IFERROR(Tableau242[[#This Row],[Paid leave days WK]]-Tableau242[[#This Row],[Congé PXX]],"Matricule")</f>
        <v>0</v>
      </c>
      <c r="V661" s="63">
        <f>IFERROR(VLOOKUP($B661,#REF!,4,FALSE),0)</f>
        <v>0</v>
      </c>
      <c r="W66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61" s="63">
        <f>IF(AND(Tableau242[[#This Row],[Paid leave days]]&gt;0,Tableau242[[#This Row],[Prod. days]]&lt;0),MIN(Tableau242[[#This Row],[Paid leave days]],-Tableau242[[#This Row],[Prod. days]]),0)</f>
        <v>0</v>
      </c>
      <c r="Z661" s="63">
        <f>IFERROR(_xlfn.XLOOKUP(Tableau242[[#This Row],[Consultant]],Tableau2[Collaborateur/Nom affiché],Tableau2[Montant imputé],0),0)</f>
        <v>0</v>
      </c>
      <c r="AA661" s="64">
        <f t="shared" si="11"/>
        <v>0</v>
      </c>
      <c r="AB661" s="78"/>
      <c r="AC661" s="67"/>
      <c r="AD661" s="67"/>
      <c r="AE661" s="39"/>
      <c r="AF661" s="92"/>
    </row>
    <row r="662" spans="1:32" ht="14.45" customHeight="1">
      <c r="A662" s="15">
        <f>Tableau242[[#This Row],[Company number]]+0</f>
        <v>2594</v>
      </c>
      <c r="B662" s="60" t="s">
        <v>1437</v>
      </c>
      <c r="C662" s="61" t="s">
        <v>1438</v>
      </c>
      <c r="D662" s="61" t="s">
        <v>23</v>
      </c>
      <c r="E662" s="62" t="str">
        <f>IFERROR(VLOOKUP(Tableau242[[#This Row],[Manager ou CDM concerné]],Parametres!B:C,2,FALSE),"")</f>
        <v>Squad G</v>
      </c>
      <c r="F662" s="62" t="str">
        <f>IF(Tableau242[[#This Row],[Consultant]]=Tableau242[[#This Row],[Manager ou CDM concerné]],"Non",IF(IFERROR(VLOOKUP(Tableau242[[#This Row],[Consultant]],Parametres!B:C,2,FALSE),0)=0,"Non","Oui"))</f>
        <v>Non</v>
      </c>
      <c r="G662" s="62">
        <f>IFERROR(VLOOKUP(B662,Tableau5[#All],4,FALSE),"Matricule!")</f>
        <v>20</v>
      </c>
      <c r="H662" s="62" t="str">
        <f>IFERROR(VLOOKUP(Tableau242[[#This Row],[Company number]],#REF!,6,FALSE),"")</f>
        <v/>
      </c>
      <c r="I662" s="62">
        <f>IFERROR(VLOOKUP(B662,Tableau5[#All],5,FALSE),"Matricule!")</f>
        <v>0</v>
      </c>
      <c r="J662" s="62">
        <f>IFERROR(VLOOKUP(B662,Tableau5[#All],6,FALSE),"Matricule!")</f>
        <v>0</v>
      </c>
      <c r="K662" s="62">
        <f>IFERROR(VLOOKUP(B662,Tableau5[#All],7,FALSE),"Matricule!")</f>
        <v>0</v>
      </c>
      <c r="L662" s="62" t="e">
        <f>VLOOKUP(Tableau242[[#This Row],[Company number]],#REF!,25,FALSE)</f>
        <v>#REF!</v>
      </c>
      <c r="M662" s="62" t="str">
        <f>IFERROR(VLOOKUP(Tableau242[[#This Row],[Company number]],#REF!,30,FALSE),"")</f>
        <v/>
      </c>
      <c r="N662" s="62" t="str">
        <f>IFERROR(VLOOKUP(Tableau242[[#This Row],[Company number]],#REF!,31,FALSE),"")</f>
        <v/>
      </c>
      <c r="O662" s="62" t="str">
        <f>IFERROR(VLOOKUP(Tableau242[[#This Row],[Company number]],#REF!,32,FALSE),"")</f>
        <v/>
      </c>
      <c r="P662" s="62">
        <f>IFERROR(VLOOKUP(B662,Tableau3[#All],5,FALSE),"Matricule!")</f>
        <v>20</v>
      </c>
      <c r="Q662" s="68">
        <f>IFERROR(SUM(VLOOKUP(B662,Tableau3[#All],6,FALSE),VLOOKUP(B662,Tableau3[#All],8,FALSE)),"Matricule!")</f>
        <v>0</v>
      </c>
      <c r="R662" s="68">
        <f>IFERROR(VLOOKUP(B662,Tableau3[#All],7,FALSE),"Matricule!")</f>
        <v>0</v>
      </c>
      <c r="S662" s="62">
        <f>IFERROR(Tableau242[[#This Row],[Prod. days WK]]-Tableau242[[#This Row],[Prod PXX]],"Matricule")</f>
        <v>0</v>
      </c>
      <c r="T662" s="62">
        <f>IFERROR(Tableau242[[#This Row],[Non prod. days WK]]-Tableau242[[#This Row],[Improd PXX]],"Matricule")</f>
        <v>0</v>
      </c>
      <c r="U662" s="62">
        <f>IFERROR(Tableau242[[#This Row],[Paid leave days WK]]-Tableau242[[#This Row],[Congé PXX]],"Matricule")</f>
        <v>0</v>
      </c>
      <c r="V662" s="63">
        <f>IFERROR(VLOOKUP($B662,#REF!,4,FALSE),0)</f>
        <v>0</v>
      </c>
      <c r="W66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62" s="63">
        <f>IF(AND(Tableau242[[#This Row],[Paid leave days]]&gt;0,Tableau242[[#This Row],[Prod. days]]&lt;0),MIN(Tableau242[[#This Row],[Paid leave days]],-Tableau242[[#This Row],[Prod. days]]),0)</f>
        <v>0</v>
      </c>
      <c r="Z662" s="63">
        <f>IFERROR(_xlfn.XLOOKUP(Tableau242[[#This Row],[Consultant]],Tableau2[Collaborateur/Nom affiché],Tableau2[Montant imputé],0),0)</f>
        <v>0</v>
      </c>
      <c r="AA662" s="64">
        <f t="shared" si="11"/>
        <v>0</v>
      </c>
      <c r="AB662" s="78"/>
      <c r="AC662" s="67"/>
      <c r="AD662" s="67"/>
      <c r="AE662" s="106"/>
      <c r="AF662" s="92"/>
    </row>
    <row r="663" spans="1:32">
      <c r="A663" s="15">
        <f>Tableau242[[#This Row],[Company number]]+0</f>
        <v>17472</v>
      </c>
      <c r="B663" s="60" t="s">
        <v>1439</v>
      </c>
      <c r="C663" s="61" t="s">
        <v>1440</v>
      </c>
      <c r="D663" s="61" t="s">
        <v>520</v>
      </c>
      <c r="E663" s="62" t="str">
        <f>IFERROR(VLOOKUP(Tableau242[[#This Row],[Manager ou CDM concerné]],Parametres!B:C,2,FALSE),"")</f>
        <v>Squad E</v>
      </c>
      <c r="F663" s="62" t="str">
        <f>IF(Tableau242[[#This Row],[Consultant]]=Tableau242[[#This Row],[Manager ou CDM concerné]],"Non",IF(IFERROR(VLOOKUP(Tableau242[[#This Row],[Consultant]],Parametres!B:C,2,FALSE),0)=0,"Non","Oui"))</f>
        <v>Non</v>
      </c>
      <c r="G663" s="62">
        <f>IFERROR(VLOOKUP(B663,Tableau5[#All],4,FALSE),"Matricule!")</f>
        <v>15</v>
      </c>
      <c r="H663" s="62" t="str">
        <f>IFERROR(VLOOKUP(Tableau242[[#This Row],[Company number]],#REF!,6,FALSE),"")</f>
        <v/>
      </c>
      <c r="I663" s="62">
        <f>IFERROR(VLOOKUP(B663,Tableau5[#All],5,FALSE),"Matricule!")</f>
        <v>0</v>
      </c>
      <c r="J663" s="62">
        <f>IFERROR(VLOOKUP(B663,Tableau5[#All],6,FALSE),"Matricule!")</f>
        <v>5</v>
      </c>
      <c r="K663" s="62">
        <f>IFERROR(VLOOKUP(B663,Tableau5[#All],7,FALSE),"Matricule!")</f>
        <v>0</v>
      </c>
      <c r="L663" s="62" t="e">
        <f>VLOOKUP(Tableau242[[#This Row],[Company number]],#REF!,25,FALSE)</f>
        <v>#REF!</v>
      </c>
      <c r="M663" s="62" t="str">
        <f>IFERROR(VLOOKUP(Tableau242[[#This Row],[Company number]],#REF!,30,FALSE),"")</f>
        <v/>
      </c>
      <c r="N663" s="62" t="str">
        <f>IFERROR(VLOOKUP(Tableau242[[#This Row],[Company number]],#REF!,31,FALSE),"")</f>
        <v/>
      </c>
      <c r="O663" s="62" t="str">
        <f>IFERROR(VLOOKUP(Tableau242[[#This Row],[Company number]],#REF!,32,FALSE),"")</f>
        <v/>
      </c>
      <c r="P663" s="62">
        <f>IFERROR(VLOOKUP(B663,Tableau3[#All],5,FALSE),"Matricule!")</f>
        <v>15</v>
      </c>
      <c r="Q663" s="62">
        <f>IFERROR(SUM(VLOOKUP(B663,Tableau3[#All],6,FALSE),VLOOKUP(B663,Tableau3[#All],8,FALSE)),"Matricule!")</f>
        <v>0</v>
      </c>
      <c r="R663" s="62">
        <f>IFERROR(VLOOKUP(B663,Tableau3[#All],7,FALSE),"Matricule!")</f>
        <v>5</v>
      </c>
      <c r="S663" s="62">
        <f>IFERROR(Tableau242[[#This Row],[Prod. days WK]]-Tableau242[[#This Row],[Prod PXX]],"Matricule")</f>
        <v>0</v>
      </c>
      <c r="T663" s="62">
        <f>IFERROR(Tableau242[[#This Row],[Non prod. days WK]]-Tableau242[[#This Row],[Improd PXX]],"Matricule")</f>
        <v>0</v>
      </c>
      <c r="U663" s="62">
        <f>IFERROR(Tableau242[[#This Row],[Paid leave days WK]]-Tableau242[[#This Row],[Congé PXX]],"Matricule")</f>
        <v>0</v>
      </c>
      <c r="V663" s="63">
        <f>IFERROR(VLOOKUP($B663,#REF!,4,FALSE),0)</f>
        <v>0</v>
      </c>
      <c r="W66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63" s="63">
        <f>IF(AND(Tableau242[[#This Row],[Paid leave days]]&gt;0,Tableau242[[#This Row],[Prod. days]]&lt;0),MIN(Tableau242[[#This Row],[Paid leave days]],-Tableau242[[#This Row],[Prod. days]]),0)</f>
        <v>0</v>
      </c>
      <c r="Z663" s="63">
        <f>IFERROR(_xlfn.XLOOKUP(Tableau242[[#This Row],[Consultant]],Tableau2[Collaborateur/Nom affiché],Tableau2[Montant imputé],0),0)</f>
        <v>0</v>
      </c>
      <c r="AA663" s="64">
        <f t="shared" si="11"/>
        <v>0</v>
      </c>
      <c r="AB663" s="78"/>
      <c r="AC663" s="67"/>
      <c r="AD663" s="67"/>
      <c r="AE663" s="39"/>
      <c r="AF663" s="92"/>
    </row>
    <row r="664" spans="1:32" ht="14.45" customHeight="1">
      <c r="A664" s="15">
        <f>Tableau242[[#This Row],[Company number]]+0</f>
        <v>8430</v>
      </c>
      <c r="B664" s="60" t="s">
        <v>1441</v>
      </c>
      <c r="C664" s="61" t="s">
        <v>13</v>
      </c>
      <c r="D664" s="61" t="s">
        <v>54</v>
      </c>
      <c r="E664" s="62" t="str">
        <f>IFERROR(VLOOKUP(Tableau242[[#This Row],[Manager ou CDM concerné]],Parametres!B:C,2,FALSE),"")</f>
        <v>Squad F</v>
      </c>
      <c r="F664" s="62" t="str">
        <f>IF(Tableau242[[#This Row],[Consultant]]=Tableau242[[#This Row],[Manager ou CDM concerné]],"Non",IF(IFERROR(VLOOKUP(Tableau242[[#This Row],[Consultant]],Parametres!B:C,2,FALSE),0)=0,"Non","Oui"))</f>
        <v>Oui</v>
      </c>
      <c r="G664" s="62">
        <f>IFERROR(VLOOKUP(B664,Tableau5[#All],4,FALSE),"Matricule!")</f>
        <v>16</v>
      </c>
      <c r="H664" s="62" t="str">
        <f>IFERROR(VLOOKUP(Tableau242[[#This Row],[Company number]],#REF!,6,FALSE),"")</f>
        <v/>
      </c>
      <c r="I664" s="62">
        <f>IFERROR(VLOOKUP(B664,Tableau5[#All],5,FALSE),"Matricule!")</f>
        <v>3</v>
      </c>
      <c r="J664" s="62">
        <f>IFERROR(VLOOKUP(B664,Tableau5[#All],6,FALSE),"Matricule!")</f>
        <v>1</v>
      </c>
      <c r="K664" s="62">
        <f>IFERROR(VLOOKUP(B664,Tableau5[#All],7,FALSE),"Matricule!")</f>
        <v>0</v>
      </c>
      <c r="L664" s="62" t="e">
        <f>VLOOKUP(Tableau242[[#This Row],[Company number]],#REF!,25,FALSE)</f>
        <v>#REF!</v>
      </c>
      <c r="M664" s="62" t="str">
        <f>IFERROR(VLOOKUP(Tableau242[[#This Row],[Company number]],#REF!,30,FALSE),"")</f>
        <v/>
      </c>
      <c r="N664" s="62" t="str">
        <f>IFERROR(VLOOKUP(Tableau242[[#This Row],[Company number]],#REF!,31,FALSE),"")</f>
        <v/>
      </c>
      <c r="O664" s="62" t="str">
        <f>IFERROR(VLOOKUP(Tableau242[[#This Row],[Company number]],#REF!,32,FALSE),"")</f>
        <v/>
      </c>
      <c r="P664" s="68">
        <f>IFERROR(VLOOKUP(B664,Tableau3[#All],5,FALSE),"Matricule!")</f>
        <v>16</v>
      </c>
      <c r="Q664" s="68">
        <f>IFERROR(SUM(VLOOKUP(B664,Tableau3[#All],6,FALSE),VLOOKUP(B664,Tableau3[#All],8,FALSE)),"Matricule!")</f>
        <v>4</v>
      </c>
      <c r="R664" s="68">
        <f>IFERROR(VLOOKUP(B664,Tableau3[#All],7,FALSE),"Matricule!")</f>
        <v>0</v>
      </c>
      <c r="S664" s="62">
        <f>IFERROR(Tableau242[[#This Row],[Prod. days WK]]-Tableau242[[#This Row],[Prod PXX]],"Matricule")</f>
        <v>0</v>
      </c>
      <c r="T664" s="62">
        <f>IFERROR(Tableau242[[#This Row],[Non prod. days WK]]-Tableau242[[#This Row],[Improd PXX]],"Matricule")</f>
        <v>-1</v>
      </c>
      <c r="U664" s="62">
        <f>IFERROR(Tableau242[[#This Row],[Paid leave days WK]]-Tableau242[[#This Row],[Congé PXX]],"Matricule")</f>
        <v>1</v>
      </c>
      <c r="V664" s="63">
        <f>IFERROR(VLOOKUP($B664,#REF!,4,FALSE),0)</f>
        <v>0</v>
      </c>
      <c r="W66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64" s="63">
        <f>IF(AND(Tableau242[[#This Row],[Paid leave days]]&gt;0,Tableau242[[#This Row],[Prod. days]]&lt;0),MIN(Tableau242[[#This Row],[Paid leave days]],-Tableau242[[#This Row],[Prod. days]]),0)</f>
        <v>0</v>
      </c>
      <c r="Z664" s="63">
        <f>IFERROR(_xlfn.XLOOKUP(Tableau242[[#This Row],[Consultant]],Tableau2[Collaborateur/Nom affiché],Tableau2[Montant imputé],0),0)</f>
        <v>0</v>
      </c>
      <c r="AA664" s="64">
        <f t="shared" si="11"/>
        <v>0</v>
      </c>
      <c r="AB664" s="78"/>
      <c r="AC664" s="67"/>
      <c r="AD664" s="67"/>
      <c r="AE664" s="106"/>
      <c r="AF664" s="92"/>
    </row>
    <row r="665" spans="1:32" ht="14.45" customHeight="1">
      <c r="A665" s="15">
        <f>Tableau242[[#This Row],[Company number]]+0</f>
        <v>17583</v>
      </c>
      <c r="B665" s="60" t="s">
        <v>1442</v>
      </c>
      <c r="C665" s="61" t="s">
        <v>1443</v>
      </c>
      <c r="D665" s="61" t="s">
        <v>520</v>
      </c>
      <c r="E665" s="62" t="str">
        <f>IFERROR(VLOOKUP(Tableau242[[#This Row],[Manager ou CDM concerné]],Parametres!B:C,2,FALSE),"")</f>
        <v>Squad E</v>
      </c>
      <c r="F665" s="62" t="str">
        <f>IF(Tableau242[[#This Row],[Consultant]]=Tableau242[[#This Row],[Manager ou CDM concerné]],"Non",IF(IFERROR(VLOOKUP(Tableau242[[#This Row],[Consultant]],Parametres!B:C,2,FALSE),0)=0,"Non","Oui"))</f>
        <v>Non</v>
      </c>
      <c r="G665" s="62">
        <f>IFERROR(VLOOKUP(B665,Tableau5[#All],4,FALSE),"Matricule!")</f>
        <v>20</v>
      </c>
      <c r="H665" s="62" t="str">
        <f>IFERROR(VLOOKUP(Tableau242[[#This Row],[Company number]],#REF!,6,FALSE),"")</f>
        <v/>
      </c>
      <c r="I665" s="62">
        <f>IFERROR(VLOOKUP(B665,Tableau5[#All],5,FALSE),"Matricule!")</f>
        <v>0</v>
      </c>
      <c r="J665" s="62">
        <f>IFERROR(VLOOKUP(B665,Tableau5[#All],6,FALSE),"Matricule!")</f>
        <v>0</v>
      </c>
      <c r="K665" s="62">
        <f>IFERROR(VLOOKUP(B665,Tableau5[#All],7,FALSE),"Matricule!")</f>
        <v>0</v>
      </c>
      <c r="L665" s="62" t="e">
        <f>VLOOKUP(Tableau242[[#This Row],[Company number]],#REF!,25,FALSE)</f>
        <v>#REF!</v>
      </c>
      <c r="M665" s="62" t="str">
        <f>IFERROR(VLOOKUP(Tableau242[[#This Row],[Company number]],#REF!,30,FALSE),"")</f>
        <v/>
      </c>
      <c r="N665" s="62" t="str">
        <f>IFERROR(VLOOKUP(Tableau242[[#This Row],[Company number]],#REF!,31,FALSE),"")</f>
        <v/>
      </c>
      <c r="O665" s="62" t="str">
        <f>IFERROR(VLOOKUP(Tableau242[[#This Row],[Company number]],#REF!,32,FALSE),"")</f>
        <v/>
      </c>
      <c r="P665" s="62">
        <f>IFERROR(VLOOKUP(B665,Tableau3[#All],5,FALSE),"Matricule!")</f>
        <v>20</v>
      </c>
      <c r="Q665" s="62">
        <f>IFERROR(SUM(VLOOKUP(B665,Tableau3[#All],6,FALSE),VLOOKUP(B665,Tableau3[#All],8,FALSE)),"Matricule!")</f>
        <v>0</v>
      </c>
      <c r="R665" s="62">
        <f>IFERROR(VLOOKUP(B665,Tableau3[#All],7,FALSE),"Matricule!")</f>
        <v>0</v>
      </c>
      <c r="S665" s="62">
        <f>IFERROR(Tableau242[[#This Row],[Prod. days WK]]-Tableau242[[#This Row],[Prod PXX]],"Matricule")</f>
        <v>0</v>
      </c>
      <c r="T665" s="62">
        <f>IFERROR(Tableau242[[#This Row],[Non prod. days WK]]-Tableau242[[#This Row],[Improd PXX]],"Matricule")</f>
        <v>0</v>
      </c>
      <c r="U665" s="62">
        <f>IFERROR(Tableau242[[#This Row],[Paid leave days WK]]-Tableau242[[#This Row],[Congé PXX]],"Matricule")</f>
        <v>0</v>
      </c>
      <c r="V665" s="63">
        <f>IFERROR(VLOOKUP($B665,#REF!,4,FALSE),0)</f>
        <v>0</v>
      </c>
      <c r="W66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65" s="63">
        <f>IF(AND(Tableau242[[#This Row],[Paid leave days]]&gt;0,Tableau242[[#This Row],[Prod. days]]&lt;0),MIN(Tableau242[[#This Row],[Paid leave days]],-Tableau242[[#This Row],[Prod. days]]),0)</f>
        <v>0</v>
      </c>
      <c r="Z665" s="63">
        <f>IFERROR(_xlfn.XLOOKUP(Tableau242[[#This Row],[Consultant]],Tableau2[Collaborateur/Nom affiché],Tableau2[Montant imputé],0),0)</f>
        <v>0</v>
      </c>
      <c r="AA665" s="64">
        <f t="shared" si="11"/>
        <v>0</v>
      </c>
      <c r="AB665" s="65"/>
      <c r="AC665" s="66"/>
      <c r="AD665" s="66"/>
      <c r="AE665" s="105"/>
      <c r="AF665" s="90"/>
    </row>
    <row r="666" spans="1:32" ht="14.45" customHeight="1">
      <c r="A666" s="15">
        <f>Tableau242[[#This Row],[Company number]]+0</f>
        <v>22307</v>
      </c>
      <c r="B666" s="60" t="s">
        <v>1444</v>
      </c>
      <c r="C666" s="61" t="s">
        <v>1445</v>
      </c>
      <c r="D666" s="61" t="s">
        <v>1316</v>
      </c>
      <c r="E666" s="62" t="str">
        <f>IFERROR(VLOOKUP(Tableau242[[#This Row],[Manager ou CDM concerné]],Parametres!B:C,2,FALSE),"")</f>
        <v>Squad B</v>
      </c>
      <c r="F666" s="62" t="str">
        <f>IF(Tableau242[[#This Row],[Consultant]]=Tableau242[[#This Row],[Manager ou CDM concerné]],"Non",IF(IFERROR(VLOOKUP(Tableau242[[#This Row],[Consultant]],Parametres!B:C,2,FALSE),0)=0,"Non","Oui"))</f>
        <v>Non</v>
      </c>
      <c r="G666" s="62">
        <f>IFERROR(VLOOKUP(B666,Tableau5[#All],4,FALSE),"Matricule!")</f>
        <v>0</v>
      </c>
      <c r="H666" s="62" t="str">
        <f>IFERROR(VLOOKUP(Tableau242[[#This Row],[Company number]],#REF!,6,FALSE),"")</f>
        <v/>
      </c>
      <c r="I666" s="62">
        <f>IFERROR(VLOOKUP(B666,Tableau5[#All],5,FALSE),"Matricule!")</f>
        <v>2</v>
      </c>
      <c r="J666" s="62">
        <f>IFERROR(VLOOKUP(B666,Tableau5[#All],6,FALSE),"Matricule!")</f>
        <v>0</v>
      </c>
      <c r="K666" s="62">
        <f>IFERROR(VLOOKUP(B666,Tableau5[#All],7,FALSE),"Matricule!")</f>
        <v>18</v>
      </c>
      <c r="L666" s="62" t="e">
        <f>VLOOKUP(Tableau242[[#This Row],[Company number]],#REF!,25,FALSE)</f>
        <v>#REF!</v>
      </c>
      <c r="M666" s="62" t="str">
        <f>IFERROR(VLOOKUP(Tableau242[[#This Row],[Company number]],#REF!,30,FALSE),"")</f>
        <v/>
      </c>
      <c r="N666" s="62" t="str">
        <f>IFERROR(VLOOKUP(Tableau242[[#This Row],[Company number]],#REF!,31,FALSE),"")</f>
        <v/>
      </c>
      <c r="O666" s="62" t="str">
        <f>IFERROR(VLOOKUP(Tableau242[[#This Row],[Company number]],#REF!,32,FALSE),"")</f>
        <v/>
      </c>
      <c r="P666" s="62">
        <f>IFERROR(VLOOKUP(B666,Tableau3[#All],5,FALSE),"Matricule!")</f>
        <v>0</v>
      </c>
      <c r="Q666" s="62">
        <f>IFERROR(SUM(VLOOKUP(B666,Tableau3[#All],6,FALSE),VLOOKUP(B666,Tableau3[#All],8,FALSE)),"Matricule!")</f>
        <v>2</v>
      </c>
      <c r="R666" s="62">
        <f>IFERROR(VLOOKUP(B666,Tableau3[#All],7,FALSE),"Matricule!")</f>
        <v>0</v>
      </c>
      <c r="S666" s="62">
        <f>IFERROR(Tableau242[[#This Row],[Prod. days WK]]-Tableau242[[#This Row],[Prod PXX]],"Matricule")</f>
        <v>0</v>
      </c>
      <c r="T666" s="62">
        <f>IFERROR(Tableau242[[#This Row],[Non prod. days WK]]-Tableau242[[#This Row],[Improd PXX]],"Matricule")</f>
        <v>0</v>
      </c>
      <c r="U666" s="62">
        <f>IFERROR(Tableau242[[#This Row],[Paid leave days WK]]-Tableau242[[#This Row],[Congé PXX]],"Matricule")</f>
        <v>0</v>
      </c>
      <c r="V666" s="63">
        <f>IFERROR(VLOOKUP($B666,#REF!,4,FALSE),0)</f>
        <v>0</v>
      </c>
      <c r="W66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66" s="63">
        <f>IF(AND(Tableau242[[#This Row],[Paid leave days]]&gt;0,Tableau242[[#This Row],[Prod. days]]&lt;0),MIN(Tableau242[[#This Row],[Paid leave days]],-Tableau242[[#This Row],[Prod. days]]),0)</f>
        <v>0</v>
      </c>
      <c r="Z666" s="63">
        <f>IFERROR(_xlfn.XLOOKUP(Tableau242[[#This Row],[Consultant]],Tableau2[Collaborateur/Nom affiché],Tableau2[Montant imputé],0),0)</f>
        <v>0</v>
      </c>
      <c r="AA666" s="64">
        <f t="shared" si="11"/>
        <v>0</v>
      </c>
      <c r="AB666" s="65"/>
      <c r="AC666" s="66"/>
      <c r="AD666" s="66"/>
      <c r="AE666" s="105"/>
      <c r="AF666" s="90"/>
    </row>
    <row r="667" spans="1:32" ht="14.45" customHeight="1">
      <c r="A667" s="15">
        <f>Tableau242[[#This Row],[Company number]]+0</f>
        <v>8853</v>
      </c>
      <c r="B667" s="60" t="s">
        <v>1446</v>
      </c>
      <c r="C667" s="61" t="s">
        <v>45</v>
      </c>
      <c r="D667" s="61" t="s">
        <v>54</v>
      </c>
      <c r="E667" s="62" t="str">
        <f>IFERROR(VLOOKUP(Tableau242[[#This Row],[Manager ou CDM concerné]],Parametres!B:C,2,FALSE),"")</f>
        <v>Squad F</v>
      </c>
      <c r="F667" s="62" t="str">
        <f>IF(Tableau242[[#This Row],[Consultant]]=Tableau242[[#This Row],[Manager ou CDM concerné]],"Non",IF(IFERROR(VLOOKUP(Tableau242[[#This Row],[Consultant]],Parametres!B:C,2,FALSE),0)=0,"Non","Oui"))</f>
        <v>Oui</v>
      </c>
      <c r="G667" s="62">
        <f>IFERROR(VLOOKUP(B667,Tableau5[#All],4,FALSE),"Matricule!")</f>
        <v>10</v>
      </c>
      <c r="H667" s="62" t="str">
        <f>IFERROR(VLOOKUP(Tableau242[[#This Row],[Company number]],#REF!,6,FALSE),"")</f>
        <v/>
      </c>
      <c r="I667" s="62">
        <f>IFERROR(VLOOKUP(B667,Tableau5[#All],5,FALSE),"Matricule!")</f>
        <v>8</v>
      </c>
      <c r="J667" s="62">
        <f>IFERROR(VLOOKUP(B667,Tableau5[#All],6,FALSE),"Matricule!")</f>
        <v>2</v>
      </c>
      <c r="K667" s="62">
        <f>IFERROR(VLOOKUP(B667,Tableau5[#All],7,FALSE),"Matricule!")</f>
        <v>0</v>
      </c>
      <c r="L667" s="62" t="e">
        <f>VLOOKUP(Tableau242[[#This Row],[Company number]],#REF!,25,FALSE)</f>
        <v>#REF!</v>
      </c>
      <c r="M667" s="62" t="str">
        <f>IFERROR(VLOOKUP(Tableau242[[#This Row],[Company number]],#REF!,30,FALSE),"")</f>
        <v/>
      </c>
      <c r="N667" s="62" t="str">
        <f>IFERROR(VLOOKUP(Tableau242[[#This Row],[Company number]],#REF!,31,FALSE),"")</f>
        <v/>
      </c>
      <c r="O667" s="62" t="str">
        <f>IFERROR(VLOOKUP(Tableau242[[#This Row],[Company number]],#REF!,32,FALSE),"")</f>
        <v/>
      </c>
      <c r="P667" s="62">
        <f>IFERROR(VLOOKUP(B667,Tableau3[#All],5,FALSE),"Matricule!")</f>
        <v>10</v>
      </c>
      <c r="Q667" s="62">
        <f>IFERROR(SUM(VLOOKUP(B667,Tableau3[#All],6,FALSE),VLOOKUP(B667,Tableau3[#All],8,FALSE)),"Matricule!")</f>
        <v>8</v>
      </c>
      <c r="R667" s="62">
        <f>IFERROR(VLOOKUP(B667,Tableau3[#All],7,FALSE),"Matricule!")</f>
        <v>2</v>
      </c>
      <c r="S667" s="62">
        <f>IFERROR(Tableau242[[#This Row],[Prod. days WK]]-Tableau242[[#This Row],[Prod PXX]],"Matricule")</f>
        <v>0</v>
      </c>
      <c r="T667" s="62">
        <f>IFERROR(Tableau242[[#This Row],[Non prod. days WK]]-Tableau242[[#This Row],[Improd PXX]],"Matricule")</f>
        <v>0</v>
      </c>
      <c r="U667" s="62">
        <f>IFERROR(Tableau242[[#This Row],[Paid leave days WK]]-Tableau242[[#This Row],[Congé PXX]],"Matricule")</f>
        <v>0</v>
      </c>
      <c r="V667" s="63">
        <f>IFERROR(VLOOKUP($B667,#REF!,4,FALSE),0)</f>
        <v>0</v>
      </c>
      <c r="W66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67" s="63">
        <f>IF(AND(Tableau242[[#This Row],[Paid leave days]]&gt;0,Tableau242[[#This Row],[Prod. days]]&lt;0),MIN(Tableau242[[#This Row],[Paid leave days]],-Tableau242[[#This Row],[Prod. days]]),0)</f>
        <v>0</v>
      </c>
      <c r="Z667" s="63">
        <f>IFERROR(_xlfn.XLOOKUP(Tableau242[[#This Row],[Consultant]],Tableau2[Collaborateur/Nom affiché],Tableau2[Montant imputé],0),0)</f>
        <v>0</v>
      </c>
      <c r="AA667" s="64">
        <f t="shared" si="11"/>
        <v>0</v>
      </c>
      <c r="AB667" s="65"/>
      <c r="AC667" s="66"/>
      <c r="AD667" s="66"/>
      <c r="AE667" s="105"/>
      <c r="AF667" s="90"/>
    </row>
    <row r="668" spans="1:32" ht="14.45" customHeight="1">
      <c r="A668" s="15">
        <f>Tableau242[[#This Row],[Company number]]+0</f>
        <v>5566</v>
      </c>
      <c r="B668" s="60" t="s">
        <v>1447</v>
      </c>
      <c r="C668" s="61" t="s">
        <v>65</v>
      </c>
      <c r="D668" s="61" t="s">
        <v>54</v>
      </c>
      <c r="E668" s="62" t="str">
        <f>IFERROR(VLOOKUP(Tableau242[[#This Row],[Manager ou CDM concerné]],Parametres!B:C,2,FALSE),"")</f>
        <v>Squad F</v>
      </c>
      <c r="F668" s="62" t="str">
        <f>IF(Tableau242[[#This Row],[Consultant]]=Tableau242[[#This Row],[Manager ou CDM concerné]],"Non",IF(IFERROR(VLOOKUP(Tableau242[[#This Row],[Consultant]],Parametres!B:C,2,FALSE),0)=0,"Non","Oui"))</f>
        <v>Oui</v>
      </c>
      <c r="G668" s="62">
        <f>IFERROR(VLOOKUP(B668,Tableau5[#All],4,FALSE),"Matricule!")</f>
        <v>0</v>
      </c>
      <c r="H668" s="62" t="str">
        <f>IFERROR(VLOOKUP(Tableau242[[#This Row],[Company number]],#REF!,6,FALSE),"")</f>
        <v/>
      </c>
      <c r="I668" s="62">
        <f>IFERROR(VLOOKUP(B668,Tableau5[#All],5,FALSE),"Matricule!")</f>
        <v>14</v>
      </c>
      <c r="J668" s="62">
        <f>IFERROR(VLOOKUP(B668,Tableau5[#All],6,FALSE),"Matricule!")</f>
        <v>6</v>
      </c>
      <c r="K668" s="62">
        <f>IFERROR(VLOOKUP(B668,Tableau5[#All],7,FALSE),"Matricule!")</f>
        <v>0</v>
      </c>
      <c r="L668" s="62" t="e">
        <f>VLOOKUP(Tableau242[[#This Row],[Company number]],#REF!,25,FALSE)</f>
        <v>#REF!</v>
      </c>
      <c r="M668" s="62" t="str">
        <f>IFERROR(VLOOKUP(Tableau242[[#This Row],[Company number]],#REF!,30,FALSE),"")</f>
        <v/>
      </c>
      <c r="N668" s="62" t="str">
        <f>IFERROR(VLOOKUP(Tableau242[[#This Row],[Company number]],#REF!,31,FALSE),"")</f>
        <v/>
      </c>
      <c r="O668" s="62" t="str">
        <f>IFERROR(VLOOKUP(Tableau242[[#This Row],[Company number]],#REF!,32,FALSE),"")</f>
        <v/>
      </c>
      <c r="P668" s="62">
        <f>IFERROR(VLOOKUP(B668,Tableau3[#All],5,FALSE),"Matricule!")</f>
        <v>0</v>
      </c>
      <c r="Q668" s="62">
        <f>IFERROR(SUM(VLOOKUP(B668,Tableau3[#All],6,FALSE),VLOOKUP(B668,Tableau3[#All],8,FALSE)),"Matricule!")</f>
        <v>14</v>
      </c>
      <c r="R668" s="62">
        <f>IFERROR(VLOOKUP(B668,Tableau3[#All],7,FALSE),"Matricule!")</f>
        <v>6</v>
      </c>
      <c r="S668" s="62">
        <f>IFERROR(Tableau242[[#This Row],[Prod. days WK]]-Tableau242[[#This Row],[Prod PXX]],"Matricule")</f>
        <v>0</v>
      </c>
      <c r="T668" s="62">
        <f>IFERROR(Tableau242[[#This Row],[Non prod. days WK]]-Tableau242[[#This Row],[Improd PXX]],"Matricule")</f>
        <v>0</v>
      </c>
      <c r="U668" s="62">
        <f>IFERROR(Tableau242[[#This Row],[Paid leave days WK]]-Tableau242[[#This Row],[Congé PXX]],"Matricule")</f>
        <v>0</v>
      </c>
      <c r="V668" s="63">
        <f>IFERROR(VLOOKUP($B668,#REF!,4,FALSE),0)</f>
        <v>0</v>
      </c>
      <c r="W66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68" s="63">
        <f>IF(AND(Tableau242[[#This Row],[Paid leave days]]&gt;0,Tableau242[[#This Row],[Prod. days]]&lt;0),MIN(Tableau242[[#This Row],[Paid leave days]],-Tableau242[[#This Row],[Prod. days]]),0)</f>
        <v>0</v>
      </c>
      <c r="Z668" s="63">
        <f>IFERROR(_xlfn.XLOOKUP(Tableau242[[#This Row],[Consultant]],Tableau2[Collaborateur/Nom affiché],Tableau2[Montant imputé],0),0)</f>
        <v>0</v>
      </c>
      <c r="AA668" s="64">
        <f t="shared" si="11"/>
        <v>0</v>
      </c>
      <c r="AB668" s="78"/>
      <c r="AC668" s="66"/>
      <c r="AD668" s="66"/>
      <c r="AE668" s="105"/>
      <c r="AF668" s="90"/>
    </row>
    <row r="669" spans="1:32" ht="14.45" customHeight="1">
      <c r="A669" s="15">
        <f>Tableau242[[#This Row],[Company number]]+0</f>
        <v>5243</v>
      </c>
      <c r="B669" s="60" t="s">
        <v>1448</v>
      </c>
      <c r="C669" s="61" t="s">
        <v>1449</v>
      </c>
      <c r="D669" s="61" t="s">
        <v>8</v>
      </c>
      <c r="E669" s="62" t="str">
        <f>IFERROR(VLOOKUP(Tableau242[[#This Row],[Manager ou CDM concerné]],Parametres!B:C,2,FALSE),"")</f>
        <v>Squad B</v>
      </c>
      <c r="F669" s="62" t="str">
        <f>IF(Tableau242[[#This Row],[Consultant]]=Tableau242[[#This Row],[Manager ou CDM concerné]],"Non",IF(IFERROR(VLOOKUP(Tableau242[[#This Row],[Consultant]],Parametres!B:C,2,FALSE),0)=0,"Non","Oui"))</f>
        <v>Non</v>
      </c>
      <c r="G669" s="62">
        <f>IFERROR(VLOOKUP(B669,Tableau5[#All],4,FALSE),"Matricule!")</f>
        <v>0</v>
      </c>
      <c r="H669" s="62" t="str">
        <f>IFERROR(VLOOKUP(Tableau242[[#This Row],[Company number]],#REF!,6,FALSE),"")</f>
        <v/>
      </c>
      <c r="I669" s="62">
        <f>IFERROR(VLOOKUP(B669,Tableau5[#All],5,FALSE),"Matricule!")</f>
        <v>16</v>
      </c>
      <c r="J669" s="62">
        <f>IFERROR(VLOOKUP(B669,Tableau5[#All],6,FALSE),"Matricule!")</f>
        <v>4</v>
      </c>
      <c r="K669" s="62">
        <f>IFERROR(VLOOKUP(B669,Tableau5[#All],7,FALSE),"Matricule!")</f>
        <v>0</v>
      </c>
      <c r="L669" s="62" t="e">
        <f>VLOOKUP(Tableau242[[#This Row],[Company number]],#REF!,25,FALSE)</f>
        <v>#REF!</v>
      </c>
      <c r="M669" s="62" t="str">
        <f>IFERROR(VLOOKUP(Tableau242[[#This Row],[Company number]],#REF!,30,FALSE),"")</f>
        <v/>
      </c>
      <c r="N669" s="62" t="str">
        <f>IFERROR(VLOOKUP(Tableau242[[#This Row],[Company number]],#REF!,31,FALSE),"")</f>
        <v/>
      </c>
      <c r="O669" s="62" t="str">
        <f>IFERROR(VLOOKUP(Tableau242[[#This Row],[Company number]],#REF!,32,FALSE),"")</f>
        <v/>
      </c>
      <c r="P669" s="62">
        <f>IFERROR(VLOOKUP(B669,Tableau3[#All],5,FALSE),"Matricule!")</f>
        <v>0</v>
      </c>
      <c r="Q669" s="62">
        <f>IFERROR(SUM(VLOOKUP(B669,Tableau3[#All],6,FALSE),VLOOKUP(B669,Tableau3[#All],8,FALSE)),"Matricule!")</f>
        <v>19</v>
      </c>
      <c r="R669" s="62">
        <f>IFERROR(VLOOKUP(B669,Tableau3[#All],7,FALSE),"Matricule!")</f>
        <v>1</v>
      </c>
      <c r="S669" s="62">
        <f>IFERROR(Tableau242[[#This Row],[Prod. days WK]]-Tableau242[[#This Row],[Prod PXX]],"Matricule")</f>
        <v>0</v>
      </c>
      <c r="T669" s="62">
        <f>IFERROR(Tableau242[[#This Row],[Non prod. days WK]]-Tableau242[[#This Row],[Improd PXX]],"Matricule")</f>
        <v>-3</v>
      </c>
      <c r="U669" s="62">
        <f>IFERROR(Tableau242[[#This Row],[Paid leave days WK]]-Tableau242[[#This Row],[Congé PXX]],"Matricule")</f>
        <v>3</v>
      </c>
      <c r="V669" s="63">
        <f>IFERROR(VLOOKUP($B669,#REF!,4,FALSE),0)</f>
        <v>0</v>
      </c>
      <c r="W66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6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69" s="63">
        <f>IF(AND(Tableau242[[#This Row],[Paid leave days]]&gt;0,Tableau242[[#This Row],[Prod. days]]&lt;0),MIN(Tableau242[[#This Row],[Paid leave days]],-Tableau242[[#This Row],[Prod. days]]),0)</f>
        <v>0</v>
      </c>
      <c r="Z669" s="63">
        <f>IFERROR(_xlfn.XLOOKUP(Tableau242[[#This Row],[Consultant]],Tableau2[Collaborateur/Nom affiché],Tableau2[Montant imputé],0),0)</f>
        <v>0</v>
      </c>
      <c r="AA669" s="64">
        <f t="shared" si="11"/>
        <v>0</v>
      </c>
      <c r="AB669" s="65"/>
      <c r="AC669" s="66"/>
      <c r="AD669" s="66"/>
      <c r="AE669" s="105"/>
      <c r="AF669" s="90"/>
    </row>
    <row r="670" spans="1:32" ht="14.45" customHeight="1">
      <c r="A670" s="15">
        <f>Tableau242[[#This Row],[Company number]]+0</f>
        <v>20468</v>
      </c>
      <c r="B670" s="60" t="s">
        <v>1450</v>
      </c>
      <c r="C670" s="61" t="s">
        <v>1451</v>
      </c>
      <c r="D670" s="61" t="s">
        <v>82</v>
      </c>
      <c r="E670" s="62" t="str">
        <f>IFERROR(VLOOKUP(Tableau242[[#This Row],[Manager ou CDM concerné]],Parametres!B:C,2,FALSE),"")</f>
        <v>Squad F</v>
      </c>
      <c r="F670" s="62" t="str">
        <f>IF(Tableau242[[#This Row],[Consultant]]=Tableau242[[#This Row],[Manager ou CDM concerné]],"Non",IF(IFERROR(VLOOKUP(Tableau242[[#This Row],[Consultant]],Parametres!B:C,2,FALSE),0)=0,"Non","Oui"))</f>
        <v>Non</v>
      </c>
      <c r="G670" s="62">
        <f>IFERROR(VLOOKUP(B670,Tableau5[#All],4,FALSE),"Matricule!")</f>
        <v>13</v>
      </c>
      <c r="H670" s="62" t="str">
        <f>IFERROR(VLOOKUP(Tableau242[[#This Row],[Company number]],#REF!,6,FALSE),"")</f>
        <v/>
      </c>
      <c r="I670" s="62">
        <f>IFERROR(VLOOKUP(B670,Tableau5[#All],5,FALSE),"Matricule!")</f>
        <v>0</v>
      </c>
      <c r="J670" s="62">
        <f>IFERROR(VLOOKUP(B670,Tableau5[#All],6,FALSE),"Matricule!")</f>
        <v>7</v>
      </c>
      <c r="K670" s="62">
        <f>IFERROR(VLOOKUP(B670,Tableau5[#All],7,FALSE),"Matricule!")</f>
        <v>0</v>
      </c>
      <c r="L670" s="62" t="e">
        <f>VLOOKUP(Tableau242[[#This Row],[Company number]],#REF!,25,FALSE)</f>
        <v>#REF!</v>
      </c>
      <c r="M670" s="62" t="str">
        <f>IFERROR(VLOOKUP(Tableau242[[#This Row],[Company number]],#REF!,30,FALSE),"")</f>
        <v/>
      </c>
      <c r="N670" s="62" t="str">
        <f>IFERROR(VLOOKUP(Tableau242[[#This Row],[Company number]],#REF!,31,FALSE),"")</f>
        <v/>
      </c>
      <c r="O670" s="62" t="str">
        <f>IFERROR(VLOOKUP(Tableau242[[#This Row],[Company number]],#REF!,32,FALSE),"")</f>
        <v/>
      </c>
      <c r="P670" s="62">
        <f>IFERROR(VLOOKUP(B670,Tableau3[#All],5,FALSE),"Matricule!")</f>
        <v>12.5</v>
      </c>
      <c r="Q670" s="62">
        <f>IFERROR(SUM(VLOOKUP(B670,Tableau3[#All],6,FALSE),VLOOKUP(B670,Tableau3[#All],8,FALSE)),"Matricule!")</f>
        <v>0</v>
      </c>
      <c r="R670" s="62">
        <f>IFERROR(VLOOKUP(B670,Tableau3[#All],7,FALSE),"Matricule!")</f>
        <v>7.5</v>
      </c>
      <c r="S670" s="62">
        <f>IFERROR(Tableau242[[#This Row],[Prod. days WK]]-Tableau242[[#This Row],[Prod PXX]],"Matricule")</f>
        <v>0.5</v>
      </c>
      <c r="T670" s="62">
        <f>IFERROR(Tableau242[[#This Row],[Non prod. days WK]]-Tableau242[[#This Row],[Improd PXX]],"Matricule")</f>
        <v>0</v>
      </c>
      <c r="U670" s="62">
        <f>IFERROR(Tableau242[[#This Row],[Paid leave days WK]]-Tableau242[[#This Row],[Congé PXX]],"Matricule")</f>
        <v>-0.5</v>
      </c>
      <c r="V670" s="63">
        <f>IFERROR(VLOOKUP($B670,#REF!,4,FALSE),0)</f>
        <v>0</v>
      </c>
      <c r="W67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70" s="63">
        <f>IF(AND(Tableau242[[#This Row],[Paid leave days]]&gt;0,Tableau242[[#This Row],[Prod. days]]&lt;0),MIN(Tableau242[[#This Row],[Paid leave days]],-Tableau242[[#This Row],[Prod. days]]),0)</f>
        <v>0</v>
      </c>
      <c r="Z670" s="63">
        <f>IFERROR(_xlfn.XLOOKUP(Tableau242[[#This Row],[Consultant]],Tableau2[Collaborateur/Nom affiché],Tableau2[Montant imputé],0),0)</f>
        <v>0</v>
      </c>
      <c r="AA670" s="64">
        <f t="shared" si="11"/>
        <v>0.5</v>
      </c>
      <c r="AB670" s="65"/>
      <c r="AC670" s="66"/>
      <c r="AD670" s="66"/>
      <c r="AE670" s="105"/>
      <c r="AF670" s="96"/>
    </row>
    <row r="671" spans="1:32" ht="14.45" customHeight="1">
      <c r="A671" s="15">
        <f>Tableau242[[#This Row],[Company number]]+0</f>
        <v>21362</v>
      </c>
      <c r="B671" s="60" t="s">
        <v>1452</v>
      </c>
      <c r="C671" s="61" t="s">
        <v>1453</v>
      </c>
      <c r="D671" s="61" t="s">
        <v>72</v>
      </c>
      <c r="E671" s="62" t="str">
        <f>IFERROR(VLOOKUP(Tableau242[[#This Row],[Manager ou CDM concerné]],Parametres!B:C,2,FALSE),"")</f>
        <v>Squad F</v>
      </c>
      <c r="F671" s="62" t="str">
        <f>IF(Tableau242[[#This Row],[Consultant]]=Tableau242[[#This Row],[Manager ou CDM concerné]],"Non",IF(IFERROR(VLOOKUP(Tableau242[[#This Row],[Consultant]],Parametres!B:C,2,FALSE),0)=0,"Non","Oui"))</f>
        <v>Non</v>
      </c>
      <c r="G671" s="62">
        <f>IFERROR(VLOOKUP(B671,Tableau5[#All],4,FALSE),"Matricule!")</f>
        <v>3.5</v>
      </c>
      <c r="H671" s="62" t="str">
        <f>IFERROR(VLOOKUP(Tableau242[[#This Row],[Company number]],#REF!,6,FALSE),"")</f>
        <v/>
      </c>
      <c r="I671" s="62">
        <f>IFERROR(VLOOKUP(B671,Tableau5[#All],5,FALSE),"Matricule!")</f>
        <v>16.5</v>
      </c>
      <c r="J671" s="62">
        <f>IFERROR(VLOOKUP(B671,Tableau5[#All],6,FALSE),"Matricule!")</f>
        <v>0</v>
      </c>
      <c r="K671" s="62">
        <f>IFERROR(VLOOKUP(B671,Tableau5[#All],7,FALSE),"Matricule!")</f>
        <v>0</v>
      </c>
      <c r="L671" s="62" t="e">
        <f>VLOOKUP(Tableau242[[#This Row],[Company number]],#REF!,25,FALSE)</f>
        <v>#REF!</v>
      </c>
      <c r="M671" s="62" t="str">
        <f>IFERROR(VLOOKUP(Tableau242[[#This Row],[Company number]],#REF!,30,FALSE),"")</f>
        <v/>
      </c>
      <c r="N671" s="62" t="str">
        <f>IFERROR(VLOOKUP(Tableau242[[#This Row],[Company number]],#REF!,31,FALSE),"")</f>
        <v/>
      </c>
      <c r="O671" s="62" t="str">
        <f>IFERROR(VLOOKUP(Tableau242[[#This Row],[Company number]],#REF!,32,FALSE),"")</f>
        <v/>
      </c>
      <c r="P671" s="62">
        <f>IFERROR(VLOOKUP(B671,Tableau3[#All],5,FALSE),"Matricule!")</f>
        <v>3</v>
      </c>
      <c r="Q671" s="62">
        <f>IFERROR(SUM(VLOOKUP(B671,Tableau3[#All],6,FALSE),VLOOKUP(B671,Tableau3[#All],8,FALSE)),"Matricule!")</f>
        <v>17</v>
      </c>
      <c r="R671" s="62">
        <f>IFERROR(VLOOKUP(B671,Tableau3[#All],7,FALSE),"Matricule!")</f>
        <v>0</v>
      </c>
      <c r="S671" s="62">
        <f>IFERROR(Tableau242[[#This Row],[Prod. days WK]]-Tableau242[[#This Row],[Prod PXX]],"Matricule")</f>
        <v>0.5</v>
      </c>
      <c r="T671" s="62">
        <f>IFERROR(Tableau242[[#This Row],[Non prod. days WK]]-Tableau242[[#This Row],[Improd PXX]],"Matricule")</f>
        <v>-0.5</v>
      </c>
      <c r="U671" s="62">
        <f>IFERROR(Tableau242[[#This Row],[Paid leave days WK]]-Tableau242[[#This Row],[Congé PXX]],"Matricule")</f>
        <v>0</v>
      </c>
      <c r="V671" s="63">
        <f>IFERROR(VLOOKUP($B671,#REF!,4,FALSE),0)</f>
        <v>0</v>
      </c>
      <c r="W67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71" s="63">
        <f>IF(AND(Tableau242[[#This Row],[Paid leave days]]&gt;0,Tableau242[[#This Row],[Prod. days]]&lt;0),MIN(Tableau242[[#This Row],[Paid leave days]],-Tableau242[[#This Row],[Prod. days]]),0)</f>
        <v>0</v>
      </c>
      <c r="Z671" s="63">
        <f>IFERROR(_xlfn.XLOOKUP(Tableau242[[#This Row],[Consultant]],Tableau2[Collaborateur/Nom affiché],Tableau2[Montant imputé],0),0)</f>
        <v>0</v>
      </c>
      <c r="AA671" s="64">
        <f t="shared" si="11"/>
        <v>0.5</v>
      </c>
      <c r="AB671" s="65"/>
      <c r="AC671" s="66"/>
      <c r="AD671" s="66"/>
      <c r="AE671" s="105"/>
      <c r="AF671" s="90"/>
    </row>
    <row r="672" spans="1:32" ht="14.45" customHeight="1">
      <c r="A672" s="15">
        <f>Tableau242[[#This Row],[Company number]]+0</f>
        <v>8963</v>
      </c>
      <c r="B672" s="60" t="s">
        <v>1454</v>
      </c>
      <c r="C672" s="61" t="s">
        <v>32</v>
      </c>
      <c r="D672" s="61" t="s">
        <v>54</v>
      </c>
      <c r="E672" s="75" t="str">
        <f>IFERROR(VLOOKUP(Tableau242[[#This Row],[Manager ou CDM concerné]],Parametres!B:C,2,FALSE),"")</f>
        <v>Squad F</v>
      </c>
      <c r="F672" s="75" t="str">
        <f>IF(Tableau242[[#This Row],[Consultant]]=Tableau242[[#This Row],[Manager ou CDM concerné]],"Non",IF(IFERROR(VLOOKUP(Tableau242[[#This Row],[Consultant]],Parametres!B:C,2,FALSE),0)=0,"Non","Oui"))</f>
        <v>Oui</v>
      </c>
      <c r="G672" s="62">
        <f>IFERROR(VLOOKUP(B672,Tableau5[#All],4,FALSE),"Matricule!")</f>
        <v>5.5</v>
      </c>
      <c r="H672" s="75" t="str">
        <f>IFERROR(VLOOKUP(Tableau242[[#This Row],[Company number]],#REF!,6,FALSE),"")</f>
        <v/>
      </c>
      <c r="I672" s="62">
        <f>IFERROR(VLOOKUP(B672,Tableau5[#All],5,FALSE),"Matricule!")</f>
        <v>14.5</v>
      </c>
      <c r="J672" s="62">
        <f>IFERROR(VLOOKUP(B672,Tableau5[#All],6,FALSE),"Matricule!")</f>
        <v>0</v>
      </c>
      <c r="K672" s="62">
        <f>IFERROR(VLOOKUP(B672,Tableau5[#All],7,FALSE),"Matricule!")</f>
        <v>0</v>
      </c>
      <c r="L672" s="75" t="e">
        <f>VLOOKUP(Tableau242[[#This Row],[Company number]],#REF!,25,FALSE)</f>
        <v>#REF!</v>
      </c>
      <c r="M672" s="75" t="str">
        <f>IFERROR(VLOOKUP(Tableau242[[#This Row],[Company number]],#REF!,30,FALSE),"")</f>
        <v/>
      </c>
      <c r="N672" s="75" t="str">
        <f>IFERROR(VLOOKUP(Tableau242[[#This Row],[Company number]],#REF!,31,FALSE),"")</f>
        <v/>
      </c>
      <c r="O672" s="75" t="str">
        <f>IFERROR(VLOOKUP(Tableau242[[#This Row],[Company number]],#REF!,32,FALSE),"")</f>
        <v/>
      </c>
      <c r="P672" s="62">
        <f>IFERROR(VLOOKUP(B672,Tableau3[#All],5,FALSE),"Matricule!")</f>
        <v>5</v>
      </c>
      <c r="Q672" s="62">
        <f>IFERROR(SUM(VLOOKUP(B672,Tableau3[#All],6,FALSE),VLOOKUP(B672,Tableau3[#All],8,FALSE)),"Matricule!")</f>
        <v>15</v>
      </c>
      <c r="R672" s="62">
        <f>IFERROR(VLOOKUP(B672,Tableau3[#All],7,FALSE),"Matricule!")</f>
        <v>0</v>
      </c>
      <c r="S672" s="62">
        <f>IFERROR(Tableau242[[#This Row],[Prod. days WK]]-Tableau242[[#This Row],[Prod PXX]],"Matricule")</f>
        <v>0.5</v>
      </c>
      <c r="T672" s="62">
        <f>IFERROR(Tableau242[[#This Row],[Non prod. days WK]]-Tableau242[[#This Row],[Improd PXX]],"Matricule")</f>
        <v>-0.5</v>
      </c>
      <c r="U672" s="62">
        <f>IFERROR(Tableau242[[#This Row],[Paid leave days WK]]-Tableau242[[#This Row],[Congé PXX]],"Matricule")</f>
        <v>0</v>
      </c>
      <c r="V672" s="76">
        <f>IFERROR(VLOOKUP($B672,#REF!,4,FALSE),0)</f>
        <v>0</v>
      </c>
      <c r="W672" s="76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2" s="76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72" s="76">
        <f>IF(AND(Tableau242[[#This Row],[Paid leave days]]&gt;0,Tableau242[[#This Row],[Prod. days]]&lt;0),MIN(Tableau242[[#This Row],[Paid leave days]],-Tableau242[[#This Row],[Prod. days]]),0)</f>
        <v>0</v>
      </c>
      <c r="Z672" s="63">
        <f>IFERROR(_xlfn.XLOOKUP(Tableau242[[#This Row],[Consultant]],Tableau2[Collaborateur/Nom affiché],Tableau2[Montant imputé],0),0)</f>
        <v>0</v>
      </c>
      <c r="AA672" s="77">
        <f t="shared" si="11"/>
        <v>0.5</v>
      </c>
      <c r="AB672" s="65"/>
      <c r="AC672" s="72"/>
      <c r="AD672" s="72"/>
      <c r="AE672" s="107"/>
      <c r="AF672" s="90"/>
    </row>
    <row r="673" spans="1:32" ht="14.45" customHeight="1">
      <c r="A673" s="15">
        <f>Tableau242[[#This Row],[Company number]]+0</f>
        <v>20537</v>
      </c>
      <c r="B673" s="60" t="s">
        <v>1455</v>
      </c>
      <c r="C673" s="61" t="s">
        <v>1456</v>
      </c>
      <c r="D673" s="61" t="s">
        <v>82</v>
      </c>
      <c r="E673" s="62" t="str">
        <f>IFERROR(VLOOKUP(Tableau242[[#This Row],[Manager ou CDM concerné]],Parametres!B:C,2,FALSE),"")</f>
        <v>Squad F</v>
      </c>
      <c r="F673" s="62" t="str">
        <f>IF(Tableau242[[#This Row],[Consultant]]=Tableau242[[#This Row],[Manager ou CDM concerné]],"Non",IF(IFERROR(VLOOKUP(Tableau242[[#This Row],[Consultant]],Parametres!B:C,2,FALSE),0)=0,"Non","Oui"))</f>
        <v>Non</v>
      </c>
      <c r="G673" s="62">
        <f>IFERROR(VLOOKUP(B673,Tableau5[#All],4,FALSE),"Matricule!")</f>
        <v>17</v>
      </c>
      <c r="H673" s="62" t="str">
        <f>IFERROR(VLOOKUP(Tableau242[[#This Row],[Company number]],#REF!,6,FALSE),"")</f>
        <v/>
      </c>
      <c r="I673" s="62">
        <f>IFERROR(VLOOKUP(B673,Tableau5[#All],5,FALSE),"Matricule!")</f>
        <v>3</v>
      </c>
      <c r="J673" s="62">
        <f>IFERROR(VLOOKUP(B673,Tableau5[#All],6,FALSE),"Matricule!")</f>
        <v>0</v>
      </c>
      <c r="K673" s="62">
        <f>IFERROR(VLOOKUP(B673,Tableau5[#All],7,FALSE),"Matricule!")</f>
        <v>0</v>
      </c>
      <c r="L673" s="62" t="e">
        <f>VLOOKUP(Tableau242[[#This Row],[Company number]],#REF!,25,FALSE)</f>
        <v>#REF!</v>
      </c>
      <c r="M673" s="62" t="str">
        <f>IFERROR(VLOOKUP(Tableau242[[#This Row],[Company number]],#REF!,30,FALSE),"")</f>
        <v/>
      </c>
      <c r="N673" s="62" t="str">
        <f>IFERROR(VLOOKUP(Tableau242[[#This Row],[Company number]],#REF!,31,FALSE),"")</f>
        <v/>
      </c>
      <c r="O673" s="62" t="str">
        <f>IFERROR(VLOOKUP(Tableau242[[#This Row],[Company number]],#REF!,32,FALSE),"")</f>
        <v/>
      </c>
      <c r="P673" s="62">
        <f>IFERROR(VLOOKUP(B673,Tableau3[#All],5,FALSE),"Matricule!")</f>
        <v>16</v>
      </c>
      <c r="Q673" s="62">
        <f>IFERROR(SUM(VLOOKUP(B673,Tableau3[#All],6,FALSE),VLOOKUP(B673,Tableau3[#All],8,FALSE)),"Matricule!")</f>
        <v>4</v>
      </c>
      <c r="R673" s="62">
        <f>IFERROR(VLOOKUP(B673,Tableau3[#All],7,FALSE),"Matricule!")</f>
        <v>0</v>
      </c>
      <c r="S673" s="62">
        <f>IFERROR(Tableau242[[#This Row],[Prod. days WK]]-Tableau242[[#This Row],[Prod PXX]],"Matricule")</f>
        <v>1</v>
      </c>
      <c r="T673" s="62">
        <f>IFERROR(Tableau242[[#This Row],[Non prod. days WK]]-Tableau242[[#This Row],[Improd PXX]],"Matricule")</f>
        <v>-1</v>
      </c>
      <c r="U673" s="62">
        <f>IFERROR(Tableau242[[#This Row],[Paid leave days WK]]-Tableau242[[#This Row],[Congé PXX]],"Matricule")</f>
        <v>0</v>
      </c>
      <c r="V673" s="63">
        <f>IFERROR(VLOOKUP($B673,#REF!,4,FALSE),0)</f>
        <v>0</v>
      </c>
      <c r="W67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73" s="63">
        <f>IF(AND(Tableau242[[#This Row],[Paid leave days]]&gt;0,Tableau242[[#This Row],[Prod. days]]&lt;0),MIN(Tableau242[[#This Row],[Paid leave days]],-Tableau242[[#This Row],[Prod. days]]),0)</f>
        <v>0</v>
      </c>
      <c r="Z673" s="63">
        <f>IFERROR(_xlfn.XLOOKUP(Tableau242[[#This Row],[Consultant]],Tableau2[Collaborateur/Nom affiché],Tableau2[Montant imputé],0),0)</f>
        <v>0</v>
      </c>
      <c r="AA673" s="64">
        <f t="shared" si="11"/>
        <v>1</v>
      </c>
      <c r="AB673" s="65"/>
      <c r="AC673" s="66"/>
      <c r="AD673" s="66"/>
      <c r="AE673" s="105"/>
      <c r="AF673" s="90"/>
    </row>
    <row r="674" spans="1:32" ht="14.45" customHeight="1">
      <c r="A674" s="15">
        <f>Tableau242[[#This Row],[Company number]]+0</f>
        <v>18037</v>
      </c>
      <c r="B674" s="60" t="s">
        <v>1457</v>
      </c>
      <c r="C674" s="61" t="s">
        <v>1458</v>
      </c>
      <c r="D674" s="61" t="s">
        <v>7</v>
      </c>
      <c r="E674" s="62" t="str">
        <f>IFERROR(VLOOKUP(Tableau242[[#This Row],[Manager ou CDM concerné]],Parametres!B:C,2,FALSE),"")</f>
        <v>Squad F</v>
      </c>
      <c r="F674" s="62" t="str">
        <f>IF(Tableau242[[#This Row],[Consultant]]=Tableau242[[#This Row],[Manager ou CDM concerné]],"Non",IF(IFERROR(VLOOKUP(Tableau242[[#This Row],[Consultant]],Parametres!B:C,2,FALSE),0)=0,"Non","Oui"))</f>
        <v>Non</v>
      </c>
      <c r="G674" s="62">
        <f>IFERROR(VLOOKUP(B674,Tableau5[#All],4,FALSE),"Matricule!")</f>
        <v>1</v>
      </c>
      <c r="H674" s="62" t="str">
        <f>IFERROR(VLOOKUP(Tableau242[[#This Row],[Company number]],#REF!,6,FALSE),"")</f>
        <v/>
      </c>
      <c r="I674" s="62">
        <f>IFERROR(VLOOKUP(B674,Tableau5[#All],5,FALSE),"Matricule!")</f>
        <v>0</v>
      </c>
      <c r="J674" s="62">
        <f>IFERROR(VLOOKUP(B674,Tableau5[#All],6,FALSE),"Matricule!")</f>
        <v>19</v>
      </c>
      <c r="K674" s="62">
        <f>IFERROR(VLOOKUP(B674,Tableau5[#All],7,FALSE),"Matricule!")</f>
        <v>0</v>
      </c>
      <c r="L674" s="62" t="e">
        <f>VLOOKUP(Tableau242[[#This Row],[Company number]],#REF!,25,FALSE)</f>
        <v>#REF!</v>
      </c>
      <c r="M674" s="62" t="str">
        <f>IFERROR(VLOOKUP(Tableau242[[#This Row],[Company number]],#REF!,30,FALSE),"")</f>
        <v/>
      </c>
      <c r="N674" s="62" t="str">
        <f>IFERROR(VLOOKUP(Tableau242[[#This Row],[Company number]],#REF!,31,FALSE),"")</f>
        <v/>
      </c>
      <c r="O674" s="62" t="str">
        <f>IFERROR(VLOOKUP(Tableau242[[#This Row],[Company number]],#REF!,32,FALSE),"")</f>
        <v/>
      </c>
      <c r="P674" s="62">
        <f>IFERROR(VLOOKUP(B674,Tableau3[#All],5,FALSE),"Matricule!")</f>
        <v>0</v>
      </c>
      <c r="Q674" s="62">
        <f>IFERROR(SUM(VLOOKUP(B674,Tableau3[#All],6,FALSE),VLOOKUP(B674,Tableau3[#All],8,FALSE)),"Matricule!")</f>
        <v>1</v>
      </c>
      <c r="R674" s="62">
        <f>IFERROR(VLOOKUP(B674,Tableau3[#All],7,FALSE),"Matricule!")</f>
        <v>19</v>
      </c>
      <c r="S674" s="62">
        <f>IFERROR(Tableau242[[#This Row],[Prod. days WK]]-Tableau242[[#This Row],[Prod PXX]],"Matricule")</f>
        <v>1</v>
      </c>
      <c r="T674" s="62">
        <f>IFERROR(Tableau242[[#This Row],[Non prod. days WK]]-Tableau242[[#This Row],[Improd PXX]],"Matricule")</f>
        <v>-1</v>
      </c>
      <c r="U674" s="62">
        <f>IFERROR(Tableau242[[#This Row],[Paid leave days WK]]-Tableau242[[#This Row],[Congé PXX]],"Matricule")</f>
        <v>0</v>
      </c>
      <c r="V674" s="63">
        <f>IFERROR(VLOOKUP($B674,#REF!,4,FALSE),0)</f>
        <v>0</v>
      </c>
      <c r="W67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74" s="63">
        <f>IF(AND(Tableau242[[#This Row],[Paid leave days]]&gt;0,Tableau242[[#This Row],[Prod. days]]&lt;0),MIN(Tableau242[[#This Row],[Paid leave days]],-Tableau242[[#This Row],[Prod. days]]),0)</f>
        <v>0</v>
      </c>
      <c r="Z674" s="63">
        <f>IFERROR(_xlfn.XLOOKUP(Tableau242[[#This Row],[Consultant]],Tableau2[Collaborateur/Nom affiché],Tableau2[Montant imputé],0),0)</f>
        <v>0</v>
      </c>
      <c r="AA674" s="64">
        <f t="shared" si="11"/>
        <v>1</v>
      </c>
      <c r="AB674" s="65"/>
      <c r="AC674" s="66"/>
      <c r="AD674" s="66"/>
      <c r="AE674" s="105"/>
      <c r="AF674" s="90"/>
    </row>
    <row r="675" spans="1:32" ht="14.45" customHeight="1">
      <c r="A675" s="15">
        <f>Tableau242[[#This Row],[Company number]]+0</f>
        <v>12528</v>
      </c>
      <c r="B675" s="60" t="s">
        <v>1459</v>
      </c>
      <c r="C675" s="61" t="s">
        <v>72</v>
      </c>
      <c r="D675" s="61" t="s">
        <v>39</v>
      </c>
      <c r="E675" s="62" t="str">
        <f>IFERROR(VLOOKUP(Tableau242[[#This Row],[Manager ou CDM concerné]],Parametres!B:C,2,FALSE),"")</f>
        <v>Squad F</v>
      </c>
      <c r="F675" s="62" t="str">
        <f>IF(Tableau242[[#This Row],[Consultant]]=Tableau242[[#This Row],[Manager ou CDM concerné]],"Non",IF(IFERROR(VLOOKUP(Tableau242[[#This Row],[Consultant]],Parametres!B:C,2,FALSE),0)=0,"Non","Oui"))</f>
        <v>Oui</v>
      </c>
      <c r="G675" s="62">
        <f>IFERROR(VLOOKUP(B675,Tableau5[#All],4,FALSE),"Matricule!")</f>
        <v>17</v>
      </c>
      <c r="H675" s="62" t="str">
        <f>IFERROR(VLOOKUP(Tableau242[[#This Row],[Company number]],#REF!,6,FALSE),"")</f>
        <v/>
      </c>
      <c r="I675" s="62">
        <f>IFERROR(VLOOKUP(B675,Tableau5[#All],5,FALSE),"Matricule!")</f>
        <v>3</v>
      </c>
      <c r="J675" s="62">
        <f>IFERROR(VLOOKUP(B675,Tableau5[#All],6,FALSE),"Matricule!")</f>
        <v>0</v>
      </c>
      <c r="K675" s="62">
        <f>IFERROR(VLOOKUP(B675,Tableau5[#All],7,FALSE),"Matricule!")</f>
        <v>0</v>
      </c>
      <c r="L675" s="62" t="e">
        <f>VLOOKUP(Tableau242[[#This Row],[Company number]],#REF!,25,FALSE)</f>
        <v>#REF!</v>
      </c>
      <c r="M675" s="62" t="str">
        <f>IFERROR(VLOOKUP(Tableau242[[#This Row],[Company number]],#REF!,30,FALSE),"")</f>
        <v/>
      </c>
      <c r="N675" s="62" t="str">
        <f>IFERROR(VLOOKUP(Tableau242[[#This Row],[Company number]],#REF!,31,FALSE),"")</f>
        <v/>
      </c>
      <c r="O675" s="62" t="str">
        <f>IFERROR(VLOOKUP(Tableau242[[#This Row],[Company number]],#REF!,32,FALSE),"")</f>
        <v/>
      </c>
      <c r="P675" s="62">
        <f>IFERROR(VLOOKUP(B675,Tableau3[#All],5,FALSE),"Matricule!")</f>
        <v>16</v>
      </c>
      <c r="Q675" s="62">
        <f>IFERROR(SUM(VLOOKUP(B675,Tableau3[#All],6,FALSE),VLOOKUP(B675,Tableau3[#All],8,FALSE)),"Matricule!")</f>
        <v>4</v>
      </c>
      <c r="R675" s="62">
        <f>IFERROR(VLOOKUP(B675,Tableau3[#All],7,FALSE),"Matricule!")</f>
        <v>0</v>
      </c>
      <c r="S675" s="62">
        <f>IFERROR(Tableau242[[#This Row],[Prod. days WK]]-Tableau242[[#This Row],[Prod PXX]],"Matricule")</f>
        <v>1</v>
      </c>
      <c r="T675" s="62">
        <f>IFERROR(Tableau242[[#This Row],[Non prod. days WK]]-Tableau242[[#This Row],[Improd PXX]],"Matricule")</f>
        <v>-1</v>
      </c>
      <c r="U675" s="62">
        <f>IFERROR(Tableau242[[#This Row],[Paid leave days WK]]-Tableau242[[#This Row],[Congé PXX]],"Matricule")</f>
        <v>0</v>
      </c>
      <c r="V675" s="63">
        <f>IFERROR(VLOOKUP($B675,#REF!,4,FALSE),0)</f>
        <v>0</v>
      </c>
      <c r="W67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75" s="63">
        <f>IF(AND(Tableau242[[#This Row],[Paid leave days]]&gt;0,Tableau242[[#This Row],[Prod. days]]&lt;0),MIN(Tableau242[[#This Row],[Paid leave days]],-Tableau242[[#This Row],[Prod. days]]),0)</f>
        <v>0</v>
      </c>
      <c r="Z675" s="63">
        <f>IFERROR(_xlfn.XLOOKUP(Tableau242[[#This Row],[Consultant]],Tableau2[Collaborateur/Nom affiché],Tableau2[Montant imputé],0),0)</f>
        <v>0</v>
      </c>
      <c r="AA675" s="64">
        <f t="shared" si="11"/>
        <v>1</v>
      </c>
      <c r="AB675" s="65"/>
      <c r="AC675" s="66"/>
      <c r="AD675" s="66"/>
      <c r="AE675" s="105"/>
      <c r="AF675" s="90"/>
    </row>
    <row r="676" spans="1:32" ht="14.45" customHeight="1">
      <c r="A676" s="15">
        <f>Tableau242[[#This Row],[Company number]]+0</f>
        <v>14309</v>
      </c>
      <c r="B676" s="60" t="s">
        <v>1460</v>
      </c>
      <c r="C676" s="61" t="s">
        <v>1461</v>
      </c>
      <c r="D676" s="61" t="s">
        <v>49</v>
      </c>
      <c r="E676" s="62" t="str">
        <f>IFERROR(VLOOKUP(Tableau242[[#This Row],[Manager ou CDM concerné]],Parametres!B:C,2,FALSE),"")</f>
        <v>Squad F</v>
      </c>
      <c r="F676" s="62" t="str">
        <f>IF(Tableau242[[#This Row],[Consultant]]=Tableau242[[#This Row],[Manager ou CDM concerné]],"Non",IF(IFERROR(VLOOKUP(Tableau242[[#This Row],[Consultant]],Parametres!B:C,2,FALSE),0)=0,"Non","Oui"))</f>
        <v>Non</v>
      </c>
      <c r="G676" s="62">
        <f>IFERROR(VLOOKUP(B676,Tableau5[#All],4,FALSE),"Matricule!")</f>
        <v>1.5</v>
      </c>
      <c r="H676" s="62" t="str">
        <f>IFERROR(VLOOKUP(Tableau242[[#This Row],[Company number]],#REF!,6,FALSE),"")</f>
        <v/>
      </c>
      <c r="I676" s="62">
        <f>IFERROR(VLOOKUP(B676,Tableau5[#All],5,FALSE),"Matricule!")</f>
        <v>18.5</v>
      </c>
      <c r="J676" s="62">
        <f>IFERROR(VLOOKUP(B676,Tableau5[#All],6,FALSE),"Matricule!")</f>
        <v>0</v>
      </c>
      <c r="K676" s="62">
        <f>IFERROR(VLOOKUP(B676,Tableau5[#All],7,FALSE),"Matricule!")</f>
        <v>0</v>
      </c>
      <c r="L676" s="62" t="e">
        <f>VLOOKUP(Tableau242[[#This Row],[Company number]],#REF!,25,FALSE)</f>
        <v>#REF!</v>
      </c>
      <c r="M676" s="62" t="str">
        <f>IFERROR(VLOOKUP(Tableau242[[#This Row],[Company number]],#REF!,30,FALSE),"")</f>
        <v/>
      </c>
      <c r="N676" s="62" t="str">
        <f>IFERROR(VLOOKUP(Tableau242[[#This Row],[Company number]],#REF!,31,FALSE),"")</f>
        <v/>
      </c>
      <c r="O676" s="62" t="str">
        <f>IFERROR(VLOOKUP(Tableau242[[#This Row],[Company number]],#REF!,32,FALSE),"")</f>
        <v/>
      </c>
      <c r="P676" s="62">
        <f>IFERROR(VLOOKUP(B676,Tableau3[#All],5,FALSE),"Matricule!")</f>
        <v>0</v>
      </c>
      <c r="Q676" s="62">
        <f>IFERROR(SUM(VLOOKUP(B676,Tableau3[#All],6,FALSE),VLOOKUP(B676,Tableau3[#All],8,FALSE)),"Matricule!")</f>
        <v>20</v>
      </c>
      <c r="R676" s="62">
        <f>IFERROR(VLOOKUP(B676,Tableau3[#All],7,FALSE),"Matricule!")</f>
        <v>0</v>
      </c>
      <c r="S676" s="62">
        <f>IFERROR(Tableau242[[#This Row],[Prod. days WK]]-Tableau242[[#This Row],[Prod PXX]],"Matricule")</f>
        <v>1.5</v>
      </c>
      <c r="T676" s="62">
        <f>IFERROR(Tableau242[[#This Row],[Non prod. days WK]]-Tableau242[[#This Row],[Improd PXX]],"Matricule")</f>
        <v>-1.5</v>
      </c>
      <c r="U676" s="62">
        <f>IFERROR(Tableau242[[#This Row],[Paid leave days WK]]-Tableau242[[#This Row],[Congé PXX]],"Matricule")</f>
        <v>0</v>
      </c>
      <c r="V676" s="63">
        <f>IFERROR(VLOOKUP($B676,#REF!,4,FALSE),0)</f>
        <v>0</v>
      </c>
      <c r="W67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76" s="63">
        <f>IF(AND(Tableau242[[#This Row],[Paid leave days]]&gt;0,Tableau242[[#This Row],[Prod. days]]&lt;0),MIN(Tableau242[[#This Row],[Paid leave days]],-Tableau242[[#This Row],[Prod. days]]),0)</f>
        <v>0</v>
      </c>
      <c r="Z676" s="63">
        <f>IFERROR(_xlfn.XLOOKUP(Tableau242[[#This Row],[Consultant]],Tableau2[Collaborateur/Nom affiché],Tableau2[Montant imputé],0),0)</f>
        <v>0</v>
      </c>
      <c r="AA676" s="64">
        <f t="shared" si="11"/>
        <v>1.5</v>
      </c>
      <c r="AB676" s="65"/>
      <c r="AC676" s="66"/>
      <c r="AD676" s="66"/>
      <c r="AE676" s="105"/>
      <c r="AF676" s="90"/>
    </row>
    <row r="677" spans="1:32" ht="21.95" customHeight="1">
      <c r="A677" s="15">
        <f>Tableau242[[#This Row],[Company number]]+0</f>
        <v>11950</v>
      </c>
      <c r="B677" s="60" t="s">
        <v>1462</v>
      </c>
      <c r="C677" s="61" t="s">
        <v>1463</v>
      </c>
      <c r="D677" s="61" t="s">
        <v>39</v>
      </c>
      <c r="E677" s="62" t="str">
        <f>IFERROR(VLOOKUP(Tableau242[[#This Row],[Manager ou CDM concerné]],Parametres!B:C,2,FALSE),"")</f>
        <v>Squad F</v>
      </c>
      <c r="F677" s="62" t="str">
        <f>IF(Tableau242[[#This Row],[Consultant]]=Tableau242[[#This Row],[Manager ou CDM concerné]],"Non",IF(IFERROR(VLOOKUP(Tableau242[[#This Row],[Consultant]],Parametres!B:C,2,FALSE),0)=0,"Non","Oui"))</f>
        <v>Non</v>
      </c>
      <c r="G677" s="62">
        <f>IFERROR(VLOOKUP(B677,Tableau5[#All],4,FALSE),"Matricule!")</f>
        <v>14</v>
      </c>
      <c r="H677" s="62" t="str">
        <f>IFERROR(VLOOKUP(Tableau242[[#This Row],[Company number]],#REF!,6,FALSE),"")</f>
        <v/>
      </c>
      <c r="I677" s="62">
        <f>IFERROR(VLOOKUP(B677,Tableau5[#All],5,FALSE),"Matricule!")</f>
        <v>6</v>
      </c>
      <c r="J677" s="62">
        <f>IFERROR(VLOOKUP(B677,Tableau5[#All],6,FALSE),"Matricule!")</f>
        <v>0</v>
      </c>
      <c r="K677" s="62">
        <f>IFERROR(VLOOKUP(B677,Tableau5[#All],7,FALSE),"Matricule!")</f>
        <v>0</v>
      </c>
      <c r="L677" s="62" t="e">
        <f>VLOOKUP(Tableau242[[#This Row],[Company number]],#REF!,25,FALSE)</f>
        <v>#REF!</v>
      </c>
      <c r="M677" s="62" t="str">
        <f>IFERROR(VLOOKUP(Tableau242[[#This Row],[Company number]],#REF!,30,FALSE),"")</f>
        <v/>
      </c>
      <c r="N677" s="62" t="str">
        <f>IFERROR(VLOOKUP(Tableau242[[#This Row],[Company number]],#REF!,31,FALSE),"")</f>
        <v/>
      </c>
      <c r="O677" s="62" t="str">
        <f>IFERROR(VLOOKUP(Tableau242[[#This Row],[Company number]],#REF!,32,FALSE),"")</f>
        <v/>
      </c>
      <c r="P677" s="62">
        <f>IFERROR(VLOOKUP(B677,Tableau3[#All],5,FALSE),"Matricule!")</f>
        <v>18</v>
      </c>
      <c r="Q677" s="62">
        <f>IFERROR(SUM(VLOOKUP(B677,Tableau3[#All],6,FALSE),VLOOKUP(B677,Tableau3[#All],8,FALSE)),"Matricule!")</f>
        <v>2</v>
      </c>
      <c r="R677" s="62">
        <f>IFERROR(VLOOKUP(B677,Tableau3[#All],7,FALSE),"Matricule!")</f>
        <v>0</v>
      </c>
      <c r="S677" s="62">
        <f>IFERROR(Tableau242[[#This Row],[Prod. days WK]]-Tableau242[[#This Row],[Prod PXX]],"Matricule")</f>
        <v>-4</v>
      </c>
      <c r="T677" s="62">
        <f>IFERROR(Tableau242[[#This Row],[Non prod. days WK]]-Tableau242[[#This Row],[Improd PXX]],"Matricule")</f>
        <v>4</v>
      </c>
      <c r="U677" s="62">
        <f>IFERROR(Tableau242[[#This Row],[Paid leave days WK]]-Tableau242[[#This Row],[Congé PXX]],"Matricule")</f>
        <v>0</v>
      </c>
      <c r="V677" s="63">
        <f>IFERROR(VLOOKUP($B677,#REF!,4,FALSE),0)</f>
        <v>0</v>
      </c>
      <c r="W67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677" s="63">
        <f>IF(AND(Tableau242[[#This Row],[Paid leave days]]&gt;0,Tableau242[[#This Row],[Prod. days]]&lt;0),MIN(Tableau242[[#This Row],[Paid leave days]],-Tableau242[[#This Row],[Prod. days]]),0)</f>
        <v>0</v>
      </c>
      <c r="Z677" s="63">
        <f>IFERROR(_xlfn.XLOOKUP(Tableau242[[#This Row],[Consultant]],Tableau2[Collaborateur/Nom affiché],Tableau2[Montant imputé],0),0)</f>
        <v>6</v>
      </c>
      <c r="AA677" s="64">
        <f t="shared" si="11"/>
        <v>2</v>
      </c>
      <c r="AB677" s="65"/>
      <c r="AC677" s="66"/>
      <c r="AD677" s="66"/>
      <c r="AE677" s="105"/>
      <c r="AF677" s="90"/>
    </row>
    <row r="678" spans="1:32" ht="14.45" customHeight="1">
      <c r="A678" s="15">
        <f>Tableau242[[#This Row],[Company number]]+0</f>
        <v>17866</v>
      </c>
      <c r="B678" s="60" t="s">
        <v>1464</v>
      </c>
      <c r="C678" s="61" t="s">
        <v>1465</v>
      </c>
      <c r="D678" s="61" t="s">
        <v>49</v>
      </c>
      <c r="E678" s="62" t="str">
        <f>IFERROR(VLOOKUP(Tableau242[[#This Row],[Manager ou CDM concerné]],Parametres!B:C,2,FALSE),"")</f>
        <v>Squad F</v>
      </c>
      <c r="F678" s="62" t="str">
        <f>IF(Tableau242[[#This Row],[Consultant]]=Tableau242[[#This Row],[Manager ou CDM concerné]],"Non",IF(IFERROR(VLOOKUP(Tableau242[[#This Row],[Consultant]],Parametres!B:C,2,FALSE),0)=0,"Non","Oui"))</f>
        <v>Non</v>
      </c>
      <c r="G678" s="62">
        <f>IFERROR(VLOOKUP(B678,Tableau5[#All],4,FALSE),"Matricule!")</f>
        <v>2</v>
      </c>
      <c r="H678" s="62" t="str">
        <f>IFERROR(VLOOKUP(Tableau242[[#This Row],[Company number]],#REF!,6,FALSE),"")</f>
        <v/>
      </c>
      <c r="I678" s="62">
        <f>IFERROR(VLOOKUP(B678,Tableau5[#All],5,FALSE),"Matricule!")</f>
        <v>18</v>
      </c>
      <c r="J678" s="62">
        <f>IFERROR(VLOOKUP(B678,Tableau5[#All],6,FALSE),"Matricule!")</f>
        <v>0</v>
      </c>
      <c r="K678" s="62">
        <f>IFERROR(VLOOKUP(B678,Tableau5[#All],7,FALSE),"Matricule!")</f>
        <v>0</v>
      </c>
      <c r="L678" s="62" t="e">
        <f>VLOOKUP(Tableau242[[#This Row],[Company number]],#REF!,25,FALSE)</f>
        <v>#REF!</v>
      </c>
      <c r="M678" s="62" t="str">
        <f>IFERROR(VLOOKUP(Tableau242[[#This Row],[Company number]],#REF!,30,FALSE),"")</f>
        <v/>
      </c>
      <c r="N678" s="62" t="str">
        <f>IFERROR(VLOOKUP(Tableau242[[#This Row],[Company number]],#REF!,31,FALSE),"")</f>
        <v/>
      </c>
      <c r="O678" s="62" t="str">
        <f>IFERROR(VLOOKUP(Tableau242[[#This Row],[Company number]],#REF!,32,FALSE),"")</f>
        <v/>
      </c>
      <c r="P678" s="62">
        <f>IFERROR(VLOOKUP(B678,Tableau3[#All],5,FALSE),"Matricule!")</f>
        <v>0</v>
      </c>
      <c r="Q678" s="62">
        <f>IFERROR(SUM(VLOOKUP(B678,Tableau3[#All],6,FALSE),VLOOKUP(B678,Tableau3[#All],8,FALSE)),"Matricule!")</f>
        <v>20</v>
      </c>
      <c r="R678" s="62">
        <f>IFERROR(VLOOKUP(B678,Tableau3[#All],7,FALSE),"Matricule!")</f>
        <v>0</v>
      </c>
      <c r="S678" s="62">
        <f>IFERROR(Tableau242[[#This Row],[Prod. days WK]]-Tableau242[[#This Row],[Prod PXX]],"Matricule")</f>
        <v>2</v>
      </c>
      <c r="T678" s="62">
        <f>IFERROR(Tableau242[[#This Row],[Non prod. days WK]]-Tableau242[[#This Row],[Improd PXX]],"Matricule")</f>
        <v>-2</v>
      </c>
      <c r="U678" s="62">
        <f>IFERROR(Tableau242[[#This Row],[Paid leave days WK]]-Tableau242[[#This Row],[Congé PXX]],"Matricule")</f>
        <v>0</v>
      </c>
      <c r="V678" s="63">
        <f>IFERROR(VLOOKUP($B678,#REF!,4,FALSE),0)</f>
        <v>0</v>
      </c>
      <c r="W67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78" s="63">
        <f>IF(AND(Tableau242[[#This Row],[Paid leave days]]&gt;0,Tableau242[[#This Row],[Prod. days]]&lt;0),MIN(Tableau242[[#This Row],[Paid leave days]],-Tableau242[[#This Row],[Prod. days]]),0)</f>
        <v>0</v>
      </c>
      <c r="Z678" s="63">
        <f>IFERROR(_xlfn.XLOOKUP(Tableau242[[#This Row],[Consultant]],Tableau2[Collaborateur/Nom affiché],Tableau2[Montant imputé],0),0)</f>
        <v>0</v>
      </c>
      <c r="AA678" s="64">
        <f t="shared" si="11"/>
        <v>2</v>
      </c>
      <c r="AB678" s="78"/>
      <c r="AC678" s="65"/>
      <c r="AD678" s="66"/>
      <c r="AE678" s="105"/>
      <c r="AF678" s="90"/>
    </row>
    <row r="679" spans="1:32" ht="14.45" customHeight="1">
      <c r="A679" s="15">
        <f>Tableau242[[#This Row],[Company number]]+0</f>
        <v>4106</v>
      </c>
      <c r="B679" s="60" t="s">
        <v>1466</v>
      </c>
      <c r="C679" s="61" t="s">
        <v>4</v>
      </c>
      <c r="D679" s="61" t="s">
        <v>63</v>
      </c>
      <c r="E679" s="62" t="str">
        <f>IFERROR(VLOOKUP(Tableau242[[#This Row],[Manager ou CDM concerné]],Parametres!B:C,2,FALSE),"")</f>
        <v>Squad B</v>
      </c>
      <c r="F679" s="62" t="str">
        <f>IF(Tableau242[[#This Row],[Consultant]]=Tableau242[[#This Row],[Manager ou CDM concerné]],"Non",IF(IFERROR(VLOOKUP(Tableau242[[#This Row],[Consultant]],Parametres!B:C,2,FALSE),0)=0,"Non","Oui"))</f>
        <v>Oui</v>
      </c>
      <c r="G679" s="62">
        <f>IFERROR(VLOOKUP(B679,Tableau5[#All],4,FALSE),"Matricule!")</f>
        <v>0</v>
      </c>
      <c r="H679" s="62" t="str">
        <f>IFERROR(VLOOKUP(Tableau242[[#This Row],[Company number]],#REF!,6,FALSE),"")</f>
        <v/>
      </c>
      <c r="I679" s="62">
        <f>IFERROR(VLOOKUP(B679,Tableau5[#All],5,FALSE),"Matricule!")</f>
        <v>20</v>
      </c>
      <c r="J679" s="62">
        <f>IFERROR(VLOOKUP(B679,Tableau5[#All],6,FALSE),"Matricule!")</f>
        <v>0</v>
      </c>
      <c r="K679" s="62">
        <f>IFERROR(VLOOKUP(B679,Tableau5[#All],7,FALSE),"Matricule!")</f>
        <v>0</v>
      </c>
      <c r="L679" s="62" t="e">
        <f>VLOOKUP(Tableau242[[#This Row],[Company number]],#REF!,25,FALSE)</f>
        <v>#REF!</v>
      </c>
      <c r="M679" s="62" t="str">
        <f>IFERROR(VLOOKUP(Tableau242[[#This Row],[Company number]],#REF!,30,FALSE),"")</f>
        <v/>
      </c>
      <c r="N679" s="62" t="str">
        <f>IFERROR(VLOOKUP(Tableau242[[#This Row],[Company number]],#REF!,31,FALSE),"")</f>
        <v/>
      </c>
      <c r="O679" s="62" t="str">
        <f>IFERROR(VLOOKUP(Tableau242[[#This Row],[Company number]],#REF!,32,FALSE),"")</f>
        <v/>
      </c>
      <c r="P679" s="62">
        <f>IFERROR(VLOOKUP(B679,Tableau3[#All],5,FALSE),"Matricule!")</f>
        <v>0</v>
      </c>
      <c r="Q679" s="62">
        <f>IFERROR(SUM(VLOOKUP(B679,Tableau3[#All],6,FALSE),VLOOKUP(B679,Tableau3[#All],8,FALSE)),"Matricule!")</f>
        <v>20</v>
      </c>
      <c r="R679" s="62">
        <f>IFERROR(VLOOKUP(B679,Tableau3[#All],7,FALSE),"Matricule!")</f>
        <v>0</v>
      </c>
      <c r="S679" s="62">
        <f>IFERROR(Tableau242[[#This Row],[Prod. days WK]]-Tableau242[[#This Row],[Prod PXX]],"Matricule")</f>
        <v>0</v>
      </c>
      <c r="T679" s="62">
        <f>IFERROR(Tableau242[[#This Row],[Non prod. days WK]]-Tableau242[[#This Row],[Improd PXX]],"Matricule")</f>
        <v>0</v>
      </c>
      <c r="U679" s="62">
        <f>IFERROR(Tableau242[[#This Row],[Paid leave days WK]]-Tableau242[[#This Row],[Congé PXX]],"Matricule")</f>
        <v>0</v>
      </c>
      <c r="V679" s="63">
        <f>IFERROR(VLOOKUP($B679,#REF!,4,FALSE),0)</f>
        <v>0</v>
      </c>
      <c r="W67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7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79" s="63">
        <f>IF(AND(Tableau242[[#This Row],[Paid leave days]]&gt;0,Tableau242[[#This Row],[Prod. days]]&lt;0),MIN(Tableau242[[#This Row],[Paid leave days]],-Tableau242[[#This Row],[Prod. days]]),0)</f>
        <v>0</v>
      </c>
      <c r="Z679" s="63">
        <f>IFERROR(_xlfn.XLOOKUP(Tableau242[[#This Row],[Consultant]],Tableau2[Collaborateur/Nom affiché],Tableau2[Montant imputé],0),0)</f>
        <v>0</v>
      </c>
      <c r="AA679" s="64">
        <f t="shared" si="11"/>
        <v>0</v>
      </c>
      <c r="AB679" s="65"/>
      <c r="AC679" s="66"/>
      <c r="AD679" s="66"/>
      <c r="AE679" s="105"/>
      <c r="AF679" s="90"/>
    </row>
    <row r="680" spans="1:32" ht="14.45" customHeight="1">
      <c r="A680" s="15">
        <f>Tableau242[[#This Row],[Company number]]+0</f>
        <v>8659</v>
      </c>
      <c r="B680" s="60" t="s">
        <v>1467</v>
      </c>
      <c r="C680" s="61" t="s">
        <v>31</v>
      </c>
      <c r="D680" s="61" t="s">
        <v>63</v>
      </c>
      <c r="E680" s="62" t="str">
        <f>IFERROR(VLOOKUP(Tableau242[[#This Row],[Manager ou CDM concerné]],Parametres!B:C,2,FALSE),"")</f>
        <v>Squad B</v>
      </c>
      <c r="F680" s="62" t="str">
        <f>IF(Tableau242[[#This Row],[Consultant]]=Tableau242[[#This Row],[Manager ou CDM concerné]],"Non",IF(IFERROR(VLOOKUP(Tableau242[[#This Row],[Consultant]],Parametres!B:C,2,FALSE),0)=0,"Non","Oui"))</f>
        <v>Oui</v>
      </c>
      <c r="G680" s="62">
        <f>IFERROR(VLOOKUP(B680,Tableau5[#All],4,FALSE),"Matricule!")</f>
        <v>5.5</v>
      </c>
      <c r="H680" s="62" t="str">
        <f>IFERROR(VLOOKUP(Tableau242[[#This Row],[Company number]],#REF!,6,FALSE),"")</f>
        <v/>
      </c>
      <c r="I680" s="62">
        <f>IFERROR(VLOOKUP(B680,Tableau5[#All],5,FALSE),"Matricule!")</f>
        <v>14.5</v>
      </c>
      <c r="J680" s="62">
        <f>IFERROR(VLOOKUP(B680,Tableau5[#All],6,FALSE),"Matricule!")</f>
        <v>0</v>
      </c>
      <c r="K680" s="62">
        <f>IFERROR(VLOOKUP(B680,Tableau5[#All],7,FALSE),"Matricule!")</f>
        <v>0</v>
      </c>
      <c r="L680" s="62" t="e">
        <f>VLOOKUP(Tableau242[[#This Row],[Company number]],#REF!,25,FALSE)</f>
        <v>#REF!</v>
      </c>
      <c r="M680" s="62" t="str">
        <f>IFERROR(VLOOKUP(Tableau242[[#This Row],[Company number]],#REF!,30,FALSE),"")</f>
        <v/>
      </c>
      <c r="N680" s="62" t="str">
        <f>IFERROR(VLOOKUP(Tableau242[[#This Row],[Company number]],#REF!,31,FALSE),"")</f>
        <v/>
      </c>
      <c r="O680" s="62" t="str">
        <f>IFERROR(VLOOKUP(Tableau242[[#This Row],[Company number]],#REF!,32,FALSE),"")</f>
        <v/>
      </c>
      <c r="P680" s="62">
        <f>IFERROR(VLOOKUP(B680,Tableau3[#All],5,FALSE),"Matricule!")</f>
        <v>5.5</v>
      </c>
      <c r="Q680" s="62">
        <f>IFERROR(SUM(VLOOKUP(B680,Tableau3[#All],6,FALSE),VLOOKUP(B680,Tableau3[#All],8,FALSE)),"Matricule!")</f>
        <v>14.5</v>
      </c>
      <c r="R680" s="62">
        <f>IFERROR(VLOOKUP(B680,Tableau3[#All],7,FALSE),"Matricule!")</f>
        <v>0</v>
      </c>
      <c r="S680" s="62">
        <f>IFERROR(Tableau242[[#This Row],[Prod. days WK]]-Tableau242[[#This Row],[Prod PXX]],"Matricule")</f>
        <v>0</v>
      </c>
      <c r="T680" s="62">
        <f>IFERROR(Tableau242[[#This Row],[Non prod. days WK]]-Tableau242[[#This Row],[Improd PXX]],"Matricule")</f>
        <v>0</v>
      </c>
      <c r="U680" s="62">
        <f>IFERROR(Tableau242[[#This Row],[Paid leave days WK]]-Tableau242[[#This Row],[Congé PXX]],"Matricule")</f>
        <v>0</v>
      </c>
      <c r="V680" s="63">
        <f>IFERROR(VLOOKUP($B680,#REF!,4,FALSE),0)</f>
        <v>0</v>
      </c>
      <c r="W68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80" s="63">
        <f>IF(AND(Tableau242[[#This Row],[Paid leave days]]&gt;0,Tableau242[[#This Row],[Prod. days]]&lt;0),MIN(Tableau242[[#This Row],[Paid leave days]],-Tableau242[[#This Row],[Prod. days]]),0)</f>
        <v>0</v>
      </c>
      <c r="Z680" s="63">
        <f>IFERROR(_xlfn.XLOOKUP(Tableau242[[#This Row],[Consultant]],Tableau2[Collaborateur/Nom affiché],Tableau2[Montant imputé],0),0)</f>
        <v>0</v>
      </c>
      <c r="AA680" s="64">
        <f t="shared" si="11"/>
        <v>0</v>
      </c>
      <c r="AB680" s="65"/>
      <c r="AC680" s="66"/>
      <c r="AD680" s="66"/>
      <c r="AE680" s="105"/>
      <c r="AF680" s="90"/>
    </row>
    <row r="681" spans="1:32" ht="14.45" customHeight="1">
      <c r="A681" s="15">
        <f>Tableau242[[#This Row],[Company number]]+0</f>
        <v>5</v>
      </c>
      <c r="B681" s="60" t="s">
        <v>1468</v>
      </c>
      <c r="C681" s="61" t="s">
        <v>1469</v>
      </c>
      <c r="D681" s="61" t="s">
        <v>63</v>
      </c>
      <c r="E681" s="62" t="str">
        <f>IFERROR(VLOOKUP(Tableau242[[#This Row],[Manager ou CDM concerné]],Parametres!B:C,2,FALSE),"")</f>
        <v>Squad B</v>
      </c>
      <c r="F681" s="62" t="str">
        <f>IF(Tableau242[[#This Row],[Consultant]]=Tableau242[[#This Row],[Manager ou CDM concerné]],"Non",IF(IFERROR(VLOOKUP(Tableau242[[#This Row],[Consultant]],Parametres!B:C,2,FALSE),0)=0,"Non","Oui"))</f>
        <v>Non</v>
      </c>
      <c r="G681" s="62">
        <f>IFERROR(VLOOKUP(B681,Tableau5[#All],4,FALSE),"Matricule!")</f>
        <v>10</v>
      </c>
      <c r="H681" s="62" t="str">
        <f>IFERROR(VLOOKUP(Tableau242[[#This Row],[Company number]],#REF!,6,FALSE),"")</f>
        <v/>
      </c>
      <c r="I681" s="62">
        <f>IFERROR(VLOOKUP(B681,Tableau5[#All],5,FALSE),"Matricule!")</f>
        <v>0</v>
      </c>
      <c r="J681" s="62">
        <f>IFERROR(VLOOKUP(B681,Tableau5[#All],6,FALSE),"Matricule!")</f>
        <v>0</v>
      </c>
      <c r="K681" s="62">
        <f>IFERROR(VLOOKUP(B681,Tableau5[#All],7,FALSE),"Matricule!")</f>
        <v>10</v>
      </c>
      <c r="L681" s="62" t="e">
        <f>VLOOKUP(Tableau242[[#This Row],[Company number]],#REF!,25,FALSE)</f>
        <v>#REF!</v>
      </c>
      <c r="M681" s="62" t="str">
        <f>IFERROR(VLOOKUP(Tableau242[[#This Row],[Company number]],#REF!,30,FALSE),"")</f>
        <v/>
      </c>
      <c r="N681" s="62" t="str">
        <f>IFERROR(VLOOKUP(Tableau242[[#This Row],[Company number]],#REF!,31,FALSE),"")</f>
        <v/>
      </c>
      <c r="O681" s="62" t="str">
        <f>IFERROR(VLOOKUP(Tableau242[[#This Row],[Company number]],#REF!,32,FALSE),"")</f>
        <v/>
      </c>
      <c r="P681" s="62">
        <f>IFERROR(VLOOKUP(B681,Tableau3[#All],5,FALSE),"Matricule!")</f>
        <v>5</v>
      </c>
      <c r="Q681" s="62">
        <f>IFERROR(SUM(VLOOKUP(B681,Tableau3[#All],6,FALSE),VLOOKUP(B681,Tableau3[#All],8,FALSE)),"Matricule!")</f>
        <v>15</v>
      </c>
      <c r="R681" s="62">
        <f>IFERROR(VLOOKUP(B681,Tableau3[#All],7,FALSE),"Matricule!")</f>
        <v>0</v>
      </c>
      <c r="S681" s="62">
        <f>IFERROR(Tableau242[[#This Row],[Prod. days WK]]-Tableau242[[#This Row],[Prod PXX]],"Matricule")</f>
        <v>5</v>
      </c>
      <c r="T681" s="62">
        <f>IFERROR(Tableau242[[#This Row],[Non prod. days WK]]-Tableau242[[#This Row],[Improd PXX]],"Matricule")</f>
        <v>-15</v>
      </c>
      <c r="U681" s="62">
        <f>IFERROR(Tableau242[[#This Row],[Paid leave days WK]]-Tableau242[[#This Row],[Congé PXX]],"Matricule")</f>
        <v>0</v>
      </c>
      <c r="V681" s="63">
        <f>IFERROR(VLOOKUP($B681,#REF!,4,FALSE),0)</f>
        <v>0</v>
      </c>
      <c r="W68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81" s="63">
        <f>IF(AND(Tableau242[[#This Row],[Paid leave days]]&gt;0,Tableau242[[#This Row],[Prod. days]]&lt;0),MIN(Tableau242[[#This Row],[Paid leave days]],-Tableau242[[#This Row],[Prod. days]]),0)</f>
        <v>0</v>
      </c>
      <c r="Z681" s="63">
        <f>IFERROR(_xlfn.XLOOKUP(Tableau242[[#This Row],[Consultant]],Tableau2[Collaborateur/Nom affiché],Tableau2[Montant imputé],0),0)</f>
        <v>0</v>
      </c>
      <c r="AA681" s="64">
        <f t="shared" si="11"/>
        <v>5</v>
      </c>
      <c r="AB681" s="65"/>
      <c r="AC681" s="66"/>
      <c r="AD681" s="66"/>
      <c r="AE681" s="105"/>
      <c r="AF681" s="90"/>
    </row>
    <row r="682" spans="1:32" ht="14.45" customHeight="1">
      <c r="A682" s="15">
        <f>Tableau242[[#This Row],[Company number]]+0</f>
        <v>2639</v>
      </c>
      <c r="B682" s="60" t="s">
        <v>1470</v>
      </c>
      <c r="C682" s="61" t="s">
        <v>1471</v>
      </c>
      <c r="D682" s="61" t="s">
        <v>30</v>
      </c>
      <c r="E682" s="62" t="str">
        <f>IFERROR(VLOOKUP(Tableau242[[#This Row],[Manager ou CDM concerné]],Parametres!B:C,2,FALSE),"")</f>
        <v>Squad E</v>
      </c>
      <c r="F682" s="62" t="str">
        <f>IF(Tableau242[[#This Row],[Consultant]]=Tableau242[[#This Row],[Manager ou CDM concerné]],"Non",IF(IFERROR(VLOOKUP(Tableau242[[#This Row],[Consultant]],Parametres!B:C,2,FALSE),0)=0,"Non","Oui"))</f>
        <v>Non</v>
      </c>
      <c r="G682" s="62">
        <f>IFERROR(VLOOKUP(B682,Tableau5[#All],4,FALSE),"Matricule!")</f>
        <v>19.5</v>
      </c>
      <c r="H682" s="62" t="str">
        <f>IFERROR(VLOOKUP(Tableau242[[#This Row],[Company number]],#REF!,6,FALSE),"")</f>
        <v/>
      </c>
      <c r="I682" s="62">
        <f>IFERROR(VLOOKUP(B682,Tableau5[#All],5,FALSE),"Matricule!")</f>
        <v>0.5</v>
      </c>
      <c r="J682" s="62">
        <f>IFERROR(VLOOKUP(B682,Tableau5[#All],6,FALSE),"Matricule!")</f>
        <v>0</v>
      </c>
      <c r="K682" s="62">
        <f>IFERROR(VLOOKUP(B682,Tableau5[#All],7,FALSE),"Matricule!")</f>
        <v>0</v>
      </c>
      <c r="L682" s="62" t="e">
        <f>VLOOKUP(Tableau242[[#This Row],[Company number]],#REF!,25,FALSE)</f>
        <v>#REF!</v>
      </c>
      <c r="M682" s="62" t="str">
        <f>IFERROR(VLOOKUP(Tableau242[[#This Row],[Company number]],#REF!,30,FALSE),"")</f>
        <v/>
      </c>
      <c r="N682" s="62" t="str">
        <f>IFERROR(VLOOKUP(Tableau242[[#This Row],[Company number]],#REF!,31,FALSE),"")</f>
        <v/>
      </c>
      <c r="O682" s="62" t="str">
        <f>IFERROR(VLOOKUP(Tableau242[[#This Row],[Company number]],#REF!,32,FALSE),"")</f>
        <v/>
      </c>
      <c r="P682" s="62">
        <f>IFERROR(VLOOKUP(B682,Tableau3[#All],5,FALSE),"Matricule!")</f>
        <v>19</v>
      </c>
      <c r="Q682" s="62">
        <f>IFERROR(SUM(VLOOKUP(B682,Tableau3[#All],6,FALSE),VLOOKUP(B682,Tableau3[#All],8,FALSE)),"Matricule!")</f>
        <v>0</v>
      </c>
      <c r="R682" s="62">
        <f>IFERROR(VLOOKUP(B682,Tableau3[#All],7,FALSE),"Matricule!")</f>
        <v>1</v>
      </c>
      <c r="S682" s="62">
        <f>IFERROR(Tableau242[[#This Row],[Prod. days WK]]-Tableau242[[#This Row],[Prod PXX]],"Matricule")</f>
        <v>0.5</v>
      </c>
      <c r="T682" s="62">
        <f>IFERROR(Tableau242[[#This Row],[Non prod. days WK]]-Tableau242[[#This Row],[Improd PXX]],"Matricule")</f>
        <v>0.5</v>
      </c>
      <c r="U682" s="62">
        <f>IFERROR(Tableau242[[#This Row],[Paid leave days WK]]-Tableau242[[#This Row],[Congé PXX]],"Matricule")</f>
        <v>-1</v>
      </c>
      <c r="V682" s="63">
        <f>IFERROR(VLOOKUP($B682,#REF!,4,FALSE),0)</f>
        <v>0</v>
      </c>
      <c r="W68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82" s="63">
        <f>IF(AND(Tableau242[[#This Row],[Paid leave days]]&gt;0,Tableau242[[#This Row],[Prod. days]]&lt;0),MIN(Tableau242[[#This Row],[Paid leave days]],-Tableau242[[#This Row],[Prod. days]]),0)</f>
        <v>0</v>
      </c>
      <c r="Z682" s="63">
        <f>IFERROR(_xlfn.XLOOKUP(Tableau242[[#This Row],[Consultant]],Tableau2[Collaborateur/Nom affiché],Tableau2[Montant imputé],0),0)</f>
        <v>0</v>
      </c>
      <c r="AA682" s="64">
        <f t="shared" si="11"/>
        <v>0.5</v>
      </c>
      <c r="AB682" s="65"/>
      <c r="AC682" s="66"/>
      <c r="AD682" s="66"/>
      <c r="AE682" s="105"/>
      <c r="AF682" s="90"/>
    </row>
    <row r="683" spans="1:32" ht="14.45" customHeight="1">
      <c r="A683" s="15">
        <f>Tableau242[[#This Row],[Company number]]+0</f>
        <v>123</v>
      </c>
      <c r="B683" s="60" t="s">
        <v>1472</v>
      </c>
      <c r="C683" s="61" t="s">
        <v>1473</v>
      </c>
      <c r="D683" s="61" t="s">
        <v>63</v>
      </c>
      <c r="E683" s="62" t="str">
        <f>IFERROR(VLOOKUP(Tableau242[[#This Row],[Manager ou CDM concerné]],Parametres!B:C,2,FALSE),"")</f>
        <v>Squad B</v>
      </c>
      <c r="F683" s="62" t="str">
        <f>IF(Tableau242[[#This Row],[Consultant]]=Tableau242[[#This Row],[Manager ou CDM concerné]],"Non",IF(IFERROR(VLOOKUP(Tableau242[[#This Row],[Consultant]],Parametres!B:C,2,FALSE),0)=0,"Non","Oui"))</f>
        <v>Non</v>
      </c>
      <c r="G683" s="62">
        <f>IFERROR(VLOOKUP(B683,Tableau5[#All],4,FALSE),"Matricule!")</f>
        <v>16</v>
      </c>
      <c r="H683" s="62" t="str">
        <f>IFERROR(VLOOKUP(Tableau242[[#This Row],[Company number]],#REF!,6,FALSE),"")</f>
        <v/>
      </c>
      <c r="I683" s="62">
        <f>IFERROR(VLOOKUP(B683,Tableau5[#All],5,FALSE),"Matricule!")</f>
        <v>4</v>
      </c>
      <c r="J683" s="62">
        <f>IFERROR(VLOOKUP(B683,Tableau5[#All],6,FALSE),"Matricule!")</f>
        <v>0</v>
      </c>
      <c r="K683" s="62">
        <f>IFERROR(VLOOKUP(B683,Tableau5[#All],7,FALSE),"Matricule!")</f>
        <v>0</v>
      </c>
      <c r="L683" s="62" t="e">
        <f>VLOOKUP(Tableau242[[#This Row],[Company number]],#REF!,25,FALSE)</f>
        <v>#REF!</v>
      </c>
      <c r="M683" s="62" t="str">
        <f>IFERROR(VLOOKUP(Tableau242[[#This Row],[Company number]],#REF!,30,FALSE),"")</f>
        <v/>
      </c>
      <c r="N683" s="62" t="str">
        <f>IFERROR(VLOOKUP(Tableau242[[#This Row],[Company number]],#REF!,31,FALSE),"")</f>
        <v/>
      </c>
      <c r="O683" s="62" t="str">
        <f>IFERROR(VLOOKUP(Tableau242[[#This Row],[Company number]],#REF!,32,FALSE),"")</f>
        <v/>
      </c>
      <c r="P683" s="62">
        <f>IFERROR(VLOOKUP(B683,Tableau3[#All],5,FALSE),"Matricule!")</f>
        <v>14</v>
      </c>
      <c r="Q683" s="62">
        <f>IFERROR(SUM(VLOOKUP(B683,Tableau3[#All],6,FALSE),VLOOKUP(B683,Tableau3[#All],8,FALSE)),"Matricule!")</f>
        <v>6</v>
      </c>
      <c r="R683" s="62">
        <f>IFERROR(VLOOKUP(B683,Tableau3[#All],7,FALSE),"Matricule!")</f>
        <v>0</v>
      </c>
      <c r="S683" s="62">
        <f>IFERROR(Tableau242[[#This Row],[Prod. days WK]]-Tableau242[[#This Row],[Prod PXX]],"Matricule")</f>
        <v>2</v>
      </c>
      <c r="T683" s="62">
        <f>IFERROR(Tableau242[[#This Row],[Non prod. days WK]]-Tableau242[[#This Row],[Improd PXX]],"Matricule")</f>
        <v>-2</v>
      </c>
      <c r="U683" s="62">
        <f>IFERROR(Tableau242[[#This Row],[Paid leave days WK]]-Tableau242[[#This Row],[Congé PXX]],"Matricule")</f>
        <v>0</v>
      </c>
      <c r="V683" s="63">
        <f>IFERROR(VLOOKUP($B683,#REF!,4,FALSE),0)</f>
        <v>0</v>
      </c>
      <c r="W68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83" s="63">
        <f>IF(AND(Tableau242[[#This Row],[Paid leave days]]&gt;0,Tableau242[[#This Row],[Prod. days]]&lt;0),MIN(Tableau242[[#This Row],[Paid leave days]],-Tableau242[[#This Row],[Prod. days]]),0)</f>
        <v>0</v>
      </c>
      <c r="Z683" s="63">
        <f>IFERROR(_xlfn.XLOOKUP(Tableau242[[#This Row],[Consultant]],Tableau2[Collaborateur/Nom affiché],Tableau2[Montant imputé],0),0)</f>
        <v>0</v>
      </c>
      <c r="AA683" s="64">
        <f t="shared" si="11"/>
        <v>2</v>
      </c>
      <c r="AB683" s="65"/>
      <c r="AC683" s="66"/>
      <c r="AD683" s="66"/>
      <c r="AE683" s="105"/>
      <c r="AF683" s="90"/>
    </row>
    <row r="684" spans="1:32" ht="14.45" customHeight="1">
      <c r="A684" s="15">
        <f>Tableau242[[#This Row],[Company number]]+0</f>
        <v>988</v>
      </c>
      <c r="B684" s="60" t="s">
        <v>1474</v>
      </c>
      <c r="C684" s="61" t="s">
        <v>16</v>
      </c>
      <c r="D684" s="61" t="s">
        <v>63</v>
      </c>
      <c r="E684" s="62" t="str">
        <f>IFERROR(VLOOKUP(Tableau242[[#This Row],[Manager ou CDM concerné]],Parametres!B:C,2,FALSE),"")</f>
        <v>Squad B</v>
      </c>
      <c r="F684" s="62" t="str">
        <f>IF(Tableau242[[#This Row],[Consultant]]=Tableau242[[#This Row],[Manager ou CDM concerné]],"Non",IF(IFERROR(VLOOKUP(Tableau242[[#This Row],[Consultant]],Parametres!B:C,2,FALSE),0)=0,"Non","Oui"))</f>
        <v>Oui</v>
      </c>
      <c r="G684" s="62">
        <f>IFERROR(VLOOKUP(B684,Tableau5[#All],4,FALSE),"Matricule!")</f>
        <v>15</v>
      </c>
      <c r="H684" s="62" t="str">
        <f>IFERROR(VLOOKUP(Tableau242[[#This Row],[Company number]],#REF!,6,FALSE),"")</f>
        <v/>
      </c>
      <c r="I684" s="62">
        <f>IFERROR(VLOOKUP(B684,Tableau5[#All],5,FALSE),"Matricule!")</f>
        <v>5</v>
      </c>
      <c r="J684" s="62">
        <f>IFERROR(VLOOKUP(B684,Tableau5[#All],6,FALSE),"Matricule!")</f>
        <v>0</v>
      </c>
      <c r="K684" s="62">
        <f>IFERROR(VLOOKUP(B684,Tableau5[#All],7,FALSE),"Matricule!")</f>
        <v>0</v>
      </c>
      <c r="L684" s="62" t="e">
        <f>VLOOKUP(Tableau242[[#This Row],[Company number]],#REF!,25,FALSE)</f>
        <v>#REF!</v>
      </c>
      <c r="M684" s="62" t="str">
        <f>IFERROR(VLOOKUP(Tableau242[[#This Row],[Company number]],#REF!,30,FALSE),"")</f>
        <v/>
      </c>
      <c r="N684" s="62" t="str">
        <f>IFERROR(VLOOKUP(Tableau242[[#This Row],[Company number]],#REF!,31,FALSE),"")</f>
        <v/>
      </c>
      <c r="O684" s="62" t="str">
        <f>IFERROR(VLOOKUP(Tableau242[[#This Row],[Company number]],#REF!,32,FALSE),"")</f>
        <v/>
      </c>
      <c r="P684" s="62">
        <f>IFERROR(VLOOKUP(B684,Tableau3[#All],5,FALSE),"Matricule!")</f>
        <v>12</v>
      </c>
      <c r="Q684" s="62">
        <f>IFERROR(SUM(VLOOKUP(B684,Tableau3[#All],6,FALSE),VLOOKUP(B684,Tableau3[#All],8,FALSE)),"Matricule!")</f>
        <v>8</v>
      </c>
      <c r="R684" s="62">
        <f>IFERROR(VLOOKUP(B684,Tableau3[#All],7,FALSE),"Matricule!")</f>
        <v>0</v>
      </c>
      <c r="S684" s="62">
        <f>IFERROR(Tableau242[[#This Row],[Prod. days WK]]-Tableau242[[#This Row],[Prod PXX]],"Matricule")</f>
        <v>3</v>
      </c>
      <c r="T684" s="62">
        <f>IFERROR(Tableau242[[#This Row],[Non prod. days WK]]-Tableau242[[#This Row],[Improd PXX]],"Matricule")</f>
        <v>-3</v>
      </c>
      <c r="U684" s="62">
        <f>IFERROR(Tableau242[[#This Row],[Paid leave days WK]]-Tableau242[[#This Row],[Congé PXX]],"Matricule")</f>
        <v>0</v>
      </c>
      <c r="V684" s="63">
        <f>IFERROR(VLOOKUP($B684,#REF!,4,FALSE),0)</f>
        <v>0</v>
      </c>
      <c r="W68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84" s="63">
        <f>IF(AND(Tableau242[[#This Row],[Paid leave days]]&gt;0,Tableau242[[#This Row],[Prod. days]]&lt;0),MIN(Tableau242[[#This Row],[Paid leave days]],-Tableau242[[#This Row],[Prod. days]]),0)</f>
        <v>0</v>
      </c>
      <c r="Z684" s="63">
        <f>IFERROR(_xlfn.XLOOKUP(Tableau242[[#This Row],[Consultant]],Tableau2[Collaborateur/Nom affiché],Tableau2[Montant imputé],0),0)</f>
        <v>0</v>
      </c>
      <c r="AA684" s="64">
        <f t="shared" si="11"/>
        <v>3</v>
      </c>
      <c r="AB684" s="65"/>
      <c r="AC684" s="66"/>
      <c r="AD684" s="66"/>
      <c r="AE684" s="105"/>
      <c r="AF684" s="90"/>
    </row>
    <row r="685" spans="1:32" ht="14.45" customHeight="1">
      <c r="A685" s="15">
        <f>Tableau242[[#This Row],[Company number]]+0</f>
        <v>9273</v>
      </c>
      <c r="B685" s="60" t="s">
        <v>1475</v>
      </c>
      <c r="C685" s="61" t="s">
        <v>12</v>
      </c>
      <c r="D685" s="61" t="s">
        <v>63</v>
      </c>
      <c r="E685" s="62" t="str">
        <f>IFERROR(VLOOKUP(Tableau242[[#This Row],[Manager ou CDM concerné]],Parametres!B:C,2,FALSE),"")</f>
        <v>Squad B</v>
      </c>
      <c r="F685" s="62" t="str">
        <f>IF(Tableau242[[#This Row],[Consultant]]=Tableau242[[#This Row],[Manager ou CDM concerné]],"Non",IF(IFERROR(VLOOKUP(Tableau242[[#This Row],[Consultant]],Parametres!B:C,2,FALSE),0)=0,"Non","Oui"))</f>
        <v>Oui</v>
      </c>
      <c r="G685" s="62">
        <f>IFERROR(VLOOKUP(B685,Tableau5[#All],4,FALSE),"Matricule!")</f>
        <v>17</v>
      </c>
      <c r="H685" s="62" t="str">
        <f>IFERROR(VLOOKUP(Tableau242[[#This Row],[Company number]],#REF!,6,FALSE),"")</f>
        <v/>
      </c>
      <c r="I685" s="62">
        <f>IFERROR(VLOOKUP(B685,Tableau5[#All],5,FALSE),"Matricule!")</f>
        <v>3</v>
      </c>
      <c r="J685" s="62">
        <f>IFERROR(VLOOKUP(B685,Tableau5[#All],6,FALSE),"Matricule!")</f>
        <v>0</v>
      </c>
      <c r="K685" s="62">
        <f>IFERROR(VLOOKUP(B685,Tableau5[#All],7,FALSE),"Matricule!")</f>
        <v>0</v>
      </c>
      <c r="L685" s="62" t="e">
        <f>VLOOKUP(Tableau242[[#This Row],[Company number]],#REF!,25,FALSE)</f>
        <v>#REF!</v>
      </c>
      <c r="M685" s="62" t="str">
        <f>IFERROR(VLOOKUP(Tableau242[[#This Row],[Company number]],#REF!,30,FALSE),"")</f>
        <v/>
      </c>
      <c r="N685" s="62" t="str">
        <f>IFERROR(VLOOKUP(Tableau242[[#This Row],[Company number]],#REF!,31,FALSE),"")</f>
        <v/>
      </c>
      <c r="O685" s="62" t="str">
        <f>IFERROR(VLOOKUP(Tableau242[[#This Row],[Company number]],#REF!,32,FALSE),"")</f>
        <v/>
      </c>
      <c r="P685" s="62">
        <f>IFERROR(VLOOKUP(B685,Tableau3[#All],5,FALSE),"Matricule!")</f>
        <v>16</v>
      </c>
      <c r="Q685" s="62">
        <f>IFERROR(SUM(VLOOKUP(B685,Tableau3[#All],6,FALSE),VLOOKUP(B685,Tableau3[#All],8,FALSE)),"Matricule!")</f>
        <v>4</v>
      </c>
      <c r="R685" s="62">
        <f>IFERROR(VLOOKUP(B685,Tableau3[#All],7,FALSE),"Matricule!")</f>
        <v>0</v>
      </c>
      <c r="S685" s="62">
        <f>IFERROR(Tableau242[[#This Row],[Prod. days WK]]-Tableau242[[#This Row],[Prod PXX]],"Matricule")</f>
        <v>1</v>
      </c>
      <c r="T685" s="62">
        <f>IFERROR(Tableau242[[#This Row],[Non prod. days WK]]-Tableau242[[#This Row],[Improd PXX]],"Matricule")</f>
        <v>-1</v>
      </c>
      <c r="U685" s="62">
        <f>IFERROR(Tableau242[[#This Row],[Paid leave days WK]]-Tableau242[[#This Row],[Congé PXX]],"Matricule")</f>
        <v>0</v>
      </c>
      <c r="V685" s="63">
        <f>IFERROR(VLOOKUP($B685,#REF!,4,FALSE),0)</f>
        <v>0</v>
      </c>
      <c r="W68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85" s="63">
        <f>IF(AND(Tableau242[[#This Row],[Paid leave days]]&gt;0,Tableau242[[#This Row],[Prod. days]]&lt;0),MIN(Tableau242[[#This Row],[Paid leave days]],-Tableau242[[#This Row],[Prod. days]]),0)</f>
        <v>0</v>
      </c>
      <c r="Z685" s="63">
        <f>IFERROR(_xlfn.XLOOKUP(Tableau242[[#This Row],[Consultant]],Tableau2[Collaborateur/Nom affiché],Tableau2[Montant imputé],0),0)</f>
        <v>0</v>
      </c>
      <c r="AA685" s="64">
        <f t="shared" si="11"/>
        <v>1</v>
      </c>
      <c r="AB685" s="65"/>
      <c r="AC685" s="67"/>
      <c r="AD685" s="67"/>
      <c r="AE685" s="106"/>
      <c r="AF685" s="92"/>
    </row>
    <row r="686" spans="1:32" ht="14.45" customHeight="1">
      <c r="A686" s="15">
        <f>Tableau242[[#This Row],[Company number]]+0</f>
        <v>49</v>
      </c>
      <c r="B686" s="60" t="s">
        <v>1476</v>
      </c>
      <c r="C686" s="61" t="s">
        <v>1477</v>
      </c>
      <c r="D686" s="61" t="s">
        <v>6</v>
      </c>
      <c r="E686" s="62" t="str">
        <f>IFERROR(VLOOKUP(Tableau242[[#This Row],[Manager ou CDM concerné]],Parametres!B:C,2,FALSE),"")</f>
        <v>Squad A</v>
      </c>
      <c r="F686" s="62" t="str">
        <f>IF(Tableau242[[#This Row],[Consultant]]=Tableau242[[#This Row],[Manager ou CDM concerné]],"Non",IF(IFERROR(VLOOKUP(Tableau242[[#This Row],[Consultant]],Parametres!B:C,2,FALSE),0)=0,"Non","Oui"))</f>
        <v>Non</v>
      </c>
      <c r="G686" s="62">
        <f>IFERROR(VLOOKUP(B686,Tableau5[#All],4,FALSE),"Matricule!")</f>
        <v>12</v>
      </c>
      <c r="H686" s="62" t="str">
        <f>IFERROR(VLOOKUP(Tableau242[[#This Row],[Company number]],#REF!,6,FALSE),"")</f>
        <v/>
      </c>
      <c r="I686" s="62">
        <f>IFERROR(VLOOKUP(B686,Tableau5[#All],5,FALSE),"Matricule!")</f>
        <v>3</v>
      </c>
      <c r="J686" s="62">
        <f>IFERROR(VLOOKUP(B686,Tableau5[#All],6,FALSE),"Matricule!")</f>
        <v>5</v>
      </c>
      <c r="K686" s="62">
        <f>IFERROR(VLOOKUP(B686,Tableau5[#All],7,FALSE),"Matricule!")</f>
        <v>0</v>
      </c>
      <c r="L686" s="62" t="e">
        <f>VLOOKUP(Tableau242[[#This Row],[Company number]],#REF!,25,FALSE)</f>
        <v>#REF!</v>
      </c>
      <c r="M686" s="62" t="str">
        <f>IFERROR(VLOOKUP(Tableau242[[#This Row],[Company number]],#REF!,30,FALSE),"")</f>
        <v/>
      </c>
      <c r="N686" s="62" t="str">
        <f>IFERROR(VLOOKUP(Tableau242[[#This Row],[Company number]],#REF!,31,FALSE),"")</f>
        <v/>
      </c>
      <c r="O686" s="62" t="str">
        <f>IFERROR(VLOOKUP(Tableau242[[#This Row],[Company number]],#REF!,32,FALSE),"")</f>
        <v/>
      </c>
      <c r="P686" s="62">
        <f>IFERROR(VLOOKUP(B686,Tableau3[#All],5,FALSE),"Matricule!")</f>
        <v>11</v>
      </c>
      <c r="Q686" s="62">
        <f>IFERROR(SUM(VLOOKUP(B686,Tableau3[#All],6,FALSE),VLOOKUP(B686,Tableau3[#All],8,FALSE)),"Matricule!")</f>
        <v>5</v>
      </c>
      <c r="R686" s="62">
        <f>IFERROR(VLOOKUP(B686,Tableau3[#All],7,FALSE),"Matricule!")</f>
        <v>4</v>
      </c>
      <c r="S686" s="62">
        <f>IFERROR(Tableau242[[#This Row],[Prod. days WK]]-Tableau242[[#This Row],[Prod PXX]],"Matricule")</f>
        <v>1</v>
      </c>
      <c r="T686" s="62">
        <f>IFERROR(Tableau242[[#This Row],[Non prod. days WK]]-Tableau242[[#This Row],[Improd PXX]],"Matricule")</f>
        <v>-2</v>
      </c>
      <c r="U686" s="62">
        <f>IFERROR(Tableau242[[#This Row],[Paid leave days WK]]-Tableau242[[#This Row],[Congé PXX]],"Matricule")</f>
        <v>1</v>
      </c>
      <c r="V686" s="63">
        <f>IFERROR(VLOOKUP($B686,#REF!,4,FALSE),0)</f>
        <v>0</v>
      </c>
      <c r="W68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86" s="63">
        <f>IF(AND(Tableau242[[#This Row],[Paid leave days]]&gt;0,Tableau242[[#This Row],[Prod. days]]&lt;0),MIN(Tableau242[[#This Row],[Paid leave days]],-Tableau242[[#This Row],[Prod. days]]),0)</f>
        <v>0</v>
      </c>
      <c r="Z686" s="63">
        <f>IFERROR(_xlfn.XLOOKUP(Tableau242[[#This Row],[Consultant]],Tableau2[Collaborateur/Nom affiché],Tableau2[Montant imputé],0),0)</f>
        <v>0</v>
      </c>
      <c r="AA686" s="64">
        <f t="shared" si="11"/>
        <v>1</v>
      </c>
      <c r="AB686" s="65"/>
      <c r="AC686" s="66"/>
      <c r="AD686" s="66"/>
      <c r="AE686" s="105"/>
      <c r="AF686" s="90"/>
    </row>
    <row r="687" spans="1:32" ht="14.45" customHeight="1">
      <c r="A687" s="15">
        <f>Tableau242[[#This Row],[Company number]]+0</f>
        <v>2654</v>
      </c>
      <c r="B687" s="60" t="s">
        <v>1478</v>
      </c>
      <c r="C687" s="61" t="s">
        <v>23</v>
      </c>
      <c r="D687" s="61" t="s">
        <v>63</v>
      </c>
      <c r="E687" s="62" t="str">
        <f>IFERROR(VLOOKUP(Tableau242[[#This Row],[Manager ou CDM concerné]],Parametres!B:C,2,FALSE),"")</f>
        <v>Squad B</v>
      </c>
      <c r="F687" s="62" t="str">
        <f>IF(Tableau242[[#This Row],[Consultant]]=Tableau242[[#This Row],[Manager ou CDM concerné]],"Non",IF(IFERROR(VLOOKUP(Tableau242[[#This Row],[Consultant]],Parametres!B:C,2,FALSE),0)=0,"Non","Oui"))</f>
        <v>Oui</v>
      </c>
      <c r="G687" s="62">
        <f>IFERROR(VLOOKUP(B687,Tableau5[#All],4,FALSE),"Matricule!")</f>
        <v>18</v>
      </c>
      <c r="H687" s="62" t="str">
        <f>IFERROR(VLOOKUP(Tableau242[[#This Row],[Company number]],#REF!,6,FALSE),"")</f>
        <v/>
      </c>
      <c r="I687" s="62">
        <f>IFERROR(VLOOKUP(B687,Tableau5[#All],5,FALSE),"Matricule!")</f>
        <v>2</v>
      </c>
      <c r="J687" s="62">
        <f>IFERROR(VLOOKUP(B687,Tableau5[#All],6,FALSE),"Matricule!")</f>
        <v>0</v>
      </c>
      <c r="K687" s="62">
        <f>IFERROR(VLOOKUP(B687,Tableau5[#All],7,FALSE),"Matricule!")</f>
        <v>0</v>
      </c>
      <c r="L687" s="62" t="e">
        <f>VLOOKUP(Tableau242[[#This Row],[Company number]],#REF!,25,FALSE)</f>
        <v>#REF!</v>
      </c>
      <c r="M687" s="62" t="str">
        <f>IFERROR(VLOOKUP(Tableau242[[#This Row],[Company number]],#REF!,30,FALSE),"")</f>
        <v/>
      </c>
      <c r="N687" s="62" t="str">
        <f>IFERROR(VLOOKUP(Tableau242[[#This Row],[Company number]],#REF!,31,FALSE),"")</f>
        <v/>
      </c>
      <c r="O687" s="62" t="str">
        <f>IFERROR(VLOOKUP(Tableau242[[#This Row],[Company number]],#REF!,32,FALSE),"")</f>
        <v/>
      </c>
      <c r="P687" s="62">
        <f>IFERROR(VLOOKUP(B687,Tableau3[#All],5,FALSE),"Matricule!")</f>
        <v>17</v>
      </c>
      <c r="Q687" s="62">
        <f>IFERROR(SUM(VLOOKUP(B687,Tableau3[#All],6,FALSE),VLOOKUP(B687,Tableau3[#All],8,FALSE)),"Matricule!")</f>
        <v>3</v>
      </c>
      <c r="R687" s="62">
        <f>IFERROR(VLOOKUP(B687,Tableau3[#All],7,FALSE),"Matricule!")</f>
        <v>0</v>
      </c>
      <c r="S687" s="62">
        <f>IFERROR(Tableau242[[#This Row],[Prod. days WK]]-Tableau242[[#This Row],[Prod PXX]],"Matricule")</f>
        <v>1</v>
      </c>
      <c r="T687" s="62">
        <f>IFERROR(Tableau242[[#This Row],[Non prod. days WK]]-Tableau242[[#This Row],[Improd PXX]],"Matricule")</f>
        <v>-1</v>
      </c>
      <c r="U687" s="62">
        <f>IFERROR(Tableau242[[#This Row],[Paid leave days WK]]-Tableau242[[#This Row],[Congé PXX]],"Matricule")</f>
        <v>0</v>
      </c>
      <c r="V687" s="63">
        <f>IFERROR(VLOOKUP($B687,#REF!,4,FALSE),0)</f>
        <v>0</v>
      </c>
      <c r="W68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87" s="63">
        <f>IF(AND(Tableau242[[#This Row],[Paid leave days]]&gt;0,Tableau242[[#This Row],[Prod. days]]&lt;0),MIN(Tableau242[[#This Row],[Paid leave days]],-Tableau242[[#This Row],[Prod. days]]),0)</f>
        <v>0</v>
      </c>
      <c r="Z687" s="63">
        <f>IFERROR(_xlfn.XLOOKUP(Tableau242[[#This Row],[Consultant]],Tableau2[Collaborateur/Nom affiché],Tableau2[Montant imputé],0),0)</f>
        <v>0</v>
      </c>
      <c r="AA687" s="64">
        <f t="shared" si="11"/>
        <v>1</v>
      </c>
      <c r="AB687" s="65"/>
      <c r="AC687" s="66"/>
      <c r="AD687" s="66"/>
      <c r="AE687" s="105"/>
      <c r="AF687" s="90"/>
    </row>
    <row r="688" spans="1:32" ht="14.45" customHeight="1">
      <c r="A688" s="15">
        <f>Tableau242[[#This Row],[Company number]]+0</f>
        <v>3799</v>
      </c>
      <c r="B688" s="60" t="s">
        <v>1479</v>
      </c>
      <c r="C688" s="61" t="s">
        <v>54</v>
      </c>
      <c r="D688" s="61" t="s">
        <v>63</v>
      </c>
      <c r="E688" s="62" t="str">
        <f>IFERROR(VLOOKUP(Tableau242[[#This Row],[Manager ou CDM concerné]],Parametres!B:C,2,FALSE),"")</f>
        <v>Squad B</v>
      </c>
      <c r="F688" s="62" t="str">
        <f>IF(Tableau242[[#This Row],[Consultant]]=Tableau242[[#This Row],[Manager ou CDM concerné]],"Non",IF(IFERROR(VLOOKUP(Tableau242[[#This Row],[Consultant]],Parametres!B:C,2,FALSE),0)=0,"Non","Oui"))</f>
        <v>Oui</v>
      </c>
      <c r="G688" s="62">
        <f>IFERROR(VLOOKUP(B688,Tableau5[#All],4,FALSE),"Matricule!")</f>
        <v>11</v>
      </c>
      <c r="H688" s="62" t="str">
        <f>IFERROR(VLOOKUP(Tableau242[[#This Row],[Company number]],#REF!,6,FALSE),"")</f>
        <v/>
      </c>
      <c r="I688" s="62">
        <f>IFERROR(VLOOKUP(B688,Tableau5[#All],5,FALSE),"Matricule!")</f>
        <v>7</v>
      </c>
      <c r="J688" s="62">
        <f>IFERROR(VLOOKUP(B688,Tableau5[#All],6,FALSE),"Matricule!")</f>
        <v>2</v>
      </c>
      <c r="K688" s="62">
        <f>IFERROR(VLOOKUP(B688,Tableau5[#All],7,FALSE),"Matricule!")</f>
        <v>0</v>
      </c>
      <c r="L688" s="62" t="e">
        <f>VLOOKUP(Tableau242[[#This Row],[Company number]],#REF!,25,FALSE)</f>
        <v>#REF!</v>
      </c>
      <c r="M688" s="62" t="str">
        <f>IFERROR(VLOOKUP(Tableau242[[#This Row],[Company number]],#REF!,30,FALSE),"")</f>
        <v/>
      </c>
      <c r="N688" s="62" t="str">
        <f>IFERROR(VLOOKUP(Tableau242[[#This Row],[Company number]],#REF!,31,FALSE),"")</f>
        <v/>
      </c>
      <c r="O688" s="62" t="str">
        <f>IFERROR(VLOOKUP(Tableau242[[#This Row],[Company number]],#REF!,32,FALSE),"")</f>
        <v/>
      </c>
      <c r="P688" s="62">
        <f>IFERROR(VLOOKUP(B688,Tableau3[#All],5,FALSE),"Matricule!")</f>
        <v>10</v>
      </c>
      <c r="Q688" s="62">
        <f>IFERROR(SUM(VLOOKUP(B688,Tableau3[#All],6,FALSE),VLOOKUP(B688,Tableau3[#All],8,FALSE)),"Matricule!")</f>
        <v>8</v>
      </c>
      <c r="R688" s="62">
        <f>IFERROR(VLOOKUP(B688,Tableau3[#All],7,FALSE),"Matricule!")</f>
        <v>2</v>
      </c>
      <c r="S688" s="62">
        <f>IFERROR(Tableau242[[#This Row],[Prod. days WK]]-Tableau242[[#This Row],[Prod PXX]],"Matricule")</f>
        <v>1</v>
      </c>
      <c r="T688" s="62">
        <f>IFERROR(Tableau242[[#This Row],[Non prod. days WK]]-Tableau242[[#This Row],[Improd PXX]],"Matricule")</f>
        <v>-1</v>
      </c>
      <c r="U688" s="62">
        <f>IFERROR(Tableau242[[#This Row],[Paid leave days WK]]-Tableau242[[#This Row],[Congé PXX]],"Matricule")</f>
        <v>0</v>
      </c>
      <c r="V688" s="63">
        <f>IFERROR(VLOOKUP($B688,#REF!,4,FALSE),0)</f>
        <v>0</v>
      </c>
      <c r="W68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88" s="63">
        <f>IF(AND(Tableau242[[#This Row],[Paid leave days]]&gt;0,Tableau242[[#This Row],[Prod. days]]&lt;0),MIN(Tableau242[[#This Row],[Paid leave days]],-Tableau242[[#This Row],[Prod. days]]),0)</f>
        <v>0</v>
      </c>
      <c r="Z688" s="63">
        <f>IFERROR(_xlfn.XLOOKUP(Tableau242[[#This Row],[Consultant]],Tableau2[Collaborateur/Nom affiché],Tableau2[Montant imputé],0),0)</f>
        <v>0</v>
      </c>
      <c r="AA688" s="64">
        <f t="shared" si="11"/>
        <v>1</v>
      </c>
      <c r="AB688" s="65"/>
      <c r="AC688" s="66"/>
      <c r="AD688" s="66"/>
      <c r="AE688" s="105"/>
      <c r="AF688" s="90"/>
    </row>
    <row r="689" spans="1:32">
      <c r="A689" s="15">
        <f>Tableau242[[#This Row],[Company number]]+0</f>
        <v>17409</v>
      </c>
      <c r="B689" s="60" t="s">
        <v>1480</v>
      </c>
      <c r="C689" s="61" t="s">
        <v>1481</v>
      </c>
      <c r="D689" s="61" t="s">
        <v>26</v>
      </c>
      <c r="E689" s="62" t="str">
        <f>IFERROR(VLOOKUP(Tableau242[[#This Row],[Manager ou CDM concerné]],Parametres!B:C,2,FALSE),"")</f>
        <v>Squad D</v>
      </c>
      <c r="F689" s="62" t="str">
        <f>IF(Tableau242[[#This Row],[Consultant]]=Tableau242[[#This Row],[Manager ou CDM concerné]],"Non",IF(IFERROR(VLOOKUP(Tableau242[[#This Row],[Consultant]],Parametres!B:C,2,FALSE),0)=0,"Non","Oui"))</f>
        <v>Non</v>
      </c>
      <c r="G689" s="62">
        <f>IFERROR(VLOOKUP(B689,Tableau5[#All],4,FALSE),"Matricule!")</f>
        <v>20</v>
      </c>
      <c r="H689" s="62" t="str">
        <f>IFERROR(VLOOKUP(Tableau242[[#This Row],[Company number]],#REF!,6,FALSE),"")</f>
        <v/>
      </c>
      <c r="I689" s="62">
        <f>IFERROR(VLOOKUP(B689,Tableau5[#All],5,FALSE),"Matricule!")</f>
        <v>0</v>
      </c>
      <c r="J689" s="62">
        <f>IFERROR(VLOOKUP(B689,Tableau5[#All],6,FALSE),"Matricule!")</f>
        <v>0</v>
      </c>
      <c r="K689" s="62">
        <f>IFERROR(VLOOKUP(B689,Tableau5[#All],7,FALSE),"Matricule!")</f>
        <v>0</v>
      </c>
      <c r="L689" s="62" t="e">
        <f>VLOOKUP(Tableau242[[#This Row],[Company number]],#REF!,25,FALSE)</f>
        <v>#REF!</v>
      </c>
      <c r="M689" s="62" t="str">
        <f>IFERROR(VLOOKUP(Tableau242[[#This Row],[Company number]],#REF!,30,FALSE),"")</f>
        <v/>
      </c>
      <c r="N689" s="62" t="str">
        <f>IFERROR(VLOOKUP(Tableau242[[#This Row],[Company number]],#REF!,31,FALSE),"")</f>
        <v/>
      </c>
      <c r="O689" s="62" t="str">
        <f>IFERROR(VLOOKUP(Tableau242[[#This Row],[Company number]],#REF!,32,FALSE),"")</f>
        <v/>
      </c>
      <c r="P689" s="62">
        <f>IFERROR(VLOOKUP(B689,Tableau3[#All],5,FALSE),"Matricule!")</f>
        <v>20</v>
      </c>
      <c r="Q689" s="62">
        <f>IFERROR(SUM(VLOOKUP(B689,Tableau3[#All],6,FALSE),VLOOKUP(B689,Tableau3[#All],8,FALSE)),"Matricule!")</f>
        <v>0</v>
      </c>
      <c r="R689" s="62">
        <f>IFERROR(VLOOKUP(B689,Tableau3[#All],7,FALSE),"Matricule!")</f>
        <v>0</v>
      </c>
      <c r="S689" s="62">
        <f>IFERROR(Tableau242[[#This Row],[Prod. days WK]]-Tableau242[[#This Row],[Prod PXX]],"Matricule")</f>
        <v>0</v>
      </c>
      <c r="T689" s="62">
        <f>IFERROR(Tableau242[[#This Row],[Non prod. days WK]]-Tableau242[[#This Row],[Improd PXX]],"Matricule")</f>
        <v>0</v>
      </c>
      <c r="U689" s="62">
        <f>IFERROR(Tableau242[[#This Row],[Paid leave days WK]]-Tableau242[[#This Row],[Congé PXX]],"Matricule")</f>
        <v>0</v>
      </c>
      <c r="V689" s="63">
        <f>IFERROR(VLOOKUP($B689,#REF!,4,FALSE),0)</f>
        <v>0</v>
      </c>
      <c r="W68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8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89" s="63">
        <f>IF(AND(Tableau242[[#This Row],[Paid leave days]]&gt;0,Tableau242[[#This Row],[Prod. days]]&lt;0),MIN(Tableau242[[#This Row],[Paid leave days]],-Tableau242[[#This Row],[Prod. days]]),0)</f>
        <v>0</v>
      </c>
      <c r="Z689" s="63">
        <f>IFERROR(_xlfn.XLOOKUP(Tableau242[[#This Row],[Consultant]],Tableau2[Collaborateur/Nom affiché],Tableau2[Montant imputé],0),0)</f>
        <v>0</v>
      </c>
      <c r="AA689" s="64">
        <f t="shared" si="11"/>
        <v>0</v>
      </c>
      <c r="AB689" s="65"/>
      <c r="AC689" s="66"/>
      <c r="AD689" s="66"/>
      <c r="AE689" s="105"/>
      <c r="AF689" s="90"/>
    </row>
    <row r="690" spans="1:32">
      <c r="A690" s="15">
        <f>Tableau242[[#This Row],[Company number]]+0</f>
        <v>17672</v>
      </c>
      <c r="B690" s="60" t="s">
        <v>1482</v>
      </c>
      <c r="C690" s="61" t="s">
        <v>1483</v>
      </c>
      <c r="D690" s="61" t="s">
        <v>26</v>
      </c>
      <c r="E690" s="62" t="str">
        <f>IFERROR(VLOOKUP(Tableau242[[#This Row],[Manager ou CDM concerné]],Parametres!B:C,2,FALSE),"")</f>
        <v>Squad D</v>
      </c>
      <c r="F690" s="62" t="str">
        <f>IF(Tableau242[[#This Row],[Consultant]]=Tableau242[[#This Row],[Manager ou CDM concerné]],"Non",IF(IFERROR(VLOOKUP(Tableau242[[#This Row],[Consultant]],Parametres!B:C,2,FALSE),0)=0,"Non","Oui"))</f>
        <v>Non</v>
      </c>
      <c r="G690" s="62">
        <f>IFERROR(VLOOKUP(B690,Tableau5[#All],4,FALSE),"Matricule!")</f>
        <v>0</v>
      </c>
      <c r="H690" s="62" t="str">
        <f>IFERROR(VLOOKUP(Tableau242[[#This Row],[Company number]],#REF!,6,FALSE),"")</f>
        <v/>
      </c>
      <c r="I690" s="62">
        <f>IFERROR(VLOOKUP(B690,Tableau5[#All],5,FALSE),"Matricule!")</f>
        <v>14</v>
      </c>
      <c r="J690" s="62">
        <f>IFERROR(VLOOKUP(B690,Tableau5[#All],6,FALSE),"Matricule!")</f>
        <v>6</v>
      </c>
      <c r="K690" s="62">
        <f>IFERROR(VLOOKUP(B690,Tableau5[#All],7,FALSE),"Matricule!")</f>
        <v>0</v>
      </c>
      <c r="L690" s="62" t="e">
        <f>VLOOKUP(Tableau242[[#This Row],[Company number]],#REF!,25,FALSE)</f>
        <v>#REF!</v>
      </c>
      <c r="M690" s="62" t="str">
        <f>IFERROR(VLOOKUP(Tableau242[[#This Row],[Company number]],#REF!,30,FALSE),"")</f>
        <v/>
      </c>
      <c r="N690" s="62" t="str">
        <f>IFERROR(VLOOKUP(Tableau242[[#This Row],[Company number]],#REF!,31,FALSE),"")</f>
        <v/>
      </c>
      <c r="O690" s="62" t="str">
        <f>IFERROR(VLOOKUP(Tableau242[[#This Row],[Company number]],#REF!,32,FALSE),"")</f>
        <v/>
      </c>
      <c r="P690" s="62">
        <f>IFERROR(VLOOKUP(B690,Tableau3[#All],5,FALSE),"Matricule!")</f>
        <v>0</v>
      </c>
      <c r="Q690" s="62">
        <f>IFERROR(SUM(VLOOKUP(B690,Tableau3[#All],6,FALSE),VLOOKUP(B690,Tableau3[#All],8,FALSE)),"Matricule!")</f>
        <v>14</v>
      </c>
      <c r="R690" s="62">
        <f>IFERROR(VLOOKUP(B690,Tableau3[#All],7,FALSE),"Matricule!")</f>
        <v>6</v>
      </c>
      <c r="S690" s="62">
        <f>IFERROR(Tableau242[[#This Row],[Prod. days WK]]-Tableau242[[#This Row],[Prod PXX]],"Matricule")</f>
        <v>0</v>
      </c>
      <c r="T690" s="62">
        <f>IFERROR(Tableau242[[#This Row],[Non prod. days WK]]-Tableau242[[#This Row],[Improd PXX]],"Matricule")</f>
        <v>0</v>
      </c>
      <c r="U690" s="62">
        <f>IFERROR(Tableau242[[#This Row],[Paid leave days WK]]-Tableau242[[#This Row],[Congé PXX]],"Matricule")</f>
        <v>0</v>
      </c>
      <c r="V690" s="63">
        <f>IFERROR(VLOOKUP($B690,#REF!,4,FALSE),0)</f>
        <v>0</v>
      </c>
      <c r="W69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90" s="63">
        <f>IF(AND(Tableau242[[#This Row],[Paid leave days]]&gt;0,Tableau242[[#This Row],[Prod. days]]&lt;0),MIN(Tableau242[[#This Row],[Paid leave days]],-Tableau242[[#This Row],[Prod. days]]),0)</f>
        <v>0</v>
      </c>
      <c r="Z690" s="63">
        <f>IFERROR(_xlfn.XLOOKUP(Tableau242[[#This Row],[Consultant]],Tableau2[Collaborateur/Nom affiché],Tableau2[Montant imputé],0),0)</f>
        <v>0</v>
      </c>
      <c r="AA690" s="64">
        <f t="shared" si="11"/>
        <v>0</v>
      </c>
      <c r="AB690" s="78"/>
      <c r="AC690" s="67"/>
      <c r="AD690" s="67"/>
      <c r="AE690" s="106"/>
      <c r="AF690" s="90"/>
    </row>
    <row r="691" spans="1:32">
      <c r="A691" s="15">
        <f>Tableau242[[#This Row],[Company number]]+0</f>
        <v>20426</v>
      </c>
      <c r="B691" s="60" t="s">
        <v>1484</v>
      </c>
      <c r="C691" s="61" t="s">
        <v>1485</v>
      </c>
      <c r="D691" s="61" t="s">
        <v>26</v>
      </c>
      <c r="E691" s="62" t="str">
        <f>IFERROR(VLOOKUP(Tableau242[[#This Row],[Manager ou CDM concerné]],Parametres!B:C,2,FALSE),"")</f>
        <v>Squad D</v>
      </c>
      <c r="F691" s="62" t="str">
        <f>IF(Tableau242[[#This Row],[Consultant]]=Tableau242[[#This Row],[Manager ou CDM concerné]],"Non",IF(IFERROR(VLOOKUP(Tableau242[[#This Row],[Consultant]],Parametres!B:C,2,FALSE),0)=0,"Non","Oui"))</f>
        <v>Non</v>
      </c>
      <c r="G691" s="62">
        <f>IFERROR(VLOOKUP(B691,Tableau5[#All],4,FALSE),"Matricule!")</f>
        <v>20</v>
      </c>
      <c r="H691" s="62" t="str">
        <f>IFERROR(VLOOKUP(Tableau242[[#This Row],[Company number]],#REF!,6,FALSE),"")</f>
        <v/>
      </c>
      <c r="I691" s="62">
        <f>IFERROR(VLOOKUP(B691,Tableau5[#All],5,FALSE),"Matricule!")</f>
        <v>0</v>
      </c>
      <c r="J691" s="62">
        <f>IFERROR(VLOOKUP(B691,Tableau5[#All],6,FALSE),"Matricule!")</f>
        <v>0</v>
      </c>
      <c r="K691" s="62">
        <f>IFERROR(VLOOKUP(B691,Tableau5[#All],7,FALSE),"Matricule!")</f>
        <v>0</v>
      </c>
      <c r="L691" s="62" t="e">
        <f>VLOOKUP(Tableau242[[#This Row],[Company number]],#REF!,25,FALSE)</f>
        <v>#REF!</v>
      </c>
      <c r="M691" s="62" t="str">
        <f>IFERROR(VLOOKUP(Tableau242[[#This Row],[Company number]],#REF!,30,FALSE),"")</f>
        <v/>
      </c>
      <c r="N691" s="62" t="str">
        <f>IFERROR(VLOOKUP(Tableau242[[#This Row],[Company number]],#REF!,31,FALSE),"")</f>
        <v/>
      </c>
      <c r="O691" s="62" t="str">
        <f>IFERROR(VLOOKUP(Tableau242[[#This Row],[Company number]],#REF!,32,FALSE),"")</f>
        <v/>
      </c>
      <c r="P691" s="62">
        <f>IFERROR(VLOOKUP(B691,Tableau3[#All],5,FALSE),"Matricule!")</f>
        <v>20</v>
      </c>
      <c r="Q691" s="62">
        <f>IFERROR(SUM(VLOOKUP(B691,Tableau3[#All],6,FALSE),VLOOKUP(B691,Tableau3[#All],8,FALSE)),"Matricule!")</f>
        <v>0</v>
      </c>
      <c r="R691" s="62">
        <f>IFERROR(VLOOKUP(B691,Tableau3[#All],7,FALSE),"Matricule!")</f>
        <v>0</v>
      </c>
      <c r="S691" s="62">
        <f>IFERROR(Tableau242[[#This Row],[Prod. days WK]]-Tableau242[[#This Row],[Prod PXX]],"Matricule")</f>
        <v>0</v>
      </c>
      <c r="T691" s="62">
        <f>IFERROR(Tableau242[[#This Row],[Non prod. days WK]]-Tableau242[[#This Row],[Improd PXX]],"Matricule")</f>
        <v>0</v>
      </c>
      <c r="U691" s="62">
        <f>IFERROR(Tableau242[[#This Row],[Paid leave days WK]]-Tableau242[[#This Row],[Congé PXX]],"Matricule")</f>
        <v>0</v>
      </c>
      <c r="V691" s="63">
        <f>IFERROR(VLOOKUP($B691,#REF!,4,FALSE),0)</f>
        <v>0</v>
      </c>
      <c r="W69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91" s="63">
        <f>IF(AND(Tableau242[[#This Row],[Paid leave days]]&gt;0,Tableau242[[#This Row],[Prod. days]]&lt;0),MIN(Tableau242[[#This Row],[Paid leave days]],-Tableau242[[#This Row],[Prod. days]]),0)</f>
        <v>0</v>
      </c>
      <c r="Z691" s="63">
        <f>IFERROR(_xlfn.XLOOKUP(Tableau242[[#This Row],[Consultant]],Tableau2[Collaborateur/Nom affiché],Tableau2[Montant imputé],0),0)</f>
        <v>0</v>
      </c>
      <c r="AA691" s="64">
        <f t="shared" si="11"/>
        <v>0</v>
      </c>
      <c r="AB691" s="65"/>
      <c r="AC691" s="66"/>
      <c r="AD691" s="66"/>
      <c r="AE691" s="105"/>
      <c r="AF691" s="90"/>
    </row>
    <row r="692" spans="1:32">
      <c r="A692" s="15">
        <f>Tableau242[[#This Row],[Company number]]+0</f>
        <v>20485</v>
      </c>
      <c r="B692" s="60" t="s">
        <v>1486</v>
      </c>
      <c r="C692" s="61" t="s">
        <v>1487</v>
      </c>
      <c r="D692" s="61" t="s">
        <v>26</v>
      </c>
      <c r="E692" s="62" t="str">
        <f>IFERROR(VLOOKUP(Tableau242[[#This Row],[Manager ou CDM concerné]],Parametres!B:C,2,FALSE),"")</f>
        <v>Squad D</v>
      </c>
      <c r="F692" s="62" t="str">
        <f>IF(Tableau242[[#This Row],[Consultant]]=Tableau242[[#This Row],[Manager ou CDM concerné]],"Non",IF(IFERROR(VLOOKUP(Tableau242[[#This Row],[Consultant]],Parametres!B:C,2,FALSE),0)=0,"Non","Oui"))</f>
        <v>Non</v>
      </c>
      <c r="G692" s="62">
        <f>IFERROR(VLOOKUP(B692,Tableau5[#All],4,FALSE),"Matricule!")</f>
        <v>19</v>
      </c>
      <c r="H692" s="62" t="str">
        <f>IFERROR(VLOOKUP(Tableau242[[#This Row],[Company number]],#REF!,6,FALSE),"")</f>
        <v/>
      </c>
      <c r="I692" s="62">
        <f>IFERROR(VLOOKUP(B692,Tableau5[#All],5,FALSE),"Matricule!")</f>
        <v>0</v>
      </c>
      <c r="J692" s="62">
        <f>IFERROR(VLOOKUP(B692,Tableau5[#All],6,FALSE),"Matricule!")</f>
        <v>1</v>
      </c>
      <c r="K692" s="62">
        <f>IFERROR(VLOOKUP(B692,Tableau5[#All],7,FALSE),"Matricule!")</f>
        <v>0</v>
      </c>
      <c r="L692" s="62" t="e">
        <f>VLOOKUP(Tableau242[[#This Row],[Company number]],#REF!,25,FALSE)</f>
        <v>#REF!</v>
      </c>
      <c r="M692" s="62" t="str">
        <f>IFERROR(VLOOKUP(Tableau242[[#This Row],[Company number]],#REF!,30,FALSE),"")</f>
        <v/>
      </c>
      <c r="N692" s="62" t="str">
        <f>IFERROR(VLOOKUP(Tableau242[[#This Row],[Company number]],#REF!,31,FALSE),"")</f>
        <v/>
      </c>
      <c r="O692" s="62" t="str">
        <f>IFERROR(VLOOKUP(Tableau242[[#This Row],[Company number]],#REF!,32,FALSE),"")</f>
        <v/>
      </c>
      <c r="P692" s="62">
        <f>IFERROR(VLOOKUP(B692,Tableau3[#All],5,FALSE),"Matricule!")</f>
        <v>19</v>
      </c>
      <c r="Q692" s="62">
        <f>IFERROR(SUM(VLOOKUP(B692,Tableau3[#All],6,FALSE),VLOOKUP(B692,Tableau3[#All],8,FALSE)),"Matricule!")</f>
        <v>0</v>
      </c>
      <c r="R692" s="62">
        <f>IFERROR(VLOOKUP(B692,Tableau3[#All],7,FALSE),"Matricule!")</f>
        <v>1</v>
      </c>
      <c r="S692" s="62">
        <f>IFERROR(Tableau242[[#This Row],[Prod. days WK]]-Tableau242[[#This Row],[Prod PXX]],"Matricule")</f>
        <v>0</v>
      </c>
      <c r="T692" s="62">
        <f>IFERROR(Tableau242[[#This Row],[Non prod. days WK]]-Tableau242[[#This Row],[Improd PXX]],"Matricule")</f>
        <v>0</v>
      </c>
      <c r="U692" s="62">
        <f>IFERROR(Tableau242[[#This Row],[Paid leave days WK]]-Tableau242[[#This Row],[Congé PXX]],"Matricule")</f>
        <v>0</v>
      </c>
      <c r="V692" s="63">
        <f>IFERROR(VLOOKUP($B692,#REF!,4,FALSE),0)</f>
        <v>0</v>
      </c>
      <c r="W69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92" s="63">
        <f>IF(AND(Tableau242[[#This Row],[Paid leave days]]&gt;0,Tableau242[[#This Row],[Prod. days]]&lt;0),MIN(Tableau242[[#This Row],[Paid leave days]],-Tableau242[[#This Row],[Prod. days]]),0)</f>
        <v>0</v>
      </c>
      <c r="Z692" s="63">
        <f>IFERROR(_xlfn.XLOOKUP(Tableau242[[#This Row],[Consultant]],Tableau2[Collaborateur/Nom affiché],Tableau2[Montant imputé],0),0)</f>
        <v>0</v>
      </c>
      <c r="AA692" s="64">
        <f t="shared" si="11"/>
        <v>0</v>
      </c>
      <c r="AB692" s="65"/>
      <c r="AC692" s="66"/>
      <c r="AD692" s="66"/>
      <c r="AE692" s="105"/>
      <c r="AF692" s="90"/>
    </row>
    <row r="693" spans="1:32">
      <c r="A693" s="15">
        <f>Tableau242[[#This Row],[Company number]]+0</f>
        <v>21522</v>
      </c>
      <c r="B693" s="60" t="s">
        <v>1488</v>
      </c>
      <c r="C693" s="61" t="s">
        <v>1489</v>
      </c>
      <c r="D693" s="61" t="s">
        <v>26</v>
      </c>
      <c r="E693" s="62" t="str">
        <f>IFERROR(VLOOKUP(Tableau242[[#This Row],[Manager ou CDM concerné]],Parametres!B:C,2,FALSE),"")</f>
        <v>Squad D</v>
      </c>
      <c r="F693" s="62" t="str">
        <f>IF(Tableau242[[#This Row],[Consultant]]=Tableau242[[#This Row],[Manager ou CDM concerné]],"Non",IF(IFERROR(VLOOKUP(Tableau242[[#This Row],[Consultant]],Parametres!B:C,2,FALSE),0)=0,"Non","Oui"))</f>
        <v>Non</v>
      </c>
      <c r="G693" s="62">
        <f>IFERROR(VLOOKUP(B693,Tableau5[#All],4,FALSE),"Matricule!")</f>
        <v>20</v>
      </c>
      <c r="H693" s="62" t="str">
        <f>IFERROR(VLOOKUP(Tableau242[[#This Row],[Company number]],#REF!,6,FALSE),"")</f>
        <v/>
      </c>
      <c r="I693" s="62">
        <f>IFERROR(VLOOKUP(B693,Tableau5[#All],5,FALSE),"Matricule!")</f>
        <v>0</v>
      </c>
      <c r="J693" s="62">
        <f>IFERROR(VLOOKUP(B693,Tableau5[#All],6,FALSE),"Matricule!")</f>
        <v>0</v>
      </c>
      <c r="K693" s="62">
        <f>IFERROR(VLOOKUP(B693,Tableau5[#All],7,FALSE),"Matricule!")</f>
        <v>0</v>
      </c>
      <c r="L693" s="62" t="e">
        <f>VLOOKUP(Tableau242[[#This Row],[Company number]],#REF!,25,FALSE)</f>
        <v>#REF!</v>
      </c>
      <c r="M693" s="62" t="str">
        <f>IFERROR(VLOOKUP(Tableau242[[#This Row],[Company number]],#REF!,30,FALSE),"")</f>
        <v/>
      </c>
      <c r="N693" s="62" t="str">
        <f>IFERROR(VLOOKUP(Tableau242[[#This Row],[Company number]],#REF!,31,FALSE),"")</f>
        <v/>
      </c>
      <c r="O693" s="62" t="str">
        <f>IFERROR(VLOOKUP(Tableau242[[#This Row],[Company number]],#REF!,32,FALSE),"")</f>
        <v/>
      </c>
      <c r="P693" s="62">
        <f>IFERROR(VLOOKUP(B693,Tableau3[#All],5,FALSE),"Matricule!")</f>
        <v>20</v>
      </c>
      <c r="Q693" s="62">
        <f>IFERROR(SUM(VLOOKUP(B693,Tableau3[#All],6,FALSE),VLOOKUP(B693,Tableau3[#All],8,FALSE)),"Matricule!")</f>
        <v>0</v>
      </c>
      <c r="R693" s="62">
        <f>IFERROR(VLOOKUP(B693,Tableau3[#All],7,FALSE),"Matricule!")</f>
        <v>0</v>
      </c>
      <c r="S693" s="62">
        <f>IFERROR(Tableau242[[#This Row],[Prod. days WK]]-Tableau242[[#This Row],[Prod PXX]],"Matricule")</f>
        <v>0</v>
      </c>
      <c r="T693" s="62">
        <f>IFERROR(Tableau242[[#This Row],[Non prod. days WK]]-Tableau242[[#This Row],[Improd PXX]],"Matricule")</f>
        <v>0</v>
      </c>
      <c r="U693" s="62">
        <f>IFERROR(Tableau242[[#This Row],[Paid leave days WK]]-Tableau242[[#This Row],[Congé PXX]],"Matricule")</f>
        <v>0</v>
      </c>
      <c r="V693" s="63">
        <f>IFERROR(VLOOKUP($B693,#REF!,4,FALSE),0)</f>
        <v>0</v>
      </c>
      <c r="W69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693" s="63">
        <f>IF(AND(Tableau242[[#This Row],[Paid leave days]]&gt;0,Tableau242[[#This Row],[Prod. days]]&lt;0),MIN(Tableau242[[#This Row],[Paid leave days]],-Tableau242[[#This Row],[Prod. days]]),0)</f>
        <v>0</v>
      </c>
      <c r="Z693" s="63">
        <f>IFERROR(_xlfn.XLOOKUP(Tableau242[[#This Row],[Consultant]],Tableau2[Collaborateur/Nom affiché],Tableau2[Montant imputé],0),0)</f>
        <v>0</v>
      </c>
      <c r="AA693" s="64">
        <f t="shared" si="11"/>
        <v>0</v>
      </c>
      <c r="AB693" s="65"/>
      <c r="AC693" s="66"/>
      <c r="AD693" s="66"/>
      <c r="AE693" s="105"/>
      <c r="AF693" s="90"/>
    </row>
    <row r="694" spans="1:32">
      <c r="A694" s="15">
        <f>Tableau242[[#This Row],[Company number]]+0</f>
        <v>17918</v>
      </c>
      <c r="B694" s="60" t="s">
        <v>1490</v>
      </c>
      <c r="C694" s="61" t="s">
        <v>1491</v>
      </c>
      <c r="D694" s="61" t="s">
        <v>26</v>
      </c>
      <c r="E694" s="62" t="str">
        <f>IFERROR(VLOOKUP(Tableau242[[#This Row],[Manager ou CDM concerné]],Parametres!B:C,2,FALSE),"")</f>
        <v>Squad D</v>
      </c>
      <c r="F694" s="62" t="str">
        <f>IF(Tableau242[[#This Row],[Consultant]]=Tableau242[[#This Row],[Manager ou CDM concerné]],"Non",IF(IFERROR(VLOOKUP(Tableau242[[#This Row],[Consultant]],Parametres!B:C,2,FALSE),0)=0,"Non","Oui"))</f>
        <v>Non</v>
      </c>
      <c r="G694" s="62">
        <f>IFERROR(VLOOKUP(B694,Tableau5[#All],4,FALSE),"Matricule!")</f>
        <v>0</v>
      </c>
      <c r="H694" s="62" t="str">
        <f>IFERROR(VLOOKUP(Tableau242[[#This Row],[Company number]],#REF!,6,FALSE),"")</f>
        <v/>
      </c>
      <c r="I694" s="62">
        <f>IFERROR(VLOOKUP(B694,Tableau5[#All],5,FALSE),"Matricule!")</f>
        <v>13</v>
      </c>
      <c r="J694" s="62">
        <f>IFERROR(VLOOKUP(B694,Tableau5[#All],6,FALSE),"Matricule!")</f>
        <v>7</v>
      </c>
      <c r="K694" s="62">
        <f>IFERROR(VLOOKUP(B694,Tableau5[#All],7,FALSE),"Matricule!")</f>
        <v>0</v>
      </c>
      <c r="L694" s="62" t="e">
        <f>VLOOKUP(Tableau242[[#This Row],[Company number]],#REF!,25,FALSE)</f>
        <v>#REF!</v>
      </c>
      <c r="M694" s="62" t="str">
        <f>IFERROR(VLOOKUP(Tableau242[[#This Row],[Company number]],#REF!,30,FALSE),"")</f>
        <v/>
      </c>
      <c r="N694" s="62" t="str">
        <f>IFERROR(VLOOKUP(Tableau242[[#This Row],[Company number]],#REF!,31,FALSE),"")</f>
        <v/>
      </c>
      <c r="O694" s="62" t="str">
        <f>IFERROR(VLOOKUP(Tableau242[[#This Row],[Company number]],#REF!,32,FALSE),"")</f>
        <v/>
      </c>
      <c r="P694" s="62">
        <f>IFERROR(VLOOKUP(B694,Tableau3[#All],5,FALSE),"Matricule!")</f>
        <v>13</v>
      </c>
      <c r="Q694" s="62">
        <f>IFERROR(SUM(VLOOKUP(B694,Tableau3[#All],6,FALSE),VLOOKUP(B694,Tableau3[#All],8,FALSE)),"Matricule!")</f>
        <v>0</v>
      </c>
      <c r="R694" s="62">
        <f>IFERROR(VLOOKUP(B694,Tableau3[#All],7,FALSE),"Matricule!")</f>
        <v>7</v>
      </c>
      <c r="S694" s="62">
        <f>IFERROR(Tableau242[[#This Row],[Prod. days WK]]-Tableau242[[#This Row],[Prod PXX]],"Matricule")</f>
        <v>-13</v>
      </c>
      <c r="T694" s="62">
        <f>IFERROR(Tableau242[[#This Row],[Non prod. days WK]]-Tableau242[[#This Row],[Improd PXX]],"Matricule")</f>
        <v>13</v>
      </c>
      <c r="U694" s="62">
        <f>IFERROR(Tableau242[[#This Row],[Paid leave days WK]]-Tableau242[[#This Row],[Congé PXX]],"Matricule")</f>
        <v>0</v>
      </c>
      <c r="V694" s="63">
        <f>IFERROR(VLOOKUP($B694,#REF!,4,FALSE),0)</f>
        <v>0</v>
      </c>
      <c r="W69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694" s="63">
        <f>IF(AND(Tableau242[[#This Row],[Paid leave days]]&gt;0,Tableau242[[#This Row],[Prod. days]]&lt;0),MIN(Tableau242[[#This Row],[Paid leave days]],-Tableau242[[#This Row],[Prod. days]]),0)</f>
        <v>0</v>
      </c>
      <c r="Z694" s="63">
        <f>IFERROR(_xlfn.XLOOKUP(Tableau242[[#This Row],[Consultant]],Tableau2[Collaborateur/Nom affiché],Tableau2[Montant imputé],0),0)</f>
        <v>13</v>
      </c>
      <c r="AA694" s="64">
        <f t="shared" si="11"/>
        <v>0</v>
      </c>
      <c r="AB694" s="78"/>
      <c r="AC694" s="67"/>
      <c r="AD694" s="67"/>
      <c r="AE694" s="106"/>
      <c r="AF694" s="92"/>
    </row>
    <row r="695" spans="1:32" ht="29.1" customHeight="1">
      <c r="A695" s="15">
        <f>Tableau242[[#This Row],[Company number]]+0</f>
        <v>17965</v>
      </c>
      <c r="B695" s="60" t="s">
        <v>1492</v>
      </c>
      <c r="C695" s="61" t="s">
        <v>1493</v>
      </c>
      <c r="D695" s="61" t="s">
        <v>26</v>
      </c>
      <c r="E695" s="62" t="str">
        <f>IFERROR(VLOOKUP(Tableau242[[#This Row],[Manager ou CDM concerné]],Parametres!B:C,2,FALSE),"")</f>
        <v>Squad D</v>
      </c>
      <c r="F695" s="62" t="str">
        <f>IF(Tableau242[[#This Row],[Consultant]]=Tableau242[[#This Row],[Manager ou CDM concerné]],"Non",IF(IFERROR(VLOOKUP(Tableau242[[#This Row],[Consultant]],Parametres!B:C,2,FALSE),0)=0,"Non","Oui"))</f>
        <v>Non</v>
      </c>
      <c r="G695" s="62">
        <f>IFERROR(VLOOKUP(B695,Tableau5[#All],4,FALSE),"Matricule!")</f>
        <v>0</v>
      </c>
      <c r="H695" s="62" t="str">
        <f>IFERROR(VLOOKUP(Tableau242[[#This Row],[Company number]],#REF!,6,FALSE),"")</f>
        <v/>
      </c>
      <c r="I695" s="62">
        <f>IFERROR(VLOOKUP(B695,Tableau5[#All],5,FALSE),"Matricule!")</f>
        <v>20</v>
      </c>
      <c r="J695" s="62">
        <f>IFERROR(VLOOKUP(B695,Tableau5[#All],6,FALSE),"Matricule!")</f>
        <v>0</v>
      </c>
      <c r="K695" s="62">
        <f>IFERROR(VLOOKUP(B695,Tableau5[#All],7,FALSE),"Matricule!")</f>
        <v>0</v>
      </c>
      <c r="L695" s="62" t="e">
        <f>VLOOKUP(Tableau242[[#This Row],[Company number]],#REF!,25,FALSE)</f>
        <v>#REF!</v>
      </c>
      <c r="M695" s="62" t="str">
        <f>IFERROR(VLOOKUP(Tableau242[[#This Row],[Company number]],#REF!,30,FALSE),"")</f>
        <v/>
      </c>
      <c r="N695" s="62" t="str">
        <f>IFERROR(VLOOKUP(Tableau242[[#This Row],[Company number]],#REF!,31,FALSE),"")</f>
        <v/>
      </c>
      <c r="O695" s="62" t="str">
        <f>IFERROR(VLOOKUP(Tableau242[[#This Row],[Company number]],#REF!,32,FALSE),"")</f>
        <v/>
      </c>
      <c r="P695" s="62">
        <f>IFERROR(VLOOKUP(B695,Tableau3[#All],5,FALSE),"Matricule!")</f>
        <v>0</v>
      </c>
      <c r="Q695" s="62">
        <f>IFERROR(SUM(VLOOKUP(B695,Tableau3[#All],6,FALSE),VLOOKUP(B695,Tableau3[#All],8,FALSE)),"Matricule!")</f>
        <v>20</v>
      </c>
      <c r="R695" s="62">
        <f>IFERROR(VLOOKUP(B695,Tableau3[#All],7,FALSE),"Matricule!")</f>
        <v>0</v>
      </c>
      <c r="S695" s="62">
        <f>IFERROR(Tableau242[[#This Row],[Prod. days WK]]-Tableau242[[#This Row],[Prod PXX]],"Matricule")</f>
        <v>0</v>
      </c>
      <c r="T695" s="62">
        <f>IFERROR(Tableau242[[#This Row],[Non prod. days WK]]-Tableau242[[#This Row],[Improd PXX]],"Matricule")</f>
        <v>0</v>
      </c>
      <c r="U695" s="62">
        <f>IFERROR(Tableau242[[#This Row],[Paid leave days WK]]-Tableau242[[#This Row],[Congé PXX]],"Matricule")</f>
        <v>0</v>
      </c>
      <c r="V695" s="63">
        <f>IFERROR(VLOOKUP($B695,#REF!,4,FALSE),0)</f>
        <v>0</v>
      </c>
      <c r="W69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95" s="63">
        <f>IF(AND(Tableau242[[#This Row],[Paid leave days]]&gt;0,Tableau242[[#This Row],[Prod. days]]&lt;0),MIN(Tableau242[[#This Row],[Paid leave days]],-Tableau242[[#This Row],[Prod. days]]),0)</f>
        <v>0</v>
      </c>
      <c r="Z695" s="63">
        <f>IFERROR(_xlfn.XLOOKUP(Tableau242[[#This Row],[Consultant]],Tableau2[Collaborateur/Nom affiché],Tableau2[Montant imputé],0),0)</f>
        <v>0</v>
      </c>
      <c r="AA695" s="64">
        <f t="shared" si="11"/>
        <v>0</v>
      </c>
      <c r="AB695" s="65"/>
      <c r="AC695" s="66"/>
      <c r="AD695" s="66"/>
      <c r="AE695" s="105"/>
      <c r="AF695" s="90"/>
    </row>
    <row r="696" spans="1:32" ht="29.1" customHeight="1">
      <c r="A696" s="15">
        <f>Tableau242[[#This Row],[Company number]]+0</f>
        <v>2633</v>
      </c>
      <c r="B696" s="60" t="s">
        <v>1494</v>
      </c>
      <c r="C696" s="61" t="s">
        <v>1495</v>
      </c>
      <c r="D696" s="61" t="s">
        <v>46</v>
      </c>
      <c r="E696" s="62" t="str">
        <f>IFERROR(VLOOKUP(Tableau242[[#This Row],[Manager ou CDM concerné]],Parametres!B:C,2,FALSE),"")</f>
        <v>Squad C</v>
      </c>
      <c r="F696" s="62" t="str">
        <f>IF(Tableau242[[#This Row],[Consultant]]=Tableau242[[#This Row],[Manager ou CDM concerné]],"Non",IF(IFERROR(VLOOKUP(Tableau242[[#This Row],[Consultant]],Parametres!B:C,2,FALSE),0)=0,"Non","Oui"))</f>
        <v>Non</v>
      </c>
      <c r="G696" s="62">
        <f>IFERROR(VLOOKUP(B696,Tableau5[#All],4,FALSE),"Matricule!")</f>
        <v>18</v>
      </c>
      <c r="H696" s="62" t="str">
        <f>IFERROR(VLOOKUP(Tableau242[[#This Row],[Company number]],#REF!,6,FALSE),"")</f>
        <v/>
      </c>
      <c r="I696" s="62">
        <f>IFERROR(VLOOKUP(B696,Tableau5[#All],5,FALSE),"Matricule!")</f>
        <v>2</v>
      </c>
      <c r="J696" s="62"/>
      <c r="K696" s="62">
        <f>IFERROR(VLOOKUP(B696,Tableau5[#All],7,FALSE),"Matricule!")</f>
        <v>0</v>
      </c>
      <c r="L696" s="62" t="e">
        <f>VLOOKUP(Tableau242[[#This Row],[Company number]],#REF!,25,FALSE)</f>
        <v>#REF!</v>
      </c>
      <c r="M696" s="62" t="str">
        <f>IFERROR(VLOOKUP(Tableau242[[#This Row],[Company number]],#REF!,30,FALSE),"")</f>
        <v/>
      </c>
      <c r="N696" s="62" t="str">
        <f>IFERROR(VLOOKUP(Tableau242[[#This Row],[Company number]],#REF!,31,FALSE),"")</f>
        <v/>
      </c>
      <c r="O696" s="62" t="str">
        <f>IFERROR(VLOOKUP(Tableau242[[#This Row],[Company number]],#REF!,32,FALSE),"")</f>
        <v/>
      </c>
      <c r="P696" s="62">
        <f>IFERROR(VLOOKUP(B696,Tableau3[#All],5,FALSE),"Matricule!")</f>
        <v>17</v>
      </c>
      <c r="Q696" s="62">
        <f>IFERROR(SUM(VLOOKUP(B696,Tableau3[#All],6,FALSE),VLOOKUP(B696,Tableau3[#All],8,FALSE)),"Matricule!")</f>
        <v>2</v>
      </c>
      <c r="R696" s="62">
        <f>IFERROR(VLOOKUP(B696,Tableau3[#All],7,FALSE),"Matricule!")</f>
        <v>1</v>
      </c>
      <c r="S696" s="62">
        <f>IFERROR(Tableau242[[#This Row],[Prod. days WK]]-Tableau242[[#This Row],[Prod PXX]],"Matricule")</f>
        <v>1</v>
      </c>
      <c r="T696" s="62">
        <f>IFERROR(Tableau242[[#This Row],[Non prod. days WK]]-Tableau242[[#This Row],[Improd PXX]],"Matricule")</f>
        <v>0</v>
      </c>
      <c r="U696" s="62">
        <f>IFERROR(Tableau242[[#This Row],[Paid leave days WK]]-Tableau242[[#This Row],[Congé PXX]],"Matricule")</f>
        <v>-1</v>
      </c>
      <c r="V696" s="63">
        <f>IFERROR(VLOOKUP($B696,#REF!,4,FALSE),0)</f>
        <v>0</v>
      </c>
      <c r="W69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96" s="63">
        <f>IF(AND(Tableau242[[#This Row],[Paid leave days]]&gt;0,Tableau242[[#This Row],[Prod. days]]&lt;0),MIN(Tableau242[[#This Row],[Paid leave days]],-Tableau242[[#This Row],[Prod. days]]),0)</f>
        <v>0</v>
      </c>
      <c r="Z696" s="63">
        <f>IFERROR(_xlfn.XLOOKUP(Tableau242[[#This Row],[Consultant]],Tableau2[Collaborateur/Nom affiché],Tableau2[Montant imputé],0),0)</f>
        <v>0</v>
      </c>
      <c r="AA696" s="64">
        <f t="shared" si="11"/>
        <v>1</v>
      </c>
      <c r="AB696" s="65"/>
      <c r="AC696" s="66"/>
      <c r="AD696" s="66"/>
      <c r="AE696" s="105"/>
      <c r="AF696" s="90"/>
    </row>
    <row r="697" spans="1:32" ht="14.45" customHeight="1">
      <c r="A697" s="15">
        <f>Tableau242[[#This Row],[Company number]]+0</f>
        <v>12088</v>
      </c>
      <c r="B697" s="60" t="s">
        <v>1496</v>
      </c>
      <c r="C697" s="61" t="s">
        <v>11</v>
      </c>
      <c r="D697" s="61" t="s">
        <v>48</v>
      </c>
      <c r="E697" s="62" t="str">
        <f>IFERROR(VLOOKUP(Tableau242[[#This Row],[Manager ou CDM concerné]],Parametres!B:C,2,FALSE),"")</f>
        <v>Squad A</v>
      </c>
      <c r="F697" s="62" t="str">
        <f>IF(Tableau242[[#This Row],[Consultant]]=Tableau242[[#This Row],[Manager ou CDM concerné]],"Non",IF(IFERROR(VLOOKUP(Tableau242[[#This Row],[Consultant]],Parametres!B:C,2,FALSE),0)=0,"Non","Oui"))</f>
        <v>Oui</v>
      </c>
      <c r="G697" s="62">
        <f>IFERROR(VLOOKUP(B697,Tableau5[#All],4,FALSE),"Matricule!")</f>
        <v>8.5</v>
      </c>
      <c r="H697" s="62" t="str">
        <f>IFERROR(VLOOKUP(Tableau242[[#This Row],[Company number]],#REF!,6,FALSE),"")</f>
        <v/>
      </c>
      <c r="I697" s="62">
        <f>IFERROR(VLOOKUP(B697,Tableau5[#All],5,FALSE),"Matricule!")</f>
        <v>10</v>
      </c>
      <c r="J697" s="62">
        <f>IFERROR(VLOOKUP(B697,Tableau5[#All],6,FALSE),"Matricule!")</f>
        <v>1.5</v>
      </c>
      <c r="K697" s="62">
        <f>IFERROR(VLOOKUP(B697,Tableau5[#All],7,FALSE),"Matricule!")</f>
        <v>0</v>
      </c>
      <c r="L697" s="62" t="e">
        <f>VLOOKUP(Tableau242[[#This Row],[Company number]],#REF!,25,FALSE)</f>
        <v>#REF!</v>
      </c>
      <c r="M697" s="62" t="str">
        <f>IFERROR(VLOOKUP(Tableau242[[#This Row],[Company number]],#REF!,30,FALSE),"")</f>
        <v/>
      </c>
      <c r="N697" s="62" t="str">
        <f>IFERROR(VLOOKUP(Tableau242[[#This Row],[Company number]],#REF!,31,FALSE),"")</f>
        <v/>
      </c>
      <c r="O697" s="62" t="str">
        <f>IFERROR(VLOOKUP(Tableau242[[#This Row],[Company number]],#REF!,32,FALSE),"")</f>
        <v/>
      </c>
      <c r="P697" s="62">
        <f>IFERROR(VLOOKUP(B697,Tableau3[#All],5,FALSE),"Matricule!")</f>
        <v>7.5</v>
      </c>
      <c r="Q697" s="62">
        <f>IFERROR(SUM(VLOOKUP(B697,Tableau3[#All],6,FALSE),VLOOKUP(B697,Tableau3[#All],8,FALSE)),"Matricule!")</f>
        <v>11.5</v>
      </c>
      <c r="R697" s="62">
        <f>IFERROR(VLOOKUP(B697,Tableau3[#All],7,FALSE),"Matricule!")</f>
        <v>1</v>
      </c>
      <c r="S697" s="62">
        <f>IFERROR(Tableau242[[#This Row],[Prod. days WK]]-Tableau242[[#This Row],[Prod PXX]],"Matricule")</f>
        <v>1</v>
      </c>
      <c r="T697" s="62">
        <f>IFERROR(Tableau242[[#This Row],[Non prod. days WK]]-Tableau242[[#This Row],[Improd PXX]],"Matricule")</f>
        <v>-1.5</v>
      </c>
      <c r="U697" s="62">
        <f>IFERROR(Tableau242[[#This Row],[Paid leave days WK]]-Tableau242[[#This Row],[Congé PXX]],"Matricule")</f>
        <v>0.5</v>
      </c>
      <c r="V697" s="63">
        <f>IFERROR(VLOOKUP($B697,#REF!,4,FALSE),0)</f>
        <v>0</v>
      </c>
      <c r="W69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697" s="63">
        <f>IF(AND(Tableau242[[#This Row],[Paid leave days]]&gt;0,Tableau242[[#This Row],[Prod. days]]&lt;0),MIN(Tableau242[[#This Row],[Paid leave days]],-Tableau242[[#This Row],[Prod. days]]),0)</f>
        <v>0</v>
      </c>
      <c r="Z697" s="63">
        <f>IFERROR(_xlfn.XLOOKUP(Tableau242[[#This Row],[Consultant]],Tableau2[Collaborateur/Nom affiché],Tableau2[Montant imputé],0),0)</f>
        <v>0</v>
      </c>
      <c r="AA697" s="64">
        <f t="shared" si="11"/>
        <v>1</v>
      </c>
      <c r="AB697" s="65"/>
      <c r="AC697" s="66"/>
      <c r="AD697" s="66"/>
      <c r="AE697" s="114"/>
      <c r="AF697" s="90"/>
    </row>
    <row r="698" spans="1:32" ht="14.45" customHeight="1">
      <c r="A698" s="15">
        <f>Tableau242[[#This Row],[Company number]]+0</f>
        <v>16749</v>
      </c>
      <c r="B698" s="60" t="s">
        <v>1497</v>
      </c>
      <c r="C698" s="61" t="s">
        <v>1498</v>
      </c>
      <c r="D698" s="61" t="s">
        <v>13</v>
      </c>
      <c r="E698" s="62" t="str">
        <f>IFERROR(VLOOKUP(Tableau242[[#This Row],[Manager ou CDM concerné]],Parametres!B:C,2,FALSE),"")</f>
        <v>Squad F</v>
      </c>
      <c r="F698" s="62" t="str">
        <f>IF(Tableau242[[#This Row],[Consultant]]=Tableau242[[#This Row],[Manager ou CDM concerné]],"Non",IF(IFERROR(VLOOKUP(Tableau242[[#This Row],[Consultant]],Parametres!B:C,2,FALSE),0)=0,"Non","Oui"))</f>
        <v>Non</v>
      </c>
      <c r="G698" s="62">
        <f>IFERROR(VLOOKUP(B698,Tableau5[#All],4,FALSE),"Matricule!")</f>
        <v>17</v>
      </c>
      <c r="H698" s="62" t="str">
        <f>IFERROR(VLOOKUP(Tableau242[[#This Row],[Company number]],#REF!,6,FALSE),"")</f>
        <v/>
      </c>
      <c r="I698" s="62">
        <f>IFERROR(VLOOKUP(B698,Tableau5[#All],5,FALSE),"Matricule!")</f>
        <v>3</v>
      </c>
      <c r="J698" s="62">
        <f>IFERROR(VLOOKUP(B698,Tableau5[#All],6,FALSE),"Matricule!")</f>
        <v>0</v>
      </c>
      <c r="K698" s="62">
        <f>IFERROR(VLOOKUP(B698,Tableau5[#All],7,FALSE),"Matricule!")</f>
        <v>0</v>
      </c>
      <c r="L698" s="62" t="e">
        <f>VLOOKUP(Tableau242[[#This Row],[Company number]],#REF!,25,FALSE)</f>
        <v>#REF!</v>
      </c>
      <c r="M698" s="62" t="str">
        <f>IFERROR(VLOOKUP(Tableau242[[#This Row],[Company number]],#REF!,30,FALSE),"")</f>
        <v/>
      </c>
      <c r="N698" s="62" t="str">
        <f>IFERROR(VLOOKUP(Tableau242[[#This Row],[Company number]],#REF!,31,FALSE),"")</f>
        <v/>
      </c>
      <c r="O698" s="62" t="str">
        <f>IFERROR(VLOOKUP(Tableau242[[#This Row],[Company number]],#REF!,32,FALSE),"")</f>
        <v/>
      </c>
      <c r="P698" s="62">
        <f>IFERROR(VLOOKUP(B698,Tableau3[#All],5,FALSE),"Matricule!")</f>
        <v>15</v>
      </c>
      <c r="Q698" s="62">
        <f>IFERROR(SUM(VLOOKUP(B698,Tableau3[#All],6,FALSE),VLOOKUP(B698,Tableau3[#All],8,FALSE)),"Matricule!")</f>
        <v>5</v>
      </c>
      <c r="R698" s="62">
        <f>IFERROR(VLOOKUP(B698,Tableau3[#All],7,FALSE),"Matricule!")</f>
        <v>0</v>
      </c>
      <c r="S698" s="62">
        <f>IFERROR(Tableau242[[#This Row],[Prod. days WK]]-Tableau242[[#This Row],[Prod PXX]],"Matricule")</f>
        <v>2</v>
      </c>
      <c r="T698" s="62">
        <f>IFERROR(Tableau242[[#This Row],[Non prod. days WK]]-Tableau242[[#This Row],[Improd PXX]],"Matricule")</f>
        <v>-2</v>
      </c>
      <c r="U698" s="62">
        <f>IFERROR(Tableau242[[#This Row],[Paid leave days WK]]-Tableau242[[#This Row],[Congé PXX]],"Matricule")</f>
        <v>0</v>
      </c>
      <c r="V698" s="63">
        <f>IFERROR(VLOOKUP($B698,#REF!,4,FALSE),0)</f>
        <v>0</v>
      </c>
      <c r="W69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698" s="63">
        <f>IF(AND(Tableau242[[#This Row],[Paid leave days]]&gt;0,Tableau242[[#This Row],[Prod. days]]&lt;0),MIN(Tableau242[[#This Row],[Paid leave days]],-Tableau242[[#This Row],[Prod. days]]),0)</f>
        <v>0</v>
      </c>
      <c r="Z698" s="63">
        <f>IFERROR(_xlfn.XLOOKUP(Tableau242[[#This Row],[Consultant]],Tableau2[Collaborateur/Nom affiché],Tableau2[Montant imputé],0),0)</f>
        <v>0</v>
      </c>
      <c r="AA698" s="64">
        <f t="shared" si="11"/>
        <v>2</v>
      </c>
      <c r="AB698" s="65"/>
      <c r="AC698" s="74"/>
      <c r="AD698" s="66"/>
      <c r="AE698" s="105"/>
      <c r="AF698" s="90"/>
    </row>
    <row r="699" spans="1:32" ht="14.45" customHeight="1">
      <c r="A699" s="15">
        <f>Tableau242[[#This Row],[Company number]]+0</f>
        <v>11987</v>
      </c>
      <c r="B699" s="60" t="s">
        <v>1499</v>
      </c>
      <c r="C699" s="61" t="s">
        <v>1500</v>
      </c>
      <c r="D699" s="61" t="s">
        <v>13</v>
      </c>
      <c r="E699" s="62" t="str">
        <f>IFERROR(VLOOKUP(Tableau242[[#This Row],[Manager ou CDM concerné]],Parametres!B:C,2,FALSE),"")</f>
        <v>Squad F</v>
      </c>
      <c r="F699" s="62" t="s">
        <v>1501</v>
      </c>
      <c r="G699" s="62">
        <f>IFERROR(VLOOKUP(B699,Tableau5[#All],4,FALSE),"Matricule!")</f>
        <v>10</v>
      </c>
      <c r="H699" s="62" t="str">
        <f>IFERROR(VLOOKUP(Tableau242[[#This Row],[Company number]],#REF!,6,FALSE),"")</f>
        <v/>
      </c>
      <c r="I699" s="62">
        <f>IFERROR(VLOOKUP(B699,Tableau5[#All],5,FALSE),"Matricule!")</f>
        <v>0</v>
      </c>
      <c r="J699" s="62">
        <f>IFERROR(VLOOKUP(B699,Tableau5[#All],6,FALSE),"Matricule!")</f>
        <v>10</v>
      </c>
      <c r="K699" s="62">
        <f>IFERROR(VLOOKUP(B699,Tableau5[#All],7,FALSE),"Matricule!")</f>
        <v>0</v>
      </c>
      <c r="L699" s="62" t="e">
        <f>VLOOKUP(Tableau242[[#This Row],[Company number]],#REF!,25,FALSE)</f>
        <v>#REF!</v>
      </c>
      <c r="M699" s="62" t="str">
        <f>IFERROR(VLOOKUP(Tableau242[[#This Row],[Company number]],#REF!,30,FALSE),"")</f>
        <v/>
      </c>
      <c r="N699" s="62" t="str">
        <f>IFERROR(VLOOKUP(Tableau242[[#This Row],[Company number]],#REF!,31,FALSE),"")</f>
        <v/>
      </c>
      <c r="O699" s="62" t="str">
        <f>IFERROR(VLOOKUP(Tableau242[[#This Row],[Company number]],#REF!,32,FALSE),"")</f>
        <v/>
      </c>
      <c r="P699" s="62">
        <f>IFERROR(VLOOKUP(B699,Tableau3[#All],5,FALSE),"Matricule!")</f>
        <v>7.5</v>
      </c>
      <c r="Q699" s="62">
        <f>IFERROR(SUM(VLOOKUP(B699,Tableau3[#All],6,FALSE),VLOOKUP(B699,Tableau3[#All],8,FALSE)),"Matricule!")</f>
        <v>2.5</v>
      </c>
      <c r="R699" s="62">
        <f>IFERROR(VLOOKUP(B699,Tableau3[#All],7,FALSE),"Matricule!")</f>
        <v>10</v>
      </c>
      <c r="S699" s="62">
        <f>IFERROR(Tableau242[[#This Row],[Prod. days WK]]-Tableau242[[#This Row],[Prod PXX]],"Matricule")</f>
        <v>2.5</v>
      </c>
      <c r="T699" s="62">
        <f>IFERROR(Tableau242[[#This Row],[Non prod. days WK]]-Tableau242[[#This Row],[Improd PXX]],"Matricule")</f>
        <v>-2.5</v>
      </c>
      <c r="U699" s="62">
        <f>IFERROR(Tableau242[[#This Row],[Paid leave days WK]]-Tableau242[[#This Row],[Congé PXX]],"Matricule")</f>
        <v>0</v>
      </c>
      <c r="V699" s="63">
        <f>IFERROR(VLOOKUP($B699,#REF!,4,FALSE),0)</f>
        <v>0</v>
      </c>
      <c r="W69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699" s="63" t="s">
        <v>235</v>
      </c>
      <c r="Y699" s="63">
        <f>IF(AND(Tableau242[[#This Row],[Paid leave days]]&gt;0,Tableau242[[#This Row],[Prod. days]]&lt;0),MIN(Tableau242[[#This Row],[Paid leave days]],-Tableau242[[#This Row],[Prod. days]]),0)</f>
        <v>0</v>
      </c>
      <c r="Z699" s="63">
        <f>IFERROR(_xlfn.XLOOKUP(Tableau242[[#This Row],[Consultant]],Tableau2[Collaborateur/Nom affiché],Tableau2[Montant imputé],0),0)</f>
        <v>0</v>
      </c>
      <c r="AA699" s="64">
        <f t="shared" si="11"/>
        <v>2.5</v>
      </c>
      <c r="AB699" s="65"/>
      <c r="AC699" s="67"/>
      <c r="AD699" s="67"/>
      <c r="AE699" s="106"/>
      <c r="AF699" s="92"/>
    </row>
    <row r="700" spans="1:32" ht="14.45" customHeight="1">
      <c r="A700" s="15">
        <f>Tableau242[[#This Row],[Company number]]+0</f>
        <v>9171</v>
      </c>
      <c r="B700" s="60" t="s">
        <v>1502</v>
      </c>
      <c r="C700" s="61" t="s">
        <v>7</v>
      </c>
      <c r="D700" s="61" t="s">
        <v>54</v>
      </c>
      <c r="E700" s="62" t="str">
        <f>IFERROR(VLOOKUP(Tableau242[[#This Row],[Manager ou CDM concerné]],Parametres!B:C,2,FALSE),"")</f>
        <v>Squad F</v>
      </c>
      <c r="F700" s="62" t="str">
        <f>IF(Tableau242[[#This Row],[Consultant]]=Tableau242[[#This Row],[Manager ou CDM concerné]],"Non",IF(IFERROR(VLOOKUP(Tableau242[[#This Row],[Consultant]],Parametres!B:C,2,FALSE),0)=0,"Non","Oui"))</f>
        <v>Oui</v>
      </c>
      <c r="G700" s="62">
        <f>IFERROR(VLOOKUP(B700,Tableau5[#All],4,FALSE),"Matricule!")</f>
        <v>19.5</v>
      </c>
      <c r="H700" s="62" t="str">
        <f>IFERROR(VLOOKUP(Tableau242[[#This Row],[Company number]],#REF!,6,FALSE),"")</f>
        <v/>
      </c>
      <c r="I700" s="62">
        <f>IFERROR(VLOOKUP(B700,Tableau5[#All],5,FALSE),"Matricule!")</f>
        <v>0.5</v>
      </c>
      <c r="J700" s="62">
        <f>IFERROR(VLOOKUP(B700,Tableau5[#All],6,FALSE),"Matricule!")</f>
        <v>0</v>
      </c>
      <c r="K700" s="62">
        <f>IFERROR(VLOOKUP(B700,Tableau5[#All],7,FALSE),"Matricule!")</f>
        <v>0</v>
      </c>
      <c r="L700" s="62" t="e">
        <f>VLOOKUP(Tableau242[[#This Row],[Company number]],#REF!,25,FALSE)</f>
        <v>#REF!</v>
      </c>
      <c r="M700" s="62" t="str">
        <f>IFERROR(VLOOKUP(Tableau242[[#This Row],[Company number]],#REF!,30,FALSE),"")</f>
        <v/>
      </c>
      <c r="N700" s="62" t="str">
        <f>IFERROR(VLOOKUP(Tableau242[[#This Row],[Company number]],#REF!,31,FALSE),"")</f>
        <v/>
      </c>
      <c r="O700" s="62" t="str">
        <f>IFERROR(VLOOKUP(Tableau242[[#This Row],[Company number]],#REF!,32,FALSE),"")</f>
        <v/>
      </c>
      <c r="P700" s="62">
        <f>IFERROR(VLOOKUP(B700,Tableau3[#All],5,FALSE),"Matricule!")</f>
        <v>17</v>
      </c>
      <c r="Q700" s="62">
        <f>IFERROR(SUM(VLOOKUP(B700,Tableau3[#All],6,FALSE),VLOOKUP(B700,Tableau3[#All],8,FALSE)),"Matricule!")</f>
        <v>3</v>
      </c>
      <c r="R700" s="62">
        <f>IFERROR(VLOOKUP(B700,Tableau3[#All],7,FALSE),"Matricule!")</f>
        <v>0</v>
      </c>
      <c r="S700" s="62">
        <f>IFERROR(Tableau242[[#This Row],[Prod. days WK]]-Tableau242[[#This Row],[Prod PXX]],"Matricule")</f>
        <v>2.5</v>
      </c>
      <c r="T700" s="62">
        <f>IFERROR(Tableau242[[#This Row],[Non prod. days WK]]-Tableau242[[#This Row],[Improd PXX]],"Matricule")</f>
        <v>-2.5</v>
      </c>
      <c r="U700" s="62">
        <f>IFERROR(Tableau242[[#This Row],[Paid leave days WK]]-Tableau242[[#This Row],[Congé PXX]],"Matricule")</f>
        <v>0</v>
      </c>
      <c r="V700" s="63">
        <f>IFERROR(VLOOKUP($B700,#REF!,4,FALSE),0)</f>
        <v>0</v>
      </c>
      <c r="W70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00" s="63">
        <f>IF(AND(Tableau242[[#This Row],[Paid leave days]]&gt;0,Tableau242[[#This Row],[Prod. days]]&lt;0),MIN(Tableau242[[#This Row],[Paid leave days]],-Tableau242[[#This Row],[Prod. days]]),0)</f>
        <v>0</v>
      </c>
      <c r="Z700" s="63">
        <f>IFERROR(_xlfn.XLOOKUP(Tableau242[[#This Row],[Consultant]],Tableau2[Collaborateur/Nom affiché],Tableau2[Montant imputé],0),0)</f>
        <v>0</v>
      </c>
      <c r="AA700" s="64">
        <f t="shared" si="11"/>
        <v>2.5</v>
      </c>
      <c r="AB700" s="65"/>
      <c r="AC700" s="66"/>
      <c r="AD700" s="66"/>
      <c r="AE700" s="105"/>
      <c r="AF700" s="90"/>
    </row>
    <row r="701" spans="1:32" ht="14.45" customHeight="1">
      <c r="A701" s="15">
        <f>Tableau242[[#This Row],[Company number]]+0</f>
        <v>20712</v>
      </c>
      <c r="B701" s="60" t="s">
        <v>1503</v>
      </c>
      <c r="C701" s="61" t="s">
        <v>1504</v>
      </c>
      <c r="D701" s="61" t="s">
        <v>7</v>
      </c>
      <c r="E701" s="62" t="str">
        <f>IFERROR(VLOOKUP(Tableau242[[#This Row],[Manager ou CDM concerné]],Parametres!B:C,2,FALSE),"")</f>
        <v>Squad F</v>
      </c>
      <c r="F701" s="62" t="str">
        <f>IF(Tableau242[[#This Row],[Consultant]]=Tableau242[[#This Row],[Manager ou CDM concerné]],"Non",IF(IFERROR(VLOOKUP(Tableau242[[#This Row],[Consultant]],Parametres!B:C,2,FALSE),0)=0,"Non","Oui"))</f>
        <v>Non</v>
      </c>
      <c r="G701" s="62">
        <f>IFERROR(VLOOKUP(B701,Tableau5[#All],4,FALSE),"Matricule!")</f>
        <v>14</v>
      </c>
      <c r="H701" s="62" t="str">
        <f>IFERROR(VLOOKUP(Tableau242[[#This Row],[Company number]],#REF!,6,FALSE),"")</f>
        <v/>
      </c>
      <c r="I701" s="62">
        <f>IFERROR(VLOOKUP(B701,Tableau5[#All],5,FALSE),"Matricule!")</f>
        <v>6</v>
      </c>
      <c r="J701" s="62">
        <f>IFERROR(VLOOKUP(B701,Tableau5[#All],6,FALSE),"Matricule!")</f>
        <v>0</v>
      </c>
      <c r="K701" s="62">
        <f>IFERROR(VLOOKUP(B701,Tableau5[#All],7,FALSE),"Matricule!")</f>
        <v>0</v>
      </c>
      <c r="L701" s="62" t="e">
        <f>VLOOKUP(Tableau242[[#This Row],[Company number]],#REF!,25,FALSE)</f>
        <v>#REF!</v>
      </c>
      <c r="M701" s="62" t="str">
        <f>IFERROR(VLOOKUP(Tableau242[[#This Row],[Company number]],#REF!,30,FALSE),"")</f>
        <v/>
      </c>
      <c r="N701" s="62" t="str">
        <f>IFERROR(VLOOKUP(Tableau242[[#This Row],[Company number]],#REF!,31,FALSE),"")</f>
        <v/>
      </c>
      <c r="O701" s="62" t="str">
        <f>IFERROR(VLOOKUP(Tableau242[[#This Row],[Company number]],#REF!,32,FALSE),"")</f>
        <v/>
      </c>
      <c r="P701" s="62">
        <f>IFERROR(VLOOKUP(B701,Tableau3[#All],5,FALSE),"Matricule!")</f>
        <v>10</v>
      </c>
      <c r="Q701" s="62">
        <f>IFERROR(SUM(VLOOKUP(B701,Tableau3[#All],6,FALSE),VLOOKUP(B701,Tableau3[#All],8,FALSE)),"Matricule!")</f>
        <v>10</v>
      </c>
      <c r="R701" s="62">
        <f>IFERROR(VLOOKUP(B701,Tableau3[#All],7,FALSE),"Matricule!")</f>
        <v>0</v>
      </c>
      <c r="S701" s="62">
        <f>IFERROR(Tableau242[[#This Row],[Prod. days WK]]-Tableau242[[#This Row],[Prod PXX]],"Matricule")</f>
        <v>4</v>
      </c>
      <c r="T701" s="62">
        <f>IFERROR(Tableau242[[#This Row],[Non prod. days WK]]-Tableau242[[#This Row],[Improd PXX]],"Matricule")</f>
        <v>-4</v>
      </c>
      <c r="U701" s="62">
        <f>IFERROR(Tableau242[[#This Row],[Paid leave days WK]]-Tableau242[[#This Row],[Congé PXX]],"Matricule")</f>
        <v>0</v>
      </c>
      <c r="V701" s="63">
        <f>IFERROR(VLOOKUP($B701,#REF!,4,FALSE),0)</f>
        <v>0</v>
      </c>
      <c r="W70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01" s="63">
        <f>IF(AND(Tableau242[[#This Row],[Paid leave days]]&gt;0,Tableau242[[#This Row],[Prod. days]]&lt;0),MIN(Tableau242[[#This Row],[Paid leave days]],-Tableau242[[#This Row],[Prod. days]]),0)</f>
        <v>0</v>
      </c>
      <c r="Z701" s="63">
        <f>IFERROR(_xlfn.XLOOKUP(Tableau242[[#This Row],[Consultant]],Tableau2[Collaborateur/Nom affiché],Tableau2[Montant imputé],0),0)</f>
        <v>0</v>
      </c>
      <c r="AA701" s="64">
        <f t="shared" si="11"/>
        <v>4</v>
      </c>
      <c r="AB701" s="65"/>
      <c r="AC701" s="66"/>
      <c r="AD701" s="66"/>
      <c r="AE701" s="115"/>
      <c r="AF701" s="90"/>
    </row>
    <row r="702" spans="1:32" ht="14.45" customHeight="1">
      <c r="A702" s="15">
        <f>Tableau242[[#This Row],[Company number]]+0</f>
        <v>12314</v>
      </c>
      <c r="B702" s="60" t="s">
        <v>1505</v>
      </c>
      <c r="C702" s="61" t="s">
        <v>49</v>
      </c>
      <c r="D702" s="61" t="s">
        <v>54</v>
      </c>
      <c r="E702" s="62" t="str">
        <f>IFERROR(VLOOKUP(Tableau242[[#This Row],[Manager ou CDM concerné]],Parametres!B:C,2,FALSE),"")</f>
        <v>Squad F</v>
      </c>
      <c r="F702" s="62" t="str">
        <f>IF(Tableau242[[#This Row],[Consultant]]=Tableau242[[#This Row],[Manager ou CDM concerné]],"Non",IF(IFERROR(VLOOKUP(Tableau242[[#This Row],[Consultant]],Parametres!B:C,2,FALSE),0)=0,"Non","Oui"))</f>
        <v>Oui</v>
      </c>
      <c r="G702" s="62">
        <f>IFERROR(VLOOKUP(B702,Tableau5[#All],4,FALSE),"Matricule!")</f>
        <v>16</v>
      </c>
      <c r="H702" s="62" t="str">
        <f>IFERROR(VLOOKUP(Tableau242[[#This Row],[Company number]],#REF!,6,FALSE),"")</f>
        <v/>
      </c>
      <c r="I702" s="62">
        <f>IFERROR(VLOOKUP(B702,Tableau5[#All],5,FALSE),"Matricule!")</f>
        <v>0</v>
      </c>
      <c r="J702" s="62">
        <f>IFERROR(VLOOKUP(B702,Tableau5[#All],6,FALSE),"Matricule!")</f>
        <v>4</v>
      </c>
      <c r="K702" s="62">
        <f>IFERROR(VLOOKUP(B702,Tableau5[#All],7,FALSE),"Matricule!")</f>
        <v>0</v>
      </c>
      <c r="L702" s="62" t="e">
        <f>VLOOKUP(Tableau242[[#This Row],[Company number]],#REF!,25,FALSE)</f>
        <v>#REF!</v>
      </c>
      <c r="M702" s="62" t="str">
        <f>IFERROR(VLOOKUP(Tableau242[[#This Row],[Company number]],#REF!,30,FALSE),"")</f>
        <v/>
      </c>
      <c r="N702" s="62" t="str">
        <f>IFERROR(VLOOKUP(Tableau242[[#This Row],[Company number]],#REF!,31,FALSE),"")</f>
        <v/>
      </c>
      <c r="O702" s="62" t="str">
        <f>IFERROR(VLOOKUP(Tableau242[[#This Row],[Company number]],#REF!,32,FALSE),"")</f>
        <v/>
      </c>
      <c r="P702" s="68">
        <f>IFERROR(VLOOKUP(B702,Tableau3[#All],5,FALSE),"Matricule!")</f>
        <v>12</v>
      </c>
      <c r="Q702" s="68">
        <f>IFERROR(SUM(VLOOKUP(B702,Tableau3[#All],6,FALSE),VLOOKUP(B702,Tableau3[#All],8,FALSE)),"Matricule!")</f>
        <v>4</v>
      </c>
      <c r="R702" s="68">
        <f>IFERROR(VLOOKUP(B702,Tableau3[#All],7,FALSE),"Matricule!")</f>
        <v>4</v>
      </c>
      <c r="S702" s="62">
        <f>IFERROR(Tableau242[[#This Row],[Prod. days WK]]-Tableau242[[#This Row],[Prod PXX]],"Matricule")</f>
        <v>4</v>
      </c>
      <c r="T702" s="62">
        <f>IFERROR(Tableau242[[#This Row],[Non prod. days WK]]-Tableau242[[#This Row],[Improd PXX]],"Matricule")</f>
        <v>-4</v>
      </c>
      <c r="U702" s="62">
        <f>IFERROR(Tableau242[[#This Row],[Paid leave days WK]]-Tableau242[[#This Row],[Congé PXX]],"Matricule")</f>
        <v>0</v>
      </c>
      <c r="V702" s="63">
        <f>IFERROR(VLOOKUP($B702,#REF!,4,FALSE),0)</f>
        <v>0</v>
      </c>
      <c r="W70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02" s="63">
        <f>IF(AND(Tableau242[[#This Row],[Paid leave days]]&gt;0,Tableau242[[#This Row],[Prod. days]]&lt;0),MIN(Tableau242[[#This Row],[Paid leave days]],-Tableau242[[#This Row],[Prod. days]]),0)</f>
        <v>0</v>
      </c>
      <c r="Z702" s="63">
        <f>IFERROR(_xlfn.XLOOKUP(Tableau242[[#This Row],[Consultant]],Tableau2[Collaborateur/Nom affiché],Tableau2[Montant imputé],0),0)</f>
        <v>0</v>
      </c>
      <c r="AA702" s="64">
        <f t="shared" si="11"/>
        <v>4</v>
      </c>
      <c r="AB702" s="65"/>
      <c r="AC702" s="66"/>
      <c r="AD702" s="66"/>
      <c r="AE702" s="105"/>
      <c r="AF702" s="90"/>
    </row>
    <row r="703" spans="1:32" ht="29.1" customHeight="1">
      <c r="A703" s="15">
        <f>Tableau242[[#This Row],[Company number]]+0</f>
        <v>5181</v>
      </c>
      <c r="B703" s="60" t="s">
        <v>1506</v>
      </c>
      <c r="C703" s="61" t="s">
        <v>1507</v>
      </c>
      <c r="D703" s="61" t="s">
        <v>54</v>
      </c>
      <c r="E703" s="62" t="str">
        <f>IFERROR(VLOOKUP(Tableau242[[#This Row],[Manager ou CDM concerné]],Parametres!B:C,2,FALSE),"")</f>
        <v>Squad F</v>
      </c>
      <c r="F703" s="62" t="str">
        <f>IF(Tableau242[[#This Row],[Consultant]]=Tableau242[[#This Row],[Manager ou CDM concerné]],"Non",IF(IFERROR(VLOOKUP(Tableau242[[#This Row],[Consultant]],Parametres!B:C,2,FALSE),0)=0,"Non","Oui"))</f>
        <v>Non</v>
      </c>
      <c r="G703" s="62">
        <f>IFERROR(VLOOKUP(B703,Tableau5[#All],4,FALSE),"Matricule!")</f>
        <v>0</v>
      </c>
      <c r="H703" s="62" t="str">
        <f>IFERROR(VLOOKUP(Tableau242[[#This Row],[Company number]],#REF!,6,FALSE),"")</f>
        <v/>
      </c>
      <c r="I703" s="62">
        <f>IFERROR(VLOOKUP(B703,Tableau5[#All],5,FALSE),"Matricule!")</f>
        <v>16</v>
      </c>
      <c r="J703" s="62">
        <f>IFERROR(VLOOKUP(B703,Tableau5[#All],6,FALSE),"Matricule!")</f>
        <v>0</v>
      </c>
      <c r="K703" s="62">
        <f>IFERROR(VLOOKUP(B703,Tableau5[#All],7,FALSE),"Matricule!")</f>
        <v>4</v>
      </c>
      <c r="L703" s="62" t="e">
        <f>VLOOKUP(Tableau242[[#This Row],[Company number]],#REF!,25,FALSE)</f>
        <v>#REF!</v>
      </c>
      <c r="M703" s="62" t="str">
        <f>IFERROR(VLOOKUP(Tableau242[[#This Row],[Company number]],#REF!,30,FALSE),"")</f>
        <v/>
      </c>
      <c r="N703" s="62" t="str">
        <f>IFERROR(VLOOKUP(Tableau242[[#This Row],[Company number]],#REF!,31,FALSE),"")</f>
        <v/>
      </c>
      <c r="O703" s="62" t="str">
        <f>IFERROR(VLOOKUP(Tableau242[[#This Row],[Company number]],#REF!,32,FALSE),"")</f>
        <v/>
      </c>
      <c r="P703" s="62">
        <f>IFERROR(VLOOKUP(B703,Tableau3[#All],5,FALSE),"Matricule!")</f>
        <v>0</v>
      </c>
      <c r="Q703" s="62">
        <f>IFERROR(SUM(VLOOKUP(B703,Tableau3[#All],6,FALSE),VLOOKUP(B703,Tableau3[#All],8,FALSE)),"Matricule!")</f>
        <v>16</v>
      </c>
      <c r="R703" s="62">
        <f>IFERROR(VLOOKUP(B703,Tableau3[#All],7,FALSE),"Matricule!")</f>
        <v>0</v>
      </c>
      <c r="S703" s="62">
        <f>IFERROR(Tableau242[[#This Row],[Prod. days WK]]-Tableau242[[#This Row],[Prod PXX]],"Matricule")</f>
        <v>0</v>
      </c>
      <c r="T703" s="62">
        <f>IFERROR(Tableau242[[#This Row],[Non prod. days WK]]-Tableau242[[#This Row],[Improd PXX]],"Matricule")</f>
        <v>0</v>
      </c>
      <c r="U703" s="62">
        <f>IFERROR(Tableau242[[#This Row],[Paid leave days WK]]-Tableau242[[#This Row],[Congé PXX]],"Matricule")</f>
        <v>0</v>
      </c>
      <c r="V703" s="63">
        <f>IFERROR(VLOOKUP($B703,#REF!,4,FALSE),0)</f>
        <v>0</v>
      </c>
      <c r="W70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Mail d'intention</v>
      </c>
      <c r="Y703" s="63">
        <f>IF(AND(Tableau242[[#This Row],[Paid leave days]]&gt;0,Tableau242[[#This Row],[Prod. days]]&lt;0),MIN(Tableau242[[#This Row],[Paid leave days]],-Tableau242[[#This Row],[Prod. days]]),0)</f>
        <v>0</v>
      </c>
      <c r="Z703" s="63">
        <f>IFERROR(_xlfn.XLOOKUP(Tableau242[[#This Row],[Consultant]],Tableau2[Collaborateur/Nom affiché],Tableau2[Montant imputé],0),0)</f>
        <v>5</v>
      </c>
      <c r="AA703" s="64">
        <f t="shared" si="11"/>
        <v>5</v>
      </c>
      <c r="AB703" s="65"/>
      <c r="AC703" s="66"/>
      <c r="AD703" s="66"/>
      <c r="AE703" s="105"/>
      <c r="AF703" s="90"/>
    </row>
    <row r="704" spans="1:32" ht="29.1" customHeight="1">
      <c r="A704" s="15">
        <f>Tableau242[[#This Row],[Company number]]+0</f>
        <v>17198</v>
      </c>
      <c r="B704" s="60" t="s">
        <v>1508</v>
      </c>
      <c r="C704" s="61" t="s">
        <v>1509</v>
      </c>
      <c r="D704" s="61" t="s">
        <v>49</v>
      </c>
      <c r="E704" s="62" t="str">
        <f>IFERROR(VLOOKUP(Tableau242[[#This Row],[Manager ou CDM concerné]],Parametres!B:C,2,FALSE),"")</f>
        <v>Squad F</v>
      </c>
      <c r="F704" s="62" t="str">
        <f>IF(Tableau242[[#This Row],[Consultant]]=Tableau242[[#This Row],[Manager ou CDM concerné]],"Non",IF(IFERROR(VLOOKUP(Tableau242[[#This Row],[Consultant]],Parametres!B:C,2,FALSE),0)=0,"Non","Oui"))</f>
        <v>Non</v>
      </c>
      <c r="G704" s="62">
        <f>IFERROR(VLOOKUP(B704,Tableau5[#All],4,FALSE),"Matricule!")</f>
        <v>17</v>
      </c>
      <c r="H704" s="62" t="str">
        <f>IFERROR(VLOOKUP(Tableau242[[#This Row],[Company number]],#REF!,6,FALSE),"")</f>
        <v/>
      </c>
      <c r="I704" s="62">
        <f>IFERROR(VLOOKUP(B704,Tableau5[#All],5,FALSE),"Matricule!")</f>
        <v>3</v>
      </c>
      <c r="J704" s="62">
        <f>IFERROR(VLOOKUP(B704,Tableau5[#All],6,FALSE),"Matricule!")</f>
        <v>0</v>
      </c>
      <c r="K704" s="62">
        <f>IFERROR(VLOOKUP(B704,Tableau5[#All],7,FALSE),"Matricule!")</f>
        <v>0</v>
      </c>
      <c r="L704" s="62" t="e">
        <f>VLOOKUP(Tableau242[[#This Row],[Company number]],#REF!,25,FALSE)</f>
        <v>#REF!</v>
      </c>
      <c r="M704" s="62" t="str">
        <f>IFERROR(VLOOKUP(Tableau242[[#This Row],[Company number]],#REF!,30,FALSE),"")</f>
        <v/>
      </c>
      <c r="N704" s="62" t="str">
        <f>IFERROR(VLOOKUP(Tableau242[[#This Row],[Company number]],#REF!,31,FALSE),"")</f>
        <v/>
      </c>
      <c r="O704" s="62" t="str">
        <f>IFERROR(VLOOKUP(Tableau242[[#This Row],[Company number]],#REF!,32,FALSE),"")</f>
        <v/>
      </c>
      <c r="P704" s="62">
        <f>IFERROR(VLOOKUP(B704,Tableau3[#All],5,FALSE),"Matricule!")</f>
        <v>10</v>
      </c>
      <c r="Q704" s="62">
        <f>IFERROR(SUM(VLOOKUP(B704,Tableau3[#All],6,FALSE),VLOOKUP(B704,Tableau3[#All],8,FALSE)),"Matricule!")</f>
        <v>10</v>
      </c>
      <c r="R704" s="62">
        <f>IFERROR(VLOOKUP(B704,Tableau3[#All],7,FALSE),"Matricule!")</f>
        <v>0</v>
      </c>
      <c r="S704" s="62">
        <f>IFERROR(Tableau242[[#This Row],[Prod. days WK]]-Tableau242[[#This Row],[Prod PXX]],"Matricule")</f>
        <v>7</v>
      </c>
      <c r="T704" s="62">
        <f>IFERROR(Tableau242[[#This Row],[Non prod. days WK]]-Tableau242[[#This Row],[Improd PXX]],"Matricule")</f>
        <v>-7</v>
      </c>
      <c r="U704" s="62">
        <f>IFERROR(Tableau242[[#This Row],[Paid leave days WK]]-Tableau242[[#This Row],[Congé PXX]],"Matricule")</f>
        <v>0</v>
      </c>
      <c r="V704" s="63">
        <f>IFERROR(VLOOKUP($B704,#REF!,4,FALSE),0)</f>
        <v>0</v>
      </c>
      <c r="W70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04" s="63">
        <f>IF(AND(Tableau242[[#This Row],[Paid leave days]]&gt;0,Tableau242[[#This Row],[Prod. days]]&lt;0),MIN(Tableau242[[#This Row],[Paid leave days]],-Tableau242[[#This Row],[Prod. days]]),0)</f>
        <v>0</v>
      </c>
      <c r="Z704" s="63">
        <f>IFERROR(_xlfn.XLOOKUP(Tableau242[[#This Row],[Consultant]],Tableau2[Collaborateur/Nom affiché],Tableau2[Montant imputé],0),0)</f>
        <v>0</v>
      </c>
      <c r="AA704" s="64">
        <f t="shared" si="11"/>
        <v>7</v>
      </c>
      <c r="AB704" s="65"/>
      <c r="AC704" s="66"/>
      <c r="AD704" s="66"/>
      <c r="AE704" s="105"/>
      <c r="AF704" s="90"/>
    </row>
    <row r="705" spans="1:32" ht="14.45" customHeight="1">
      <c r="A705" s="15">
        <f>Tableau242[[#This Row],[Company number]]+0</f>
        <v>13189</v>
      </c>
      <c r="B705" s="60" t="s">
        <v>1510</v>
      </c>
      <c r="C705" s="61" t="s">
        <v>1511</v>
      </c>
      <c r="D705" s="61" t="s">
        <v>39</v>
      </c>
      <c r="E705" s="62" t="str">
        <f>IFERROR(VLOOKUP(Tableau242[[#This Row],[Manager ou CDM concerné]],Parametres!B:C,2,FALSE),"")</f>
        <v>Squad F</v>
      </c>
      <c r="F705" s="62" t="str">
        <f>IF(Tableau242[[#This Row],[Consultant]]=Tableau242[[#This Row],[Manager ou CDM concerné]],"Non",IF(IFERROR(VLOOKUP(Tableau242[[#This Row],[Consultant]],Parametres!B:C,2,FALSE),0)=0,"Non","Oui"))</f>
        <v>Non</v>
      </c>
      <c r="G705" s="62">
        <f>IFERROR(VLOOKUP(B705,Tableau5[#All],4,FALSE),"Matricule!")</f>
        <v>17.5</v>
      </c>
      <c r="H705" s="62" t="str">
        <f>IFERROR(VLOOKUP(Tableau242[[#This Row],[Company number]],#REF!,6,FALSE),"")</f>
        <v/>
      </c>
      <c r="I705" s="62">
        <f>IFERROR(VLOOKUP(B705,Tableau5[#All],5,FALSE),"Matricule!")</f>
        <v>2.5</v>
      </c>
      <c r="J705" s="62">
        <f>IFERROR(VLOOKUP(B705,Tableau5[#All],6,FALSE),"Matricule!")</f>
        <v>0</v>
      </c>
      <c r="K705" s="62">
        <f>IFERROR(VLOOKUP(B705,Tableau5[#All],7,FALSE),"Matricule!")</f>
        <v>0</v>
      </c>
      <c r="L705" s="62" t="e">
        <f>VLOOKUP(Tableau242[[#This Row],[Company number]],#REF!,25,FALSE)</f>
        <v>#REF!</v>
      </c>
      <c r="M705" s="62" t="str">
        <f>IFERROR(VLOOKUP(Tableau242[[#This Row],[Company number]],#REF!,30,FALSE),"")</f>
        <v/>
      </c>
      <c r="N705" s="62" t="str">
        <f>IFERROR(VLOOKUP(Tableau242[[#This Row],[Company number]],#REF!,31,FALSE),"")</f>
        <v/>
      </c>
      <c r="O705" s="62" t="str">
        <f>IFERROR(VLOOKUP(Tableau242[[#This Row],[Company number]],#REF!,32,FALSE),"")</f>
        <v/>
      </c>
      <c r="P705" s="62">
        <f>IFERROR(VLOOKUP(B705,Tableau3[#All],5,FALSE),"Matricule!")</f>
        <v>10</v>
      </c>
      <c r="Q705" s="62">
        <f>IFERROR(SUM(VLOOKUP(B705,Tableau3[#All],6,FALSE),VLOOKUP(B705,Tableau3[#All],8,FALSE)),"Matricule!")</f>
        <v>10</v>
      </c>
      <c r="R705" s="62">
        <f>IFERROR(VLOOKUP(B705,Tableau3[#All],7,FALSE),"Matricule!")</f>
        <v>0</v>
      </c>
      <c r="S705" s="62">
        <f>IFERROR(Tableau242[[#This Row],[Prod. days WK]]-Tableau242[[#This Row],[Prod PXX]],"Matricule")</f>
        <v>7.5</v>
      </c>
      <c r="T705" s="62">
        <f>IFERROR(Tableau242[[#This Row],[Non prod. days WK]]-Tableau242[[#This Row],[Improd PXX]],"Matricule")</f>
        <v>-7.5</v>
      </c>
      <c r="U705" s="62">
        <f>IFERROR(Tableau242[[#This Row],[Paid leave days WK]]-Tableau242[[#This Row],[Congé PXX]],"Matricule")</f>
        <v>0</v>
      </c>
      <c r="V705" s="63">
        <f>IFERROR(VLOOKUP($B705,#REF!,4,FALSE),0)</f>
        <v>0</v>
      </c>
      <c r="W70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05" s="63">
        <f>IF(AND(Tableau242[[#This Row],[Paid leave days]]&gt;0,Tableau242[[#This Row],[Prod. days]]&lt;0),MIN(Tableau242[[#This Row],[Paid leave days]],-Tableau242[[#This Row],[Prod. days]]),0)</f>
        <v>0</v>
      </c>
      <c r="Z705" s="63">
        <f>IFERROR(_xlfn.XLOOKUP(Tableau242[[#This Row],[Consultant]],Tableau2[Collaborateur/Nom affiché],Tableau2[Montant imputé],0),0)</f>
        <v>0</v>
      </c>
      <c r="AA705" s="64">
        <f t="shared" si="11"/>
        <v>7.5</v>
      </c>
      <c r="AB705" s="65"/>
      <c r="AC705" s="66"/>
      <c r="AD705" s="66"/>
      <c r="AE705" s="105"/>
      <c r="AF705" s="90"/>
    </row>
    <row r="706" spans="1:32" ht="14.45" customHeight="1">
      <c r="A706" s="15">
        <f>Tableau242[[#This Row],[Company number]]+0</f>
        <v>18130</v>
      </c>
      <c r="B706" s="60" t="s">
        <v>1512</v>
      </c>
      <c r="C706" s="61" t="s">
        <v>1513</v>
      </c>
      <c r="D706" s="61" t="s">
        <v>86</v>
      </c>
      <c r="E706" s="62" t="str">
        <f>IFERROR(VLOOKUP(Tableau242[[#This Row],[Manager ou CDM concerné]],Parametres!B:C,2,FALSE),"")</f>
        <v>Squad G</v>
      </c>
      <c r="F706" s="62" t="str">
        <f>IF(Tableau242[[#This Row],[Consultant]]=Tableau242[[#This Row],[Manager ou CDM concerné]],"Non",IF(IFERROR(VLOOKUP(Tableau242[[#This Row],[Consultant]],Parametres!B:C,2,FALSE),0)=0,"Non","Oui"))</f>
        <v>Non</v>
      </c>
      <c r="G706" s="62">
        <f>IFERROR(VLOOKUP(B706,Tableau5[#All],4,FALSE),"Matricule!")</f>
        <v>18</v>
      </c>
      <c r="H706" s="62" t="str">
        <f>IFERROR(VLOOKUP(Tableau242[[#This Row],[Company number]],#REF!,6,FALSE),"")</f>
        <v/>
      </c>
      <c r="I706" s="62">
        <f>IFERROR(VLOOKUP(B706,Tableau5[#All],5,FALSE),"Matricule!")</f>
        <v>2</v>
      </c>
      <c r="J706" s="62">
        <f>IFERROR(VLOOKUP(B706,Tableau5[#All],6,FALSE),"Matricule!")</f>
        <v>0</v>
      </c>
      <c r="K706" s="62">
        <f>IFERROR(VLOOKUP(B706,Tableau5[#All],7,FALSE),"Matricule!")</f>
        <v>0</v>
      </c>
      <c r="L706" s="62" t="e">
        <f>VLOOKUP(Tableau242[[#This Row],[Company number]],#REF!,25,FALSE)</f>
        <v>#REF!</v>
      </c>
      <c r="M706" s="62" t="str">
        <f>IFERROR(VLOOKUP(Tableau242[[#This Row],[Company number]],#REF!,30,FALSE),"")</f>
        <v/>
      </c>
      <c r="N706" s="62" t="str">
        <f>IFERROR(VLOOKUP(Tableau242[[#This Row],[Company number]],#REF!,31,FALSE),"")</f>
        <v/>
      </c>
      <c r="O706" s="62" t="str">
        <f>IFERROR(VLOOKUP(Tableau242[[#This Row],[Company number]],#REF!,32,FALSE),"")</f>
        <v/>
      </c>
      <c r="P706" s="62">
        <f>IFERROR(VLOOKUP(B706,Tableau3[#All],5,FALSE),"Matricule!")</f>
        <v>17</v>
      </c>
      <c r="Q706" s="62">
        <f>IFERROR(SUM(VLOOKUP(B706,Tableau3[#All],6,FALSE),VLOOKUP(B706,Tableau3[#All],8,FALSE)),"Matricule!")</f>
        <v>2</v>
      </c>
      <c r="R706" s="62">
        <f>IFERROR(VLOOKUP(B706,Tableau3[#All],7,FALSE),"Matricule!")</f>
        <v>1</v>
      </c>
      <c r="S706" s="62">
        <f>IFERROR(Tableau242[[#This Row],[Prod. days WK]]-Tableau242[[#This Row],[Prod PXX]],"Matricule")</f>
        <v>1</v>
      </c>
      <c r="T706" s="62">
        <f>IFERROR(Tableau242[[#This Row],[Non prod. days WK]]-Tableau242[[#This Row],[Improd PXX]],"Matricule")</f>
        <v>0</v>
      </c>
      <c r="U706" s="62">
        <f>IFERROR(Tableau242[[#This Row],[Paid leave days WK]]-Tableau242[[#This Row],[Congé PXX]],"Matricule")</f>
        <v>-1</v>
      </c>
      <c r="V706" s="63">
        <f>IFERROR(VLOOKUP($B706,#REF!,4,FALSE),0)</f>
        <v>0</v>
      </c>
      <c r="W70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706" s="63">
        <f>IF(AND(Tableau242[[#This Row],[Paid leave days]]&gt;0,Tableau242[[#This Row],[Prod. days]]&lt;0),MIN(Tableau242[[#This Row],[Paid leave days]],-Tableau242[[#This Row],[Prod. days]]),0)</f>
        <v>0</v>
      </c>
      <c r="Z706" s="63">
        <f>IFERROR(_xlfn.XLOOKUP(Tableau242[[#This Row],[Consultant]],Tableau2[Collaborateur/Nom affiché],Tableau2[Montant imputé],0),0)</f>
        <v>0</v>
      </c>
      <c r="AA706" s="64">
        <f t="shared" si="11"/>
        <v>1</v>
      </c>
      <c r="AB706" s="65" t="s">
        <v>154</v>
      </c>
      <c r="AC706" s="66"/>
      <c r="AD706" s="66"/>
      <c r="AE706" s="105"/>
      <c r="AF706" s="90"/>
    </row>
    <row r="707" spans="1:32" ht="14.45" customHeight="1">
      <c r="A707" s="15">
        <f>Tableau242[[#This Row],[Company number]]+0</f>
        <v>20992</v>
      </c>
      <c r="B707" s="60" t="s">
        <v>1514</v>
      </c>
      <c r="C707" s="61" t="s">
        <v>1515</v>
      </c>
      <c r="D707" s="61" t="s">
        <v>72</v>
      </c>
      <c r="E707" s="62" t="str">
        <f>IFERROR(VLOOKUP(Tableau242[[#This Row],[Manager ou CDM concerné]],Parametres!B:C,2,FALSE),"")</f>
        <v>Squad F</v>
      </c>
      <c r="F707" s="62" t="str">
        <f>IF(Tableau242[[#This Row],[Consultant]]=Tableau242[[#This Row],[Manager ou CDM concerné]],"Non",IF(IFERROR(VLOOKUP(Tableau242[[#This Row],[Consultant]],Parametres!B:C,2,FALSE),0)=0,"Non","Oui"))</f>
        <v>Non</v>
      </c>
      <c r="G707" s="62">
        <f>IFERROR(VLOOKUP(B707,Tableau5[#All],4,FALSE),"Matricule!")</f>
        <v>18</v>
      </c>
      <c r="H707" s="62" t="str">
        <f>IFERROR(VLOOKUP(Tableau242[[#This Row],[Company number]],#REF!,6,FALSE),"")</f>
        <v/>
      </c>
      <c r="I707" s="62">
        <f>IFERROR(VLOOKUP(B707,Tableau5[#All],5,FALSE),"Matricule!")</f>
        <v>2</v>
      </c>
      <c r="J707" s="62">
        <f>IFERROR(VLOOKUP(B707,Tableau5[#All],6,FALSE),"Matricule!")</f>
        <v>0</v>
      </c>
      <c r="K707" s="62">
        <f>IFERROR(VLOOKUP(B707,Tableau5[#All],7,FALSE),"Matricule!")</f>
        <v>0</v>
      </c>
      <c r="L707" s="62" t="e">
        <f>VLOOKUP(Tableau242[[#This Row],[Company number]],#REF!,25,FALSE)</f>
        <v>#REF!</v>
      </c>
      <c r="M707" s="62" t="str">
        <f>IFERROR(VLOOKUP(Tableau242[[#This Row],[Company number]],#REF!,30,FALSE),"")</f>
        <v/>
      </c>
      <c r="N707" s="62" t="str">
        <f>IFERROR(VLOOKUP(Tableau242[[#This Row],[Company number]],#REF!,31,FALSE),"")</f>
        <v/>
      </c>
      <c r="O707" s="62" t="str">
        <f>IFERROR(VLOOKUP(Tableau242[[#This Row],[Company number]],#REF!,32,FALSE),"")</f>
        <v/>
      </c>
      <c r="P707" s="68">
        <f>IFERROR(VLOOKUP(B707,Tableau3[#All],5,FALSE),"Matricule!")</f>
        <v>5</v>
      </c>
      <c r="Q707" s="68">
        <f>IFERROR(SUM(VLOOKUP(B707,Tableau3[#All],6,FALSE),VLOOKUP(B707,Tableau3[#All],8,FALSE)),"Matricule!")</f>
        <v>15</v>
      </c>
      <c r="R707" s="68">
        <f>IFERROR(VLOOKUP(B707,Tableau3[#All],7,FALSE),"Matricule!")</f>
        <v>0</v>
      </c>
      <c r="S707" s="62">
        <f>IFERROR(Tableau242[[#This Row],[Prod. days WK]]-Tableau242[[#This Row],[Prod PXX]],"Matricule")</f>
        <v>13</v>
      </c>
      <c r="T707" s="62">
        <f>IFERROR(Tableau242[[#This Row],[Non prod. days WK]]-Tableau242[[#This Row],[Improd PXX]],"Matricule")</f>
        <v>-13</v>
      </c>
      <c r="U707" s="62">
        <f>IFERROR(Tableau242[[#This Row],[Paid leave days WK]]-Tableau242[[#This Row],[Congé PXX]],"Matricule")</f>
        <v>0</v>
      </c>
      <c r="V707" s="63">
        <f>IFERROR(VLOOKUP($B707,#REF!,4,FALSE),0)</f>
        <v>0</v>
      </c>
      <c r="W70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07" s="63">
        <f>IF(AND(Tableau242[[#This Row],[Paid leave days]]&gt;0,Tableau242[[#This Row],[Prod. days]]&lt;0),MIN(Tableau242[[#This Row],[Paid leave days]],-Tableau242[[#This Row],[Prod. days]]),0)</f>
        <v>0</v>
      </c>
      <c r="Z707" s="63">
        <f>IFERROR(_xlfn.XLOOKUP(Tableau242[[#This Row],[Consultant]],Tableau2[Collaborateur/Nom affiché],Tableau2[Montant imputé],0),0)</f>
        <v>0</v>
      </c>
      <c r="AA707" s="64">
        <f t="shared" si="11"/>
        <v>13</v>
      </c>
      <c r="AB707" s="65"/>
      <c r="AC707" s="66"/>
      <c r="AD707" s="66"/>
      <c r="AE707" s="105"/>
      <c r="AF707" s="90"/>
    </row>
    <row r="708" spans="1:32" ht="14.45" customHeight="1">
      <c r="A708" s="15">
        <f>Tableau242[[#This Row],[Company number]]+0</f>
        <v>18042</v>
      </c>
      <c r="B708" s="60" t="s">
        <v>1516</v>
      </c>
      <c r="C708" s="61" t="s">
        <v>1517</v>
      </c>
      <c r="D708" s="61" t="s">
        <v>7</v>
      </c>
      <c r="E708" s="62" t="str">
        <f>IFERROR(VLOOKUP(Tableau242[[#This Row],[Manager ou CDM concerné]],Parametres!B:C,2,FALSE),"")</f>
        <v>Squad F</v>
      </c>
      <c r="F708" s="62" t="str">
        <f>IF(Tableau242[[#This Row],[Consultant]]=Tableau242[[#This Row],[Manager ou CDM concerné]],"Non",IF(IFERROR(VLOOKUP(Tableau242[[#This Row],[Consultant]],Parametres!B:C,2,FALSE),0)=0,"Non","Oui"))</f>
        <v>Non</v>
      </c>
      <c r="G708" s="62">
        <f>IFERROR(VLOOKUP(B708,Tableau5[#All],4,FALSE),"Matricule!")</f>
        <v>20</v>
      </c>
      <c r="H708" s="62" t="str">
        <f>IFERROR(VLOOKUP(Tableau242[[#This Row],[Company number]],#REF!,6,FALSE),"")</f>
        <v/>
      </c>
      <c r="I708" s="62">
        <f>IFERROR(VLOOKUP(B708,Tableau5[#All],5,FALSE),"Matricule!")</f>
        <v>0</v>
      </c>
      <c r="J708" s="62">
        <f>IFERROR(VLOOKUP(B708,Tableau5[#All],6,FALSE),"Matricule!")</f>
        <v>0</v>
      </c>
      <c r="K708" s="62">
        <f>IFERROR(VLOOKUP(B708,Tableau5[#All],7,FALSE),"Matricule!")</f>
        <v>0</v>
      </c>
      <c r="L708" s="62" t="e">
        <f>VLOOKUP(Tableau242[[#This Row],[Company number]],#REF!,25,FALSE)</f>
        <v>#REF!</v>
      </c>
      <c r="M708" s="62" t="str">
        <f>IFERROR(VLOOKUP(Tableau242[[#This Row],[Company number]],#REF!,30,FALSE),"")</f>
        <v/>
      </c>
      <c r="N708" s="62" t="str">
        <f>IFERROR(VLOOKUP(Tableau242[[#This Row],[Company number]],#REF!,31,FALSE),"")</f>
        <v/>
      </c>
      <c r="O708" s="62" t="str">
        <f>IFERROR(VLOOKUP(Tableau242[[#This Row],[Company number]],#REF!,32,FALSE),"")</f>
        <v/>
      </c>
      <c r="P708" s="62">
        <f>IFERROR(VLOOKUP(B708,Tableau3[#All],5,FALSE),"Matricule!")</f>
        <v>0</v>
      </c>
      <c r="Q708" s="62">
        <f>IFERROR(SUM(VLOOKUP(B708,Tableau3[#All],6,FALSE),VLOOKUP(B708,Tableau3[#All],8,FALSE)),"Matricule!")</f>
        <v>20</v>
      </c>
      <c r="R708" s="62">
        <f>IFERROR(VLOOKUP(B708,Tableau3[#All],7,FALSE),"Matricule!")</f>
        <v>0</v>
      </c>
      <c r="S708" s="62">
        <f>IFERROR(Tableau242[[#This Row],[Prod. days WK]]-Tableau242[[#This Row],[Prod PXX]],"Matricule")</f>
        <v>20</v>
      </c>
      <c r="T708" s="62">
        <f>IFERROR(Tableau242[[#This Row],[Non prod. days WK]]-Tableau242[[#This Row],[Improd PXX]],"Matricule")</f>
        <v>-20</v>
      </c>
      <c r="U708" s="62">
        <f>IFERROR(Tableau242[[#This Row],[Paid leave days WK]]-Tableau242[[#This Row],[Congé PXX]],"Matricule")</f>
        <v>0</v>
      </c>
      <c r="V708" s="63">
        <f>IFERROR(VLOOKUP($B708,#REF!,4,FALSE),0)</f>
        <v>0</v>
      </c>
      <c r="W70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08" s="63">
        <f>IF(AND(Tableau242[[#This Row],[Paid leave days]]&gt;0,Tableau242[[#This Row],[Prod. days]]&lt;0),MIN(Tableau242[[#This Row],[Paid leave days]],-Tableau242[[#This Row],[Prod. days]]),0)</f>
        <v>0</v>
      </c>
      <c r="Z708" s="63">
        <f>IFERROR(_xlfn.XLOOKUP(Tableau242[[#This Row],[Consultant]],Tableau2[Collaborateur/Nom affiché],Tableau2[Montant imputé],0),0)</f>
        <v>0</v>
      </c>
      <c r="AA708" s="64">
        <f t="shared" si="11"/>
        <v>20</v>
      </c>
      <c r="AB708" s="65"/>
      <c r="AC708" s="66"/>
      <c r="AD708" s="66"/>
      <c r="AE708" s="105"/>
      <c r="AF708" s="90"/>
    </row>
    <row r="709" spans="1:32" ht="14.45" customHeight="1">
      <c r="A709" s="15">
        <f>Tableau242[[#This Row],[Company number]]+0</f>
        <v>11614</v>
      </c>
      <c r="B709" s="60" t="s">
        <v>1518</v>
      </c>
      <c r="C709" s="61" t="s">
        <v>1519</v>
      </c>
      <c r="D709" s="61" t="s">
        <v>8</v>
      </c>
      <c r="E709" s="62" t="str">
        <f>IFERROR(VLOOKUP(Tableau242[[#This Row],[Manager ou CDM concerné]],Parametres!B:C,2,FALSE),"")</f>
        <v>Squad B</v>
      </c>
      <c r="F709" s="62" t="str">
        <f>IF(Tableau242[[#This Row],[Consultant]]=Tableau242[[#This Row],[Manager ou CDM concerné]],"Non",IF(IFERROR(VLOOKUP(Tableau242[[#This Row],[Consultant]],Parametres!B:C,2,FALSE),0)=0,"Non","Oui"))</f>
        <v>Non</v>
      </c>
      <c r="G709" s="62">
        <f>IFERROR(VLOOKUP(B709,Tableau5[#All],4,FALSE),"Matricule!")</f>
        <v>18</v>
      </c>
      <c r="H709" s="62" t="str">
        <f>IFERROR(VLOOKUP(Tableau242[[#This Row],[Company number]],#REF!,6,FALSE),"")</f>
        <v/>
      </c>
      <c r="I709" s="62">
        <f>IFERROR(VLOOKUP(B709,Tableau5[#All],5,FALSE),"Matricule!")</f>
        <v>0</v>
      </c>
      <c r="J709" s="62">
        <f>IFERROR(VLOOKUP(B709,Tableau5[#All],6,FALSE),"Matricule!")</f>
        <v>2</v>
      </c>
      <c r="K709" s="62">
        <f>IFERROR(VLOOKUP(B709,Tableau5[#All],7,FALSE),"Matricule!")</f>
        <v>0</v>
      </c>
      <c r="L709" s="62" t="e">
        <f>VLOOKUP(Tableau242[[#This Row],[Company number]],#REF!,25,FALSE)</f>
        <v>#REF!</v>
      </c>
      <c r="M709" s="62" t="str">
        <f>IFERROR(VLOOKUP(Tableau242[[#This Row],[Company number]],#REF!,30,FALSE),"")</f>
        <v/>
      </c>
      <c r="N709" s="62" t="str">
        <f>IFERROR(VLOOKUP(Tableau242[[#This Row],[Company number]],#REF!,31,FALSE),"")</f>
        <v/>
      </c>
      <c r="O709" s="62" t="str">
        <f>IFERROR(VLOOKUP(Tableau242[[#This Row],[Company number]],#REF!,32,FALSE),"")</f>
        <v/>
      </c>
      <c r="P709" s="62">
        <f>IFERROR(VLOOKUP(B709,Tableau3[#All],5,FALSE),"Matricule!")</f>
        <v>18</v>
      </c>
      <c r="Q709" s="62">
        <f>IFERROR(SUM(VLOOKUP(B709,Tableau3[#All],6,FALSE),VLOOKUP(B709,Tableau3[#All],8,FALSE)),"Matricule!")</f>
        <v>0</v>
      </c>
      <c r="R709" s="62">
        <f>IFERROR(VLOOKUP(B709,Tableau3[#All],7,FALSE),"Matricule!")</f>
        <v>2</v>
      </c>
      <c r="S709" s="62">
        <f>IFERROR(Tableau242[[#This Row],[Prod. days WK]]-Tableau242[[#This Row],[Prod PXX]],"Matricule")</f>
        <v>0</v>
      </c>
      <c r="T709" s="62">
        <f>IFERROR(Tableau242[[#This Row],[Non prod. days WK]]-Tableau242[[#This Row],[Improd PXX]],"Matricule")</f>
        <v>0</v>
      </c>
      <c r="U709" s="62">
        <f>IFERROR(Tableau242[[#This Row],[Paid leave days WK]]-Tableau242[[#This Row],[Congé PXX]],"Matricule")</f>
        <v>0</v>
      </c>
      <c r="V709" s="63">
        <f>IFERROR(VLOOKUP($B709,#REF!,4,FALSE),0)</f>
        <v>0</v>
      </c>
      <c r="W70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0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09" s="63">
        <f>IF(AND(Tableau242[[#This Row],[Paid leave days]]&gt;0,Tableau242[[#This Row],[Prod. days]]&lt;0),MIN(Tableau242[[#This Row],[Paid leave days]],-Tableau242[[#This Row],[Prod. days]]),0)</f>
        <v>0</v>
      </c>
      <c r="Z709" s="63">
        <f>IFERROR(_xlfn.XLOOKUP(Tableau242[[#This Row],[Consultant]],Tableau2[Collaborateur/Nom affiché],Tableau2[Montant imputé],0),0)</f>
        <v>0</v>
      </c>
      <c r="AA709" s="64">
        <f t="shared" si="11"/>
        <v>0</v>
      </c>
      <c r="AB709" s="78"/>
      <c r="AC709" s="67"/>
      <c r="AD709" s="67"/>
      <c r="AE709" s="106"/>
      <c r="AF709" s="92"/>
    </row>
    <row r="710" spans="1:32">
      <c r="A710" s="15">
        <f>Tableau242[[#This Row],[Company number]]+0</f>
        <v>20492</v>
      </c>
      <c r="B710" s="60" t="s">
        <v>1520</v>
      </c>
      <c r="C710" s="61" t="s">
        <v>1521</v>
      </c>
      <c r="D710" s="61" t="s">
        <v>8</v>
      </c>
      <c r="E710" s="62" t="str">
        <f>IFERROR(VLOOKUP(Tableau242[[#This Row],[Manager ou CDM concerné]],Parametres!B:C,2,FALSE),"")</f>
        <v>Squad B</v>
      </c>
      <c r="F710" s="62" t="str">
        <f>IF(Tableau242[[#This Row],[Consultant]]=Tableau242[[#This Row],[Manager ou CDM concerné]],"Non",IF(IFERROR(VLOOKUP(Tableau242[[#This Row],[Consultant]],Parametres!B:C,2,FALSE),0)=0,"Non","Oui"))</f>
        <v>Non</v>
      </c>
      <c r="G710" s="62">
        <f>IFERROR(VLOOKUP(B710,Tableau5[#All],4,FALSE),"Matricule!")</f>
        <v>20</v>
      </c>
      <c r="H710" s="62" t="str">
        <f>IFERROR(VLOOKUP(Tableau242[[#This Row],[Company number]],#REF!,6,FALSE),"")</f>
        <v/>
      </c>
      <c r="I710" s="62">
        <f>IFERROR(VLOOKUP(B710,Tableau5[#All],5,FALSE),"Matricule!")</f>
        <v>0</v>
      </c>
      <c r="J710" s="62">
        <f>IFERROR(VLOOKUP(B710,Tableau5[#All],6,FALSE),"Matricule!")</f>
        <v>0</v>
      </c>
      <c r="K710" s="62">
        <f>IFERROR(VLOOKUP(B710,Tableau5[#All],7,FALSE),"Matricule!")</f>
        <v>0</v>
      </c>
      <c r="L710" s="62" t="e">
        <f>VLOOKUP(Tableau242[[#This Row],[Company number]],#REF!,25,FALSE)</f>
        <v>#REF!</v>
      </c>
      <c r="M710" s="62" t="str">
        <f>IFERROR(VLOOKUP(Tableau242[[#This Row],[Company number]],#REF!,30,FALSE),"")</f>
        <v/>
      </c>
      <c r="N710" s="62" t="str">
        <f>IFERROR(VLOOKUP(Tableau242[[#This Row],[Company number]],#REF!,31,FALSE),"")</f>
        <v/>
      </c>
      <c r="O710" s="62" t="str">
        <f>IFERROR(VLOOKUP(Tableau242[[#This Row],[Company number]],#REF!,32,FALSE),"")</f>
        <v/>
      </c>
      <c r="P710" s="62">
        <f>IFERROR(VLOOKUP(B710,Tableau3[#All],5,FALSE),"Matricule!")</f>
        <v>20</v>
      </c>
      <c r="Q710" s="62">
        <f>IFERROR(SUM(VLOOKUP(B710,Tableau3[#All],6,FALSE),VLOOKUP(B710,Tableau3[#All],8,FALSE)),"Matricule!")</f>
        <v>0</v>
      </c>
      <c r="R710" s="62">
        <f>IFERROR(VLOOKUP(B710,Tableau3[#All],7,FALSE),"Matricule!")</f>
        <v>0</v>
      </c>
      <c r="S710" s="62">
        <f>IFERROR(Tableau242[[#This Row],[Prod. days WK]]-Tableau242[[#This Row],[Prod PXX]],"Matricule")</f>
        <v>0</v>
      </c>
      <c r="T710" s="62">
        <f>IFERROR(Tableau242[[#This Row],[Non prod. days WK]]-Tableau242[[#This Row],[Improd PXX]],"Matricule")</f>
        <v>0</v>
      </c>
      <c r="U710" s="62">
        <f>IFERROR(Tableau242[[#This Row],[Paid leave days WK]]-Tableau242[[#This Row],[Congé PXX]],"Matricule")</f>
        <v>0</v>
      </c>
      <c r="V710" s="63">
        <f>IFERROR(VLOOKUP($B710,#REF!,4,FALSE),0)</f>
        <v>0</v>
      </c>
      <c r="W71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10" s="63">
        <f>IF(AND(Tableau242[[#This Row],[Paid leave days]]&gt;0,Tableau242[[#This Row],[Prod. days]]&lt;0),MIN(Tableau242[[#This Row],[Paid leave days]],-Tableau242[[#This Row],[Prod. days]]),0)</f>
        <v>0</v>
      </c>
      <c r="Z710" s="63">
        <f>IFERROR(_xlfn.XLOOKUP(Tableau242[[#This Row],[Consultant]],Tableau2[Collaborateur/Nom affiché],Tableau2[Montant imputé],0),0)</f>
        <v>0</v>
      </c>
      <c r="AA710" s="64">
        <f t="shared" si="11"/>
        <v>0</v>
      </c>
      <c r="AB710" s="65"/>
      <c r="AC710" s="66"/>
      <c r="AD710" s="66"/>
      <c r="AE710" s="39"/>
      <c r="AF710" s="90"/>
    </row>
    <row r="711" spans="1:32">
      <c r="A711" s="15">
        <f>Tableau242[[#This Row],[Company number]]+0</f>
        <v>21000</v>
      </c>
      <c r="B711" s="60" t="s">
        <v>1522</v>
      </c>
      <c r="C711" s="61" t="s">
        <v>1523</v>
      </c>
      <c r="D711" s="61" t="s">
        <v>30</v>
      </c>
      <c r="E711" s="62" t="str">
        <f>IFERROR(VLOOKUP(Tableau242[[#This Row],[Manager ou CDM concerné]],Parametres!B:C,2,FALSE),"")</f>
        <v>Squad E</v>
      </c>
      <c r="F711" s="62" t="str">
        <f>IF(Tableau242[[#This Row],[Consultant]]=Tableau242[[#This Row],[Manager ou CDM concerné]],"Non",IF(IFERROR(VLOOKUP(Tableau242[[#This Row],[Consultant]],Parametres!B:C,2,FALSE),0)=0,"Non","Oui"))</f>
        <v>Non</v>
      </c>
      <c r="G711" s="62">
        <f>IFERROR(VLOOKUP(B711,Tableau5[#All],4,FALSE),"Matricule!")</f>
        <v>12.5</v>
      </c>
      <c r="H711" s="62" t="str">
        <f>IFERROR(VLOOKUP(Tableau242[[#This Row],[Company number]],#REF!,6,FALSE),"")</f>
        <v/>
      </c>
      <c r="I711" s="62">
        <f>IFERROR(VLOOKUP(B711,Tableau5[#All],5,FALSE),"Matricule!")</f>
        <v>7.5</v>
      </c>
      <c r="J711" s="62">
        <f>IFERROR(VLOOKUP(B711,Tableau5[#All],6,FALSE),"Matricule!")</f>
        <v>0</v>
      </c>
      <c r="K711" s="62">
        <f>IFERROR(VLOOKUP(B711,Tableau5[#All],7,FALSE),"Matricule!")</f>
        <v>0</v>
      </c>
      <c r="L711" s="62" t="e">
        <f>VLOOKUP(Tableau242[[#This Row],[Company number]],#REF!,25,FALSE)</f>
        <v>#REF!</v>
      </c>
      <c r="M711" s="62" t="str">
        <f>IFERROR(VLOOKUP(Tableau242[[#This Row],[Company number]],#REF!,30,FALSE),"")</f>
        <v/>
      </c>
      <c r="N711" s="62" t="str">
        <f>IFERROR(VLOOKUP(Tableau242[[#This Row],[Company number]],#REF!,31,FALSE),"")</f>
        <v/>
      </c>
      <c r="O711" s="62" t="str">
        <f>IFERROR(VLOOKUP(Tableau242[[#This Row],[Company number]],#REF!,32,FALSE),"")</f>
        <v/>
      </c>
      <c r="P711" s="62">
        <f>IFERROR(VLOOKUP(B711,Tableau3[#All],5,FALSE),"Matricule!")</f>
        <v>11</v>
      </c>
      <c r="Q711" s="62">
        <f>IFERROR(SUM(VLOOKUP(B711,Tableau3[#All],6,FALSE),VLOOKUP(B711,Tableau3[#All],8,FALSE)),"Matricule!")</f>
        <v>7</v>
      </c>
      <c r="R711" s="62">
        <f>IFERROR(VLOOKUP(B711,Tableau3[#All],7,FALSE),"Matricule!")</f>
        <v>2</v>
      </c>
      <c r="S711" s="62">
        <f>IFERROR(Tableau242[[#This Row],[Prod. days WK]]-Tableau242[[#This Row],[Prod PXX]],"Matricule")</f>
        <v>1.5</v>
      </c>
      <c r="T711" s="62">
        <f>IFERROR(Tableau242[[#This Row],[Non prod. days WK]]-Tableau242[[#This Row],[Improd PXX]],"Matricule")</f>
        <v>0.5</v>
      </c>
      <c r="U711" s="62">
        <f>IFERROR(Tableau242[[#This Row],[Paid leave days WK]]-Tableau242[[#This Row],[Congé PXX]],"Matricule")</f>
        <v>-2</v>
      </c>
      <c r="V711" s="63">
        <f>IFERROR(VLOOKUP($B711,#REF!,4,FALSE),0)</f>
        <v>0</v>
      </c>
      <c r="W71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711" s="63">
        <f>IF(AND(Tableau242[[#This Row],[Paid leave days]]&gt;0,Tableau242[[#This Row],[Prod. days]]&lt;0),MIN(Tableau242[[#This Row],[Paid leave days]],-Tableau242[[#This Row],[Prod. days]]),0)</f>
        <v>0</v>
      </c>
      <c r="Z711" s="63">
        <f>IFERROR(_xlfn.XLOOKUP(Tableau242[[#This Row],[Consultant]],Tableau2[Collaborateur/Nom affiché],Tableau2[Montant imputé],0),0)</f>
        <v>0</v>
      </c>
      <c r="AA711" s="64">
        <f t="shared" si="11"/>
        <v>1.5</v>
      </c>
      <c r="AB711" s="65"/>
      <c r="AC711" s="66"/>
      <c r="AD711" s="66"/>
      <c r="AE711" s="105"/>
      <c r="AF711" s="90"/>
    </row>
    <row r="712" spans="1:32">
      <c r="A712" s="15">
        <f>Tableau242[[#This Row],[Company number]]+0</f>
        <v>11127</v>
      </c>
      <c r="B712" s="60" t="s">
        <v>1524</v>
      </c>
      <c r="C712" s="61" t="s">
        <v>35</v>
      </c>
      <c r="D712" s="61" t="s">
        <v>8</v>
      </c>
      <c r="E712" s="62" t="str">
        <f>IFERROR(VLOOKUP(Tableau242[[#This Row],[Manager ou CDM concerné]],Parametres!B:C,2,FALSE),"")</f>
        <v>Squad B</v>
      </c>
      <c r="F712" s="62" t="str">
        <f>IF(Tableau242[[#This Row],[Consultant]]=Tableau242[[#This Row],[Manager ou CDM concerné]],"Non",IF(IFERROR(VLOOKUP(Tableau242[[#This Row],[Consultant]],Parametres!B:C,2,FALSE),0)=0,"Non","Oui"))</f>
        <v>Oui</v>
      </c>
      <c r="G712" s="62">
        <f>IFERROR(VLOOKUP(B712,Tableau5[#All],4,FALSE),"Matricule!")</f>
        <v>4</v>
      </c>
      <c r="H712" s="62" t="str">
        <f>IFERROR(VLOOKUP(Tableau242[[#This Row],[Company number]],#REF!,6,FALSE),"")</f>
        <v/>
      </c>
      <c r="I712" s="62">
        <f>IFERROR(VLOOKUP(B712,Tableau5[#All],5,FALSE),"Matricule!")</f>
        <v>16</v>
      </c>
      <c r="J712" s="62">
        <f>IFERROR(VLOOKUP(B712,Tableau5[#All],6,FALSE),"Matricule!")</f>
        <v>0</v>
      </c>
      <c r="K712" s="62">
        <f>IFERROR(VLOOKUP(B712,Tableau5[#All],7,FALSE),"Matricule!")</f>
        <v>0</v>
      </c>
      <c r="L712" s="62" t="e">
        <f>VLOOKUP(Tableau242[[#This Row],[Company number]],#REF!,25,FALSE)</f>
        <v>#REF!</v>
      </c>
      <c r="M712" s="62" t="str">
        <f>IFERROR(VLOOKUP(Tableau242[[#This Row],[Company number]],#REF!,30,FALSE),"")</f>
        <v/>
      </c>
      <c r="N712" s="62" t="str">
        <f>IFERROR(VLOOKUP(Tableau242[[#This Row],[Company number]],#REF!,31,FALSE),"")</f>
        <v/>
      </c>
      <c r="O712" s="62" t="str">
        <f>IFERROR(VLOOKUP(Tableau242[[#This Row],[Company number]],#REF!,32,FALSE),"")</f>
        <v/>
      </c>
      <c r="P712" s="62">
        <f>IFERROR(VLOOKUP(B712,Tableau3[#All],5,FALSE),"Matricule!")</f>
        <v>4</v>
      </c>
      <c r="Q712" s="62">
        <f>IFERROR(SUM(VLOOKUP(B712,Tableau3[#All],6,FALSE),VLOOKUP(B712,Tableau3[#All],8,FALSE)),"Matricule!")</f>
        <v>16</v>
      </c>
      <c r="R712" s="62">
        <f>IFERROR(VLOOKUP(B712,Tableau3[#All],7,FALSE),"Matricule!")</f>
        <v>0</v>
      </c>
      <c r="S712" s="62">
        <f>IFERROR(Tableau242[[#This Row],[Prod. days WK]]-Tableau242[[#This Row],[Prod PXX]],"Matricule")</f>
        <v>0</v>
      </c>
      <c r="T712" s="62">
        <f>IFERROR(Tableau242[[#This Row],[Non prod. days WK]]-Tableau242[[#This Row],[Improd PXX]],"Matricule")</f>
        <v>0</v>
      </c>
      <c r="U712" s="62">
        <f>IFERROR(Tableau242[[#This Row],[Paid leave days WK]]-Tableau242[[#This Row],[Congé PXX]],"Matricule")</f>
        <v>0</v>
      </c>
      <c r="V712" s="63">
        <f>IFERROR(VLOOKUP($B712,#REF!,4,FALSE),0)</f>
        <v>0</v>
      </c>
      <c r="W71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12" s="63">
        <f>IF(AND(Tableau242[[#This Row],[Paid leave days]]&gt;0,Tableau242[[#This Row],[Prod. days]]&lt;0),MIN(Tableau242[[#This Row],[Paid leave days]],-Tableau242[[#This Row],[Prod. days]]),0)</f>
        <v>0</v>
      </c>
      <c r="Z712" s="63">
        <f>IFERROR(_xlfn.XLOOKUP(Tableau242[[#This Row],[Consultant]],Tableau2[Collaborateur/Nom affiché],Tableau2[Montant imputé],0),0)</f>
        <v>0</v>
      </c>
      <c r="AA712" s="64">
        <f t="shared" si="11"/>
        <v>0</v>
      </c>
      <c r="AB712" s="65"/>
      <c r="AC712" s="66"/>
      <c r="AD712" s="66"/>
      <c r="AE712" s="105"/>
      <c r="AF712" s="90"/>
    </row>
    <row r="713" spans="1:32" ht="14.45" customHeight="1">
      <c r="A713" s="15">
        <f>Tableau242[[#This Row],[Company number]]+0</f>
        <v>8133</v>
      </c>
      <c r="B713" s="60" t="s">
        <v>1525</v>
      </c>
      <c r="C713" s="61" t="s">
        <v>1526</v>
      </c>
      <c r="D713" s="61" t="s">
        <v>8</v>
      </c>
      <c r="E713" s="62" t="str">
        <f>IFERROR(VLOOKUP(Tableau242[[#This Row],[Manager ou CDM concerné]],Parametres!B:C,2,FALSE),"")</f>
        <v>Squad B</v>
      </c>
      <c r="F713" s="62" t="str">
        <f>IF(Tableau242[[#This Row],[Consultant]]=Tableau242[[#This Row],[Manager ou CDM concerné]],"Non",IF(IFERROR(VLOOKUP(Tableau242[[#This Row],[Consultant]],Parametres!B:C,2,FALSE),0)=0,"Non","Oui"))</f>
        <v>Non</v>
      </c>
      <c r="G713" s="62">
        <f>IFERROR(VLOOKUP(B713,Tableau5[#All],4,FALSE),"Matricule!")</f>
        <v>19</v>
      </c>
      <c r="H713" s="62" t="str">
        <f>IFERROR(VLOOKUP(Tableau242[[#This Row],[Company number]],#REF!,6,FALSE),"")</f>
        <v/>
      </c>
      <c r="I713" s="62">
        <f>IFERROR(VLOOKUP(B713,Tableau5[#All],5,FALSE),"Matricule!")</f>
        <v>0</v>
      </c>
      <c r="J713" s="62">
        <f>IFERROR(VLOOKUP(B713,Tableau5[#All],6,FALSE),"Matricule!")</f>
        <v>1</v>
      </c>
      <c r="K713" s="62">
        <f>IFERROR(VLOOKUP(B713,Tableau5[#All],7,FALSE),"Matricule!")</f>
        <v>0</v>
      </c>
      <c r="L713" s="62" t="e">
        <f>VLOOKUP(Tableau242[[#This Row],[Company number]],#REF!,25,FALSE)</f>
        <v>#REF!</v>
      </c>
      <c r="M713" s="62" t="str">
        <f>IFERROR(VLOOKUP(Tableau242[[#This Row],[Company number]],#REF!,30,FALSE),"")</f>
        <v/>
      </c>
      <c r="N713" s="62" t="str">
        <f>IFERROR(VLOOKUP(Tableau242[[#This Row],[Company number]],#REF!,31,FALSE),"")</f>
        <v/>
      </c>
      <c r="O713" s="62" t="str">
        <f>IFERROR(VLOOKUP(Tableau242[[#This Row],[Company number]],#REF!,32,FALSE),"")</f>
        <v/>
      </c>
      <c r="P713" s="62">
        <f>IFERROR(VLOOKUP(B713,Tableau3[#All],5,FALSE),"Matricule!")</f>
        <v>19</v>
      </c>
      <c r="Q713" s="62">
        <f>IFERROR(SUM(VLOOKUP(B713,Tableau3[#All],6,FALSE),VLOOKUP(B713,Tableau3[#All],8,FALSE)),"Matricule!")</f>
        <v>0</v>
      </c>
      <c r="R713" s="62">
        <f>IFERROR(VLOOKUP(B713,Tableau3[#All],7,FALSE),"Matricule!")</f>
        <v>1</v>
      </c>
      <c r="S713" s="62">
        <f>IFERROR(Tableau242[[#This Row],[Prod. days WK]]-Tableau242[[#This Row],[Prod PXX]],"Matricule")</f>
        <v>0</v>
      </c>
      <c r="T713" s="62">
        <f>IFERROR(Tableau242[[#This Row],[Non prod. days WK]]-Tableau242[[#This Row],[Improd PXX]],"Matricule")</f>
        <v>0</v>
      </c>
      <c r="U713" s="62">
        <f>IFERROR(Tableau242[[#This Row],[Paid leave days WK]]-Tableau242[[#This Row],[Congé PXX]],"Matricule")</f>
        <v>0</v>
      </c>
      <c r="V713" s="63">
        <f>IFERROR(VLOOKUP($B713,#REF!,4,FALSE),0)</f>
        <v>0</v>
      </c>
      <c r="W71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13" s="63">
        <f>IF(AND(Tableau242[[#This Row],[Paid leave days]]&gt;0,Tableau242[[#This Row],[Prod. days]]&lt;0),MIN(Tableau242[[#This Row],[Paid leave days]],-Tableau242[[#This Row],[Prod. days]]),0)</f>
        <v>0</v>
      </c>
      <c r="Z713" s="63">
        <f>IFERROR(_xlfn.XLOOKUP(Tableau242[[#This Row],[Consultant]],Tableau2[Collaborateur/Nom affiché],Tableau2[Montant imputé],0),0)</f>
        <v>0</v>
      </c>
      <c r="AA713" s="64">
        <f t="shared" si="11"/>
        <v>0</v>
      </c>
      <c r="AB713" s="65"/>
      <c r="AC713" s="66"/>
      <c r="AD713" s="66"/>
      <c r="AE713" s="105"/>
      <c r="AF713" s="90"/>
    </row>
    <row r="714" spans="1:32">
      <c r="A714" s="15">
        <f>Tableau242[[#This Row],[Company number]]+0</f>
        <v>5515</v>
      </c>
      <c r="B714" s="60" t="s">
        <v>1527</v>
      </c>
      <c r="C714" s="61" t="s">
        <v>55</v>
      </c>
      <c r="D714" s="61" t="s">
        <v>8</v>
      </c>
      <c r="E714" s="62" t="str">
        <f>IFERROR(VLOOKUP(Tableau242[[#This Row],[Manager ou CDM concerné]],Parametres!B:C,2,FALSE),"")</f>
        <v>Squad B</v>
      </c>
      <c r="F714" s="62" t="str">
        <f>IF(Tableau242[[#This Row],[Consultant]]=Tableau242[[#This Row],[Manager ou CDM concerné]],"Non",IF(IFERROR(VLOOKUP(Tableau242[[#This Row],[Consultant]],Parametres!B:C,2,FALSE),0)=0,"Non","Oui"))</f>
        <v>Oui</v>
      </c>
      <c r="G714" s="62">
        <f>IFERROR(VLOOKUP(B714,Tableau5[#All],4,FALSE),"Matricule!")</f>
        <v>11</v>
      </c>
      <c r="H714" s="62" t="str">
        <f>IFERROR(VLOOKUP(Tableau242[[#This Row],[Company number]],#REF!,6,FALSE),"")</f>
        <v/>
      </c>
      <c r="I714" s="62">
        <f>IFERROR(VLOOKUP(B714,Tableau5[#All],5,FALSE),"Matricule!")</f>
        <v>8</v>
      </c>
      <c r="J714" s="62">
        <f>IFERROR(VLOOKUP(B714,Tableau5[#All],6,FALSE),"Matricule!")</f>
        <v>1</v>
      </c>
      <c r="K714" s="62">
        <f>IFERROR(VLOOKUP(B714,Tableau5[#All],7,FALSE),"Matricule!")</f>
        <v>0</v>
      </c>
      <c r="L714" s="62" t="e">
        <f>VLOOKUP(Tableau242[[#This Row],[Company number]],#REF!,25,FALSE)</f>
        <v>#REF!</v>
      </c>
      <c r="M714" s="62" t="str">
        <f>IFERROR(VLOOKUP(Tableau242[[#This Row],[Company number]],#REF!,30,FALSE),"")</f>
        <v/>
      </c>
      <c r="N714" s="62" t="str">
        <f>IFERROR(VLOOKUP(Tableau242[[#This Row],[Company number]],#REF!,31,FALSE),"")</f>
        <v/>
      </c>
      <c r="O714" s="62" t="str">
        <f>IFERROR(VLOOKUP(Tableau242[[#This Row],[Company number]],#REF!,32,FALSE),"")</f>
        <v/>
      </c>
      <c r="P714" s="62">
        <f>IFERROR(VLOOKUP(B714,Tableau3[#All],5,FALSE),"Matricule!")</f>
        <v>11</v>
      </c>
      <c r="Q714" s="62">
        <f>IFERROR(SUM(VLOOKUP(B714,Tableau3[#All],6,FALSE),VLOOKUP(B714,Tableau3[#All],8,FALSE)),"Matricule!")</f>
        <v>8</v>
      </c>
      <c r="R714" s="62">
        <f>IFERROR(VLOOKUP(B714,Tableau3[#All],7,FALSE),"Matricule!")</f>
        <v>1</v>
      </c>
      <c r="S714" s="62">
        <f>IFERROR(Tableau242[[#This Row],[Prod. days WK]]-Tableau242[[#This Row],[Prod PXX]],"Matricule")</f>
        <v>0</v>
      </c>
      <c r="T714" s="62">
        <f>IFERROR(Tableau242[[#This Row],[Non prod. days WK]]-Tableau242[[#This Row],[Improd PXX]],"Matricule")</f>
        <v>0</v>
      </c>
      <c r="U714" s="62">
        <f>IFERROR(Tableau242[[#This Row],[Paid leave days WK]]-Tableau242[[#This Row],[Congé PXX]],"Matricule")</f>
        <v>0</v>
      </c>
      <c r="V714" s="63">
        <f>IFERROR(VLOOKUP($B714,#REF!,4,FALSE),0)</f>
        <v>0</v>
      </c>
      <c r="W71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14" s="63">
        <f>IF(AND(Tableau242[[#This Row],[Paid leave days]]&gt;0,Tableau242[[#This Row],[Prod. days]]&lt;0),MIN(Tableau242[[#This Row],[Paid leave days]],-Tableau242[[#This Row],[Prod. days]]),0)</f>
        <v>0</v>
      </c>
      <c r="Z714" s="63">
        <f>IFERROR(_xlfn.XLOOKUP(Tableau242[[#This Row],[Consultant]],Tableau2[Collaborateur/Nom affiché],Tableau2[Montant imputé],0),0)</f>
        <v>0</v>
      </c>
      <c r="AA714" s="64">
        <f t="shared" si="11"/>
        <v>0</v>
      </c>
      <c r="AB714" s="65"/>
      <c r="AC714" s="66"/>
      <c r="AD714" s="66"/>
      <c r="AE714" s="105"/>
      <c r="AF714" s="90"/>
    </row>
    <row r="715" spans="1:32" ht="14.45" customHeight="1">
      <c r="A715" s="15">
        <f>Tableau242[[#This Row],[Company number]]+0</f>
        <v>17268</v>
      </c>
      <c r="B715" s="60" t="s">
        <v>1528</v>
      </c>
      <c r="C715" s="61" t="s">
        <v>1529</v>
      </c>
      <c r="D715" s="61" t="s">
        <v>4</v>
      </c>
      <c r="E715" s="62" t="str">
        <f>IFERROR(VLOOKUP(Tableau242[[#This Row],[Manager ou CDM concerné]],Parametres!B:C,2,FALSE),"")</f>
        <v>Squad A</v>
      </c>
      <c r="F715" s="62" t="str">
        <f>IF(Tableau242[[#This Row],[Consultant]]=Tableau242[[#This Row],[Manager ou CDM concerné]],"Non",IF(IFERROR(VLOOKUP(Tableau242[[#This Row],[Consultant]],Parametres!B:C,2,FALSE),0)=0,"Non","Oui"))</f>
        <v>Non</v>
      </c>
      <c r="G715" s="62">
        <f>IFERROR(VLOOKUP(B715,Tableau5[#All],4,FALSE),"Matricule!")</f>
        <v>19.5</v>
      </c>
      <c r="H715" s="62" t="str">
        <f>IFERROR(VLOOKUP(Tableau242[[#This Row],[Company number]],#REF!,6,FALSE),"")</f>
        <v/>
      </c>
      <c r="I715" s="62">
        <f>IFERROR(VLOOKUP(B715,Tableau5[#All],5,FALSE),"Matricule!")</f>
        <v>0.5</v>
      </c>
      <c r="J715" s="62">
        <f>IFERROR(VLOOKUP(B715,Tableau5[#All],6,FALSE),"Matricule!")</f>
        <v>0</v>
      </c>
      <c r="K715" s="62">
        <f>IFERROR(VLOOKUP(B715,Tableau5[#All],7,FALSE),"Matricule!")</f>
        <v>0</v>
      </c>
      <c r="L715" s="62" t="e">
        <f>VLOOKUP(Tableau242[[#This Row],[Company number]],#REF!,25,FALSE)</f>
        <v>#REF!</v>
      </c>
      <c r="M715" s="62" t="str">
        <f>IFERROR(VLOOKUP(Tableau242[[#This Row],[Company number]],#REF!,30,FALSE),"")</f>
        <v/>
      </c>
      <c r="N715" s="62" t="str">
        <f>IFERROR(VLOOKUP(Tableau242[[#This Row],[Company number]],#REF!,31,FALSE),"")</f>
        <v/>
      </c>
      <c r="O715" s="62" t="str">
        <f>IFERROR(VLOOKUP(Tableau242[[#This Row],[Company number]],#REF!,32,FALSE),"")</f>
        <v/>
      </c>
      <c r="P715" s="62">
        <f>IFERROR(VLOOKUP(B715,Tableau3[#All],5,FALSE),"Matricule!")</f>
        <v>16</v>
      </c>
      <c r="Q715" s="62">
        <f>IFERROR(SUM(VLOOKUP(B715,Tableau3[#All],6,FALSE),VLOOKUP(B715,Tableau3[#All],8,FALSE)),"Matricule!")</f>
        <v>0</v>
      </c>
      <c r="R715" s="62">
        <f>IFERROR(VLOOKUP(B715,Tableau3[#All],7,FALSE),"Matricule!")</f>
        <v>4</v>
      </c>
      <c r="S715" s="62">
        <f>IFERROR(Tableau242[[#This Row],[Prod. days WK]]-Tableau242[[#This Row],[Prod PXX]],"Matricule")</f>
        <v>3.5</v>
      </c>
      <c r="T715" s="62">
        <f>IFERROR(Tableau242[[#This Row],[Non prod. days WK]]-Tableau242[[#This Row],[Improd PXX]],"Matricule")</f>
        <v>0.5</v>
      </c>
      <c r="U715" s="62">
        <f>IFERROR(Tableau242[[#This Row],[Paid leave days WK]]-Tableau242[[#This Row],[Congé PXX]],"Matricule")</f>
        <v>-4</v>
      </c>
      <c r="V715" s="63">
        <f>IFERROR(VLOOKUP($B715,#REF!,4,FALSE),0)</f>
        <v>0</v>
      </c>
      <c r="W715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5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715" s="63">
        <f>IF(AND(Tableau242[[#This Row],[Paid leave days]]&gt;0,Tableau242[[#This Row],[Prod. days]]&lt;0),MIN(Tableau242[[#This Row],[Paid leave days]],-Tableau242[[#This Row],[Prod. days]]),0)</f>
        <v>0</v>
      </c>
      <c r="Z715" s="63">
        <f>IFERROR(_xlfn.XLOOKUP(Tableau242[[#This Row],[Consultant]],Tableau2[Collaborateur/Nom affiché],Tableau2[Montant imputé],0),0)</f>
        <v>0</v>
      </c>
      <c r="AA715" s="64">
        <f t="shared" ref="AA715:AA778" si="12">IFERROR(S715+Z715,S715)</f>
        <v>3.5</v>
      </c>
      <c r="AB715" s="65"/>
      <c r="AC715" s="66"/>
      <c r="AD715" s="66"/>
      <c r="AE715" s="105"/>
      <c r="AF715" s="90"/>
    </row>
    <row r="716" spans="1:32" ht="14.45" customHeight="1">
      <c r="A716" s="15">
        <f>Tableau242[[#This Row],[Company number]]+0</f>
        <v>9310</v>
      </c>
      <c r="B716" s="60" t="s">
        <v>1530</v>
      </c>
      <c r="C716" s="61" t="s">
        <v>15</v>
      </c>
      <c r="D716" s="61" t="s">
        <v>8</v>
      </c>
      <c r="E716" s="62" t="str">
        <f>IFERROR(VLOOKUP(Tableau242[[#This Row],[Manager ou CDM concerné]],Parametres!B:C,2,FALSE),"")</f>
        <v>Squad B</v>
      </c>
      <c r="F716" s="62" t="str">
        <f>IF(Tableau242[[#This Row],[Consultant]]=Tableau242[[#This Row],[Manager ou CDM concerné]],"Non",IF(IFERROR(VLOOKUP(Tableau242[[#This Row],[Consultant]],Parametres!B:C,2,FALSE),0)=0,"Non","Oui"))</f>
        <v>Oui</v>
      </c>
      <c r="G716" s="62">
        <f>IFERROR(VLOOKUP(B716,Tableau5[#All],4,FALSE),"Matricule!")</f>
        <v>19</v>
      </c>
      <c r="H716" s="62" t="str">
        <f>IFERROR(VLOOKUP(Tableau242[[#This Row],[Company number]],#REF!,6,FALSE),"")</f>
        <v/>
      </c>
      <c r="I716" s="62">
        <f>IFERROR(VLOOKUP(B716,Tableau5[#All],5,FALSE),"Matricule!")</f>
        <v>1</v>
      </c>
      <c r="J716" s="62">
        <f>IFERROR(VLOOKUP(B716,Tableau5[#All],6,FALSE),"Matricule!")</f>
        <v>0</v>
      </c>
      <c r="K716" s="62">
        <f>IFERROR(VLOOKUP(B716,Tableau5[#All],7,FALSE),"Matricule!")</f>
        <v>0</v>
      </c>
      <c r="L716" s="62" t="e">
        <f>VLOOKUP(Tableau242[[#This Row],[Company number]],#REF!,25,FALSE)</f>
        <v>#REF!</v>
      </c>
      <c r="M716" s="62" t="str">
        <f>IFERROR(VLOOKUP(Tableau242[[#This Row],[Company number]],#REF!,30,FALSE),"")</f>
        <v/>
      </c>
      <c r="N716" s="62" t="str">
        <f>IFERROR(VLOOKUP(Tableau242[[#This Row],[Company number]],#REF!,31,FALSE),"")</f>
        <v/>
      </c>
      <c r="O716" s="62" t="str">
        <f>IFERROR(VLOOKUP(Tableau242[[#This Row],[Company number]],#REF!,32,FALSE),"")</f>
        <v/>
      </c>
      <c r="P716" s="62">
        <f>IFERROR(VLOOKUP(B716,Tableau3[#All],5,FALSE),"Matricule!")</f>
        <v>19</v>
      </c>
      <c r="Q716" s="62">
        <f>IFERROR(SUM(VLOOKUP(B716,Tableau3[#All],6,FALSE),VLOOKUP(B716,Tableau3[#All],8,FALSE)),"Matricule!")</f>
        <v>1</v>
      </c>
      <c r="R716" s="62">
        <f>IFERROR(VLOOKUP(B716,Tableau3[#All],7,FALSE),"Matricule!")</f>
        <v>0</v>
      </c>
      <c r="S716" s="62">
        <f>IFERROR(Tableau242[[#This Row],[Prod. days WK]]-Tableau242[[#This Row],[Prod PXX]],"Matricule")</f>
        <v>0</v>
      </c>
      <c r="T716" s="62">
        <f>IFERROR(Tableau242[[#This Row],[Non prod. days WK]]-Tableau242[[#This Row],[Improd PXX]],"Matricule")</f>
        <v>0</v>
      </c>
      <c r="U716" s="62">
        <f>IFERROR(Tableau242[[#This Row],[Paid leave days WK]]-Tableau242[[#This Row],[Congé PXX]],"Matricule")</f>
        <v>0</v>
      </c>
      <c r="V716" s="63">
        <f>IFERROR(VLOOKUP($B716,#REF!,4,FALSE),0)</f>
        <v>0</v>
      </c>
      <c r="W71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16" s="63">
        <f>IF(AND(Tableau242[[#This Row],[Paid leave days]]&gt;0,Tableau242[[#This Row],[Prod. days]]&lt;0),MIN(Tableau242[[#This Row],[Paid leave days]],-Tableau242[[#This Row],[Prod. days]]),0)</f>
        <v>0</v>
      </c>
      <c r="Z716" s="63">
        <f>IFERROR(_xlfn.XLOOKUP(Tableau242[[#This Row],[Consultant]],Tableau2[Collaborateur/Nom affiché],Tableau2[Montant imputé],0),0)</f>
        <v>0</v>
      </c>
      <c r="AA716" s="64">
        <f t="shared" si="12"/>
        <v>0</v>
      </c>
      <c r="AB716" s="65"/>
      <c r="AC716" s="66"/>
      <c r="AD716" s="66"/>
      <c r="AE716" s="105"/>
      <c r="AF716" s="90"/>
    </row>
    <row r="717" spans="1:32" ht="14.45" customHeight="1">
      <c r="A717" s="15">
        <f>Tableau242[[#This Row],[Company number]]+0</f>
        <v>473</v>
      </c>
      <c r="B717" s="60" t="s">
        <v>1531</v>
      </c>
      <c r="C717" s="61" t="s">
        <v>1532</v>
      </c>
      <c r="D717" s="61" t="s">
        <v>63</v>
      </c>
      <c r="E717" s="62" t="str">
        <f>IFERROR(VLOOKUP(Tableau242[[#This Row],[Manager ou CDM concerné]],Parametres!B:C,2,FALSE),"")</f>
        <v>Squad B</v>
      </c>
      <c r="F717" s="62" t="str">
        <f>IF(Tableau242[[#This Row],[Consultant]]=Tableau242[[#This Row],[Manager ou CDM concerné]],"Non",IF(IFERROR(VLOOKUP(Tableau242[[#This Row],[Consultant]],Parametres!B:C,2,FALSE),0)=0,"Non","Oui"))</f>
        <v>Non</v>
      </c>
      <c r="G717" s="62">
        <f>IFERROR(VLOOKUP(B717,Tableau5[#All],4,FALSE),"Matricule!")</f>
        <v>16</v>
      </c>
      <c r="H717" s="62" t="str">
        <f>IFERROR(VLOOKUP(Tableau242[[#This Row],[Company number]],#REF!,6,FALSE),"")</f>
        <v/>
      </c>
      <c r="I717" s="62">
        <f>IFERROR(VLOOKUP(B717,Tableau5[#All],5,FALSE),"Matricule!")</f>
        <v>4</v>
      </c>
      <c r="J717" s="62">
        <f>IFERROR(VLOOKUP(B717,Tableau5[#All],6,FALSE),"Matricule!")</f>
        <v>0</v>
      </c>
      <c r="K717" s="62">
        <f>IFERROR(VLOOKUP(B717,Tableau5[#All],7,FALSE),"Matricule!")</f>
        <v>0</v>
      </c>
      <c r="L717" s="62" t="e">
        <f>VLOOKUP(Tableau242[[#This Row],[Company number]],#REF!,25,FALSE)</f>
        <v>#REF!</v>
      </c>
      <c r="M717" s="62" t="str">
        <f>IFERROR(VLOOKUP(Tableau242[[#This Row],[Company number]],#REF!,30,FALSE),"")</f>
        <v/>
      </c>
      <c r="N717" s="62" t="str">
        <f>IFERROR(VLOOKUP(Tableau242[[#This Row],[Company number]],#REF!,31,FALSE),"")</f>
        <v/>
      </c>
      <c r="O717" s="62" t="str">
        <f>IFERROR(VLOOKUP(Tableau242[[#This Row],[Company number]],#REF!,32,FALSE),"")</f>
        <v/>
      </c>
      <c r="P717" s="62">
        <f>IFERROR(VLOOKUP(B717,Tableau3[#All],5,FALSE),"Matricule!")</f>
        <v>12</v>
      </c>
      <c r="Q717" s="62">
        <f>IFERROR(SUM(VLOOKUP(B717,Tableau3[#All],6,FALSE),VLOOKUP(B717,Tableau3[#All],8,FALSE)),"Matricule!")</f>
        <v>3</v>
      </c>
      <c r="R717" s="62">
        <f>IFERROR(VLOOKUP(B717,Tableau3[#All],7,FALSE),"Matricule!")</f>
        <v>5</v>
      </c>
      <c r="S717" s="62">
        <f>IFERROR(Tableau242[[#This Row],[Prod. days WK]]-Tableau242[[#This Row],[Prod PXX]],"Matricule")</f>
        <v>4</v>
      </c>
      <c r="T717" s="62">
        <f>IFERROR(Tableau242[[#This Row],[Non prod. days WK]]-Tableau242[[#This Row],[Improd PXX]],"Matricule")</f>
        <v>1</v>
      </c>
      <c r="U717" s="62">
        <f>IFERROR(Tableau242[[#This Row],[Paid leave days WK]]-Tableau242[[#This Row],[Congé PXX]],"Matricule")</f>
        <v>-5</v>
      </c>
      <c r="V717" s="63">
        <f>IFERROR(VLOOKUP($B717,#REF!,4,FALSE),0)</f>
        <v>0</v>
      </c>
      <c r="W71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717" s="63">
        <f>IF(AND(Tableau242[[#This Row],[Paid leave days]]&gt;0,Tableau242[[#This Row],[Prod. days]]&lt;0),MIN(Tableau242[[#This Row],[Paid leave days]],-Tableau242[[#This Row],[Prod. days]]),0)</f>
        <v>0</v>
      </c>
      <c r="Z717" s="63">
        <f>IFERROR(_xlfn.XLOOKUP(Tableau242[[#This Row],[Consultant]],Tableau2[Collaborateur/Nom affiché],Tableau2[Montant imputé],0),0)</f>
        <v>0</v>
      </c>
      <c r="AA717" s="64">
        <f t="shared" si="12"/>
        <v>4</v>
      </c>
      <c r="AB717" s="65"/>
      <c r="AC717" s="74"/>
      <c r="AD717" s="66"/>
      <c r="AE717" s="39"/>
      <c r="AF717" s="90"/>
    </row>
    <row r="718" spans="1:32" ht="14.45" customHeight="1">
      <c r="A718" s="15">
        <f>Tableau242[[#This Row],[Company number]]+0</f>
        <v>5788</v>
      </c>
      <c r="B718" s="60" t="s">
        <v>1533</v>
      </c>
      <c r="C718" s="61" t="s">
        <v>41</v>
      </c>
      <c r="D718" s="61" t="s">
        <v>8</v>
      </c>
      <c r="E718" s="62" t="str">
        <f>IFERROR(VLOOKUP(Tableau242[[#This Row],[Manager ou CDM concerné]],Parametres!B:C,2,FALSE),"")</f>
        <v>Squad B</v>
      </c>
      <c r="F718" s="62" t="str">
        <f>IF(Tableau242[[#This Row],[Consultant]]=Tableau242[[#This Row],[Manager ou CDM concerné]],"Non",IF(IFERROR(VLOOKUP(Tableau242[[#This Row],[Consultant]],Parametres!B:C,2,FALSE),0)=0,"Non","Oui"))</f>
        <v>Oui</v>
      </c>
      <c r="G718" s="62">
        <f>IFERROR(VLOOKUP(B718,Tableau5[#All],4,FALSE),"Matricule!")</f>
        <v>14</v>
      </c>
      <c r="H718" s="62" t="str">
        <f>IFERROR(VLOOKUP(Tableau242[[#This Row],[Company number]],#REF!,6,FALSE),"")</f>
        <v/>
      </c>
      <c r="I718" s="62">
        <f>IFERROR(VLOOKUP(B718,Tableau5[#All],5,FALSE),"Matricule!")</f>
        <v>5</v>
      </c>
      <c r="J718" s="62">
        <f>IFERROR(VLOOKUP(B718,Tableau5[#All],6,FALSE),"Matricule!")</f>
        <v>0</v>
      </c>
      <c r="K718" s="62">
        <f>IFERROR(VLOOKUP(B718,Tableau5[#All],7,FALSE),"Matricule!")</f>
        <v>1</v>
      </c>
      <c r="L718" s="62" t="e">
        <f>VLOOKUP(Tableau242[[#This Row],[Company number]],#REF!,25,FALSE)</f>
        <v>#REF!</v>
      </c>
      <c r="M718" s="62" t="str">
        <f>IFERROR(VLOOKUP(Tableau242[[#This Row],[Company number]],#REF!,30,FALSE),"")</f>
        <v/>
      </c>
      <c r="N718" s="62" t="str">
        <f>IFERROR(VLOOKUP(Tableau242[[#This Row],[Company number]],#REF!,31,FALSE),"")</f>
        <v/>
      </c>
      <c r="O718" s="62" t="str">
        <f>IFERROR(VLOOKUP(Tableau242[[#This Row],[Company number]],#REF!,32,FALSE),"")</f>
        <v/>
      </c>
      <c r="P718" s="62">
        <f>IFERROR(VLOOKUP(B718,Tableau3[#All],5,FALSE),"Matricule!")</f>
        <v>13</v>
      </c>
      <c r="Q718" s="62">
        <f>IFERROR(SUM(VLOOKUP(B718,Tableau3[#All],6,FALSE),VLOOKUP(B718,Tableau3[#All],8,FALSE)),"Matricule!")</f>
        <v>6</v>
      </c>
      <c r="R718" s="62">
        <f>IFERROR(VLOOKUP(B718,Tableau3[#All],7,FALSE),"Matricule!")</f>
        <v>0</v>
      </c>
      <c r="S718" s="62">
        <f>IFERROR(Tableau242[[#This Row],[Prod. days WK]]-Tableau242[[#This Row],[Prod PXX]],"Matricule")</f>
        <v>1</v>
      </c>
      <c r="T718" s="62">
        <f>IFERROR(Tableau242[[#This Row],[Non prod. days WK]]-Tableau242[[#This Row],[Improd PXX]],"Matricule")</f>
        <v>-1</v>
      </c>
      <c r="U718" s="62">
        <f>IFERROR(Tableau242[[#This Row],[Paid leave days WK]]-Tableau242[[#This Row],[Congé PXX]],"Matricule")</f>
        <v>0</v>
      </c>
      <c r="V718" s="63">
        <f>IFERROR(VLOOKUP($B718,#REF!,4,FALSE),0)</f>
        <v>0</v>
      </c>
      <c r="W71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18" s="63">
        <f>IF(AND(Tableau242[[#This Row],[Paid leave days]]&gt;0,Tableau242[[#This Row],[Prod. days]]&lt;0),MIN(Tableau242[[#This Row],[Paid leave days]],-Tableau242[[#This Row],[Prod. days]]),0)</f>
        <v>0</v>
      </c>
      <c r="Z718" s="63">
        <f>IFERROR(_xlfn.XLOOKUP(Tableau242[[#This Row],[Consultant]],Tableau2[Collaborateur/Nom affiché],Tableau2[Montant imputé],0),0)</f>
        <v>0</v>
      </c>
      <c r="AA718" s="64">
        <f t="shared" si="12"/>
        <v>1</v>
      </c>
      <c r="AB718" s="65"/>
      <c r="AC718" s="66"/>
      <c r="AD718" s="66"/>
      <c r="AE718" s="105"/>
      <c r="AF718" s="90"/>
    </row>
    <row r="719" spans="1:32" ht="14.45" customHeight="1">
      <c r="A719" s="15">
        <f>Tableau242[[#This Row],[Company number]]+0</f>
        <v>20877</v>
      </c>
      <c r="B719" s="60" t="s">
        <v>1534</v>
      </c>
      <c r="C719" s="61" t="s">
        <v>1535</v>
      </c>
      <c r="D719" s="61" t="s">
        <v>75</v>
      </c>
      <c r="E719" s="62" t="str">
        <f>IFERROR(VLOOKUP(Tableau242[[#This Row],[Manager ou CDM concerné]],Parametres!B:C,2,FALSE),"")</f>
        <v>Squad A</v>
      </c>
      <c r="F719" s="62" t="str">
        <f>IF(Tableau242[[#This Row],[Consultant]]=Tableau242[[#This Row],[Manager ou CDM concerné]],"Non",IF(IFERROR(VLOOKUP(Tableau242[[#This Row],[Consultant]],Parametres!B:C,2,FALSE),0)=0,"Non","Oui"))</f>
        <v>Non</v>
      </c>
      <c r="G719" s="62">
        <f>IFERROR(VLOOKUP(B719,Tableau5[#All],4,FALSE),"Matricule!")</f>
        <v>4.5</v>
      </c>
      <c r="H719" s="62" t="str">
        <f>IFERROR(VLOOKUP(Tableau242[[#This Row],[Company number]],#REF!,6,FALSE),"")</f>
        <v/>
      </c>
      <c r="I719" s="62">
        <f>IFERROR(VLOOKUP(B719,Tableau5[#All],5,FALSE),"Matricule!")</f>
        <v>15.5</v>
      </c>
      <c r="J719" s="62">
        <f>IFERROR(VLOOKUP(B719,Tableau5[#All],6,FALSE),"Matricule!")</f>
        <v>0</v>
      </c>
      <c r="K719" s="62">
        <f>IFERROR(VLOOKUP(B719,Tableau5[#All],7,FALSE),"Matricule!")</f>
        <v>0</v>
      </c>
      <c r="L719" s="62" t="e">
        <f>VLOOKUP(Tableau242[[#This Row],[Company number]],#REF!,25,FALSE)</f>
        <v>#REF!</v>
      </c>
      <c r="M719" s="62" t="str">
        <f>IFERROR(VLOOKUP(Tableau242[[#This Row],[Company number]],#REF!,30,FALSE),"")</f>
        <v/>
      </c>
      <c r="N719" s="62" t="str">
        <f>IFERROR(VLOOKUP(Tableau242[[#This Row],[Company number]],#REF!,31,FALSE),"")</f>
        <v/>
      </c>
      <c r="O719" s="62" t="str">
        <f>IFERROR(VLOOKUP(Tableau242[[#This Row],[Company number]],#REF!,32,FALSE),"")</f>
        <v/>
      </c>
      <c r="P719" s="68">
        <f>IFERROR(VLOOKUP(B719,Tableau3[#All],5,FALSE),"Matricule!")</f>
        <v>0</v>
      </c>
      <c r="Q719" s="68">
        <f>IFERROR(SUM(VLOOKUP(B719,Tableau3[#All],6,FALSE),VLOOKUP(B719,Tableau3[#All],8,FALSE)),"Matricule!")</f>
        <v>19</v>
      </c>
      <c r="R719" s="68">
        <f>IFERROR(VLOOKUP(B719,Tableau3[#All],7,FALSE),"Matricule!")</f>
        <v>1</v>
      </c>
      <c r="S719" s="62">
        <f>IFERROR(Tableau242[[#This Row],[Prod. days WK]]-Tableau242[[#This Row],[Prod PXX]],"Matricule")</f>
        <v>4.5</v>
      </c>
      <c r="T719" s="62">
        <f>IFERROR(Tableau242[[#This Row],[Non prod. days WK]]-Tableau242[[#This Row],[Improd PXX]],"Matricule")</f>
        <v>-3.5</v>
      </c>
      <c r="U719" s="62">
        <f>IFERROR(Tableau242[[#This Row],[Paid leave days WK]]-Tableau242[[#This Row],[Congé PXX]],"Matricule")</f>
        <v>-1</v>
      </c>
      <c r="V719" s="63">
        <f>IFERROR(VLOOKUP($B719,#REF!,4,FALSE),0)</f>
        <v>0</v>
      </c>
      <c r="W719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1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719" s="63">
        <f>IF(AND(Tableau242[[#This Row],[Paid leave days]]&gt;0,Tableau242[[#This Row],[Prod. days]]&lt;0),MIN(Tableau242[[#This Row],[Paid leave days]],-Tableau242[[#This Row],[Prod. days]]),0)</f>
        <v>0</v>
      </c>
      <c r="Z719" s="63">
        <f>IFERROR(_xlfn.XLOOKUP(Tableau242[[#This Row],[Consultant]],Tableau2[Collaborateur/Nom affiché],Tableau2[Montant imputé],0),0)</f>
        <v>0</v>
      </c>
      <c r="AA719" s="64">
        <f t="shared" si="12"/>
        <v>4.5</v>
      </c>
      <c r="AB719" s="65" t="s">
        <v>154</v>
      </c>
      <c r="AC719" s="66"/>
      <c r="AD719" s="66"/>
      <c r="AE719" s="39"/>
      <c r="AF719" s="90"/>
    </row>
    <row r="720" spans="1:32" ht="14.45" customHeight="1">
      <c r="A720" s="15">
        <f>Tableau242[[#This Row],[Company number]]+0</f>
        <v>22267</v>
      </c>
      <c r="B720" s="60" t="s">
        <v>1536</v>
      </c>
      <c r="C720" s="61" t="s">
        <v>1537</v>
      </c>
      <c r="D720" s="61" t="s">
        <v>45</v>
      </c>
      <c r="E720" s="62" t="str">
        <f>IFERROR(VLOOKUP(Tableau242[[#This Row],[Manager ou CDM concerné]],Parametres!B:C,2,FALSE),"")</f>
        <v>Squad F</v>
      </c>
      <c r="F720" s="62" t="str">
        <f>IF(Tableau242[[#This Row],[Consultant]]=Tableau242[[#This Row],[Manager ou CDM concerné]],"Non",IF(IFERROR(VLOOKUP(Tableau242[[#This Row],[Consultant]],Parametres!B:C,2,FALSE),0)=0,"Non","Oui"))</f>
        <v>Non</v>
      </c>
      <c r="G720" s="62">
        <f>IFERROR(VLOOKUP(B720,Tableau5[#All],4,FALSE),"Matricule!")</f>
        <v>10.5</v>
      </c>
      <c r="H720" s="62" t="str">
        <f>IFERROR(VLOOKUP(Tableau242[[#This Row],[Company number]],#REF!,6,FALSE),"")</f>
        <v/>
      </c>
      <c r="I720" s="62">
        <f>IFERROR(VLOOKUP(B720,Tableau5[#All],5,FALSE),"Matricule!")</f>
        <v>9.5</v>
      </c>
      <c r="J720" s="62">
        <f>IFERROR(VLOOKUP(B720,Tableau5[#All],6,FALSE),"Matricule!")</f>
        <v>0</v>
      </c>
      <c r="K720" s="62">
        <f>IFERROR(VLOOKUP(B720,Tableau5[#All],7,FALSE),"Matricule!")</f>
        <v>0</v>
      </c>
      <c r="L720" s="62" t="e">
        <f>VLOOKUP(Tableau242[[#This Row],[Company number]],#REF!,25,FALSE)</f>
        <v>#REF!</v>
      </c>
      <c r="M720" s="62" t="str">
        <f>IFERROR(VLOOKUP(Tableau242[[#This Row],[Company number]],#REF!,30,FALSE),"")</f>
        <v/>
      </c>
      <c r="N720" s="62" t="str">
        <f>IFERROR(VLOOKUP(Tableau242[[#This Row],[Company number]],#REF!,31,FALSE),"")</f>
        <v/>
      </c>
      <c r="O720" s="62" t="str">
        <f>IFERROR(VLOOKUP(Tableau242[[#This Row],[Company number]],#REF!,32,FALSE),"")</f>
        <v/>
      </c>
      <c r="P720" s="62">
        <f>IFERROR(VLOOKUP(B720,Tableau3[#All],5,FALSE),"Matricule!")</f>
        <v>0</v>
      </c>
      <c r="Q720" s="62">
        <f>IFERROR(SUM(VLOOKUP(B720,Tableau3[#All],6,FALSE),VLOOKUP(B720,Tableau3[#All],8,FALSE)),"Matricule!")</f>
        <v>9.5</v>
      </c>
      <c r="R720" s="62">
        <f>IFERROR(VLOOKUP(B720,Tableau3[#All],7,FALSE),"Matricule!")</f>
        <v>10.5</v>
      </c>
      <c r="S720" s="62">
        <f>IFERROR(Tableau242[[#This Row],[Prod. days WK]]-Tableau242[[#This Row],[Prod PXX]],"Matricule")</f>
        <v>10.5</v>
      </c>
      <c r="T720" s="62">
        <f>IFERROR(Tableau242[[#This Row],[Non prod. days WK]]-Tableau242[[#This Row],[Improd PXX]],"Matricule")</f>
        <v>0</v>
      </c>
      <c r="U720" s="62">
        <f>IFERROR(Tableau242[[#This Row],[Paid leave days WK]]-Tableau242[[#This Row],[Congé PXX]],"Matricule")</f>
        <v>-10.5</v>
      </c>
      <c r="V720" s="63">
        <f>IFERROR(VLOOKUP($B720,#REF!,4,FALSE),0)</f>
        <v>0</v>
      </c>
      <c r="W720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20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Ecart entre WK et pXX</v>
      </c>
      <c r="Y720" s="63">
        <f>IF(AND(Tableau242[[#This Row],[Paid leave days]]&gt;0,Tableau242[[#This Row],[Prod. days]]&lt;0),MIN(Tableau242[[#This Row],[Paid leave days]],-Tableau242[[#This Row],[Prod. days]]),0)</f>
        <v>0</v>
      </c>
      <c r="Z720" s="63">
        <f>IFERROR(_xlfn.XLOOKUP(Tableau242[[#This Row],[Consultant]],Tableau2[Collaborateur/Nom affiché],Tableau2[Montant imputé],0),0)</f>
        <v>0</v>
      </c>
      <c r="AA720" s="64">
        <f t="shared" si="12"/>
        <v>10.5</v>
      </c>
      <c r="AB720" s="65"/>
      <c r="AC720" s="66"/>
      <c r="AD720" s="66"/>
      <c r="AE720" s="105"/>
      <c r="AF720" s="90"/>
    </row>
    <row r="721" spans="1:32" ht="14.45" customHeight="1">
      <c r="A721" s="15">
        <f>Tableau242[[#This Row],[Company number]]+0</f>
        <v>21678</v>
      </c>
      <c r="B721" s="60" t="s">
        <v>1538</v>
      </c>
      <c r="C721" s="61" t="s">
        <v>1539</v>
      </c>
      <c r="D721" s="61" t="s">
        <v>85</v>
      </c>
      <c r="E721" s="62" t="str">
        <f>IFERROR(VLOOKUP(Tableau242[[#This Row],[Manager ou CDM concerné]],Parametres!B:C,2,FALSE),"")</f>
        <v>Squad G</v>
      </c>
      <c r="F721" s="62" t="str">
        <f>IF(Tableau242[[#This Row],[Consultant]]=Tableau242[[#This Row],[Manager ou CDM concerné]],"Non",IF(IFERROR(VLOOKUP(Tableau242[[#This Row],[Consultant]],Parametres!B:C,2,FALSE),0)=0,"Non","Oui"))</f>
        <v>Non</v>
      </c>
      <c r="G721" s="62">
        <f>IFERROR(VLOOKUP(B721,Tableau5[#All],4,FALSE),"Matricule!")</f>
        <v>13.5</v>
      </c>
      <c r="H721" s="62" t="str">
        <f>IFERROR(VLOOKUP(Tableau242[[#This Row],[Company number]],#REF!,6,FALSE),"")</f>
        <v/>
      </c>
      <c r="I721" s="62">
        <f>IFERROR(VLOOKUP(B721,Tableau5[#All],5,FALSE),"Matricule!")</f>
        <v>1.5</v>
      </c>
      <c r="J721" s="62">
        <f>IFERROR(VLOOKUP(B721,Tableau5[#All],6,FALSE),"Matricule!")</f>
        <v>5</v>
      </c>
      <c r="K721" s="62">
        <f>IFERROR(VLOOKUP(B721,Tableau5[#All],7,FALSE),"Matricule!")</f>
        <v>0</v>
      </c>
      <c r="L721" s="62" t="e">
        <f>VLOOKUP(Tableau242[[#This Row],[Company number]],#REF!,25,FALSE)</f>
        <v>#REF!</v>
      </c>
      <c r="M721" s="62" t="str">
        <f>IFERROR(VLOOKUP(Tableau242[[#This Row],[Company number]],#REF!,30,FALSE),"")</f>
        <v/>
      </c>
      <c r="N721" s="62" t="str">
        <f>IFERROR(VLOOKUP(Tableau242[[#This Row],[Company number]],#REF!,31,FALSE),"")</f>
        <v/>
      </c>
      <c r="O721" s="62" t="str">
        <f>IFERROR(VLOOKUP(Tableau242[[#This Row],[Company number]],#REF!,32,FALSE),"")</f>
        <v/>
      </c>
      <c r="P721" s="62">
        <f>IFERROR(VLOOKUP(B721,Tableau3[#All],5,FALSE),"Matricule!")</f>
        <v>10</v>
      </c>
      <c r="Q721" s="62">
        <f>IFERROR(SUM(VLOOKUP(B721,Tableau3[#All],6,FALSE),VLOOKUP(B721,Tableau3[#All],8,FALSE)),"Matricule!")</f>
        <v>5</v>
      </c>
      <c r="R721" s="62">
        <f>IFERROR(VLOOKUP(B721,Tableau3[#All],7,FALSE),"Matricule!")</f>
        <v>5</v>
      </c>
      <c r="S721" s="62">
        <f>IFERROR(Tableau242[[#This Row],[Prod. days WK]]-Tableau242[[#This Row],[Prod PXX]],"Matricule")</f>
        <v>3.5</v>
      </c>
      <c r="T721" s="62">
        <f>IFERROR(Tableau242[[#This Row],[Non prod. days WK]]-Tableau242[[#This Row],[Improd PXX]],"Matricule")</f>
        <v>-3.5</v>
      </c>
      <c r="U721" s="62">
        <f>IFERROR(Tableau242[[#This Row],[Paid leave days WK]]-Tableau242[[#This Row],[Congé PXX]],"Matricule")</f>
        <v>0</v>
      </c>
      <c r="V721" s="63">
        <f>IFERROR(VLOOKUP($B721,#REF!,4,FALSE),0)</f>
        <v>0</v>
      </c>
      <c r="W721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21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21" s="63">
        <f>IF(AND(Tableau242[[#This Row],[Paid leave days]]&gt;0,Tableau242[[#This Row],[Prod. days]]&lt;0),MIN(Tableau242[[#This Row],[Paid leave days]],-Tableau242[[#This Row],[Prod. days]]),0)</f>
        <v>0</v>
      </c>
      <c r="Z721" s="63">
        <f>IFERROR(_xlfn.XLOOKUP(Tableau242[[#This Row],[Consultant]],Tableau2[Collaborateur/Nom affiché],Tableau2[Montant imputé],0),0)</f>
        <v>0</v>
      </c>
      <c r="AA721" s="64">
        <f t="shared" ref="AA721:AA729" si="13">IFERROR(S721+Z721,S721)</f>
        <v>3.5</v>
      </c>
      <c r="AB721" s="65"/>
      <c r="AC721" s="66"/>
      <c r="AD721" s="66"/>
      <c r="AE721" s="105"/>
      <c r="AF721" s="90"/>
    </row>
    <row r="722" spans="1:32" ht="14.45" customHeight="1">
      <c r="A722" s="15">
        <f>Tableau242[[#This Row],[Company number]]+0</f>
        <v>16140</v>
      </c>
      <c r="B722" s="60" t="s">
        <v>1540</v>
      </c>
      <c r="C722" s="61" t="s">
        <v>1541</v>
      </c>
      <c r="D722" s="61" t="s">
        <v>85</v>
      </c>
      <c r="E722" s="62" t="str">
        <f>IFERROR(VLOOKUP(Tableau242[[#This Row],[Manager ou CDM concerné]],Parametres!B:C,2,FALSE),"")</f>
        <v>Squad G</v>
      </c>
      <c r="F722" s="62" t="str">
        <f>IF(Tableau242[[#This Row],[Consultant]]=Tableau242[[#This Row],[Manager ou CDM concerné]],"Non",IF(IFERROR(VLOOKUP(Tableau242[[#This Row],[Consultant]],Parametres!B:C,2,FALSE),0)=0,"Non","Oui"))</f>
        <v>Non</v>
      </c>
      <c r="G722" s="62">
        <f>IFERROR(VLOOKUP(B722,Tableau5[#All],4,FALSE),"Matricule!")</f>
        <v>19</v>
      </c>
      <c r="H722" s="62" t="str">
        <f>IFERROR(VLOOKUP(Tableau242[[#This Row],[Company number]],#REF!,6,FALSE),"")</f>
        <v/>
      </c>
      <c r="I722" s="62">
        <f>IFERROR(VLOOKUP(B722,Tableau5[#All],5,FALSE),"Matricule!")</f>
        <v>0</v>
      </c>
      <c r="J722" s="62">
        <f>IFERROR(VLOOKUP(B722,Tableau5[#All],6,FALSE),"Matricule!")</f>
        <v>1</v>
      </c>
      <c r="K722" s="62">
        <f>IFERROR(VLOOKUP(B722,Tableau5[#All],7,FALSE),"Matricule!")</f>
        <v>0</v>
      </c>
      <c r="L722" s="62" t="e">
        <f>VLOOKUP(Tableau242[[#This Row],[Company number]],#REF!,25,FALSE)</f>
        <v>#REF!</v>
      </c>
      <c r="M722" s="62" t="str">
        <f>IFERROR(VLOOKUP(Tableau242[[#This Row],[Company number]],#REF!,30,FALSE),"")</f>
        <v/>
      </c>
      <c r="N722" s="62" t="str">
        <f>IFERROR(VLOOKUP(Tableau242[[#This Row],[Company number]],#REF!,31,FALSE),"")</f>
        <v/>
      </c>
      <c r="O722" s="62" t="str">
        <f>IFERROR(VLOOKUP(Tableau242[[#This Row],[Company number]],#REF!,32,FALSE),"")</f>
        <v/>
      </c>
      <c r="P722" s="62">
        <f>IFERROR(VLOOKUP(B722,Tableau3[#All],5,FALSE),"Matricule!")</f>
        <v>20</v>
      </c>
      <c r="Q722" s="62">
        <f>IFERROR(SUM(VLOOKUP(B722,Tableau3[#All],6,FALSE),VLOOKUP(B722,Tableau3[#All],8,FALSE)),"Matricule!")</f>
        <v>0</v>
      </c>
      <c r="R722" s="62">
        <f>IFERROR(VLOOKUP(B722,Tableau3[#All],7,FALSE),"Matricule!")</f>
        <v>0</v>
      </c>
      <c r="S722" s="62">
        <f>IFERROR(Tableau242[[#This Row],[Prod. days WK]]-Tableau242[[#This Row],[Prod PXX]],"Matricule")</f>
        <v>-1</v>
      </c>
      <c r="T722" s="62">
        <f>IFERROR(Tableau242[[#This Row],[Non prod. days WK]]-Tableau242[[#This Row],[Improd PXX]],"Matricule")</f>
        <v>0</v>
      </c>
      <c r="U722" s="62">
        <f>IFERROR(Tableau242[[#This Row],[Paid leave days WK]]-Tableau242[[#This Row],[Congé PXX]],"Matricule")</f>
        <v>1</v>
      </c>
      <c r="V722" s="63">
        <f>IFERROR(VLOOKUP($B722,#REF!,4,FALSE),0)</f>
        <v>0</v>
      </c>
      <c r="W722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22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22" s="63">
        <f>IF(AND(Tableau242[[#This Row],[Paid leave days]]&gt;0,Tableau242[[#This Row],[Prod. days]]&lt;0),MIN(Tableau242[[#This Row],[Paid leave days]],-Tableau242[[#This Row],[Prod. days]]),0)</f>
        <v>1</v>
      </c>
      <c r="Z722" s="63">
        <f>IFERROR(_xlfn.XLOOKUP(Tableau242[[#This Row],[Consultant]],Tableau2[Collaborateur/Nom affiché],Tableau2[Montant imputé],0),0)</f>
        <v>0</v>
      </c>
      <c r="AA722" s="64">
        <f t="shared" si="13"/>
        <v>-1</v>
      </c>
      <c r="AB722" s="65" t="s">
        <v>299</v>
      </c>
      <c r="AC722" s="66"/>
      <c r="AD722" s="66"/>
      <c r="AE722" s="105"/>
      <c r="AF722" s="90"/>
    </row>
    <row r="723" spans="1:32" ht="14.45" customHeight="1">
      <c r="A723" s="15">
        <f>Tableau242[[#This Row],[Company number]]+0</f>
        <v>21040</v>
      </c>
      <c r="B723" s="60" t="s">
        <v>1542</v>
      </c>
      <c r="C723" s="61" t="s">
        <v>1543</v>
      </c>
      <c r="D723" s="61" t="s">
        <v>85</v>
      </c>
      <c r="E723" s="62" t="str">
        <f>IFERROR(VLOOKUP(Tableau242[[#This Row],[Manager ou CDM concerné]],Parametres!B:C,2,FALSE),"")</f>
        <v>Squad G</v>
      </c>
      <c r="F723" s="62" t="str">
        <f>IF(Tableau242[[#This Row],[Consultant]]=Tableau242[[#This Row],[Manager ou CDM concerné]],"Non",IF(IFERROR(VLOOKUP(Tableau242[[#This Row],[Consultant]],Parametres!B:C,2,FALSE),0)=0,"Non","Oui"))</f>
        <v>Non</v>
      </c>
      <c r="G723" s="62">
        <f>IFERROR(VLOOKUP(B723,Tableau5[#All],4,FALSE),"Matricule!")</f>
        <v>20</v>
      </c>
      <c r="H723" s="62" t="str">
        <f>IFERROR(VLOOKUP(Tableau242[[#This Row],[Company number]],#REF!,6,FALSE),"")</f>
        <v/>
      </c>
      <c r="I723" s="62">
        <f>IFERROR(VLOOKUP(B723,Tableau5[#All],5,FALSE),"Matricule!")</f>
        <v>0</v>
      </c>
      <c r="J723" s="62">
        <f>IFERROR(VLOOKUP(B723,Tableau5[#All],6,FALSE),"Matricule!")</f>
        <v>0</v>
      </c>
      <c r="K723" s="62">
        <f>IFERROR(VLOOKUP(B723,Tableau5[#All],7,FALSE),"Matricule!")</f>
        <v>0</v>
      </c>
      <c r="L723" s="62" t="e">
        <f>VLOOKUP(Tableau242[[#This Row],[Company number]],#REF!,25,FALSE)</f>
        <v>#REF!</v>
      </c>
      <c r="M723" s="62" t="str">
        <f>IFERROR(VLOOKUP(Tableau242[[#This Row],[Company number]],#REF!,30,FALSE),"")</f>
        <v/>
      </c>
      <c r="N723" s="62" t="str">
        <f>IFERROR(VLOOKUP(Tableau242[[#This Row],[Company number]],#REF!,31,FALSE),"")</f>
        <v/>
      </c>
      <c r="O723" s="62" t="str">
        <f>IFERROR(VLOOKUP(Tableau242[[#This Row],[Company number]],#REF!,32,FALSE),"")</f>
        <v/>
      </c>
      <c r="P723" s="62">
        <f>IFERROR(VLOOKUP(B723,Tableau3[#All],5,FALSE),"Matricule!")</f>
        <v>20</v>
      </c>
      <c r="Q723" s="62">
        <f>IFERROR(SUM(VLOOKUP(B723,Tableau3[#All],6,FALSE),VLOOKUP(B723,Tableau3[#All],8,FALSE)),"Matricule!")</f>
        <v>0</v>
      </c>
      <c r="R723" s="62">
        <f>IFERROR(VLOOKUP(B723,Tableau3[#All],7,FALSE),"Matricule!")</f>
        <v>0</v>
      </c>
      <c r="S723" s="62">
        <f>IFERROR(Tableau242[[#This Row],[Prod. days WK]]-Tableau242[[#This Row],[Prod PXX]],"Matricule")</f>
        <v>0</v>
      </c>
      <c r="T723" s="62">
        <f>IFERROR(Tableau242[[#This Row],[Non prod. days WK]]-Tableau242[[#This Row],[Improd PXX]],"Matricule")</f>
        <v>0</v>
      </c>
      <c r="U723" s="62">
        <f>IFERROR(Tableau242[[#This Row],[Paid leave days WK]]-Tableau242[[#This Row],[Congé PXX]],"Matricule")</f>
        <v>0</v>
      </c>
      <c r="V723" s="63">
        <f>IFERROR(VLOOKUP($B723,#REF!,4,FALSE),0)</f>
        <v>0</v>
      </c>
      <c r="W723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23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23" s="63">
        <f>IF(AND(Tableau242[[#This Row],[Paid leave days]]&gt;0,Tableau242[[#This Row],[Prod. days]]&lt;0),MIN(Tableau242[[#This Row],[Paid leave days]],-Tableau242[[#This Row],[Prod. days]]),0)</f>
        <v>0</v>
      </c>
      <c r="Z723" s="63">
        <f>IFERROR(_xlfn.XLOOKUP(Tableau242[[#This Row],[Consultant]],Tableau2[Collaborateur/Nom affiché],Tableau2[Montant imputé],0),0)</f>
        <v>0</v>
      </c>
      <c r="AA723" s="64">
        <f t="shared" si="13"/>
        <v>0</v>
      </c>
      <c r="AB723" s="78"/>
      <c r="AC723" s="67"/>
      <c r="AD723" s="67"/>
      <c r="AE723" s="106"/>
      <c r="AF723" s="92"/>
    </row>
    <row r="724" spans="1:32" ht="14.45" customHeight="1">
      <c r="A724" s="15">
        <f>Tableau242[[#This Row],[Company number]]+0</f>
        <v>21642</v>
      </c>
      <c r="B724" s="60" t="s">
        <v>1544</v>
      </c>
      <c r="C724" s="61" t="s">
        <v>1545</v>
      </c>
      <c r="D724" s="61" t="s">
        <v>85</v>
      </c>
      <c r="E724" s="62" t="str">
        <f>IFERROR(VLOOKUP(Tableau242[[#This Row],[Manager ou CDM concerné]],Parametres!B:C,2,FALSE),"")</f>
        <v>Squad G</v>
      </c>
      <c r="F724" s="62" t="str">
        <f>IF(Tableau242[[#This Row],[Consultant]]=Tableau242[[#This Row],[Manager ou CDM concerné]],"Non",IF(IFERROR(VLOOKUP(Tableau242[[#This Row],[Consultant]],Parametres!B:C,2,FALSE),0)=0,"Non","Oui"))</f>
        <v>Non</v>
      </c>
      <c r="G724" s="62">
        <f>IFERROR(VLOOKUP(B724,Tableau5[#All],4,FALSE),"Matricule!")</f>
        <v>18</v>
      </c>
      <c r="H724" s="62" t="str">
        <f>IFERROR(VLOOKUP(Tableau242[[#This Row],[Company number]],#REF!,6,FALSE),"")</f>
        <v/>
      </c>
      <c r="I724" s="62">
        <f>IFERROR(VLOOKUP(B724,Tableau5[#All],5,FALSE),"Matricule!")</f>
        <v>2</v>
      </c>
      <c r="J724" s="62">
        <f>IFERROR(VLOOKUP(B724,Tableau5[#All],6,FALSE),"Matricule!")</f>
        <v>0</v>
      </c>
      <c r="K724" s="62">
        <f>IFERROR(VLOOKUP(B724,Tableau5[#All],7,FALSE),"Matricule!")</f>
        <v>0</v>
      </c>
      <c r="L724" s="62" t="e">
        <f>VLOOKUP(Tableau242[[#This Row],[Company number]],#REF!,25,FALSE)</f>
        <v>#REF!</v>
      </c>
      <c r="M724" s="62" t="str">
        <f>IFERROR(VLOOKUP(Tableau242[[#This Row],[Company number]],#REF!,30,FALSE),"")</f>
        <v/>
      </c>
      <c r="N724" s="62" t="str">
        <f>IFERROR(VLOOKUP(Tableau242[[#This Row],[Company number]],#REF!,31,FALSE),"")</f>
        <v/>
      </c>
      <c r="O724" s="62" t="str">
        <f>IFERROR(VLOOKUP(Tableau242[[#This Row],[Company number]],#REF!,32,FALSE),"")</f>
        <v/>
      </c>
      <c r="P724" s="62">
        <f>IFERROR(VLOOKUP(B724,Tableau3[#All],5,FALSE),"Matricule!")</f>
        <v>18</v>
      </c>
      <c r="Q724" s="62">
        <f>IFERROR(SUM(VLOOKUP(B724,Tableau3[#All],6,FALSE),VLOOKUP(B724,Tableau3[#All],8,FALSE)),"Matricule!")</f>
        <v>2</v>
      </c>
      <c r="R724" s="62">
        <f>IFERROR(VLOOKUP(B724,Tableau3[#All],7,FALSE),"Matricule!")</f>
        <v>0</v>
      </c>
      <c r="S724" s="62">
        <f>IFERROR(Tableau242[[#This Row],[Prod. days WK]]-Tableau242[[#This Row],[Prod PXX]],"Matricule")</f>
        <v>0</v>
      </c>
      <c r="T724" s="62">
        <f>IFERROR(Tableau242[[#This Row],[Non prod. days WK]]-Tableau242[[#This Row],[Improd PXX]],"Matricule")</f>
        <v>0</v>
      </c>
      <c r="U724" s="62">
        <f>IFERROR(Tableau242[[#This Row],[Paid leave days WK]]-Tableau242[[#This Row],[Congé PXX]],"Matricule")</f>
        <v>0</v>
      </c>
      <c r="V724" s="63">
        <f>IFERROR(VLOOKUP($B724,#REF!,4,FALSE),0)</f>
        <v>0</v>
      </c>
      <c r="W724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24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24" s="63">
        <f>IF(AND(Tableau242[[#This Row],[Paid leave days]]&gt;0,Tableau242[[#This Row],[Prod. days]]&lt;0),MIN(Tableau242[[#This Row],[Paid leave days]],-Tableau242[[#This Row],[Prod. days]]),0)</f>
        <v>0</v>
      </c>
      <c r="Z724" s="63">
        <f>IFERROR(_xlfn.XLOOKUP(Tableau242[[#This Row],[Consultant]],Tableau2[Collaborateur/Nom affiché],Tableau2[Montant imputé],0),0)</f>
        <v>0</v>
      </c>
      <c r="AA724" s="64">
        <f t="shared" si="13"/>
        <v>0</v>
      </c>
      <c r="AB724" s="65" t="s">
        <v>154</v>
      </c>
      <c r="AC724" s="66"/>
      <c r="AD724" s="66"/>
      <c r="AE724" s="105"/>
      <c r="AF724" s="90" t="s">
        <v>652</v>
      </c>
    </row>
    <row r="725" spans="1:32" ht="14.45" customHeight="1">
      <c r="A725" s="15">
        <f>Tableau242[[#This Row],[Company number]]+0</f>
        <v>21345</v>
      </c>
      <c r="B725" s="80" t="s">
        <v>1546</v>
      </c>
      <c r="C725" s="81" t="s">
        <v>1547</v>
      </c>
      <c r="D725" s="81" t="s">
        <v>85</v>
      </c>
      <c r="E725" s="82" t="str">
        <f>IFERROR(VLOOKUP(Tableau242[[#This Row],[Manager ou CDM concerné]],Parametres!B:C,2,FALSE),"")</f>
        <v>Squad G</v>
      </c>
      <c r="F725" s="82" t="str">
        <f>IF(Tableau242[[#This Row],[Consultant]]=Tableau242[[#This Row],[Manager ou CDM concerné]],"Non",IF(IFERROR(VLOOKUP(Tableau242[[#This Row],[Consultant]],Parametres!B:C,2,FALSE),0)=0,"Non","Oui"))</f>
        <v>Non</v>
      </c>
      <c r="G725" s="82">
        <f>IFERROR(VLOOKUP(B725,Tableau5[#All],4,FALSE),"Matricule!")</f>
        <v>0</v>
      </c>
      <c r="H725" s="82" t="str">
        <f>IFERROR(VLOOKUP(Tableau242[[#This Row],[Company number]],#REF!,6,FALSE),"")</f>
        <v/>
      </c>
      <c r="I725" s="82">
        <f>IFERROR(VLOOKUP(B725,Tableau5[#All],5,FALSE),"Matricule!")</f>
        <v>20</v>
      </c>
      <c r="J725" s="82">
        <f>IFERROR(VLOOKUP(B725,Tableau5[#All],6,FALSE),"Matricule!")</f>
        <v>0</v>
      </c>
      <c r="K725" s="82">
        <f>IFERROR(VLOOKUP(B725,Tableau5[#All],7,FALSE),"Matricule!")</f>
        <v>0</v>
      </c>
      <c r="L725" s="82" t="e">
        <f>VLOOKUP(Tableau242[[#This Row],[Company number]],#REF!,25,FALSE)</f>
        <v>#REF!</v>
      </c>
      <c r="M725" s="82" t="str">
        <f>IFERROR(VLOOKUP(Tableau242[[#This Row],[Company number]],#REF!,30,FALSE),"")</f>
        <v/>
      </c>
      <c r="N725" s="82" t="str">
        <f>IFERROR(VLOOKUP(Tableau242[[#This Row],[Company number]],#REF!,31,FALSE),"")</f>
        <v/>
      </c>
      <c r="O725" s="82" t="str">
        <f>IFERROR(VLOOKUP(Tableau242[[#This Row],[Company number]],#REF!,32,FALSE),"")</f>
        <v/>
      </c>
      <c r="P725" s="82">
        <f>IFERROR(VLOOKUP(B725,Tableau3[#All],5,FALSE),"Matricule!")</f>
        <v>0</v>
      </c>
      <c r="Q725" s="82">
        <f>IFERROR(SUM(VLOOKUP(B725,Tableau3[#All],6,FALSE),VLOOKUP(B725,Tableau3[#All],8,FALSE)),"Matricule!")</f>
        <v>20</v>
      </c>
      <c r="R725" s="82">
        <f>IFERROR(VLOOKUP(B725,Tableau3[#All],7,FALSE),"Matricule!")</f>
        <v>0</v>
      </c>
      <c r="S725" s="82">
        <f>IFERROR(Tableau242[[#This Row],[Prod. days WK]]-Tableau242[[#This Row],[Prod PXX]],"Matricule")</f>
        <v>0</v>
      </c>
      <c r="T725" s="82">
        <f>IFERROR(Tableau242[[#This Row],[Non prod. days WK]]-Tableau242[[#This Row],[Improd PXX]],"Matricule")</f>
        <v>0</v>
      </c>
      <c r="U725" s="82">
        <f>IFERROR(Tableau242[[#This Row],[Paid leave days WK]]-Tableau242[[#This Row],[Congé PXX]],"Matricule")</f>
        <v>0</v>
      </c>
      <c r="V725" s="83">
        <f>IFERROR(VLOOKUP($B725,#REF!,4,FALSE),0)</f>
        <v>0</v>
      </c>
      <c r="W725" s="8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25" s="8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Vérifier  si optimisable</v>
      </c>
      <c r="Y725" s="83">
        <f>IF(AND(Tableau242[[#This Row],[Paid leave days]]&gt;0,Tableau242[[#This Row],[Prod. days]]&lt;0),MIN(Tableau242[[#This Row],[Paid leave days]],-Tableau242[[#This Row],[Prod. days]]),0)</f>
        <v>0</v>
      </c>
      <c r="Z725" s="83">
        <f>IFERROR(_xlfn.XLOOKUP(Tableau242[[#This Row],[Consultant]],Tableau2[Collaborateur/Nom affiché],Tableau2[Montant imputé],0),0)</f>
        <v>0</v>
      </c>
      <c r="AA725" s="113">
        <f t="shared" si="13"/>
        <v>0</v>
      </c>
      <c r="AB725" s="103" t="s">
        <v>154</v>
      </c>
      <c r="AC725" s="118"/>
      <c r="AD725" s="118"/>
      <c r="AE725" s="120"/>
      <c r="AF725" s="102" t="s">
        <v>1548</v>
      </c>
    </row>
    <row r="726" spans="1:32" ht="14.45" customHeight="1">
      <c r="A726" s="15">
        <f>Tableau242[[#This Row],[Company number]]+0</f>
        <v>22126</v>
      </c>
      <c r="B726" s="60" t="s">
        <v>1549</v>
      </c>
      <c r="C726" s="61" t="s">
        <v>1550</v>
      </c>
      <c r="D726" s="61" t="s">
        <v>85</v>
      </c>
      <c r="E726" s="62" t="str">
        <f>IFERROR(VLOOKUP(Tableau242[[#This Row],[Manager ou CDM concerné]],Parametres!B:C,2,FALSE),"")</f>
        <v>Squad G</v>
      </c>
      <c r="F726" s="62" t="str">
        <f>IF(Tableau242[[#This Row],[Consultant]]=Tableau242[[#This Row],[Manager ou CDM concerné]],"Non",IF(IFERROR(VLOOKUP(Tableau242[[#This Row],[Consultant]],Parametres!B:C,2,FALSE),0)=0,"Non","Oui"))</f>
        <v>Non</v>
      </c>
      <c r="G726" s="62">
        <f>IFERROR(VLOOKUP(B726,Tableau5[#All],4,FALSE),"Matricule!")</f>
        <v>20</v>
      </c>
      <c r="H726" s="62" t="str">
        <f>IFERROR(VLOOKUP(Tableau242[[#This Row],[Company number]],#REF!,6,FALSE),"")</f>
        <v/>
      </c>
      <c r="I726" s="62">
        <f>IFERROR(VLOOKUP(B726,Tableau5[#All],5,FALSE),"Matricule!")</f>
        <v>0</v>
      </c>
      <c r="J726" s="62">
        <f>IFERROR(VLOOKUP(B726,Tableau5[#All],6,FALSE),"Matricule!")</f>
        <v>0</v>
      </c>
      <c r="K726" s="62">
        <f>IFERROR(VLOOKUP(B726,Tableau5[#All],7,FALSE),"Matricule!")</f>
        <v>0</v>
      </c>
      <c r="L726" s="62" t="e">
        <f>VLOOKUP(Tableau242[[#This Row],[Company number]],#REF!,25,FALSE)</f>
        <v>#REF!</v>
      </c>
      <c r="M726" s="62" t="str">
        <f>IFERROR(VLOOKUP(Tableau242[[#This Row],[Company number]],#REF!,30,FALSE),"")</f>
        <v/>
      </c>
      <c r="N726" s="62" t="str">
        <f>IFERROR(VLOOKUP(Tableau242[[#This Row],[Company number]],#REF!,31,FALSE),"")</f>
        <v/>
      </c>
      <c r="O726" s="62" t="str">
        <f>IFERROR(VLOOKUP(Tableau242[[#This Row],[Company number]],#REF!,32,FALSE),"")</f>
        <v/>
      </c>
      <c r="P726" s="62">
        <f>IFERROR(VLOOKUP(B726,Tableau3[#All],5,FALSE),"Matricule!")</f>
        <v>20</v>
      </c>
      <c r="Q726" s="62">
        <f>IFERROR(SUM(VLOOKUP(B726,Tableau3[#All],6,FALSE),VLOOKUP(B726,Tableau3[#All],8,FALSE)),"Matricule!")</f>
        <v>0</v>
      </c>
      <c r="R726" s="62">
        <f>IFERROR(VLOOKUP(B726,Tableau3[#All],7,FALSE),"Matricule!")</f>
        <v>0</v>
      </c>
      <c r="S726" s="62">
        <f>IFERROR(Tableau242[[#This Row],[Prod. days WK]]-Tableau242[[#This Row],[Prod PXX]],"Matricule")</f>
        <v>0</v>
      </c>
      <c r="T726" s="62">
        <f>IFERROR(Tableau242[[#This Row],[Non prod. days WK]]-Tableau242[[#This Row],[Improd PXX]],"Matricule")</f>
        <v>0</v>
      </c>
      <c r="U726" s="62">
        <f>IFERROR(Tableau242[[#This Row],[Paid leave days WK]]-Tableau242[[#This Row],[Congé PXX]],"Matricule")</f>
        <v>0</v>
      </c>
      <c r="V726" s="63">
        <f>IFERROR(VLOOKUP($B726,#REF!,4,FALSE),0)</f>
        <v>0</v>
      </c>
      <c r="W726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26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26" s="63">
        <f>IF(AND(Tableau242[[#This Row],[Paid leave days]]&gt;0,Tableau242[[#This Row],[Prod. days]]&lt;0),MIN(Tableau242[[#This Row],[Paid leave days]],-Tableau242[[#This Row],[Prod. days]]),0)</f>
        <v>0</v>
      </c>
      <c r="Z726" s="63">
        <f>IFERROR(_xlfn.XLOOKUP(Tableau242[[#This Row],[Consultant]],Tableau2[Collaborateur/Nom affiché],Tableau2[Montant imputé],0),0)</f>
        <v>0</v>
      </c>
      <c r="AA726" s="64">
        <f t="shared" si="13"/>
        <v>0</v>
      </c>
      <c r="AB726" s="65"/>
      <c r="AC726" s="66"/>
      <c r="AD726" s="66"/>
      <c r="AE726" s="105"/>
      <c r="AF726" s="90"/>
    </row>
    <row r="727" spans="1:32">
      <c r="A727" s="15">
        <f>Tableau242[[#This Row],[Company number]]+0</f>
        <v>18113</v>
      </c>
      <c r="B727" s="60" t="s">
        <v>1551</v>
      </c>
      <c r="C727" s="61" t="s">
        <v>1552</v>
      </c>
      <c r="D727" s="61" t="s">
        <v>85</v>
      </c>
      <c r="E727" s="62" t="str">
        <f>IFERROR(VLOOKUP(Tableau242[[#This Row],[Manager ou CDM concerné]],Parametres!B:C,2,FALSE),"")</f>
        <v>Squad G</v>
      </c>
      <c r="F727" s="62" t="str">
        <f>IF(Tableau242[[#This Row],[Consultant]]=Tableau242[[#This Row],[Manager ou CDM concerné]],"Non",IF(IFERROR(VLOOKUP(Tableau242[[#This Row],[Consultant]],Parametres!B:C,2,FALSE),0)=0,"Non","Oui"))</f>
        <v>Non</v>
      </c>
      <c r="G727" s="62">
        <f>IFERROR(VLOOKUP(B727,Tableau5[#All],4,FALSE),"Matricule!")</f>
        <v>18.5</v>
      </c>
      <c r="H727" s="62" t="str">
        <f>IFERROR(VLOOKUP(Tableau242[[#This Row],[Company number]],#REF!,6,FALSE),"")</f>
        <v/>
      </c>
      <c r="I727" s="62">
        <f>IFERROR(VLOOKUP(B727,Tableau5[#All],5,FALSE),"Matricule!")</f>
        <v>0</v>
      </c>
      <c r="J727" s="62">
        <f>IFERROR(VLOOKUP(B727,Tableau5[#All],6,FALSE),"Matricule!")</f>
        <v>1.5</v>
      </c>
      <c r="K727" s="62">
        <f>IFERROR(VLOOKUP(B727,Tableau5[#All],7,FALSE),"Matricule!")</f>
        <v>0</v>
      </c>
      <c r="L727" s="62" t="e">
        <f>VLOOKUP(Tableau242[[#This Row],[Company number]],#REF!,25,FALSE)</f>
        <v>#REF!</v>
      </c>
      <c r="M727" s="62" t="str">
        <f>IFERROR(VLOOKUP(Tableau242[[#This Row],[Company number]],#REF!,30,FALSE),"")</f>
        <v/>
      </c>
      <c r="N727" s="62" t="str">
        <f>IFERROR(VLOOKUP(Tableau242[[#This Row],[Company number]],#REF!,31,FALSE),"")</f>
        <v/>
      </c>
      <c r="O727" s="62" t="str">
        <f>IFERROR(VLOOKUP(Tableau242[[#This Row],[Company number]],#REF!,32,FALSE),"")</f>
        <v/>
      </c>
      <c r="P727" s="62">
        <f>IFERROR(VLOOKUP(B727,Tableau3[#All],5,FALSE),"Matricule!")</f>
        <v>20</v>
      </c>
      <c r="Q727" s="62">
        <f>IFERROR(SUM(VLOOKUP(B727,Tableau3[#All],6,FALSE),VLOOKUP(B727,Tableau3[#All],8,FALSE)),"Matricule!")</f>
        <v>0</v>
      </c>
      <c r="R727" s="62">
        <f>IFERROR(VLOOKUP(B727,Tableau3[#All],7,FALSE),"Matricule!")</f>
        <v>0</v>
      </c>
      <c r="S727" s="62">
        <f>IFERROR(Tableau242[[#This Row],[Prod. days WK]]-Tableau242[[#This Row],[Prod PXX]],"Matricule")</f>
        <v>-1.5</v>
      </c>
      <c r="T727" s="62">
        <f>IFERROR(Tableau242[[#This Row],[Non prod. days WK]]-Tableau242[[#This Row],[Improd PXX]],"Matricule")</f>
        <v>0</v>
      </c>
      <c r="U727" s="62">
        <f>IFERROR(Tableau242[[#This Row],[Paid leave days WK]]-Tableau242[[#This Row],[Congé PXX]],"Matricule")</f>
        <v>1.5</v>
      </c>
      <c r="V727" s="63">
        <f>IFERROR(VLOOKUP($B727,#REF!,4,FALSE),0)</f>
        <v>0</v>
      </c>
      <c r="W727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27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27" s="63">
        <f>IF(AND(Tableau242[[#This Row],[Paid leave days]]&gt;0,Tableau242[[#This Row],[Prod. days]]&lt;0),MIN(Tableau242[[#This Row],[Paid leave days]],-Tableau242[[#This Row],[Prod. days]]),0)</f>
        <v>1.5</v>
      </c>
      <c r="Z727" s="63">
        <f>IFERROR(_xlfn.XLOOKUP(Tableau242[[#This Row],[Consultant]],Tableau2[Collaborateur/Nom affiché],Tableau2[Montant imputé],0),0)</f>
        <v>0</v>
      </c>
      <c r="AA727" s="64">
        <f t="shared" si="13"/>
        <v>-1.5</v>
      </c>
      <c r="AB727" s="65" t="s">
        <v>299</v>
      </c>
      <c r="AC727" s="67"/>
      <c r="AD727" s="67"/>
      <c r="AE727" s="120"/>
      <c r="AF727" s="92"/>
    </row>
    <row r="728" spans="1:32">
      <c r="A728" s="15">
        <f>Tableau242[[#This Row],[Company number]]+0</f>
        <v>21539</v>
      </c>
      <c r="B728" s="60" t="s">
        <v>1553</v>
      </c>
      <c r="C728" s="61" t="s">
        <v>1554</v>
      </c>
      <c r="D728" s="61" t="s">
        <v>85</v>
      </c>
      <c r="E728" s="62" t="str">
        <f>IFERROR(VLOOKUP(Tableau242[[#This Row],[Manager ou CDM concerné]],Parametres!B:C,2,FALSE),"")</f>
        <v>Squad G</v>
      </c>
      <c r="F728" s="62" t="str">
        <f>IF(Tableau242[[#This Row],[Consultant]]=Tableau242[[#This Row],[Manager ou CDM concerné]],"Non",IF(IFERROR(VLOOKUP(Tableau242[[#This Row],[Consultant]],Parametres!B:C,2,FALSE),0)=0,"Non","Oui"))</f>
        <v>Non</v>
      </c>
      <c r="G728" s="62">
        <f>IFERROR(VLOOKUP(B728,Tableau5[#All],4,FALSE),"Matricule!")</f>
        <v>20</v>
      </c>
      <c r="H728" s="62" t="str">
        <f>IFERROR(VLOOKUP(Tableau242[[#This Row],[Company number]],#REF!,6,FALSE),"")</f>
        <v/>
      </c>
      <c r="I728" s="62">
        <f>IFERROR(VLOOKUP(B728,Tableau5[#All],5,FALSE),"Matricule!")</f>
        <v>0</v>
      </c>
      <c r="J728" s="62">
        <f>IFERROR(VLOOKUP(B728,Tableau5[#All],6,FALSE),"Matricule!")</f>
        <v>0</v>
      </c>
      <c r="K728" s="62">
        <f>IFERROR(VLOOKUP(B728,Tableau5[#All],7,FALSE),"Matricule!")</f>
        <v>0</v>
      </c>
      <c r="L728" s="62" t="e">
        <f>VLOOKUP(Tableau242[[#This Row],[Company number]],#REF!,25,FALSE)</f>
        <v>#REF!</v>
      </c>
      <c r="M728" s="62" t="str">
        <f>IFERROR(VLOOKUP(Tableau242[[#This Row],[Company number]],#REF!,30,FALSE),"")</f>
        <v/>
      </c>
      <c r="N728" s="62" t="str">
        <f>IFERROR(VLOOKUP(Tableau242[[#This Row],[Company number]],#REF!,31,FALSE),"")</f>
        <v/>
      </c>
      <c r="O728" s="62" t="str">
        <f>IFERROR(VLOOKUP(Tableau242[[#This Row],[Company number]],#REF!,32,FALSE),"")</f>
        <v/>
      </c>
      <c r="P728" s="62">
        <f>IFERROR(VLOOKUP(B728,Tableau3[#All],5,FALSE),"Matricule!")</f>
        <v>20</v>
      </c>
      <c r="Q728" s="62">
        <f>IFERROR(SUM(VLOOKUP(B728,Tableau3[#All],6,FALSE),VLOOKUP(B728,Tableau3[#All],8,FALSE)),"Matricule!")</f>
        <v>0</v>
      </c>
      <c r="R728" s="62">
        <f>IFERROR(VLOOKUP(B728,Tableau3[#All],7,FALSE),"Matricule!")</f>
        <v>0</v>
      </c>
      <c r="S728" s="62">
        <f>IFERROR(Tableau242[[#This Row],[Prod. days WK]]-Tableau242[[#This Row],[Prod PXX]],"Matricule")</f>
        <v>0</v>
      </c>
      <c r="T728" s="62">
        <f>IFERROR(Tableau242[[#This Row],[Non prod. days WK]]-Tableau242[[#This Row],[Improd PXX]],"Matricule")</f>
        <v>0</v>
      </c>
      <c r="U728" s="62">
        <f>IFERROR(Tableau242[[#This Row],[Paid leave days WK]]-Tableau242[[#This Row],[Congé PXX]],"Matricule")</f>
        <v>0</v>
      </c>
      <c r="V728" s="63">
        <f>IFERROR(VLOOKUP($B728,#REF!,4,FALSE),0)</f>
        <v>0</v>
      </c>
      <c r="W728" s="63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>0</v>
      </c>
      <c r="X728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Rien à traiter</v>
      </c>
      <c r="Y728" s="63">
        <f>IF(AND(Tableau242[[#This Row],[Paid leave days]]&gt;0,Tableau242[[#This Row],[Prod. days]]&lt;0),MIN(Tableau242[[#This Row],[Paid leave days]],-Tableau242[[#This Row],[Prod. days]]),0)</f>
        <v>0</v>
      </c>
      <c r="Z728" s="63">
        <f>IFERROR(_xlfn.XLOOKUP(Tableau242[[#This Row],[Consultant]],Tableau2[Collaborateur/Nom affiché],Tableau2[Montant imputé],0),0)</f>
        <v>0</v>
      </c>
      <c r="AA728" s="64">
        <f t="shared" si="13"/>
        <v>0</v>
      </c>
      <c r="AB728" s="65"/>
      <c r="AC728" s="67"/>
      <c r="AD728" s="66"/>
      <c r="AE728" s="111"/>
      <c r="AF728" s="99"/>
    </row>
    <row r="729" spans="1:32">
      <c r="B729" s="60"/>
      <c r="C729" s="61"/>
      <c r="D729" s="61"/>
      <c r="E729" s="62" t="str">
        <f>IFERROR(VLOOKUP(Tableau242[[#This Row],[Manager ou CDM concerné]],Parametres!B:C,2,FALSE),"")</f>
        <v/>
      </c>
      <c r="F729" s="62" t="str">
        <f>IF(Tableau242[[#This Row],[Consultant]]=Tableau242[[#This Row],[Manager ou CDM concerné]],"Non",IF(IFERROR(VLOOKUP(Tableau242[[#This Row],[Consultant]],Parametres!B:C,2,FALSE),0)=0,"Non","Oui"))</f>
        <v>Non</v>
      </c>
      <c r="G729" s="62" t="str">
        <f>IFERROR(VLOOKUP(B729,Tableau5[#All],4,FALSE),"Matricule!")</f>
        <v>Matricule!</v>
      </c>
      <c r="H729" s="62" t="str">
        <f>IFERROR(VLOOKUP(Tableau242[[#This Row],[Company number]],#REF!,6,FALSE),"")</f>
        <v/>
      </c>
      <c r="I729" s="62" t="str">
        <f>IFERROR(VLOOKUP(B729,Tableau5[#All],5,FALSE),"Matricule!")</f>
        <v>Matricule!</v>
      </c>
      <c r="J729" s="62" t="str">
        <f>IFERROR(VLOOKUP(B729,Tableau5[#All],6,FALSE),"Matricule!")</f>
        <v>Matricule!</v>
      </c>
      <c r="K729" s="62" t="str">
        <f>IFERROR(VLOOKUP(B729,Tableau5[#All],7,FALSE),"Matricule!")</f>
        <v>Matricule!</v>
      </c>
      <c r="L729" s="62" t="e">
        <f>VLOOKUP(Tableau242[[#This Row],[Company number]],#REF!,25,FALSE)</f>
        <v>#REF!</v>
      </c>
      <c r="M729" s="62" t="str">
        <f>IFERROR(VLOOKUP(Tableau242[[#This Row],[Company number]],#REF!,30,FALSE),"")</f>
        <v/>
      </c>
      <c r="N729" s="62" t="str">
        <f>IFERROR(VLOOKUP(Tableau242[[#This Row],[Company number]],#REF!,31,FALSE),"")</f>
        <v/>
      </c>
      <c r="O729" s="62" t="str">
        <f>IFERROR(VLOOKUP(Tableau242[[#This Row],[Company number]],#REF!,32,FALSE),"")</f>
        <v/>
      </c>
      <c r="P729" s="68" t="str">
        <f>IFERROR(VLOOKUP(B729,Tableau3[#All],5,FALSE),"Matricule!")</f>
        <v>Matricule!</v>
      </c>
      <c r="Q729" s="68" t="str">
        <f>IFERROR(SUM(VLOOKUP(B729,Tableau3[#All],6,FALSE),VLOOKUP(B729,Tableau3[#All],8,FALSE)),"Matricule!")</f>
        <v>Matricule!</v>
      </c>
      <c r="R729" s="68" t="str">
        <f>IFERROR(VLOOKUP(B729,Tableau3[#All],7,FALSE),"Matricule!")</f>
        <v>Matricule!</v>
      </c>
      <c r="S729" s="62" t="str">
        <f>IFERROR(Tableau242[[#This Row],[Prod. days WK]]-Tableau242[[#This Row],[Prod PXX]],"Matricule")</f>
        <v>Matricule</v>
      </c>
      <c r="T729" s="62" t="str">
        <f>IFERROR(Tableau242[[#This Row],[Non prod. days WK]]-Tableau242[[#This Row],[Improd PXX]],"Matricule")</f>
        <v>Matricule</v>
      </c>
      <c r="U729" s="62" t="str">
        <f>IFERROR(Tableau242[[#This Row],[Paid leave days WK]]-Tableau242[[#This Row],[Congé PXX]],"Matricule")</f>
        <v>Matricule</v>
      </c>
      <c r="V729" s="63">
        <f>IFERROR(VLOOKUP($B729,#REF!,4,FALSE),0)</f>
        <v>0</v>
      </c>
      <c r="W729" s="63" t="str">
        <f>IFERROR(IF(Tableau242[[#This Row],[Consultant]]="","",IF(VLOOKUP(Tableau242[[#This Row],[Company number]],#REF!,27)="KO","Problème d'imputation",IF(OR(Tableau242[[#This Row],[Prod. days WK]]+Tableau242[[#This Row],[Paid leave days WK]]+Tableau242[[#This Row],[Unpaid leave days WK]]=D$1,Tableau242[[#This Row],[Manager ou CDM concerné]]="Sandrine CHAILLEY",Tableau242[[#This Row],[Manager ou CDM concerné]]="Alexandre FOLLIOT",Tableau242[[#This Row],[Manager ou CDM concerné]]="Charlotte LA ROSA",Tableau242[[#This Row],[Maint. Days]]&gt;0),"Rien à traiter",IF(OR(Tableau242[[#This Row],[Prod. days]]&lt;0,Tableau242[[#This Row],[Non prod. days]]&gt;0,Tableau242[[#This Row],[Paid leave days]]&lt;&gt;0),"Différence entre WK et PXX","Vérifier si optimisable")))),0)</f>
        <v/>
      </c>
      <c r="X729" s="63" t="str">
        <f>IF(Tableau242[[#This Row],[Prod PXX]]="Matricule!","Corriger matricule",IF(Tableau242[[#This Row],[Intention]]&gt;0,"Mail d'intention",IF(Tableau242[[#This Row],[Prod. days WK]]+Tableau242[[#This Row],[Paid leave days WK]]+Tableau242[[#This Row],[Unpaid leave days WK]]=$D$1,"Rien à traiter",IF(OR(Tableau242[[#This Row],[Prod. days]]&lt;0,Tableau242[[#This Row],[Paid leave days]]&lt;&gt;0),"Ecart entre WK et pXX","Vérifier  si optimisable"))))</f>
        <v>Corriger matricule</v>
      </c>
      <c r="Y729" s="63">
        <f>IF(AND(Tableau242[[#This Row],[Paid leave days]]&gt;0,Tableau242[[#This Row],[Prod. days]]&lt;0),MIN(Tableau242[[#This Row],[Paid leave days]],-Tableau242[[#This Row],[Prod. days]]),0)</f>
        <v>0</v>
      </c>
      <c r="Z729" s="63">
        <f>IFERROR(_xlfn.XLOOKUP(Tableau242[[#This Row],[Consultant]],Tableau2[Collaborateur/Nom affiché],Tableau2[Montant imputé],0),0)</f>
        <v>0</v>
      </c>
      <c r="AA729" s="64" t="str">
        <f t="shared" si="13"/>
        <v>Matricule</v>
      </c>
      <c r="AB729" s="65"/>
      <c r="AC729" s="66"/>
      <c r="AD729" s="66"/>
      <c r="AE729" s="109"/>
      <c r="AF729" s="90"/>
    </row>
    <row r="730" spans="1:32">
      <c r="Z730" s="31"/>
    </row>
    <row r="731" spans="1:32">
      <c r="Z731" s="31"/>
    </row>
    <row r="732" spans="1:32">
      <c r="Z732" s="31"/>
    </row>
    <row r="733" spans="1:32">
      <c r="Z733" s="31"/>
    </row>
    <row r="734" spans="1:32">
      <c r="Z734" s="31"/>
    </row>
    <row r="735" spans="1:32">
      <c r="Z735" s="31"/>
    </row>
    <row r="736" spans="1:32">
      <c r="Z736" s="31"/>
    </row>
    <row r="737" spans="26:26">
      <c r="Z737" s="31"/>
    </row>
    <row r="738" spans="26:26">
      <c r="Z738" s="31"/>
    </row>
    <row r="739" spans="26:26">
      <c r="Z739" s="31"/>
    </row>
    <row r="740" spans="26:26">
      <c r="Z740" s="31"/>
    </row>
    <row r="741" spans="26:26">
      <c r="Z741" s="31"/>
    </row>
    <row r="742" spans="26:26">
      <c r="Z742" s="31"/>
    </row>
    <row r="743" spans="26:26">
      <c r="Z743" s="31"/>
    </row>
    <row r="744" spans="26:26">
      <c r="Z744" s="31"/>
    </row>
    <row r="745" spans="26:26">
      <c r="Z745" s="31"/>
    </row>
    <row r="746" spans="26:26">
      <c r="Z746" s="31"/>
    </row>
    <row r="747" spans="26:26">
      <c r="Z747" s="31"/>
    </row>
    <row r="748" spans="26:26">
      <c r="Z748" s="31"/>
    </row>
    <row r="749" spans="26:26">
      <c r="Z749" s="31"/>
    </row>
    <row r="750" spans="26:26">
      <c r="Z750" s="31"/>
    </row>
    <row r="751" spans="26:26">
      <c r="Z751" s="31"/>
    </row>
    <row r="752" spans="26:26">
      <c r="Z752" s="31"/>
    </row>
    <row r="753" spans="26:26">
      <c r="Z753" s="31"/>
    </row>
    <row r="754" spans="26:26">
      <c r="Z754" s="31"/>
    </row>
    <row r="755" spans="26:26">
      <c r="Z755" s="31"/>
    </row>
    <row r="756" spans="26:26">
      <c r="Z756" s="31"/>
    </row>
    <row r="757" spans="26:26">
      <c r="Z757" s="31"/>
    </row>
    <row r="758" spans="26:26">
      <c r="Z758" s="31"/>
    </row>
    <row r="759" spans="26:26">
      <c r="Z759" s="31"/>
    </row>
    <row r="760" spans="26:26">
      <c r="Z760" s="31"/>
    </row>
    <row r="761" spans="26:26">
      <c r="Z761" s="31"/>
    </row>
    <row r="762" spans="26:26">
      <c r="Z762" s="31"/>
    </row>
    <row r="763" spans="26:26">
      <c r="Z763" s="31"/>
    </row>
    <row r="764" spans="26:26">
      <c r="Z764" s="31"/>
    </row>
    <row r="765" spans="26:26">
      <c r="Z765" s="31"/>
    </row>
    <row r="766" spans="26:26">
      <c r="Z766" s="31"/>
    </row>
    <row r="767" spans="26:26">
      <c r="Z767" s="31"/>
    </row>
    <row r="768" spans="26:26">
      <c r="Z768" s="31"/>
    </row>
    <row r="769" spans="26:26">
      <c r="Z769" s="31"/>
    </row>
    <row r="770" spans="26:26">
      <c r="Z770" s="31"/>
    </row>
    <row r="771" spans="26:26">
      <c r="Z771" s="31"/>
    </row>
    <row r="772" spans="26:26">
      <c r="Z772" s="31"/>
    </row>
    <row r="773" spans="26:26">
      <c r="Z773" s="31"/>
    </row>
    <row r="774" spans="26:26">
      <c r="Z774" s="31"/>
    </row>
    <row r="775" spans="26:26">
      <c r="Z775" s="31"/>
    </row>
    <row r="776" spans="26:26">
      <c r="Z776" s="31"/>
    </row>
    <row r="777" spans="26:26">
      <c r="Z777" s="31"/>
    </row>
    <row r="778" spans="26:26">
      <c r="Z778" s="31"/>
    </row>
    <row r="779" spans="26:26">
      <c r="Z779" s="31"/>
    </row>
    <row r="780" spans="26:26">
      <c r="Z780" s="31"/>
    </row>
    <row r="781" spans="26:26">
      <c r="Z781" s="31"/>
    </row>
    <row r="782" spans="26:26">
      <c r="Z782" s="31"/>
    </row>
    <row r="783" spans="26:26">
      <c r="Z783" s="31"/>
    </row>
    <row r="784" spans="26:26">
      <c r="Z784" s="31"/>
    </row>
    <row r="785" spans="26:26">
      <c r="Z785" s="31"/>
    </row>
    <row r="786" spans="26:26">
      <c r="Z786" s="31"/>
    </row>
    <row r="787" spans="26:26">
      <c r="Z787" s="31"/>
    </row>
    <row r="788" spans="26:26">
      <c r="Z788" s="31"/>
    </row>
    <row r="789" spans="26:26">
      <c r="Z789" s="31"/>
    </row>
    <row r="790" spans="26:26">
      <c r="Z790" s="31"/>
    </row>
    <row r="791" spans="26:26">
      <c r="Z791" s="31"/>
    </row>
    <row r="792" spans="26:26">
      <c r="Z792" s="31"/>
    </row>
    <row r="793" spans="26:26">
      <c r="Z793" s="31"/>
    </row>
    <row r="794" spans="26:26">
      <c r="Z794" s="31"/>
    </row>
    <row r="795" spans="26:26">
      <c r="Z795" s="31"/>
    </row>
    <row r="796" spans="26:26">
      <c r="Z796" s="31"/>
    </row>
    <row r="797" spans="26:26">
      <c r="Z797" s="31"/>
    </row>
    <row r="798" spans="26:26">
      <c r="Z798" s="31"/>
    </row>
    <row r="799" spans="26:26">
      <c r="Z799" s="31"/>
    </row>
    <row r="800" spans="26:26">
      <c r="Z800" s="31"/>
    </row>
  </sheetData>
  <mergeCells count="4">
    <mergeCell ref="G2:K2"/>
    <mergeCell ref="M2:O2"/>
    <mergeCell ref="S2:U2"/>
    <mergeCell ref="P2:R2"/>
  </mergeCells>
  <phoneticPr fontId="6" type="noConversion"/>
  <conditionalFormatting sqref="S2">
    <cfRule type="colorScale" priority="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AA5:AA716">
    <cfRule type="colorScale" priority="3">
      <colorScale>
        <cfvo type="min"/>
        <cfvo type="num" val="0"/>
        <cfvo type="max"/>
        <color rgb="FFFF0000"/>
        <color theme="0"/>
        <color rgb="FF00B050"/>
      </colorScale>
    </cfRule>
  </conditionalFormatting>
  <conditionalFormatting sqref="T5:T729">
    <cfRule type="colorScale" priority="392">
      <colorScale>
        <cfvo type="min"/>
        <cfvo type="num" val="0"/>
        <cfvo type="max"/>
        <color rgb="FF00B050"/>
        <color theme="0"/>
        <color rgb="FFFF0000"/>
      </colorScale>
    </cfRule>
  </conditionalFormatting>
  <conditionalFormatting sqref="U5:U729">
    <cfRule type="colorScale" priority="393">
      <colorScale>
        <cfvo type="min"/>
        <cfvo type="num" val="0"/>
        <cfvo type="max"/>
        <color rgb="FFF8696B"/>
        <color theme="0"/>
        <color rgb="FFF8696B"/>
      </colorScale>
    </cfRule>
  </conditionalFormatting>
  <conditionalFormatting sqref="C5:C729">
    <cfRule type="duplicateValues" dxfId="95" priority="394"/>
    <cfRule type="duplicateValues" dxfId="94" priority="395"/>
  </conditionalFormatting>
  <conditionalFormatting sqref="S5:S788">
    <cfRule type="colorScale" priority="406">
      <colorScale>
        <cfvo type="min"/>
        <cfvo type="num" val="0"/>
        <cfvo type="max"/>
        <color rgb="FFF8696B"/>
        <color theme="0"/>
        <color rgb="FF63BE7B"/>
      </colorScale>
    </cfRule>
  </conditionalFormatting>
  <dataValidations count="1">
    <dataValidation type="list" allowBlank="1" showInputMessage="1" showErrorMessage="1" sqref="Z730:Z808" xr:uid="{00000000-0002-0000-00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Parametres!$E$3:$E$9</xm:f>
          </x14:formula1>
          <xm:sqref>AC228 AB68:AC68 AB380:AC380 AB660:AB662 AB671:AB729 AB656:AB658 AB668:AB669 AB664:AB666 AC80 AB5:AB67 AB69:AB379 AB381:AB654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AEE70-44C8-4B70-ABC0-BE92F11A676C}">
  <sheetPr filterMode="1"/>
  <dimension ref="A1:E13"/>
  <sheetViews>
    <sheetView showGridLines="0" workbookViewId="0">
      <selection activeCell="A7" sqref="A7"/>
    </sheetView>
  </sheetViews>
  <sheetFormatPr defaultColWidth="11.375" defaultRowHeight="14.45"/>
  <cols>
    <col min="1" max="1" width="19.875" bestFit="1" customWidth="1"/>
    <col min="2" max="2" width="38.75" bestFit="1" customWidth="1"/>
    <col min="3" max="3" width="35.875" customWidth="1"/>
    <col min="4" max="4" width="5.125" customWidth="1"/>
    <col min="5" max="5" width="14.5" customWidth="1"/>
  </cols>
  <sheetData>
    <row r="1" spans="1:5">
      <c r="A1" s="4" t="s">
        <v>126</v>
      </c>
      <c r="B1" t="s">
        <v>1555</v>
      </c>
    </row>
    <row r="2" spans="1:5" ht="15" thickBot="1"/>
    <row r="3" spans="1:5" ht="27" customHeight="1" thickBot="1">
      <c r="A3" s="4" t="s">
        <v>1556</v>
      </c>
      <c r="B3" t="s">
        <v>1557</v>
      </c>
      <c r="D3" s="126" t="s">
        <v>1558</v>
      </c>
      <c r="E3" s="127"/>
    </row>
    <row r="4" spans="1:5" ht="15" hidden="1" thickBot="1">
      <c r="A4" s="2" t="s">
        <v>1559</v>
      </c>
      <c r="B4">
        <v>-1.5</v>
      </c>
    </row>
    <row r="5" spans="1:5" ht="15" thickBot="1">
      <c r="A5" s="2" t="s">
        <v>1560</v>
      </c>
      <c r="B5">
        <v>1.5</v>
      </c>
      <c r="D5" s="43">
        <f>GETPIVOTDATA("Delta prod days avec intention",$A$3)/130</f>
        <v>-1.2538461538461538</v>
      </c>
      <c r="E5" s="42" t="s">
        <v>1561</v>
      </c>
    </row>
    <row r="6" spans="1:5">
      <c r="A6" s="2" t="s">
        <v>1562</v>
      </c>
      <c r="B6">
        <v>-19</v>
      </c>
    </row>
    <row r="7" spans="1:5">
      <c r="A7" s="2" t="s">
        <v>1563</v>
      </c>
      <c r="B7">
        <v>-78.5</v>
      </c>
    </row>
    <row r="8" spans="1:5">
      <c r="A8" s="2" t="s">
        <v>1564</v>
      </c>
      <c r="B8">
        <v>-65.5</v>
      </c>
    </row>
    <row r="9" spans="1:5">
      <c r="A9" s="2" t="s">
        <v>1565</v>
      </c>
      <c r="B9">
        <v>4</v>
      </c>
    </row>
    <row r="10" spans="1:5">
      <c r="A10" s="2" t="s">
        <v>1566</v>
      </c>
      <c r="B10">
        <v>22.5</v>
      </c>
    </row>
    <row r="11" spans="1:5">
      <c r="A11" s="2" t="s">
        <v>1567</v>
      </c>
      <c r="B11">
        <v>-4.5</v>
      </c>
    </row>
    <row r="12" spans="1:5">
      <c r="A12" s="2" t="s">
        <v>1568</v>
      </c>
      <c r="B12">
        <v>-22</v>
      </c>
    </row>
    <row r="13" spans="1:5">
      <c r="A13" s="2" t="s">
        <v>1569</v>
      </c>
      <c r="B13">
        <v>-163</v>
      </c>
    </row>
  </sheetData>
  <autoFilter ref="A3:B109" xr:uid="{AABAEE70-44C8-4B70-ABC0-BE92F11A676C}">
    <filterColumn colId="0">
      <customFilters>
        <customFilter operator="notEqual" val=" "/>
      </customFilters>
    </filterColumn>
  </autoFilter>
  <mergeCells count="1">
    <mergeCell ref="D3:E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DF0FB-19EF-43A0-9B12-75DBE6343195}">
  <dimension ref="A3:A4"/>
  <sheetViews>
    <sheetView workbookViewId="0"/>
  </sheetViews>
  <sheetFormatPr defaultColWidth="11" defaultRowHeight="14.45"/>
  <cols>
    <col min="1" max="1" width="36.25" bestFit="1" customWidth="1"/>
    <col min="2" max="2" width="17.625" bestFit="1" customWidth="1"/>
  </cols>
  <sheetData>
    <row r="3" spans="1:1">
      <c r="A3" t="s">
        <v>1557</v>
      </c>
    </row>
    <row r="4" spans="1:1">
      <c r="A4" s="47">
        <v>-163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A5841-C1A3-4D35-B799-E0137D88C834}">
  <sheetPr codeName="Feuil3">
    <tabColor theme="0" tint="-0.249977111117893"/>
  </sheetPr>
  <dimension ref="A1:E25"/>
  <sheetViews>
    <sheetView workbookViewId="0">
      <selection activeCell="G11" sqref="G11"/>
    </sheetView>
  </sheetViews>
  <sheetFormatPr defaultColWidth="11.375" defaultRowHeight="14.45"/>
  <cols>
    <col min="1" max="1" width="10.375" customWidth="1"/>
    <col min="2" max="2" width="33.875" customWidth="1"/>
    <col min="3" max="3" width="25.625" customWidth="1"/>
    <col min="4" max="4" width="16.75" customWidth="1"/>
    <col min="5" max="5" width="25.625" customWidth="1"/>
    <col min="6" max="6" width="24.5" customWidth="1"/>
    <col min="7" max="7" width="22.5" customWidth="1"/>
  </cols>
  <sheetData>
    <row r="1" spans="1:5">
      <c r="A1" s="9" t="s">
        <v>1570</v>
      </c>
      <c r="B1" s="9" t="s">
        <v>1571</v>
      </c>
      <c r="C1" s="9" t="s">
        <v>1572</v>
      </c>
      <c r="D1" s="9" t="s">
        <v>1573</v>
      </c>
      <c r="E1" s="9" t="s">
        <v>1574</v>
      </c>
    </row>
    <row r="2" spans="1:5">
      <c r="A2" s="13">
        <v>45809</v>
      </c>
      <c r="B2" s="12" t="s">
        <v>1575</v>
      </c>
      <c r="C2" s="12" t="s">
        <v>1328</v>
      </c>
      <c r="D2" s="12">
        <v>4</v>
      </c>
      <c r="E2" s="12" t="s">
        <v>59</v>
      </c>
    </row>
    <row r="3" spans="1:5">
      <c r="A3" s="13">
        <v>45809</v>
      </c>
      <c r="B3" s="12" t="s">
        <v>1575</v>
      </c>
      <c r="C3" s="12" t="s">
        <v>80</v>
      </c>
      <c r="D3" s="12">
        <v>10</v>
      </c>
      <c r="E3" s="12" t="s">
        <v>46</v>
      </c>
    </row>
    <row r="4" spans="1:5">
      <c r="A4" s="13">
        <v>45809</v>
      </c>
      <c r="B4" s="12" t="s">
        <v>1575</v>
      </c>
      <c r="C4" s="12" t="s">
        <v>877</v>
      </c>
      <c r="D4" s="12">
        <v>6</v>
      </c>
      <c r="E4" s="12" t="s">
        <v>34</v>
      </c>
    </row>
    <row r="5" spans="1:5">
      <c r="A5" s="13">
        <v>45809</v>
      </c>
      <c r="B5" s="12" t="s">
        <v>1575</v>
      </c>
      <c r="C5" s="12" t="s">
        <v>838</v>
      </c>
      <c r="D5" s="12">
        <v>1</v>
      </c>
      <c r="E5" s="12" t="s">
        <v>12</v>
      </c>
    </row>
    <row r="6" spans="1:5">
      <c r="A6" s="13">
        <v>45809</v>
      </c>
      <c r="B6" s="12" t="s">
        <v>1575</v>
      </c>
      <c r="C6" s="12" t="s">
        <v>1463</v>
      </c>
      <c r="D6" s="12">
        <v>6</v>
      </c>
      <c r="E6" s="12" t="s">
        <v>39</v>
      </c>
    </row>
    <row r="7" spans="1:5">
      <c r="A7" s="13">
        <v>45809</v>
      </c>
      <c r="B7" s="12" t="s">
        <v>1575</v>
      </c>
      <c r="C7" s="12" t="s">
        <v>286</v>
      </c>
      <c r="D7" s="12">
        <v>12</v>
      </c>
      <c r="E7" s="12" t="s">
        <v>3</v>
      </c>
    </row>
    <row r="8" spans="1:5">
      <c r="A8" s="13">
        <v>45809</v>
      </c>
      <c r="B8" s="12" t="s">
        <v>1575</v>
      </c>
      <c r="C8" s="12" t="s">
        <v>416</v>
      </c>
      <c r="D8" s="12">
        <v>3</v>
      </c>
      <c r="E8" s="12" t="s">
        <v>21</v>
      </c>
    </row>
    <row r="9" spans="1:5">
      <c r="A9" s="13">
        <v>45809</v>
      </c>
      <c r="B9" s="12" t="s">
        <v>1575</v>
      </c>
      <c r="C9" s="12" t="s">
        <v>1242</v>
      </c>
      <c r="D9" s="12">
        <v>4</v>
      </c>
      <c r="E9" s="12" t="s">
        <v>80</v>
      </c>
    </row>
    <row r="10" spans="1:5">
      <c r="A10" s="13">
        <v>45809</v>
      </c>
      <c r="B10" s="12" t="s">
        <v>1575</v>
      </c>
      <c r="C10" s="12" t="s">
        <v>171</v>
      </c>
      <c r="D10" s="12">
        <v>15</v>
      </c>
      <c r="E10" s="12" t="s">
        <v>72</v>
      </c>
    </row>
    <row r="11" spans="1:5">
      <c r="A11" s="13">
        <v>45809</v>
      </c>
      <c r="B11" s="12" t="s">
        <v>1575</v>
      </c>
      <c r="C11" s="12" t="s">
        <v>1151</v>
      </c>
      <c r="D11" s="12">
        <v>4.5</v>
      </c>
      <c r="E11" s="12" t="s">
        <v>48</v>
      </c>
    </row>
    <row r="12" spans="1:5">
      <c r="A12" s="13">
        <v>45809</v>
      </c>
      <c r="B12" s="12" t="s">
        <v>1575</v>
      </c>
      <c r="C12" s="12" t="s">
        <v>631</v>
      </c>
      <c r="D12" s="12">
        <v>14</v>
      </c>
      <c r="E12" s="12" t="s">
        <v>7</v>
      </c>
    </row>
    <row r="13" spans="1:5">
      <c r="A13" s="13">
        <v>45809</v>
      </c>
      <c r="B13" s="12" t="s">
        <v>1575</v>
      </c>
      <c r="C13" s="12" t="s">
        <v>597</v>
      </c>
      <c r="D13" s="12">
        <v>3.5</v>
      </c>
      <c r="E13" s="12" t="s">
        <v>76</v>
      </c>
    </row>
    <row r="14" spans="1:5">
      <c r="A14" s="13">
        <v>45809</v>
      </c>
      <c r="B14" s="12" t="s">
        <v>1575</v>
      </c>
      <c r="C14" s="12" t="s">
        <v>589</v>
      </c>
      <c r="D14" s="12">
        <v>15</v>
      </c>
      <c r="E14" s="12" t="s">
        <v>76</v>
      </c>
    </row>
    <row r="15" spans="1:5">
      <c r="A15" s="13">
        <v>45809</v>
      </c>
      <c r="B15" s="12" t="s">
        <v>1575</v>
      </c>
      <c r="C15" s="12" t="s">
        <v>997</v>
      </c>
      <c r="D15" s="12">
        <v>1</v>
      </c>
      <c r="E15" s="12" t="s">
        <v>96</v>
      </c>
    </row>
    <row r="16" spans="1:5">
      <c r="A16" s="13">
        <v>45809</v>
      </c>
      <c r="B16" s="12" t="s">
        <v>1575</v>
      </c>
      <c r="C16" s="12" t="s">
        <v>1330</v>
      </c>
      <c r="D16" s="12">
        <v>20</v>
      </c>
      <c r="E16" s="12" t="s">
        <v>59</v>
      </c>
    </row>
    <row r="17" spans="1:5">
      <c r="A17" s="13">
        <v>45809</v>
      </c>
      <c r="B17" s="12" t="s">
        <v>1575</v>
      </c>
      <c r="C17" s="12" t="s">
        <v>1184</v>
      </c>
      <c r="D17" s="12">
        <v>1</v>
      </c>
      <c r="E17" s="12" t="s">
        <v>55</v>
      </c>
    </row>
    <row r="18" spans="1:5">
      <c r="A18" s="13">
        <v>45809</v>
      </c>
      <c r="B18" s="12" t="s">
        <v>1575</v>
      </c>
      <c r="C18" s="12" t="s">
        <v>272</v>
      </c>
      <c r="D18" s="12">
        <v>11</v>
      </c>
      <c r="E18" s="12" t="s">
        <v>84</v>
      </c>
    </row>
    <row r="19" spans="1:5">
      <c r="A19" s="13">
        <v>45809</v>
      </c>
      <c r="B19" s="12" t="s">
        <v>1575</v>
      </c>
      <c r="C19" s="12" t="s">
        <v>552</v>
      </c>
      <c r="D19" s="12">
        <v>12</v>
      </c>
      <c r="E19" s="12" t="s">
        <v>30</v>
      </c>
    </row>
    <row r="20" spans="1:5">
      <c r="A20" s="13">
        <v>45809</v>
      </c>
      <c r="B20" s="12" t="s">
        <v>1575</v>
      </c>
      <c r="C20" s="12" t="s">
        <v>1374</v>
      </c>
      <c r="D20" s="12">
        <v>20</v>
      </c>
      <c r="E20" s="12" t="s">
        <v>15</v>
      </c>
    </row>
    <row r="21" spans="1:5">
      <c r="A21" s="13">
        <v>45809</v>
      </c>
      <c r="B21" s="12" t="s">
        <v>1575</v>
      </c>
      <c r="C21" s="12" t="s">
        <v>1244</v>
      </c>
      <c r="D21" s="12">
        <v>19</v>
      </c>
      <c r="E21" s="12" t="s">
        <v>80</v>
      </c>
    </row>
    <row r="22" spans="1:5">
      <c r="A22" s="13">
        <v>45809</v>
      </c>
      <c r="B22" s="12" t="s">
        <v>1575</v>
      </c>
      <c r="C22" s="12" t="s">
        <v>1491</v>
      </c>
      <c r="D22" s="12">
        <v>13</v>
      </c>
      <c r="E22" s="12" t="s">
        <v>26</v>
      </c>
    </row>
    <row r="23" spans="1:5">
      <c r="A23" s="13">
        <v>45809</v>
      </c>
      <c r="B23" s="12" t="s">
        <v>1575</v>
      </c>
      <c r="C23" s="12" t="s">
        <v>1323</v>
      </c>
      <c r="D23" s="12">
        <v>8</v>
      </c>
      <c r="E23" s="12" t="s">
        <v>59</v>
      </c>
    </row>
    <row r="24" spans="1:5">
      <c r="A24" s="13">
        <v>45809</v>
      </c>
      <c r="B24" s="12" t="s">
        <v>1575</v>
      </c>
      <c r="C24" s="12" t="s">
        <v>1507</v>
      </c>
      <c r="D24" s="12">
        <v>5</v>
      </c>
      <c r="E24" s="12" t="s">
        <v>54</v>
      </c>
    </row>
    <row r="25" spans="1:5">
      <c r="A25" s="13">
        <v>45809</v>
      </c>
      <c r="B25" s="12" t="s">
        <v>1575</v>
      </c>
      <c r="C25" s="12" t="s">
        <v>901</v>
      </c>
      <c r="D25" s="12">
        <v>11</v>
      </c>
      <c r="E25" s="12" t="s">
        <v>14</v>
      </c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D783E-9D0C-431E-8C88-C632F07FD385}">
  <sheetPr>
    <tabColor theme="0" tint="-0.249977111117893"/>
  </sheetPr>
  <dimension ref="A1:I870"/>
  <sheetViews>
    <sheetView workbookViewId="0">
      <selection activeCell="A2" sqref="A2"/>
    </sheetView>
  </sheetViews>
  <sheetFormatPr defaultColWidth="8.5" defaultRowHeight="14.45"/>
  <cols>
    <col min="1" max="1" width="10.625" customWidth="1"/>
    <col min="2" max="2" width="29.625" customWidth="1"/>
    <col min="3" max="3" width="28.125" customWidth="1"/>
    <col min="4" max="4" width="4.375" customWidth="1"/>
    <col min="5" max="6" width="5.375" customWidth="1"/>
    <col min="7" max="7" width="10.625" customWidth="1"/>
    <col min="8" max="8" width="6.875" customWidth="1"/>
    <col min="9" max="9" width="26.5" customWidth="1"/>
  </cols>
  <sheetData>
    <row r="1" spans="1:9">
      <c r="A1" s="9" t="s">
        <v>1576</v>
      </c>
      <c r="B1" s="9" t="s">
        <v>1577</v>
      </c>
      <c r="C1" s="9" t="s">
        <v>1578</v>
      </c>
      <c r="D1" s="9" t="s">
        <v>1579</v>
      </c>
      <c r="E1" s="9" t="s">
        <v>1580</v>
      </c>
      <c r="F1" s="9" t="s">
        <v>1581</v>
      </c>
      <c r="G1" s="9" t="s">
        <v>1582</v>
      </c>
      <c r="H1" s="9" t="s">
        <v>1583</v>
      </c>
      <c r="I1" s="9" t="s">
        <v>1584</v>
      </c>
    </row>
    <row r="2" spans="1:9">
      <c r="A2" s="12" t="s">
        <v>1156</v>
      </c>
      <c r="B2" s="12" t="s">
        <v>1157</v>
      </c>
      <c r="C2" s="12" t="s">
        <v>48</v>
      </c>
      <c r="D2" s="12" t="s">
        <v>1585</v>
      </c>
      <c r="E2" s="12">
        <v>11</v>
      </c>
      <c r="F2" s="12">
        <v>3</v>
      </c>
      <c r="G2" s="12">
        <v>6</v>
      </c>
      <c r="H2" s="12">
        <v>0</v>
      </c>
      <c r="I2" s="12" t="s">
        <v>1586</v>
      </c>
    </row>
    <row r="3" spans="1:9">
      <c r="A3" s="12" t="s">
        <v>766</v>
      </c>
      <c r="B3" s="12" t="s">
        <v>96</v>
      </c>
      <c r="C3" s="12" t="s">
        <v>56</v>
      </c>
      <c r="D3" s="12" t="s">
        <v>1585</v>
      </c>
      <c r="E3" s="12">
        <v>12</v>
      </c>
      <c r="F3" s="12">
        <v>2</v>
      </c>
      <c r="G3" s="12">
        <v>6</v>
      </c>
      <c r="H3" s="12">
        <v>0</v>
      </c>
      <c r="I3" s="12" t="s">
        <v>1586</v>
      </c>
    </row>
    <row r="4" spans="1:9">
      <c r="A4" s="12" t="s">
        <v>1502</v>
      </c>
      <c r="B4" s="12" t="s">
        <v>7</v>
      </c>
      <c r="C4" s="12" t="s">
        <v>54</v>
      </c>
      <c r="D4" s="12" t="s">
        <v>1585</v>
      </c>
      <c r="E4" s="12">
        <v>17</v>
      </c>
      <c r="F4" s="12">
        <v>3</v>
      </c>
      <c r="G4" s="12">
        <v>0</v>
      </c>
      <c r="H4" s="12">
        <v>0</v>
      </c>
      <c r="I4" s="12" t="s">
        <v>1586</v>
      </c>
    </row>
    <row r="5" spans="1:9">
      <c r="A5" s="12" t="s">
        <v>148</v>
      </c>
      <c r="B5" s="12" t="s">
        <v>77</v>
      </c>
      <c r="C5" s="12" t="s">
        <v>60</v>
      </c>
      <c r="D5" s="12" t="s">
        <v>1585</v>
      </c>
      <c r="E5" s="12">
        <v>18.5</v>
      </c>
      <c r="F5" s="12">
        <v>1</v>
      </c>
      <c r="G5" s="12">
        <v>0.5</v>
      </c>
      <c r="H5" s="12">
        <v>0</v>
      </c>
      <c r="I5" s="12" t="s">
        <v>1586</v>
      </c>
    </row>
    <row r="6" spans="1:9">
      <c r="A6" s="12" t="s">
        <v>771</v>
      </c>
      <c r="B6" s="12" t="s">
        <v>772</v>
      </c>
      <c r="C6" s="12" t="s">
        <v>56</v>
      </c>
      <c r="D6" s="12" t="s">
        <v>1585</v>
      </c>
      <c r="E6" s="12">
        <v>20</v>
      </c>
      <c r="F6" s="12">
        <v>0</v>
      </c>
      <c r="G6" s="12">
        <v>0</v>
      </c>
      <c r="H6" s="12">
        <v>0</v>
      </c>
      <c r="I6" s="12" t="s">
        <v>1586</v>
      </c>
    </row>
    <row r="7" spans="1:9">
      <c r="A7" s="12" t="s">
        <v>688</v>
      </c>
      <c r="B7" s="12" t="s">
        <v>689</v>
      </c>
      <c r="C7" s="12" t="s">
        <v>53</v>
      </c>
      <c r="D7" s="12" t="s">
        <v>1585</v>
      </c>
      <c r="E7" s="12">
        <v>20</v>
      </c>
      <c r="F7" s="12">
        <v>0</v>
      </c>
      <c r="G7" s="12">
        <v>0</v>
      </c>
      <c r="H7" s="12">
        <v>0</v>
      </c>
      <c r="I7" s="12" t="s">
        <v>1586</v>
      </c>
    </row>
    <row r="8" spans="1:9">
      <c r="A8" s="12" t="s">
        <v>767</v>
      </c>
      <c r="B8" s="12" t="s">
        <v>768</v>
      </c>
      <c r="C8" s="12" t="s">
        <v>56</v>
      </c>
      <c r="D8" s="12" t="s">
        <v>1585</v>
      </c>
      <c r="E8" s="12">
        <v>20</v>
      </c>
      <c r="F8" s="12">
        <v>0</v>
      </c>
      <c r="G8" s="12">
        <v>0</v>
      </c>
      <c r="H8" s="12">
        <v>0</v>
      </c>
      <c r="I8" s="12" t="s">
        <v>1586</v>
      </c>
    </row>
    <row r="9" spans="1:9">
      <c r="A9" s="12" t="s">
        <v>1201</v>
      </c>
      <c r="B9" s="12" t="s">
        <v>1202</v>
      </c>
      <c r="C9" s="12" t="s">
        <v>53</v>
      </c>
      <c r="D9" s="12" t="s">
        <v>1585</v>
      </c>
      <c r="E9" s="12">
        <v>5</v>
      </c>
      <c r="F9" s="12">
        <v>15</v>
      </c>
      <c r="G9" s="12">
        <v>0</v>
      </c>
      <c r="H9" s="12">
        <v>0</v>
      </c>
      <c r="I9" s="12" t="s">
        <v>1586</v>
      </c>
    </row>
    <row r="10" spans="1:9">
      <c r="A10" s="12" t="s">
        <v>1373</v>
      </c>
      <c r="B10" s="12" t="s">
        <v>1374</v>
      </c>
      <c r="C10" s="12" t="s">
        <v>15</v>
      </c>
      <c r="D10" s="12" t="s">
        <v>1585</v>
      </c>
      <c r="E10" s="12">
        <v>20</v>
      </c>
      <c r="F10" s="12">
        <v>0</v>
      </c>
      <c r="G10" s="12">
        <v>0</v>
      </c>
      <c r="H10" s="12">
        <v>0</v>
      </c>
      <c r="I10" s="12" t="s">
        <v>1586</v>
      </c>
    </row>
    <row r="11" spans="1:9">
      <c r="A11" s="12" t="s">
        <v>567</v>
      </c>
      <c r="B11" s="12" t="s">
        <v>8</v>
      </c>
      <c r="C11" s="12" t="s">
        <v>30</v>
      </c>
      <c r="D11" s="12" t="s">
        <v>1585</v>
      </c>
      <c r="E11" s="12">
        <v>4</v>
      </c>
      <c r="F11" s="12">
        <v>16</v>
      </c>
      <c r="G11" s="12">
        <v>0</v>
      </c>
      <c r="H11" s="12">
        <v>0</v>
      </c>
      <c r="I11" s="12" t="s">
        <v>1586</v>
      </c>
    </row>
    <row r="12" spans="1:9">
      <c r="A12" s="12" t="s">
        <v>542</v>
      </c>
      <c r="B12" s="12" t="s">
        <v>543</v>
      </c>
      <c r="C12" s="12" t="s">
        <v>6</v>
      </c>
      <c r="D12" s="12" t="s">
        <v>1585</v>
      </c>
      <c r="E12" s="12">
        <v>8</v>
      </c>
      <c r="F12" s="12">
        <v>12</v>
      </c>
      <c r="G12" s="12">
        <v>0</v>
      </c>
      <c r="H12" s="12">
        <v>0</v>
      </c>
      <c r="I12" s="12" t="s">
        <v>1586</v>
      </c>
    </row>
    <row r="13" spans="1:9">
      <c r="A13" s="12" t="s">
        <v>405</v>
      </c>
      <c r="B13" s="12" t="s">
        <v>406</v>
      </c>
      <c r="C13" s="12" t="s">
        <v>53</v>
      </c>
      <c r="D13" s="12" t="s">
        <v>1585</v>
      </c>
      <c r="E13" s="12">
        <v>19.5</v>
      </c>
      <c r="F13" s="12">
        <v>0</v>
      </c>
      <c r="G13" s="12">
        <v>0.5</v>
      </c>
      <c r="H13" s="12">
        <v>0</v>
      </c>
      <c r="I13" s="12" t="s">
        <v>1586</v>
      </c>
    </row>
    <row r="14" spans="1:9">
      <c r="A14" s="12" t="s">
        <v>1223</v>
      </c>
      <c r="B14" s="12" t="s">
        <v>1224</v>
      </c>
      <c r="C14" s="12" t="s">
        <v>22</v>
      </c>
      <c r="D14" s="12" t="s">
        <v>1585</v>
      </c>
      <c r="E14" s="12">
        <v>16</v>
      </c>
      <c r="F14" s="12">
        <v>0</v>
      </c>
      <c r="G14" s="12">
        <v>4</v>
      </c>
      <c r="H14" s="12">
        <v>0</v>
      </c>
      <c r="I14" s="12" t="s">
        <v>1586</v>
      </c>
    </row>
    <row r="15" spans="1:9">
      <c r="A15" s="12" t="s">
        <v>461</v>
      </c>
      <c r="B15" s="12" t="s">
        <v>462</v>
      </c>
      <c r="C15" s="12" t="s">
        <v>67</v>
      </c>
      <c r="D15" s="12" t="s">
        <v>1585</v>
      </c>
      <c r="E15" s="12">
        <v>16</v>
      </c>
      <c r="F15" s="12">
        <v>0</v>
      </c>
      <c r="G15" s="12">
        <v>0</v>
      </c>
      <c r="H15" s="12">
        <v>0</v>
      </c>
      <c r="I15" s="12" t="s">
        <v>1586</v>
      </c>
    </row>
    <row r="16" spans="1:9">
      <c r="A16" s="12" t="s">
        <v>534</v>
      </c>
      <c r="B16" s="12" t="s">
        <v>535</v>
      </c>
      <c r="C16" s="12" t="s">
        <v>61</v>
      </c>
      <c r="D16" s="12" t="s">
        <v>1585</v>
      </c>
      <c r="E16" s="12">
        <v>20</v>
      </c>
      <c r="F16" s="12">
        <v>0</v>
      </c>
      <c r="G16" s="12">
        <v>0</v>
      </c>
      <c r="H16" s="12">
        <v>0</v>
      </c>
      <c r="I16" s="12" t="s">
        <v>1586</v>
      </c>
    </row>
    <row r="17" spans="1:9">
      <c r="A17" s="12" t="s">
        <v>190</v>
      </c>
      <c r="B17" s="12" t="s">
        <v>191</v>
      </c>
      <c r="C17" s="12" t="s">
        <v>47</v>
      </c>
      <c r="D17" s="12" t="s">
        <v>1585</v>
      </c>
      <c r="E17" s="12">
        <v>17</v>
      </c>
      <c r="F17" s="12">
        <v>0</v>
      </c>
      <c r="G17" s="12">
        <v>3</v>
      </c>
      <c r="H17" s="12">
        <v>0</v>
      </c>
      <c r="I17" s="12" t="s">
        <v>1586</v>
      </c>
    </row>
    <row r="18" spans="1:9">
      <c r="A18" s="12" t="s">
        <v>860</v>
      </c>
      <c r="B18" s="12" t="s">
        <v>861</v>
      </c>
      <c r="C18" s="12" t="s">
        <v>36</v>
      </c>
      <c r="D18" s="12" t="s">
        <v>1585</v>
      </c>
      <c r="E18" s="12">
        <v>19.5</v>
      </c>
      <c r="F18" s="12">
        <v>0</v>
      </c>
      <c r="G18" s="12">
        <v>0.5</v>
      </c>
      <c r="H18" s="12">
        <v>0</v>
      </c>
      <c r="I18" s="12" t="s">
        <v>1586</v>
      </c>
    </row>
    <row r="19" spans="1:9">
      <c r="A19" s="12" t="s">
        <v>586</v>
      </c>
      <c r="B19" s="12" t="s">
        <v>587</v>
      </c>
      <c r="C19" s="12" t="s">
        <v>29</v>
      </c>
      <c r="D19" s="12" t="s">
        <v>1585</v>
      </c>
      <c r="E19" s="12">
        <v>12</v>
      </c>
      <c r="F19" s="12">
        <v>0</v>
      </c>
      <c r="G19" s="12">
        <v>0</v>
      </c>
      <c r="H19" s="12">
        <v>0</v>
      </c>
      <c r="I19" s="12" t="s">
        <v>1586</v>
      </c>
    </row>
    <row r="20" spans="1:9">
      <c r="A20" s="12" t="s">
        <v>1423</v>
      </c>
      <c r="B20" s="12" t="s">
        <v>1424</v>
      </c>
      <c r="C20" s="12" t="s">
        <v>32</v>
      </c>
      <c r="D20" s="12" t="s">
        <v>1585</v>
      </c>
      <c r="E20" s="12">
        <v>20</v>
      </c>
      <c r="F20" s="12">
        <v>0</v>
      </c>
      <c r="G20" s="12">
        <v>0</v>
      </c>
      <c r="H20" s="12">
        <v>0</v>
      </c>
      <c r="I20" s="12" t="s">
        <v>1586</v>
      </c>
    </row>
    <row r="21" spans="1:9">
      <c r="A21" s="12" t="s">
        <v>550</v>
      </c>
      <c r="B21" s="12" t="s">
        <v>63</v>
      </c>
      <c r="C21" s="12" t="s">
        <v>6</v>
      </c>
      <c r="D21" s="12" t="s">
        <v>1585</v>
      </c>
      <c r="E21" s="12">
        <v>3</v>
      </c>
      <c r="F21" s="12">
        <v>17</v>
      </c>
      <c r="G21" s="12">
        <v>0</v>
      </c>
      <c r="H21" s="12">
        <v>0</v>
      </c>
      <c r="I21" s="12" t="s">
        <v>1586</v>
      </c>
    </row>
    <row r="22" spans="1:9">
      <c r="A22" s="12" t="s">
        <v>1447</v>
      </c>
      <c r="B22" s="12" t="s">
        <v>65</v>
      </c>
      <c r="C22" s="12" t="s">
        <v>54</v>
      </c>
      <c r="D22" s="12" t="s">
        <v>1585</v>
      </c>
      <c r="E22" s="12">
        <v>0</v>
      </c>
      <c r="F22" s="12">
        <v>14</v>
      </c>
      <c r="G22" s="12">
        <v>6</v>
      </c>
      <c r="H22" s="12">
        <v>0</v>
      </c>
      <c r="I22" s="12" t="s">
        <v>1586</v>
      </c>
    </row>
    <row r="23" spans="1:9">
      <c r="A23" s="12" t="s">
        <v>1183</v>
      </c>
      <c r="B23" s="12" t="s">
        <v>1184</v>
      </c>
      <c r="C23" s="12" t="s">
        <v>55</v>
      </c>
      <c r="D23" s="12" t="s">
        <v>1585</v>
      </c>
      <c r="E23" s="12">
        <v>13</v>
      </c>
      <c r="F23" s="12">
        <v>7</v>
      </c>
      <c r="G23" s="12">
        <v>0</v>
      </c>
      <c r="H23" s="12">
        <v>0</v>
      </c>
      <c r="I23" s="12" t="s">
        <v>1586</v>
      </c>
    </row>
    <row r="24" spans="1:9">
      <c r="A24" s="12" t="s">
        <v>702</v>
      </c>
      <c r="B24" s="12" t="s">
        <v>80</v>
      </c>
      <c r="C24" s="12" t="s">
        <v>46</v>
      </c>
      <c r="D24" s="12" t="s">
        <v>1585</v>
      </c>
      <c r="E24" s="12">
        <v>13</v>
      </c>
      <c r="F24" s="12">
        <v>7</v>
      </c>
      <c r="G24" s="12">
        <v>0</v>
      </c>
      <c r="H24" s="12">
        <v>0</v>
      </c>
      <c r="I24" s="12" t="s">
        <v>1586</v>
      </c>
    </row>
    <row r="25" spans="1:9">
      <c r="A25" s="12" t="s">
        <v>773</v>
      </c>
      <c r="B25" s="12" t="s">
        <v>78</v>
      </c>
      <c r="C25" s="12" t="s">
        <v>56</v>
      </c>
      <c r="D25" s="12" t="s">
        <v>1585</v>
      </c>
      <c r="E25" s="12">
        <v>18</v>
      </c>
      <c r="F25" s="12">
        <v>2</v>
      </c>
      <c r="G25" s="12">
        <v>0</v>
      </c>
      <c r="H25" s="12">
        <v>0</v>
      </c>
      <c r="I25" s="12" t="s">
        <v>1586</v>
      </c>
    </row>
    <row r="26" spans="1:9">
      <c r="A26" s="12" t="s">
        <v>1375</v>
      </c>
      <c r="B26" s="12" t="s">
        <v>1376</v>
      </c>
      <c r="C26" s="12" t="s">
        <v>15</v>
      </c>
      <c r="D26" s="12" t="s">
        <v>1585</v>
      </c>
      <c r="E26" s="12">
        <v>19</v>
      </c>
      <c r="F26" s="12">
        <v>0</v>
      </c>
      <c r="G26" s="12">
        <v>1</v>
      </c>
      <c r="H26" s="12">
        <v>0</v>
      </c>
      <c r="I26" s="12" t="s">
        <v>1586</v>
      </c>
    </row>
    <row r="27" spans="1:9">
      <c r="A27" s="12" t="s">
        <v>1454</v>
      </c>
      <c r="B27" s="12" t="s">
        <v>32</v>
      </c>
      <c r="C27" s="12" t="s">
        <v>54</v>
      </c>
      <c r="D27" s="12" t="s">
        <v>1585</v>
      </c>
      <c r="E27" s="12">
        <v>5</v>
      </c>
      <c r="F27" s="12">
        <v>15</v>
      </c>
      <c r="G27" s="12">
        <v>0</v>
      </c>
      <c r="H27" s="12">
        <v>0</v>
      </c>
      <c r="I27" s="12" t="s">
        <v>1586</v>
      </c>
    </row>
    <row r="28" spans="1:9">
      <c r="A28" s="12" t="s">
        <v>807</v>
      </c>
      <c r="B28" s="12" t="s">
        <v>808</v>
      </c>
      <c r="C28" s="12" t="s">
        <v>16</v>
      </c>
      <c r="D28" s="12" t="s">
        <v>1585</v>
      </c>
      <c r="E28" s="12">
        <v>17</v>
      </c>
      <c r="F28" s="12">
        <v>0</v>
      </c>
      <c r="G28" s="12">
        <v>3</v>
      </c>
      <c r="H28" s="12">
        <v>0</v>
      </c>
      <c r="I28" s="12" t="s">
        <v>1586</v>
      </c>
    </row>
    <row r="29" spans="1:9">
      <c r="A29" s="12" t="s">
        <v>1267</v>
      </c>
      <c r="B29" s="12" t="s">
        <v>1268</v>
      </c>
      <c r="C29" s="12" t="s">
        <v>28</v>
      </c>
      <c r="D29" s="12" t="s">
        <v>1585</v>
      </c>
      <c r="E29" s="12">
        <v>8</v>
      </c>
      <c r="F29" s="12">
        <v>4</v>
      </c>
      <c r="G29" s="12">
        <v>0</v>
      </c>
      <c r="H29" s="12">
        <v>0</v>
      </c>
      <c r="I29" s="12" t="s">
        <v>1586</v>
      </c>
    </row>
    <row r="30" spans="1:9">
      <c r="A30" s="12" t="s">
        <v>583</v>
      </c>
      <c r="B30" s="12" t="s">
        <v>584</v>
      </c>
      <c r="C30" s="12" t="s">
        <v>29</v>
      </c>
      <c r="D30" s="12" t="s">
        <v>1585</v>
      </c>
      <c r="E30" s="12">
        <v>16</v>
      </c>
      <c r="F30" s="12">
        <v>0</v>
      </c>
      <c r="G30" s="12">
        <v>4</v>
      </c>
      <c r="H30" s="12">
        <v>0</v>
      </c>
      <c r="I30" s="12" t="s">
        <v>1586</v>
      </c>
    </row>
    <row r="31" spans="1:9">
      <c r="A31" s="12" t="s">
        <v>1163</v>
      </c>
      <c r="B31" s="12" t="s">
        <v>1164</v>
      </c>
      <c r="C31" s="12" t="s">
        <v>14</v>
      </c>
      <c r="D31" s="12" t="s">
        <v>1585</v>
      </c>
      <c r="E31" s="12">
        <v>13</v>
      </c>
      <c r="F31" s="12">
        <v>0</v>
      </c>
      <c r="G31" s="12">
        <v>7</v>
      </c>
      <c r="H31" s="12">
        <v>0</v>
      </c>
      <c r="I31" s="12" t="s">
        <v>1586</v>
      </c>
    </row>
    <row r="32" spans="1:9">
      <c r="A32" s="12" t="s">
        <v>608</v>
      </c>
      <c r="B32" s="12" t="s">
        <v>609</v>
      </c>
      <c r="C32" s="12" t="s">
        <v>76</v>
      </c>
      <c r="D32" s="12" t="s">
        <v>1585</v>
      </c>
      <c r="E32" s="12">
        <v>17</v>
      </c>
      <c r="F32" s="12">
        <v>2</v>
      </c>
      <c r="G32" s="12">
        <v>1</v>
      </c>
      <c r="H32" s="12">
        <v>0</v>
      </c>
      <c r="I32" s="12" t="s">
        <v>1586</v>
      </c>
    </row>
    <row r="33" spans="1:9">
      <c r="A33" s="12" t="s">
        <v>1137</v>
      </c>
      <c r="B33" s="12" t="s">
        <v>79</v>
      </c>
      <c r="C33" s="12" t="s">
        <v>543</v>
      </c>
      <c r="D33" s="12" t="s">
        <v>1585</v>
      </c>
      <c r="E33" s="12">
        <v>0</v>
      </c>
      <c r="F33" s="12">
        <v>20</v>
      </c>
      <c r="G33" s="12">
        <v>0</v>
      </c>
      <c r="H33" s="12">
        <v>0</v>
      </c>
      <c r="I33" s="12" t="s">
        <v>1586</v>
      </c>
    </row>
    <row r="34" spans="1:9">
      <c r="A34" s="12" t="s">
        <v>541</v>
      </c>
      <c r="B34" s="12" t="s">
        <v>98</v>
      </c>
      <c r="C34" s="12" t="s">
        <v>6</v>
      </c>
      <c r="D34" s="12" t="s">
        <v>1585</v>
      </c>
      <c r="E34" s="12">
        <v>0</v>
      </c>
      <c r="F34" s="12">
        <v>20</v>
      </c>
      <c r="G34" s="12">
        <v>0</v>
      </c>
      <c r="H34" s="12">
        <v>0</v>
      </c>
      <c r="I34" s="12" t="s">
        <v>1586</v>
      </c>
    </row>
    <row r="35" spans="1:9">
      <c r="A35" s="12" t="s">
        <v>1460</v>
      </c>
      <c r="B35" s="12" t="s">
        <v>1461</v>
      </c>
      <c r="C35" s="12" t="s">
        <v>49</v>
      </c>
      <c r="D35" s="12" t="s">
        <v>1585</v>
      </c>
      <c r="E35" s="12">
        <v>0</v>
      </c>
      <c r="F35" s="12">
        <v>6</v>
      </c>
      <c r="G35" s="12">
        <v>0</v>
      </c>
      <c r="H35" s="12">
        <v>14</v>
      </c>
      <c r="I35" s="12" t="s">
        <v>1586</v>
      </c>
    </row>
    <row r="36" spans="1:9">
      <c r="A36" s="12" t="s">
        <v>946</v>
      </c>
      <c r="B36" s="12" t="s">
        <v>947</v>
      </c>
      <c r="C36" s="12" t="s">
        <v>45</v>
      </c>
      <c r="D36" s="12" t="s">
        <v>1585</v>
      </c>
      <c r="E36" s="12">
        <v>20</v>
      </c>
      <c r="F36" s="12">
        <v>0</v>
      </c>
      <c r="G36" s="12">
        <v>0</v>
      </c>
      <c r="H36" s="12">
        <v>0</v>
      </c>
      <c r="I36" s="12" t="s">
        <v>1586</v>
      </c>
    </row>
    <row r="37" spans="1:9">
      <c r="A37" s="12" t="s">
        <v>873</v>
      </c>
      <c r="B37" s="12" t="s">
        <v>874</v>
      </c>
      <c r="C37" s="12" t="s">
        <v>56</v>
      </c>
      <c r="D37" s="12" t="s">
        <v>1585</v>
      </c>
      <c r="E37" s="12">
        <v>19</v>
      </c>
      <c r="F37" s="12">
        <v>0</v>
      </c>
      <c r="G37" s="12">
        <v>1</v>
      </c>
      <c r="H37" s="12">
        <v>0</v>
      </c>
      <c r="I37" s="12" t="s">
        <v>1586</v>
      </c>
    </row>
    <row r="38" spans="1:9">
      <c r="A38" s="12" t="s">
        <v>954</v>
      </c>
      <c r="B38" s="12" t="s">
        <v>955</v>
      </c>
      <c r="C38" s="12" t="s">
        <v>45</v>
      </c>
      <c r="D38" s="12" t="s">
        <v>1585</v>
      </c>
      <c r="E38" s="12">
        <v>20</v>
      </c>
      <c r="F38" s="12">
        <v>0</v>
      </c>
      <c r="G38" s="12">
        <v>0</v>
      </c>
      <c r="H38" s="12">
        <v>0</v>
      </c>
      <c r="I38" s="12" t="s">
        <v>1586</v>
      </c>
    </row>
    <row r="39" spans="1:9">
      <c r="A39" s="12" t="s">
        <v>1158</v>
      </c>
      <c r="B39" s="12" t="s">
        <v>10</v>
      </c>
      <c r="C39" s="12" t="s">
        <v>48</v>
      </c>
      <c r="D39" s="12" t="s">
        <v>1585</v>
      </c>
      <c r="E39" s="12">
        <v>19</v>
      </c>
      <c r="F39" s="12">
        <v>1</v>
      </c>
      <c r="G39" s="12">
        <v>0</v>
      </c>
      <c r="H39" s="12">
        <v>0</v>
      </c>
      <c r="I39" s="12" t="s">
        <v>1586</v>
      </c>
    </row>
    <row r="40" spans="1:9">
      <c r="A40" s="12" t="s">
        <v>1171</v>
      </c>
      <c r="B40" s="12" t="s">
        <v>1172</v>
      </c>
      <c r="C40" s="12" t="s">
        <v>86</v>
      </c>
      <c r="D40" s="12" t="s">
        <v>1585</v>
      </c>
      <c r="E40" s="12">
        <v>13</v>
      </c>
      <c r="F40" s="12">
        <v>0</v>
      </c>
      <c r="G40" s="12">
        <v>7</v>
      </c>
      <c r="H40" s="12">
        <v>0</v>
      </c>
      <c r="I40" s="12" t="s">
        <v>1586</v>
      </c>
    </row>
    <row r="41" spans="1:9">
      <c r="A41" s="12" t="s">
        <v>872</v>
      </c>
      <c r="B41" s="12" t="s">
        <v>51</v>
      </c>
      <c r="C41" s="12" t="s">
        <v>31</v>
      </c>
      <c r="D41" s="12" t="s">
        <v>1585</v>
      </c>
      <c r="E41" s="12">
        <v>14</v>
      </c>
      <c r="F41" s="12">
        <v>0</v>
      </c>
      <c r="G41" s="12">
        <v>6</v>
      </c>
      <c r="H41" s="12">
        <v>0</v>
      </c>
      <c r="I41" s="12" t="s">
        <v>1586</v>
      </c>
    </row>
    <row r="42" spans="1:9">
      <c r="A42" s="12" t="s">
        <v>1525</v>
      </c>
      <c r="B42" s="12" t="s">
        <v>1526</v>
      </c>
      <c r="C42" s="12" t="s">
        <v>8</v>
      </c>
      <c r="D42" s="12" t="s">
        <v>1585</v>
      </c>
      <c r="E42" s="12">
        <v>19</v>
      </c>
      <c r="F42" s="12">
        <v>0</v>
      </c>
      <c r="G42" s="12">
        <v>1</v>
      </c>
      <c r="H42" s="12">
        <v>0</v>
      </c>
      <c r="I42" s="12" t="s">
        <v>1586</v>
      </c>
    </row>
    <row r="43" spans="1:9">
      <c r="A43" s="12" t="s">
        <v>1349</v>
      </c>
      <c r="B43" s="12" t="s">
        <v>1350</v>
      </c>
      <c r="C43" s="12" t="s">
        <v>53</v>
      </c>
      <c r="D43" s="12" t="s">
        <v>1585</v>
      </c>
      <c r="E43" s="12">
        <v>16</v>
      </c>
      <c r="F43" s="12">
        <v>0</v>
      </c>
      <c r="G43" s="12">
        <v>4</v>
      </c>
      <c r="H43" s="12">
        <v>0</v>
      </c>
      <c r="I43" s="12" t="s">
        <v>1586</v>
      </c>
    </row>
    <row r="44" spans="1:9">
      <c r="A44" s="12" t="s">
        <v>655</v>
      </c>
      <c r="B44" s="12" t="s">
        <v>656</v>
      </c>
      <c r="C44" s="12" t="s">
        <v>31</v>
      </c>
      <c r="D44" s="12" t="s">
        <v>1585</v>
      </c>
      <c r="E44" s="12">
        <v>13</v>
      </c>
      <c r="F44" s="12">
        <v>2</v>
      </c>
      <c r="G44" s="12">
        <v>5</v>
      </c>
      <c r="H44" s="12">
        <v>0</v>
      </c>
      <c r="I44" s="12" t="s">
        <v>1586</v>
      </c>
    </row>
    <row r="45" spans="1:9">
      <c r="A45" s="12" t="s">
        <v>545</v>
      </c>
      <c r="B45" s="12" t="s">
        <v>546</v>
      </c>
      <c r="C45" s="12" t="s">
        <v>6</v>
      </c>
      <c r="D45" s="12" t="s">
        <v>1585</v>
      </c>
      <c r="E45" s="12">
        <v>18</v>
      </c>
      <c r="F45" s="12">
        <v>2</v>
      </c>
      <c r="G45" s="12">
        <v>0</v>
      </c>
      <c r="H45" s="12">
        <v>0</v>
      </c>
      <c r="I45" s="12" t="s">
        <v>1586</v>
      </c>
    </row>
    <row r="46" spans="1:9">
      <c r="A46" s="12" t="s">
        <v>547</v>
      </c>
      <c r="B46" s="12" t="s">
        <v>28</v>
      </c>
      <c r="C46" s="12" t="s">
        <v>6</v>
      </c>
      <c r="D46" s="12" t="s">
        <v>1585</v>
      </c>
      <c r="E46" s="12">
        <v>8</v>
      </c>
      <c r="F46" s="12">
        <v>5</v>
      </c>
      <c r="G46" s="12">
        <v>0</v>
      </c>
      <c r="H46" s="12">
        <v>7</v>
      </c>
      <c r="I46" s="12" t="s">
        <v>1586</v>
      </c>
    </row>
    <row r="47" spans="1:9">
      <c r="A47" s="12" t="s">
        <v>544</v>
      </c>
      <c r="B47" s="12" t="s">
        <v>38</v>
      </c>
      <c r="C47" s="12" t="s">
        <v>6</v>
      </c>
      <c r="D47" s="12" t="s">
        <v>1585</v>
      </c>
      <c r="E47" s="12">
        <v>4</v>
      </c>
      <c r="F47" s="12">
        <v>16</v>
      </c>
      <c r="G47" s="12">
        <v>0</v>
      </c>
      <c r="H47" s="12">
        <v>0</v>
      </c>
      <c r="I47" s="12" t="s">
        <v>1586</v>
      </c>
    </row>
    <row r="48" spans="1:9">
      <c r="A48" s="12" t="s">
        <v>774</v>
      </c>
      <c r="B48" s="12" t="s">
        <v>85</v>
      </c>
      <c r="C48" s="12" t="s">
        <v>56</v>
      </c>
      <c r="D48" s="12" t="s">
        <v>1585</v>
      </c>
      <c r="E48" s="12">
        <v>13.5</v>
      </c>
      <c r="F48" s="12">
        <v>0</v>
      </c>
      <c r="G48" s="12">
        <v>6.5</v>
      </c>
      <c r="H48" s="12">
        <v>0</v>
      </c>
      <c r="I48" s="12" t="s">
        <v>1586</v>
      </c>
    </row>
    <row r="49" spans="1:9">
      <c r="A49" s="12" t="s">
        <v>573</v>
      </c>
      <c r="B49" s="12" t="s">
        <v>25</v>
      </c>
      <c r="C49" s="12" t="s">
        <v>29</v>
      </c>
      <c r="D49" s="12" t="s">
        <v>1585</v>
      </c>
      <c r="E49" s="12">
        <v>20</v>
      </c>
      <c r="F49" s="12">
        <v>0</v>
      </c>
      <c r="G49" s="12">
        <v>0</v>
      </c>
      <c r="H49" s="12">
        <v>0</v>
      </c>
      <c r="I49" s="12" t="s">
        <v>1586</v>
      </c>
    </row>
    <row r="50" spans="1:9">
      <c r="A50" s="12" t="s">
        <v>756</v>
      </c>
      <c r="B50" s="12" t="s">
        <v>757</v>
      </c>
      <c r="C50" s="12" t="s">
        <v>56</v>
      </c>
      <c r="D50" s="12" t="s">
        <v>1585</v>
      </c>
      <c r="E50" s="12">
        <v>20</v>
      </c>
      <c r="F50" s="12">
        <v>0</v>
      </c>
      <c r="G50" s="12">
        <v>0</v>
      </c>
      <c r="H50" s="12">
        <v>0</v>
      </c>
      <c r="I50" s="12" t="s">
        <v>1586</v>
      </c>
    </row>
    <row r="51" spans="1:9">
      <c r="A51" s="12" t="s">
        <v>718</v>
      </c>
      <c r="B51" s="12" t="s">
        <v>719</v>
      </c>
      <c r="C51" s="12" t="s">
        <v>74</v>
      </c>
      <c r="D51" s="12" t="s">
        <v>1585</v>
      </c>
      <c r="E51" s="12">
        <v>0</v>
      </c>
      <c r="F51" s="12">
        <v>0</v>
      </c>
      <c r="G51" s="12">
        <v>6</v>
      </c>
      <c r="H51" s="12">
        <v>14</v>
      </c>
      <c r="I51" s="12" t="s">
        <v>1586</v>
      </c>
    </row>
    <row r="52" spans="1:9">
      <c r="A52" s="12" t="s">
        <v>916</v>
      </c>
      <c r="B52" s="12" t="s">
        <v>917</v>
      </c>
      <c r="C52" s="12" t="s">
        <v>66</v>
      </c>
      <c r="D52" s="12" t="s">
        <v>1585</v>
      </c>
      <c r="E52" s="12">
        <v>0</v>
      </c>
      <c r="F52" s="12">
        <v>0</v>
      </c>
      <c r="G52" s="12">
        <v>0</v>
      </c>
      <c r="H52" s="12">
        <v>0</v>
      </c>
      <c r="I52" s="12" t="s">
        <v>1586</v>
      </c>
    </row>
    <row r="53" spans="1:9">
      <c r="A53" s="12" t="s">
        <v>829</v>
      </c>
      <c r="B53" s="12" t="s">
        <v>830</v>
      </c>
      <c r="C53" s="12" t="s">
        <v>12</v>
      </c>
      <c r="D53" s="12" t="s">
        <v>1585</v>
      </c>
      <c r="E53" s="12">
        <v>15</v>
      </c>
      <c r="F53" s="12">
        <v>0</v>
      </c>
      <c r="G53" s="12">
        <v>5</v>
      </c>
      <c r="H53" s="12">
        <v>0</v>
      </c>
      <c r="I53" s="12" t="s">
        <v>1586</v>
      </c>
    </row>
    <row r="54" spans="1:9">
      <c r="A54" s="12" t="s">
        <v>1181</v>
      </c>
      <c r="B54" s="12" t="s">
        <v>1182</v>
      </c>
      <c r="C54" s="12" t="s">
        <v>55</v>
      </c>
      <c r="D54" s="12" t="s">
        <v>1585</v>
      </c>
      <c r="E54" s="12">
        <v>18</v>
      </c>
      <c r="F54" s="12">
        <v>0</v>
      </c>
      <c r="G54" s="12">
        <v>2</v>
      </c>
      <c r="H54" s="12">
        <v>0</v>
      </c>
      <c r="I54" s="12" t="s">
        <v>1586</v>
      </c>
    </row>
    <row r="55" spans="1:9">
      <c r="A55" s="12" t="s">
        <v>1236</v>
      </c>
      <c r="B55" s="12" t="s">
        <v>1237</v>
      </c>
      <c r="C55" s="12" t="s">
        <v>80</v>
      </c>
      <c r="D55" s="12" t="s">
        <v>1585</v>
      </c>
      <c r="E55" s="12">
        <v>0</v>
      </c>
      <c r="F55" s="12">
        <v>20</v>
      </c>
      <c r="G55" s="12">
        <v>0</v>
      </c>
      <c r="H55" s="12">
        <v>0</v>
      </c>
      <c r="I55" s="12" t="s">
        <v>1586</v>
      </c>
    </row>
    <row r="56" spans="1:9">
      <c r="A56" s="12" t="s">
        <v>527</v>
      </c>
      <c r="B56" s="12" t="s">
        <v>528</v>
      </c>
      <c r="C56" s="12" t="s">
        <v>6</v>
      </c>
      <c r="D56" s="12" t="s">
        <v>1585</v>
      </c>
      <c r="E56" s="12">
        <v>5</v>
      </c>
      <c r="F56" s="12">
        <v>5</v>
      </c>
      <c r="G56" s="12">
        <v>7</v>
      </c>
      <c r="H56" s="12">
        <v>3</v>
      </c>
      <c r="I56" s="12" t="s">
        <v>1586</v>
      </c>
    </row>
    <row r="57" spans="1:9">
      <c r="A57" s="12" t="s">
        <v>351</v>
      </c>
      <c r="B57" s="12" t="s">
        <v>352</v>
      </c>
      <c r="C57" s="12" t="s">
        <v>61</v>
      </c>
      <c r="D57" s="12" t="s">
        <v>1585</v>
      </c>
      <c r="E57" s="12">
        <v>19</v>
      </c>
      <c r="F57" s="12">
        <v>0</v>
      </c>
      <c r="G57" s="12">
        <v>1</v>
      </c>
      <c r="H57" s="12">
        <v>0</v>
      </c>
      <c r="I57" s="12" t="s">
        <v>1586</v>
      </c>
    </row>
    <row r="58" spans="1:9">
      <c r="A58" s="12" t="s">
        <v>498</v>
      </c>
      <c r="B58" s="12" t="s">
        <v>97</v>
      </c>
      <c r="C58" s="12" t="s">
        <v>6</v>
      </c>
      <c r="D58" s="12" t="s">
        <v>1585</v>
      </c>
      <c r="E58" s="12">
        <v>3</v>
      </c>
      <c r="F58" s="12">
        <v>8</v>
      </c>
      <c r="G58" s="12">
        <v>1</v>
      </c>
      <c r="H58" s="12">
        <v>8</v>
      </c>
      <c r="I58" s="12" t="s">
        <v>1586</v>
      </c>
    </row>
    <row r="59" spans="1:9">
      <c r="A59" s="12" t="s">
        <v>554</v>
      </c>
      <c r="B59" s="12" t="s">
        <v>555</v>
      </c>
      <c r="C59" s="12" t="s">
        <v>30</v>
      </c>
      <c r="D59" s="12" t="s">
        <v>1585</v>
      </c>
      <c r="E59" s="12">
        <v>16</v>
      </c>
      <c r="F59" s="12">
        <v>4</v>
      </c>
      <c r="G59" s="12">
        <v>0</v>
      </c>
      <c r="H59" s="12">
        <v>0</v>
      </c>
      <c r="I59" s="12" t="s">
        <v>1586</v>
      </c>
    </row>
    <row r="60" spans="1:9">
      <c r="A60" s="12" t="s">
        <v>764</v>
      </c>
      <c r="B60" s="12" t="s">
        <v>765</v>
      </c>
      <c r="C60" s="12" t="s">
        <v>56</v>
      </c>
      <c r="D60" s="12" t="s">
        <v>1585</v>
      </c>
      <c r="E60" s="12">
        <v>19</v>
      </c>
      <c r="F60" s="12">
        <v>0</v>
      </c>
      <c r="G60" s="12">
        <v>1</v>
      </c>
      <c r="H60" s="12">
        <v>0</v>
      </c>
      <c r="I60" s="12" t="s">
        <v>1586</v>
      </c>
    </row>
    <row r="61" spans="1:9">
      <c r="A61" s="12" t="s">
        <v>1189</v>
      </c>
      <c r="B61" s="12" t="s">
        <v>68</v>
      </c>
      <c r="C61" s="12" t="s">
        <v>55</v>
      </c>
      <c r="D61" s="12" t="s">
        <v>1585</v>
      </c>
      <c r="E61" s="12">
        <v>7.5</v>
      </c>
      <c r="F61" s="12">
        <v>12.5</v>
      </c>
      <c r="G61" s="12">
        <v>0</v>
      </c>
      <c r="H61" s="12">
        <v>0</v>
      </c>
      <c r="I61" s="12" t="s">
        <v>1586</v>
      </c>
    </row>
    <row r="62" spans="1:9">
      <c r="A62" s="12" t="s">
        <v>558</v>
      </c>
      <c r="B62" s="12" t="s">
        <v>559</v>
      </c>
      <c r="C62" s="12" t="s">
        <v>30</v>
      </c>
      <c r="D62" s="12" t="s">
        <v>1585</v>
      </c>
      <c r="E62" s="12">
        <v>7</v>
      </c>
      <c r="F62" s="12">
        <v>10</v>
      </c>
      <c r="G62" s="12">
        <v>0</v>
      </c>
      <c r="H62" s="12">
        <v>3</v>
      </c>
      <c r="I62" s="12" t="s">
        <v>1586</v>
      </c>
    </row>
    <row r="63" spans="1:9">
      <c r="A63" s="12" t="s">
        <v>1459</v>
      </c>
      <c r="B63" s="12" t="s">
        <v>72</v>
      </c>
      <c r="C63" s="12" t="s">
        <v>39</v>
      </c>
      <c r="D63" s="12" t="s">
        <v>1585</v>
      </c>
      <c r="E63" s="12">
        <v>16</v>
      </c>
      <c r="F63" s="12">
        <v>4</v>
      </c>
      <c r="G63" s="12">
        <v>0</v>
      </c>
      <c r="H63" s="12">
        <v>0</v>
      </c>
      <c r="I63" s="12" t="s">
        <v>1586</v>
      </c>
    </row>
    <row r="64" spans="1:9">
      <c r="A64" s="12" t="s">
        <v>1187</v>
      </c>
      <c r="B64" s="12" t="s">
        <v>1188</v>
      </c>
      <c r="C64" s="12" t="s">
        <v>41</v>
      </c>
      <c r="D64" s="12" t="s">
        <v>1585</v>
      </c>
      <c r="E64" s="12">
        <v>20</v>
      </c>
      <c r="F64" s="12">
        <v>0</v>
      </c>
      <c r="G64" s="12">
        <v>0</v>
      </c>
      <c r="H64" s="12">
        <v>0</v>
      </c>
      <c r="I64" s="12" t="s">
        <v>1586</v>
      </c>
    </row>
    <row r="65" spans="1:9">
      <c r="A65" s="12" t="s">
        <v>142</v>
      </c>
      <c r="B65" s="12" t="s">
        <v>143</v>
      </c>
      <c r="C65" s="12" t="s">
        <v>60</v>
      </c>
      <c r="D65" s="12" t="s">
        <v>1585</v>
      </c>
      <c r="E65" s="12">
        <v>0</v>
      </c>
      <c r="F65" s="12">
        <v>20</v>
      </c>
      <c r="G65" s="12">
        <v>0</v>
      </c>
      <c r="H65" s="12">
        <v>0</v>
      </c>
      <c r="I65" s="12" t="s">
        <v>1586</v>
      </c>
    </row>
    <row r="66" spans="1:9">
      <c r="A66" s="12" t="s">
        <v>693</v>
      </c>
      <c r="B66" s="12" t="s">
        <v>694</v>
      </c>
      <c r="C66" s="12" t="s">
        <v>46</v>
      </c>
      <c r="D66" s="12" t="s">
        <v>1585</v>
      </c>
      <c r="E66" s="12">
        <v>0</v>
      </c>
      <c r="F66" s="12">
        <v>14</v>
      </c>
      <c r="G66" s="12">
        <v>0</v>
      </c>
      <c r="H66" s="12">
        <v>0</v>
      </c>
      <c r="I66" s="12" t="s">
        <v>1586</v>
      </c>
    </row>
    <row r="67" spans="1:9">
      <c r="A67" s="12" t="s">
        <v>866</v>
      </c>
      <c r="B67" s="12" t="s">
        <v>867</v>
      </c>
      <c r="C67" s="12" t="s">
        <v>34</v>
      </c>
      <c r="D67" s="12" t="s">
        <v>1585</v>
      </c>
      <c r="E67" s="12">
        <v>20</v>
      </c>
      <c r="F67" s="12">
        <v>0</v>
      </c>
      <c r="G67" s="12">
        <v>0</v>
      </c>
      <c r="H67" s="12">
        <v>0</v>
      </c>
      <c r="I67" s="12" t="s">
        <v>1586</v>
      </c>
    </row>
    <row r="68" spans="1:9">
      <c r="A68" s="12" t="s">
        <v>553</v>
      </c>
      <c r="B68" s="12" t="s">
        <v>61</v>
      </c>
      <c r="C68" s="12" t="s">
        <v>30</v>
      </c>
      <c r="D68" s="12" t="s">
        <v>1585</v>
      </c>
      <c r="E68" s="12">
        <v>0</v>
      </c>
      <c r="F68" s="12">
        <v>20</v>
      </c>
      <c r="G68" s="12">
        <v>0</v>
      </c>
      <c r="H68" s="12">
        <v>0</v>
      </c>
      <c r="I68" s="12" t="s">
        <v>1586</v>
      </c>
    </row>
    <row r="69" spans="1:9">
      <c r="A69" s="12" t="s">
        <v>1309</v>
      </c>
      <c r="B69" s="12" t="s">
        <v>58</v>
      </c>
      <c r="C69" s="12" t="s">
        <v>6</v>
      </c>
      <c r="D69" s="12" t="s">
        <v>1585</v>
      </c>
      <c r="E69" s="12">
        <v>0</v>
      </c>
      <c r="F69" s="12">
        <v>19</v>
      </c>
      <c r="G69" s="12">
        <v>1</v>
      </c>
      <c r="H69" s="12">
        <v>0</v>
      </c>
      <c r="I69" s="12" t="s">
        <v>1586</v>
      </c>
    </row>
    <row r="70" spans="1:9">
      <c r="A70" s="12" t="s">
        <v>381</v>
      </c>
      <c r="B70" s="12" t="s">
        <v>382</v>
      </c>
      <c r="C70" s="12" t="s">
        <v>39</v>
      </c>
      <c r="D70" s="12" t="s">
        <v>1585</v>
      </c>
      <c r="E70" s="12">
        <v>14</v>
      </c>
      <c r="F70" s="12">
        <v>1</v>
      </c>
      <c r="G70" s="12">
        <v>5</v>
      </c>
      <c r="H70" s="12">
        <v>0</v>
      </c>
      <c r="I70" s="12" t="s">
        <v>1586</v>
      </c>
    </row>
    <row r="71" spans="1:9">
      <c r="A71" s="12" t="s">
        <v>1161</v>
      </c>
      <c r="B71" s="12" t="s">
        <v>1162</v>
      </c>
      <c r="C71" s="12" t="s">
        <v>36</v>
      </c>
      <c r="D71" s="12" t="s">
        <v>1585</v>
      </c>
      <c r="E71" s="12">
        <v>16</v>
      </c>
      <c r="F71" s="12">
        <v>0</v>
      </c>
      <c r="G71" s="12">
        <v>4</v>
      </c>
      <c r="H71" s="12">
        <v>0</v>
      </c>
      <c r="I71" s="12" t="s">
        <v>1586</v>
      </c>
    </row>
    <row r="72" spans="1:9">
      <c r="A72" s="12" t="s">
        <v>1301</v>
      </c>
      <c r="B72" s="12" t="s">
        <v>1302</v>
      </c>
      <c r="C72" s="12" t="s">
        <v>4</v>
      </c>
      <c r="D72" s="12" t="s">
        <v>1585</v>
      </c>
      <c r="E72" s="12">
        <v>0</v>
      </c>
      <c r="F72" s="12">
        <v>0</v>
      </c>
      <c r="G72" s="12">
        <v>1</v>
      </c>
      <c r="H72" s="12">
        <v>8</v>
      </c>
      <c r="I72" s="12" t="s">
        <v>1586</v>
      </c>
    </row>
    <row r="73" spans="1:9">
      <c r="A73" s="12" t="s">
        <v>1165</v>
      </c>
      <c r="B73" s="12" t="s">
        <v>1166</v>
      </c>
      <c r="C73" s="12" t="s">
        <v>86</v>
      </c>
      <c r="D73" s="12" t="s">
        <v>1585</v>
      </c>
      <c r="E73" s="12">
        <v>15</v>
      </c>
      <c r="F73" s="12">
        <v>0</v>
      </c>
      <c r="G73" s="12">
        <v>5</v>
      </c>
      <c r="H73" s="12">
        <v>0</v>
      </c>
      <c r="I73" s="12" t="s">
        <v>1586</v>
      </c>
    </row>
    <row r="74" spans="1:9">
      <c r="A74" s="12" t="s">
        <v>882</v>
      </c>
      <c r="B74" s="12" t="s">
        <v>883</v>
      </c>
      <c r="C74" s="12" t="s">
        <v>14</v>
      </c>
      <c r="D74" s="12" t="s">
        <v>1585</v>
      </c>
      <c r="E74" s="12">
        <v>20</v>
      </c>
      <c r="F74" s="12">
        <v>0</v>
      </c>
      <c r="G74" s="12">
        <v>0</v>
      </c>
      <c r="H74" s="12">
        <v>0</v>
      </c>
      <c r="I74" s="12" t="s">
        <v>1586</v>
      </c>
    </row>
    <row r="75" spans="1:9">
      <c r="A75" s="12" t="s">
        <v>1361</v>
      </c>
      <c r="B75" s="12" t="s">
        <v>1362</v>
      </c>
      <c r="C75" s="12" t="s">
        <v>15</v>
      </c>
      <c r="D75" s="12" t="s">
        <v>1585</v>
      </c>
      <c r="E75" s="12">
        <v>0</v>
      </c>
      <c r="F75" s="12">
        <v>10</v>
      </c>
      <c r="G75" s="12">
        <v>0</v>
      </c>
      <c r="H75" s="12">
        <v>0</v>
      </c>
      <c r="I75" s="12" t="s">
        <v>1586</v>
      </c>
    </row>
    <row r="76" spans="1:9">
      <c r="A76" s="12" t="s">
        <v>1466</v>
      </c>
      <c r="B76" s="12" t="s">
        <v>4</v>
      </c>
      <c r="C76" s="12" t="s">
        <v>63</v>
      </c>
      <c r="D76" s="12" t="s">
        <v>1585</v>
      </c>
      <c r="E76" s="12">
        <v>0</v>
      </c>
      <c r="F76" s="12">
        <v>7</v>
      </c>
      <c r="G76" s="12">
        <v>0</v>
      </c>
      <c r="H76" s="12">
        <v>13</v>
      </c>
      <c r="I76" s="12" t="s">
        <v>1586</v>
      </c>
    </row>
    <row r="77" spans="1:9">
      <c r="A77" s="12" t="s">
        <v>1200</v>
      </c>
      <c r="B77" s="12" t="s">
        <v>66</v>
      </c>
      <c r="C77" s="12" t="s">
        <v>38</v>
      </c>
      <c r="D77" s="12" t="s">
        <v>1585</v>
      </c>
      <c r="E77" s="12">
        <v>12.5</v>
      </c>
      <c r="F77" s="12">
        <v>1.5</v>
      </c>
      <c r="G77" s="12">
        <v>6</v>
      </c>
      <c r="H77" s="12">
        <v>0</v>
      </c>
      <c r="I77" s="12" t="s">
        <v>1586</v>
      </c>
    </row>
    <row r="78" spans="1:9">
      <c r="A78" s="12" t="s">
        <v>141</v>
      </c>
      <c r="B78" s="12" t="s">
        <v>33</v>
      </c>
      <c r="C78" s="12" t="s">
        <v>60</v>
      </c>
      <c r="D78" s="12" t="s">
        <v>1585</v>
      </c>
      <c r="E78" s="12">
        <v>12</v>
      </c>
      <c r="F78" s="12">
        <v>3</v>
      </c>
      <c r="G78" s="12">
        <v>5</v>
      </c>
      <c r="H78" s="12">
        <v>0</v>
      </c>
      <c r="I78" s="12" t="s">
        <v>1586</v>
      </c>
    </row>
    <row r="79" spans="1:9">
      <c r="A79" s="12" t="s">
        <v>644</v>
      </c>
      <c r="B79" s="12" t="s">
        <v>67</v>
      </c>
      <c r="C79" s="12" t="s">
        <v>31</v>
      </c>
      <c r="D79" s="12" t="s">
        <v>1585</v>
      </c>
      <c r="E79" s="12">
        <v>20</v>
      </c>
      <c r="F79" s="12">
        <v>0</v>
      </c>
      <c r="G79" s="12">
        <v>0</v>
      </c>
      <c r="H79" s="12">
        <v>0</v>
      </c>
      <c r="I79" s="12" t="s">
        <v>1586</v>
      </c>
    </row>
    <row r="80" spans="1:9">
      <c r="A80" s="12" t="s">
        <v>1105</v>
      </c>
      <c r="B80" s="12" t="s">
        <v>1106</v>
      </c>
      <c r="C80" s="12" t="s">
        <v>31</v>
      </c>
      <c r="D80" s="12" t="s">
        <v>1585</v>
      </c>
      <c r="E80" s="12">
        <v>20</v>
      </c>
      <c r="F80" s="12">
        <v>0</v>
      </c>
      <c r="G80" s="12">
        <v>0</v>
      </c>
      <c r="H80" s="12">
        <v>0</v>
      </c>
      <c r="I80" s="12" t="s">
        <v>1586</v>
      </c>
    </row>
    <row r="81" spans="1:9">
      <c r="A81" s="12" t="s">
        <v>1421</v>
      </c>
      <c r="B81" s="12" t="s">
        <v>1422</v>
      </c>
      <c r="C81" s="12" t="s">
        <v>41</v>
      </c>
      <c r="D81" s="12" t="s">
        <v>1585</v>
      </c>
      <c r="E81" s="12">
        <v>0</v>
      </c>
      <c r="F81" s="12">
        <v>12</v>
      </c>
      <c r="G81" s="12">
        <v>8</v>
      </c>
      <c r="H81" s="12">
        <v>0</v>
      </c>
      <c r="I81" s="12" t="s">
        <v>1586</v>
      </c>
    </row>
    <row r="82" spans="1:9">
      <c r="A82" s="12" t="s">
        <v>1197</v>
      </c>
      <c r="B82" s="12" t="s">
        <v>1198</v>
      </c>
      <c r="C82" s="12" t="s">
        <v>38</v>
      </c>
      <c r="D82" s="12" t="s">
        <v>1585</v>
      </c>
      <c r="E82" s="12">
        <v>14</v>
      </c>
      <c r="F82" s="12">
        <v>0</v>
      </c>
      <c r="G82" s="12">
        <v>0</v>
      </c>
      <c r="H82" s="12">
        <v>6</v>
      </c>
      <c r="I82" s="12" t="s">
        <v>1586</v>
      </c>
    </row>
    <row r="83" spans="1:9">
      <c r="A83" s="12" t="s">
        <v>282</v>
      </c>
      <c r="B83" s="12" t="s">
        <v>283</v>
      </c>
      <c r="C83" s="12" t="s">
        <v>3</v>
      </c>
      <c r="D83" s="12" t="s">
        <v>1585</v>
      </c>
      <c r="E83" s="12">
        <v>15</v>
      </c>
      <c r="F83" s="12">
        <v>5</v>
      </c>
      <c r="G83" s="12">
        <v>0</v>
      </c>
      <c r="H83" s="12">
        <v>0</v>
      </c>
      <c r="I83" s="12" t="s">
        <v>1586</v>
      </c>
    </row>
    <row r="84" spans="1:9">
      <c r="A84" s="12" t="s">
        <v>507</v>
      </c>
      <c r="B84" s="12" t="s">
        <v>508</v>
      </c>
      <c r="C84" s="12" t="s">
        <v>30</v>
      </c>
      <c r="D84" s="12" t="s">
        <v>1585</v>
      </c>
      <c r="E84" s="12">
        <v>16</v>
      </c>
      <c r="F84" s="12">
        <v>2</v>
      </c>
      <c r="G84" s="12">
        <v>2</v>
      </c>
      <c r="H84" s="12">
        <v>0</v>
      </c>
      <c r="I84" s="12" t="s">
        <v>1586</v>
      </c>
    </row>
    <row r="85" spans="1:9">
      <c r="A85" s="12" t="s">
        <v>851</v>
      </c>
      <c r="B85" s="12" t="s">
        <v>852</v>
      </c>
      <c r="C85" s="12" t="s">
        <v>36</v>
      </c>
      <c r="D85" s="12" t="s">
        <v>1585</v>
      </c>
      <c r="E85" s="12">
        <v>20</v>
      </c>
      <c r="F85" s="12">
        <v>0</v>
      </c>
      <c r="G85" s="12">
        <v>0</v>
      </c>
      <c r="H85" s="12">
        <v>0</v>
      </c>
      <c r="I85" s="12" t="s">
        <v>1586</v>
      </c>
    </row>
    <row r="86" spans="1:9">
      <c r="A86" s="12" t="s">
        <v>448</v>
      </c>
      <c r="B86" s="12" t="s">
        <v>449</v>
      </c>
      <c r="C86" s="12" t="s">
        <v>70</v>
      </c>
      <c r="D86" s="12" t="s">
        <v>1585</v>
      </c>
      <c r="E86" s="12">
        <v>20</v>
      </c>
      <c r="F86" s="12">
        <v>0</v>
      </c>
      <c r="G86" s="12">
        <v>0</v>
      </c>
      <c r="H86" s="12">
        <v>0</v>
      </c>
      <c r="I86" s="12" t="s">
        <v>1586</v>
      </c>
    </row>
    <row r="87" spans="1:9">
      <c r="A87" s="12" t="s">
        <v>329</v>
      </c>
      <c r="B87" s="12" t="s">
        <v>330</v>
      </c>
      <c r="C87" s="12" t="s">
        <v>27</v>
      </c>
      <c r="D87" s="12" t="s">
        <v>1585</v>
      </c>
      <c r="E87" s="12">
        <v>18</v>
      </c>
      <c r="F87" s="12">
        <v>0</v>
      </c>
      <c r="G87" s="12">
        <v>2</v>
      </c>
      <c r="H87" s="12">
        <v>0</v>
      </c>
      <c r="I87" s="12" t="s">
        <v>1586</v>
      </c>
    </row>
    <row r="88" spans="1:9">
      <c r="A88" s="12" t="s">
        <v>570</v>
      </c>
      <c r="B88" s="12" t="s">
        <v>571</v>
      </c>
      <c r="C88" s="12" t="s">
        <v>29</v>
      </c>
      <c r="D88" s="12" t="s">
        <v>1585</v>
      </c>
      <c r="E88" s="12">
        <v>20</v>
      </c>
      <c r="F88" s="12">
        <v>0</v>
      </c>
      <c r="G88" s="12">
        <v>0</v>
      </c>
      <c r="H88" s="12">
        <v>0</v>
      </c>
      <c r="I88" s="12" t="s">
        <v>1586</v>
      </c>
    </row>
    <row r="89" spans="1:9">
      <c r="A89" s="12" t="s">
        <v>912</v>
      </c>
      <c r="B89" s="12" t="s">
        <v>913</v>
      </c>
      <c r="C89" s="12" t="s">
        <v>66</v>
      </c>
      <c r="D89" s="12" t="s">
        <v>1585</v>
      </c>
      <c r="E89" s="12">
        <v>20</v>
      </c>
      <c r="F89" s="12">
        <v>0</v>
      </c>
      <c r="G89" s="12">
        <v>0</v>
      </c>
      <c r="H89" s="12">
        <v>0</v>
      </c>
      <c r="I89" s="12" t="s">
        <v>1586</v>
      </c>
    </row>
    <row r="90" spans="1:9">
      <c r="A90" s="12" t="s">
        <v>529</v>
      </c>
      <c r="B90" s="12" t="s">
        <v>30</v>
      </c>
      <c r="C90" s="12" t="s">
        <v>6</v>
      </c>
      <c r="D90" s="12" t="s">
        <v>1585</v>
      </c>
      <c r="E90" s="12">
        <v>0</v>
      </c>
      <c r="F90" s="12">
        <v>12</v>
      </c>
      <c r="G90" s="12">
        <v>0</v>
      </c>
      <c r="H90" s="12">
        <v>8</v>
      </c>
      <c r="I90" s="12" t="s">
        <v>1586</v>
      </c>
    </row>
    <row r="91" spans="1:9">
      <c r="A91" s="12" t="s">
        <v>1018</v>
      </c>
      <c r="B91" s="12" t="s">
        <v>1019</v>
      </c>
      <c r="C91" s="12" t="s">
        <v>54</v>
      </c>
      <c r="D91" s="12" t="s">
        <v>1585</v>
      </c>
      <c r="E91" s="12">
        <v>7</v>
      </c>
      <c r="F91" s="12">
        <v>0</v>
      </c>
      <c r="G91" s="12">
        <v>1</v>
      </c>
      <c r="H91" s="12">
        <v>4</v>
      </c>
      <c r="I91" s="12" t="s">
        <v>1586</v>
      </c>
    </row>
    <row r="92" spans="1:9">
      <c r="A92" s="12" t="s">
        <v>1260</v>
      </c>
      <c r="B92" s="12" t="s">
        <v>92</v>
      </c>
      <c r="C92" s="12" t="s">
        <v>28</v>
      </c>
      <c r="D92" s="12" t="s">
        <v>1585</v>
      </c>
      <c r="E92" s="12">
        <v>3.5</v>
      </c>
      <c r="F92" s="12">
        <v>12</v>
      </c>
      <c r="G92" s="12">
        <v>0</v>
      </c>
      <c r="H92" s="12">
        <v>4.5</v>
      </c>
      <c r="I92" s="12" t="s">
        <v>1586</v>
      </c>
    </row>
    <row r="93" spans="1:9">
      <c r="A93" s="12" t="s">
        <v>533</v>
      </c>
      <c r="B93" s="12" t="s">
        <v>46</v>
      </c>
      <c r="C93" s="12" t="s">
        <v>6</v>
      </c>
      <c r="D93" s="12" t="s">
        <v>1585</v>
      </c>
      <c r="E93" s="12">
        <v>9</v>
      </c>
      <c r="F93" s="12">
        <v>11</v>
      </c>
      <c r="G93" s="12">
        <v>0</v>
      </c>
      <c r="H93" s="12">
        <v>0</v>
      </c>
      <c r="I93" s="12" t="s">
        <v>1586</v>
      </c>
    </row>
    <row r="94" spans="1:9">
      <c r="A94" s="12" t="s">
        <v>503</v>
      </c>
      <c r="B94" s="12" t="s">
        <v>504</v>
      </c>
      <c r="C94" s="12" t="s">
        <v>4</v>
      </c>
      <c r="D94" s="12" t="s">
        <v>1585</v>
      </c>
      <c r="E94" s="12">
        <v>16.5</v>
      </c>
      <c r="F94" s="12">
        <v>0</v>
      </c>
      <c r="G94" s="12">
        <v>3.5</v>
      </c>
      <c r="H94" s="12">
        <v>0</v>
      </c>
      <c r="I94" s="12" t="s">
        <v>1586</v>
      </c>
    </row>
    <row r="95" spans="1:9">
      <c r="A95" s="12" t="s">
        <v>302</v>
      </c>
      <c r="B95" s="12" t="s">
        <v>303</v>
      </c>
      <c r="C95" s="12" t="s">
        <v>17</v>
      </c>
      <c r="D95" s="12" t="s">
        <v>1585</v>
      </c>
      <c r="E95" s="12">
        <v>20</v>
      </c>
      <c r="F95" s="12">
        <v>0</v>
      </c>
      <c r="G95" s="12">
        <v>0</v>
      </c>
      <c r="H95" s="12">
        <v>0</v>
      </c>
      <c r="I95" s="12" t="s">
        <v>1586</v>
      </c>
    </row>
    <row r="96" spans="1:9">
      <c r="A96" s="12" t="s">
        <v>940</v>
      </c>
      <c r="B96" s="12" t="s">
        <v>941</v>
      </c>
      <c r="C96" s="12" t="s">
        <v>45</v>
      </c>
      <c r="D96" s="12" t="s">
        <v>1585</v>
      </c>
      <c r="E96" s="12">
        <v>18</v>
      </c>
      <c r="F96" s="12">
        <v>0</v>
      </c>
      <c r="G96" s="12">
        <v>2</v>
      </c>
      <c r="H96" s="12">
        <v>0</v>
      </c>
      <c r="I96" s="12" t="s">
        <v>1586</v>
      </c>
    </row>
    <row r="97" spans="1:9">
      <c r="A97" s="12" t="s">
        <v>1476</v>
      </c>
      <c r="B97" s="12" t="s">
        <v>1477</v>
      </c>
      <c r="C97" s="12" t="s">
        <v>6</v>
      </c>
      <c r="D97" s="12" t="s">
        <v>1585</v>
      </c>
      <c r="E97" s="12">
        <v>11</v>
      </c>
      <c r="F97" s="12">
        <v>0</v>
      </c>
      <c r="G97" s="12">
        <v>4</v>
      </c>
      <c r="H97" s="12">
        <v>5</v>
      </c>
      <c r="I97" s="12" t="s">
        <v>1586</v>
      </c>
    </row>
    <row r="98" spans="1:9">
      <c r="A98" s="12" t="s">
        <v>536</v>
      </c>
      <c r="B98" s="12" t="s">
        <v>537</v>
      </c>
      <c r="C98" s="12" t="s">
        <v>6</v>
      </c>
      <c r="D98" s="12" t="s">
        <v>1585</v>
      </c>
      <c r="E98" s="12">
        <v>19</v>
      </c>
      <c r="F98" s="12">
        <v>1</v>
      </c>
      <c r="G98" s="12">
        <v>0</v>
      </c>
      <c r="H98" s="12">
        <v>0</v>
      </c>
      <c r="I98" s="12" t="s">
        <v>1586</v>
      </c>
    </row>
    <row r="99" spans="1:9">
      <c r="A99" s="12" t="s">
        <v>1269</v>
      </c>
      <c r="B99" s="12" t="s">
        <v>6</v>
      </c>
      <c r="C99" s="12" t="s">
        <v>88</v>
      </c>
      <c r="D99" s="12" t="s">
        <v>1585</v>
      </c>
      <c r="E99" s="12">
        <v>0</v>
      </c>
      <c r="F99" s="12">
        <v>19</v>
      </c>
      <c r="G99" s="12">
        <v>1</v>
      </c>
      <c r="H99" s="12">
        <v>0</v>
      </c>
      <c r="I99" s="12" t="s">
        <v>1586</v>
      </c>
    </row>
    <row r="100" spans="1:9">
      <c r="A100" s="12" t="s">
        <v>1448</v>
      </c>
      <c r="B100" s="12" t="s">
        <v>1449</v>
      </c>
      <c r="C100" s="12" t="s">
        <v>8</v>
      </c>
      <c r="D100" s="12" t="s">
        <v>1585</v>
      </c>
      <c r="E100" s="12">
        <v>0</v>
      </c>
      <c r="F100" s="12">
        <v>12</v>
      </c>
      <c r="G100" s="12">
        <v>1</v>
      </c>
      <c r="H100" s="12">
        <v>7</v>
      </c>
      <c r="I100" s="12" t="s">
        <v>1586</v>
      </c>
    </row>
    <row r="101" spans="1:9">
      <c r="A101" s="12" t="s">
        <v>762</v>
      </c>
      <c r="B101" s="12" t="s">
        <v>640</v>
      </c>
      <c r="C101" s="12" t="s">
        <v>56</v>
      </c>
      <c r="D101" s="12" t="s">
        <v>1585</v>
      </c>
      <c r="E101" s="12">
        <v>17.5</v>
      </c>
      <c r="F101" s="12">
        <v>2</v>
      </c>
      <c r="G101" s="12">
        <v>0.5</v>
      </c>
      <c r="H101" s="12">
        <v>0</v>
      </c>
      <c r="I101" s="12" t="s">
        <v>1586</v>
      </c>
    </row>
    <row r="102" spans="1:9">
      <c r="A102" s="12" t="s">
        <v>580</v>
      </c>
      <c r="B102" s="12" t="s">
        <v>581</v>
      </c>
      <c r="C102" s="12" t="s">
        <v>29</v>
      </c>
      <c r="D102" s="12" t="s">
        <v>1585</v>
      </c>
      <c r="E102" s="12">
        <v>19</v>
      </c>
      <c r="F102" s="12">
        <v>0</v>
      </c>
      <c r="G102" s="12">
        <v>1</v>
      </c>
      <c r="H102" s="12">
        <v>0</v>
      </c>
      <c r="I102" s="12" t="s">
        <v>1586</v>
      </c>
    </row>
    <row r="103" spans="1:9">
      <c r="A103" s="12" t="s">
        <v>348</v>
      </c>
      <c r="B103" s="12" t="s">
        <v>50</v>
      </c>
      <c r="C103" s="12" t="s">
        <v>61</v>
      </c>
      <c r="D103" s="12" t="s">
        <v>1585</v>
      </c>
      <c r="E103" s="12">
        <v>0</v>
      </c>
      <c r="F103" s="12">
        <v>2.5</v>
      </c>
      <c r="G103" s="12">
        <v>17.5</v>
      </c>
      <c r="H103" s="12">
        <v>0</v>
      </c>
      <c r="I103" s="12" t="s">
        <v>1586</v>
      </c>
    </row>
    <row r="104" spans="1:9">
      <c r="A104" s="12" t="s">
        <v>285</v>
      </c>
      <c r="B104" s="12" t="s">
        <v>286</v>
      </c>
      <c r="C104" s="12" t="s">
        <v>3</v>
      </c>
      <c r="D104" s="12" t="s">
        <v>1585</v>
      </c>
      <c r="E104" s="12">
        <v>12</v>
      </c>
      <c r="F104" s="12">
        <v>8</v>
      </c>
      <c r="G104" s="12">
        <v>0</v>
      </c>
      <c r="H104" s="12">
        <v>0</v>
      </c>
      <c r="I104" s="12" t="s">
        <v>1586</v>
      </c>
    </row>
    <row r="105" spans="1:9">
      <c r="A105" s="12" t="s">
        <v>600</v>
      </c>
      <c r="B105" s="12" t="s">
        <v>601</v>
      </c>
      <c r="C105" s="12" t="s">
        <v>76</v>
      </c>
      <c r="D105" s="12" t="s">
        <v>1585</v>
      </c>
      <c r="E105" s="12">
        <v>10</v>
      </c>
      <c r="F105" s="12">
        <v>6</v>
      </c>
      <c r="G105" s="12">
        <v>4</v>
      </c>
      <c r="H105" s="12">
        <v>0</v>
      </c>
      <c r="I105" s="12" t="s">
        <v>1586</v>
      </c>
    </row>
    <row r="106" spans="1:9">
      <c r="A106" s="12" t="s">
        <v>598</v>
      </c>
      <c r="B106" s="12" t="s">
        <v>599</v>
      </c>
      <c r="C106" s="12" t="s">
        <v>76</v>
      </c>
      <c r="D106" s="12" t="s">
        <v>1585</v>
      </c>
      <c r="E106" s="12">
        <v>15</v>
      </c>
      <c r="F106" s="12">
        <v>4</v>
      </c>
      <c r="G106" s="12">
        <v>1</v>
      </c>
      <c r="H106" s="12">
        <v>0</v>
      </c>
      <c r="I106" s="12" t="s">
        <v>1586</v>
      </c>
    </row>
    <row r="107" spans="1:9">
      <c r="A107" s="12" t="s">
        <v>926</v>
      </c>
      <c r="B107" s="12" t="s">
        <v>927</v>
      </c>
      <c r="C107" s="12" t="s">
        <v>87</v>
      </c>
      <c r="D107" s="12" t="s">
        <v>1585</v>
      </c>
      <c r="E107" s="12">
        <v>18.5</v>
      </c>
      <c r="F107" s="12">
        <v>0</v>
      </c>
      <c r="G107" s="12">
        <v>1.5</v>
      </c>
      <c r="H107" s="12">
        <v>0</v>
      </c>
      <c r="I107" s="12" t="s">
        <v>1586</v>
      </c>
    </row>
    <row r="108" spans="1:9">
      <c r="A108" s="12" t="s">
        <v>853</v>
      </c>
      <c r="B108" s="12" t="s">
        <v>854</v>
      </c>
      <c r="C108" s="12" t="s">
        <v>3</v>
      </c>
      <c r="D108" s="12" t="s">
        <v>1585</v>
      </c>
      <c r="E108" s="12">
        <v>12</v>
      </c>
      <c r="F108" s="12">
        <v>0</v>
      </c>
      <c r="G108" s="12">
        <v>0</v>
      </c>
      <c r="H108" s="12">
        <v>8</v>
      </c>
      <c r="I108" s="12" t="s">
        <v>1586</v>
      </c>
    </row>
    <row r="109" spans="1:9">
      <c r="A109" s="12" t="s">
        <v>1209</v>
      </c>
      <c r="B109" s="12" t="s">
        <v>1210</v>
      </c>
      <c r="C109" s="12" t="s">
        <v>38</v>
      </c>
      <c r="D109" s="12" t="s">
        <v>1585</v>
      </c>
      <c r="E109" s="12">
        <v>20</v>
      </c>
      <c r="F109" s="12">
        <v>0</v>
      </c>
      <c r="G109" s="12">
        <v>0</v>
      </c>
      <c r="H109" s="12">
        <v>0</v>
      </c>
      <c r="I109" s="12" t="s">
        <v>1586</v>
      </c>
    </row>
    <row r="110" spans="1:9">
      <c r="A110" s="12" t="s">
        <v>662</v>
      </c>
      <c r="B110" s="12" t="s">
        <v>663</v>
      </c>
      <c r="C110" s="12" t="s">
        <v>28</v>
      </c>
      <c r="D110" s="12" t="s">
        <v>1585</v>
      </c>
      <c r="E110" s="12">
        <v>19</v>
      </c>
      <c r="F110" s="12">
        <v>1</v>
      </c>
      <c r="G110" s="12">
        <v>0</v>
      </c>
      <c r="H110" s="12">
        <v>0</v>
      </c>
      <c r="I110" s="12" t="s">
        <v>1586</v>
      </c>
    </row>
    <row r="111" spans="1:9">
      <c r="A111" s="12" t="s">
        <v>780</v>
      </c>
      <c r="B111" s="12" t="s">
        <v>781</v>
      </c>
      <c r="C111" s="12" t="s">
        <v>35</v>
      </c>
      <c r="D111" s="12" t="s">
        <v>1585</v>
      </c>
      <c r="E111" s="12">
        <v>9</v>
      </c>
      <c r="F111" s="12">
        <v>0</v>
      </c>
      <c r="G111" s="12">
        <v>11</v>
      </c>
      <c r="H111" s="12">
        <v>0</v>
      </c>
      <c r="I111" s="12" t="s">
        <v>1586</v>
      </c>
    </row>
    <row r="112" spans="1:9">
      <c r="A112" s="12" t="s">
        <v>358</v>
      </c>
      <c r="B112" s="12" t="s">
        <v>26</v>
      </c>
      <c r="C112" s="12" t="s">
        <v>61</v>
      </c>
      <c r="D112" s="12" t="s">
        <v>1585</v>
      </c>
      <c r="E112" s="12">
        <v>17</v>
      </c>
      <c r="F112" s="12">
        <v>0</v>
      </c>
      <c r="G112" s="12">
        <v>3</v>
      </c>
      <c r="H112" s="12">
        <v>0</v>
      </c>
      <c r="I112" s="12" t="s">
        <v>1586</v>
      </c>
    </row>
    <row r="113" spans="1:9">
      <c r="A113" s="12" t="s">
        <v>450</v>
      </c>
      <c r="B113" s="12" t="s">
        <v>451</v>
      </c>
      <c r="C113" s="12" t="s">
        <v>70</v>
      </c>
      <c r="D113" s="12" t="s">
        <v>1585</v>
      </c>
      <c r="E113" s="12">
        <v>10</v>
      </c>
      <c r="F113" s="12">
        <v>0</v>
      </c>
      <c r="G113" s="12">
        <v>6</v>
      </c>
      <c r="H113" s="12">
        <v>4</v>
      </c>
      <c r="I113" s="12" t="s">
        <v>1586</v>
      </c>
    </row>
    <row r="114" spans="1:9">
      <c r="A114" s="12" t="s">
        <v>794</v>
      </c>
      <c r="B114" s="12" t="s">
        <v>21</v>
      </c>
      <c r="C114" s="12" t="s">
        <v>16</v>
      </c>
      <c r="D114" s="12" t="s">
        <v>1585</v>
      </c>
      <c r="E114" s="12">
        <v>13</v>
      </c>
      <c r="F114" s="12">
        <v>0</v>
      </c>
      <c r="G114" s="12">
        <v>7</v>
      </c>
      <c r="H114" s="12">
        <v>0</v>
      </c>
      <c r="I114" s="12" t="s">
        <v>1586</v>
      </c>
    </row>
    <row r="115" spans="1:9">
      <c r="A115" s="12" t="s">
        <v>592</v>
      </c>
      <c r="B115" s="12" t="s">
        <v>593</v>
      </c>
      <c r="C115" s="12" t="s">
        <v>76</v>
      </c>
      <c r="D115" s="12" t="s">
        <v>1585</v>
      </c>
      <c r="E115" s="12">
        <v>10.5</v>
      </c>
      <c r="F115" s="12">
        <v>8.5</v>
      </c>
      <c r="G115" s="12">
        <v>1</v>
      </c>
      <c r="H115" s="12">
        <v>0</v>
      </c>
      <c r="I115" s="12" t="s">
        <v>1586</v>
      </c>
    </row>
    <row r="116" spans="1:9">
      <c r="A116" s="12" t="s">
        <v>463</v>
      </c>
      <c r="B116" s="12" t="s">
        <v>464</v>
      </c>
      <c r="C116" s="12" t="s">
        <v>43</v>
      </c>
      <c r="D116" s="12" t="s">
        <v>1585</v>
      </c>
      <c r="E116" s="12">
        <v>19</v>
      </c>
      <c r="F116" s="12">
        <v>0</v>
      </c>
      <c r="G116" s="12">
        <v>1</v>
      </c>
      <c r="H116" s="12">
        <v>0</v>
      </c>
      <c r="I116" s="12" t="s">
        <v>1586</v>
      </c>
    </row>
    <row r="117" spans="1:9">
      <c r="A117" s="12" t="s">
        <v>1353</v>
      </c>
      <c r="B117" s="12" t="s">
        <v>1354</v>
      </c>
      <c r="C117" s="12" t="s">
        <v>53</v>
      </c>
      <c r="D117" s="12" t="s">
        <v>1585</v>
      </c>
      <c r="E117" s="12">
        <v>19.5</v>
      </c>
      <c r="F117" s="12">
        <v>0</v>
      </c>
      <c r="G117" s="12">
        <v>0.5</v>
      </c>
      <c r="H117" s="12">
        <v>0</v>
      </c>
      <c r="I117" s="12" t="s">
        <v>1586</v>
      </c>
    </row>
    <row r="118" spans="1:9">
      <c r="A118" s="12" t="s">
        <v>1113</v>
      </c>
      <c r="B118" s="12" t="s">
        <v>1114</v>
      </c>
      <c r="C118" s="12" t="s">
        <v>16</v>
      </c>
      <c r="D118" s="12" t="s">
        <v>1585</v>
      </c>
      <c r="E118" s="12">
        <v>10</v>
      </c>
      <c r="F118" s="12">
        <v>0</v>
      </c>
      <c r="G118" s="12">
        <v>2</v>
      </c>
      <c r="H118" s="12">
        <v>8</v>
      </c>
      <c r="I118" s="12" t="s">
        <v>1586</v>
      </c>
    </row>
    <row r="119" spans="1:9">
      <c r="A119" s="12" t="s">
        <v>1208</v>
      </c>
      <c r="B119" s="12" t="s">
        <v>73</v>
      </c>
      <c r="C119" s="12" t="s">
        <v>38</v>
      </c>
      <c r="D119" s="12" t="s">
        <v>1585</v>
      </c>
      <c r="E119" s="12">
        <v>11</v>
      </c>
      <c r="F119" s="12">
        <v>7.5</v>
      </c>
      <c r="G119" s="12">
        <v>1.5</v>
      </c>
      <c r="H119" s="12">
        <v>0</v>
      </c>
      <c r="I119" s="12" t="s">
        <v>1586</v>
      </c>
    </row>
    <row r="120" spans="1:9">
      <c r="A120" s="12" t="s">
        <v>1265</v>
      </c>
      <c r="B120" s="12" t="s">
        <v>1266</v>
      </c>
      <c r="C120" s="12" t="s">
        <v>28</v>
      </c>
      <c r="D120" s="12" t="s">
        <v>1585</v>
      </c>
      <c r="E120" s="12">
        <v>20</v>
      </c>
      <c r="F120" s="12">
        <v>0</v>
      </c>
      <c r="G120" s="12">
        <v>0</v>
      </c>
      <c r="H120" s="12">
        <v>0</v>
      </c>
      <c r="I120" s="12" t="s">
        <v>1586</v>
      </c>
    </row>
    <row r="121" spans="1:9">
      <c r="A121" s="12" t="s">
        <v>459</v>
      </c>
      <c r="B121" s="12" t="s">
        <v>460</v>
      </c>
      <c r="C121" s="12" t="s">
        <v>70</v>
      </c>
      <c r="D121" s="12" t="s">
        <v>1585</v>
      </c>
      <c r="E121" s="12">
        <v>16</v>
      </c>
      <c r="F121" s="12">
        <v>0</v>
      </c>
      <c r="G121" s="12">
        <v>4</v>
      </c>
      <c r="H121" s="12">
        <v>0</v>
      </c>
      <c r="I121" s="12" t="s">
        <v>1586</v>
      </c>
    </row>
    <row r="122" spans="1:9">
      <c r="A122" s="12" t="s">
        <v>948</v>
      </c>
      <c r="B122" s="12" t="s">
        <v>949</v>
      </c>
      <c r="C122" s="12" t="s">
        <v>45</v>
      </c>
      <c r="D122" s="12" t="s">
        <v>1585</v>
      </c>
      <c r="E122" s="12">
        <v>20</v>
      </c>
      <c r="F122" s="12">
        <v>0</v>
      </c>
      <c r="G122" s="12">
        <v>0</v>
      </c>
      <c r="H122" s="12">
        <v>0</v>
      </c>
      <c r="I122" s="12" t="s">
        <v>1586</v>
      </c>
    </row>
    <row r="123" spans="1:9">
      <c r="A123" s="12" t="s">
        <v>696</v>
      </c>
      <c r="B123" s="12" t="s">
        <v>697</v>
      </c>
      <c r="C123" s="12" t="s">
        <v>46</v>
      </c>
      <c r="D123" s="12" t="s">
        <v>1585</v>
      </c>
      <c r="E123" s="12">
        <v>20</v>
      </c>
      <c r="F123" s="12">
        <v>0</v>
      </c>
      <c r="G123" s="12">
        <v>0</v>
      </c>
      <c r="H123" s="12">
        <v>0</v>
      </c>
      <c r="I123" s="12" t="s">
        <v>1586</v>
      </c>
    </row>
    <row r="124" spans="1:9">
      <c r="A124" s="12" t="s">
        <v>149</v>
      </c>
      <c r="B124" s="12" t="s">
        <v>89</v>
      </c>
      <c r="C124" s="12" t="s">
        <v>60</v>
      </c>
      <c r="D124" s="12" t="s">
        <v>1585</v>
      </c>
      <c r="E124" s="12">
        <v>16</v>
      </c>
      <c r="F124" s="12">
        <v>4</v>
      </c>
      <c r="G124" s="12">
        <v>0</v>
      </c>
      <c r="H124" s="12">
        <v>0</v>
      </c>
      <c r="I124" s="12" t="s">
        <v>1586</v>
      </c>
    </row>
    <row r="125" spans="1:9">
      <c r="A125" s="12" t="s">
        <v>795</v>
      </c>
      <c r="B125" s="12" t="s">
        <v>796</v>
      </c>
      <c r="C125" s="12" t="s">
        <v>16</v>
      </c>
      <c r="D125" s="12" t="s">
        <v>1585</v>
      </c>
      <c r="E125" s="12">
        <v>20</v>
      </c>
      <c r="F125" s="12">
        <v>0</v>
      </c>
      <c r="G125" s="12">
        <v>0</v>
      </c>
      <c r="H125" s="12">
        <v>0</v>
      </c>
      <c r="I125" s="12" t="s">
        <v>1586</v>
      </c>
    </row>
    <row r="126" spans="1:9">
      <c r="A126" s="12" t="s">
        <v>1154</v>
      </c>
      <c r="B126" s="12" t="s">
        <v>1155</v>
      </c>
      <c r="C126" s="12" t="s">
        <v>48</v>
      </c>
      <c r="D126" s="12" t="s">
        <v>1585</v>
      </c>
      <c r="E126" s="12">
        <v>17</v>
      </c>
      <c r="F126" s="12">
        <v>0</v>
      </c>
      <c r="G126" s="12">
        <v>3</v>
      </c>
      <c r="H126" s="12">
        <v>0</v>
      </c>
      <c r="I126" s="12" t="s">
        <v>1586</v>
      </c>
    </row>
    <row r="127" spans="1:9">
      <c r="A127" s="12" t="s">
        <v>289</v>
      </c>
      <c r="B127" s="12" t="s">
        <v>44</v>
      </c>
      <c r="C127" s="12" t="s">
        <v>60</v>
      </c>
      <c r="D127" s="12" t="s">
        <v>1585</v>
      </c>
      <c r="E127" s="12">
        <v>18</v>
      </c>
      <c r="F127" s="12">
        <v>0</v>
      </c>
      <c r="G127" s="12">
        <v>2</v>
      </c>
      <c r="H127" s="12">
        <v>0</v>
      </c>
      <c r="I127" s="12" t="s">
        <v>1586</v>
      </c>
    </row>
    <row r="128" spans="1:9">
      <c r="A128" s="12" t="s">
        <v>562</v>
      </c>
      <c r="B128" s="12" t="s">
        <v>563</v>
      </c>
      <c r="C128" s="12" t="s">
        <v>43</v>
      </c>
      <c r="D128" s="12" t="s">
        <v>1585</v>
      </c>
      <c r="E128" s="12">
        <v>20</v>
      </c>
      <c r="F128" s="12">
        <v>0</v>
      </c>
      <c r="G128" s="12">
        <v>0</v>
      </c>
      <c r="H128" s="12">
        <v>0</v>
      </c>
      <c r="I128" s="12" t="s">
        <v>1586</v>
      </c>
    </row>
    <row r="129" spans="1:9">
      <c r="A129" s="12" t="s">
        <v>1470</v>
      </c>
      <c r="B129" s="12" t="s">
        <v>1471</v>
      </c>
      <c r="C129" s="12" t="s">
        <v>30</v>
      </c>
      <c r="D129" s="12" t="s">
        <v>1585</v>
      </c>
      <c r="E129" s="12">
        <v>19</v>
      </c>
      <c r="F129" s="12">
        <v>0</v>
      </c>
      <c r="G129" s="12">
        <v>1</v>
      </c>
      <c r="H129" s="12">
        <v>0</v>
      </c>
      <c r="I129" s="12" t="s">
        <v>1586</v>
      </c>
    </row>
    <row r="130" spans="1:9">
      <c r="A130" s="12" t="s">
        <v>1505</v>
      </c>
      <c r="B130" s="12" t="s">
        <v>49</v>
      </c>
      <c r="C130" s="12" t="s">
        <v>54</v>
      </c>
      <c r="D130" s="12" t="s">
        <v>1585</v>
      </c>
      <c r="E130" s="12">
        <v>12</v>
      </c>
      <c r="F130" s="12">
        <v>4</v>
      </c>
      <c r="G130" s="12">
        <v>4</v>
      </c>
      <c r="H130" s="12">
        <v>0</v>
      </c>
      <c r="I130" s="12" t="s">
        <v>1586</v>
      </c>
    </row>
    <row r="131" spans="1:9">
      <c r="A131" s="12" t="s">
        <v>576</v>
      </c>
      <c r="B131" s="12" t="s">
        <v>577</v>
      </c>
      <c r="C131" s="12" t="s">
        <v>29</v>
      </c>
      <c r="D131" s="12" t="s">
        <v>1585</v>
      </c>
      <c r="E131" s="12">
        <v>0</v>
      </c>
      <c r="F131" s="12">
        <v>5</v>
      </c>
      <c r="G131" s="12">
        <v>11</v>
      </c>
      <c r="H131" s="12">
        <v>4</v>
      </c>
      <c r="I131" s="12" t="s">
        <v>1586</v>
      </c>
    </row>
    <row r="132" spans="1:9">
      <c r="A132" s="12" t="s">
        <v>606</v>
      </c>
      <c r="B132" s="12" t="s">
        <v>607</v>
      </c>
      <c r="C132" s="12" t="s">
        <v>76</v>
      </c>
      <c r="D132" s="12" t="s">
        <v>1585</v>
      </c>
      <c r="E132" s="12">
        <v>19.5</v>
      </c>
      <c r="F132" s="12">
        <v>0</v>
      </c>
      <c r="G132" s="12">
        <v>0.5</v>
      </c>
      <c r="H132" s="12">
        <v>0</v>
      </c>
      <c r="I132" s="12" t="s">
        <v>1586</v>
      </c>
    </row>
    <row r="133" spans="1:9">
      <c r="A133" s="12" t="s">
        <v>871</v>
      </c>
      <c r="B133" s="12" t="s">
        <v>57</v>
      </c>
      <c r="C133" s="12" t="s">
        <v>31</v>
      </c>
      <c r="D133" s="12" t="s">
        <v>1585</v>
      </c>
      <c r="E133" s="12">
        <v>8</v>
      </c>
      <c r="F133" s="12">
        <v>0</v>
      </c>
      <c r="G133" s="12">
        <v>3</v>
      </c>
      <c r="H133" s="12">
        <v>9</v>
      </c>
      <c r="I133" s="12" t="s">
        <v>1586</v>
      </c>
    </row>
    <row r="134" spans="1:9">
      <c r="A134" s="12" t="s">
        <v>1414</v>
      </c>
      <c r="B134" s="12" t="s">
        <v>76</v>
      </c>
      <c r="C134" s="12" t="s">
        <v>28</v>
      </c>
      <c r="D134" s="12" t="s">
        <v>1585</v>
      </c>
      <c r="E134" s="12">
        <v>0</v>
      </c>
      <c r="F134" s="12">
        <v>20</v>
      </c>
      <c r="G134" s="12">
        <v>0</v>
      </c>
      <c r="H134" s="12">
        <v>0</v>
      </c>
      <c r="I134" s="12" t="s">
        <v>1586</v>
      </c>
    </row>
    <row r="135" spans="1:9">
      <c r="A135" s="12" t="s">
        <v>225</v>
      </c>
      <c r="B135" s="12" t="s">
        <v>39</v>
      </c>
      <c r="C135" s="12" t="s">
        <v>54</v>
      </c>
      <c r="D135" s="12" t="s">
        <v>1585</v>
      </c>
      <c r="E135" s="12">
        <v>9</v>
      </c>
      <c r="F135" s="12">
        <v>6</v>
      </c>
      <c r="G135" s="12">
        <v>1</v>
      </c>
      <c r="H135" s="12">
        <v>4</v>
      </c>
      <c r="I135" s="12" t="s">
        <v>1586</v>
      </c>
    </row>
    <row r="136" spans="1:9">
      <c r="A136" s="12" t="s">
        <v>604</v>
      </c>
      <c r="B136" s="12" t="s">
        <v>605</v>
      </c>
      <c r="C136" s="12" t="s">
        <v>76</v>
      </c>
      <c r="D136" s="12" t="s">
        <v>1585</v>
      </c>
      <c r="E136" s="12">
        <v>18</v>
      </c>
      <c r="F136" s="12">
        <v>0</v>
      </c>
      <c r="G136" s="12">
        <v>2</v>
      </c>
      <c r="H136" s="12">
        <v>0</v>
      </c>
      <c r="I136" s="12" t="s">
        <v>1586</v>
      </c>
    </row>
    <row r="137" spans="1:9">
      <c r="A137" s="12" t="s">
        <v>690</v>
      </c>
      <c r="B137" s="12" t="s">
        <v>691</v>
      </c>
      <c r="C137" s="12" t="s">
        <v>46</v>
      </c>
      <c r="D137" s="12" t="s">
        <v>1585</v>
      </c>
      <c r="E137" s="12">
        <v>0</v>
      </c>
      <c r="F137" s="12">
        <v>20</v>
      </c>
      <c r="G137" s="12">
        <v>0</v>
      </c>
      <c r="H137" s="12">
        <v>0</v>
      </c>
      <c r="I137" s="12" t="s">
        <v>1586</v>
      </c>
    </row>
    <row r="138" spans="1:9">
      <c r="A138" s="12" t="s">
        <v>1020</v>
      </c>
      <c r="B138" s="12" t="s">
        <v>20</v>
      </c>
      <c r="C138" s="12" t="s">
        <v>54</v>
      </c>
      <c r="D138" s="12" t="s">
        <v>1585</v>
      </c>
      <c r="E138" s="12">
        <v>0</v>
      </c>
      <c r="F138" s="12">
        <v>20</v>
      </c>
      <c r="G138" s="12">
        <v>0</v>
      </c>
      <c r="H138" s="12">
        <v>0</v>
      </c>
      <c r="I138" s="12" t="s">
        <v>1586</v>
      </c>
    </row>
    <row r="139" spans="1:9">
      <c r="A139" s="12" t="s">
        <v>1441</v>
      </c>
      <c r="B139" s="12" t="s">
        <v>13</v>
      </c>
      <c r="C139" s="12" t="s">
        <v>54</v>
      </c>
      <c r="D139" s="12" t="s">
        <v>1585</v>
      </c>
      <c r="E139" s="12">
        <v>16</v>
      </c>
      <c r="F139" s="12">
        <v>4</v>
      </c>
      <c r="G139" s="12">
        <v>0</v>
      </c>
      <c r="H139" s="12">
        <v>0</v>
      </c>
      <c r="I139" s="12" t="s">
        <v>1586</v>
      </c>
    </row>
    <row r="140" spans="1:9">
      <c r="A140" s="12" t="s">
        <v>445</v>
      </c>
      <c r="B140" s="12" t="s">
        <v>446</v>
      </c>
      <c r="C140" s="12" t="s">
        <v>92</v>
      </c>
      <c r="D140" s="12" t="s">
        <v>1585</v>
      </c>
      <c r="E140" s="12">
        <v>0</v>
      </c>
      <c r="F140" s="12">
        <v>0</v>
      </c>
      <c r="G140" s="12">
        <v>0</v>
      </c>
      <c r="H140" s="12">
        <v>20</v>
      </c>
      <c r="I140" s="12" t="s">
        <v>1586</v>
      </c>
    </row>
    <row r="141" spans="1:9">
      <c r="A141" s="12" t="s">
        <v>839</v>
      </c>
      <c r="B141" s="12" t="s">
        <v>840</v>
      </c>
      <c r="C141" s="12" t="s">
        <v>12</v>
      </c>
      <c r="D141" s="12" t="s">
        <v>1585</v>
      </c>
      <c r="E141" s="12">
        <v>15</v>
      </c>
      <c r="F141" s="12">
        <v>0</v>
      </c>
      <c r="G141" s="12">
        <v>5</v>
      </c>
      <c r="H141" s="12">
        <v>0</v>
      </c>
      <c r="I141" s="12" t="s">
        <v>1586</v>
      </c>
    </row>
    <row r="142" spans="1:9">
      <c r="A142" s="12" t="s">
        <v>805</v>
      </c>
      <c r="B142" s="12" t="s">
        <v>806</v>
      </c>
      <c r="C142" s="12" t="s">
        <v>16</v>
      </c>
      <c r="D142" s="12" t="s">
        <v>1585</v>
      </c>
      <c r="E142" s="12">
        <v>17</v>
      </c>
      <c r="F142" s="12">
        <v>0</v>
      </c>
      <c r="G142" s="12">
        <v>3</v>
      </c>
      <c r="H142" s="12">
        <v>0</v>
      </c>
      <c r="I142" s="12" t="s">
        <v>1586</v>
      </c>
    </row>
    <row r="143" spans="1:9">
      <c r="A143" s="12" t="s">
        <v>1194</v>
      </c>
      <c r="B143" s="12" t="s">
        <v>81</v>
      </c>
      <c r="C143" s="12" t="s">
        <v>55</v>
      </c>
      <c r="D143" s="12" t="s">
        <v>1585</v>
      </c>
      <c r="E143" s="12">
        <v>18</v>
      </c>
      <c r="F143" s="12">
        <v>2</v>
      </c>
      <c r="G143" s="12">
        <v>0</v>
      </c>
      <c r="H143" s="12">
        <v>0</v>
      </c>
      <c r="I143" s="12" t="s">
        <v>1586</v>
      </c>
    </row>
    <row r="144" spans="1:9">
      <c r="A144" s="12" t="s">
        <v>1462</v>
      </c>
      <c r="B144" s="12" t="s">
        <v>1463</v>
      </c>
      <c r="C144" s="12" t="s">
        <v>39</v>
      </c>
      <c r="D144" s="12" t="s">
        <v>1585</v>
      </c>
      <c r="E144" s="12">
        <v>18</v>
      </c>
      <c r="F144" s="12">
        <v>2</v>
      </c>
      <c r="G144" s="12">
        <v>0</v>
      </c>
      <c r="H144" s="12">
        <v>0</v>
      </c>
      <c r="I144" s="12" t="s">
        <v>1586</v>
      </c>
    </row>
    <row r="145" spans="1:9">
      <c r="A145" s="12" t="s">
        <v>643</v>
      </c>
      <c r="B145" s="12" t="s">
        <v>19</v>
      </c>
      <c r="C145" s="12" t="s">
        <v>34</v>
      </c>
      <c r="D145" s="12" t="s">
        <v>1585</v>
      </c>
      <c r="E145" s="12">
        <v>11</v>
      </c>
      <c r="F145" s="12">
        <v>0</v>
      </c>
      <c r="G145" s="12">
        <v>9</v>
      </c>
      <c r="H145" s="12">
        <v>0</v>
      </c>
      <c r="I145" s="12" t="s">
        <v>1586</v>
      </c>
    </row>
    <row r="146" spans="1:9">
      <c r="A146" s="12" t="s">
        <v>1524</v>
      </c>
      <c r="B146" s="12" t="s">
        <v>35</v>
      </c>
      <c r="C146" s="12" t="s">
        <v>8</v>
      </c>
      <c r="D146" s="12" t="s">
        <v>1585</v>
      </c>
      <c r="E146" s="12">
        <v>4</v>
      </c>
      <c r="F146" s="12">
        <v>11</v>
      </c>
      <c r="G146" s="12">
        <v>0</v>
      </c>
      <c r="H146" s="12">
        <v>5</v>
      </c>
      <c r="I146" s="12" t="s">
        <v>1586</v>
      </c>
    </row>
    <row r="147" spans="1:9">
      <c r="A147" s="12" t="s">
        <v>636</v>
      </c>
      <c r="B147" s="12" t="s">
        <v>637</v>
      </c>
      <c r="C147" s="12" t="s">
        <v>39</v>
      </c>
      <c r="D147" s="12" t="s">
        <v>1585</v>
      </c>
      <c r="E147" s="12">
        <v>17</v>
      </c>
      <c r="F147" s="12">
        <v>1</v>
      </c>
      <c r="G147" s="12">
        <v>2</v>
      </c>
      <c r="H147" s="12">
        <v>0</v>
      </c>
      <c r="I147" s="12" t="s">
        <v>1586</v>
      </c>
    </row>
    <row r="148" spans="1:9">
      <c r="A148" s="12" t="s">
        <v>667</v>
      </c>
      <c r="B148" s="12" t="s">
        <v>91</v>
      </c>
      <c r="C148" s="12" t="s">
        <v>39</v>
      </c>
      <c r="D148" s="12" t="s">
        <v>1585</v>
      </c>
      <c r="E148" s="12">
        <v>0</v>
      </c>
      <c r="F148" s="12">
        <v>20</v>
      </c>
      <c r="G148" s="12">
        <v>0</v>
      </c>
      <c r="H148" s="12">
        <v>0</v>
      </c>
      <c r="I148" s="12" t="s">
        <v>1586</v>
      </c>
    </row>
    <row r="149" spans="1:9">
      <c r="A149" s="12" t="s">
        <v>1039</v>
      </c>
      <c r="B149" s="12" t="s">
        <v>1040</v>
      </c>
      <c r="C149" s="12" t="s">
        <v>44</v>
      </c>
      <c r="D149" s="12" t="s">
        <v>1585</v>
      </c>
      <c r="E149" s="12">
        <v>16</v>
      </c>
      <c r="F149" s="12">
        <v>0</v>
      </c>
      <c r="G149" s="12">
        <v>4</v>
      </c>
      <c r="H149" s="12">
        <v>0</v>
      </c>
      <c r="I149" s="12" t="s">
        <v>1586</v>
      </c>
    </row>
    <row r="150" spans="1:9">
      <c r="A150" s="12" t="s">
        <v>1136</v>
      </c>
      <c r="B150" s="12" t="s">
        <v>56</v>
      </c>
      <c r="C150" s="12" t="s">
        <v>543</v>
      </c>
      <c r="D150" s="12" t="s">
        <v>1585</v>
      </c>
      <c r="E150" s="12">
        <v>11</v>
      </c>
      <c r="F150" s="12">
        <v>0</v>
      </c>
      <c r="G150" s="12">
        <v>9</v>
      </c>
      <c r="H150" s="12">
        <v>0</v>
      </c>
      <c r="I150" s="12" t="s">
        <v>1586</v>
      </c>
    </row>
    <row r="151" spans="1:9">
      <c r="A151" s="12" t="s">
        <v>1467</v>
      </c>
      <c r="B151" s="12" t="s">
        <v>31</v>
      </c>
      <c r="C151" s="12" t="s">
        <v>63</v>
      </c>
      <c r="D151" s="12" t="s">
        <v>1585</v>
      </c>
      <c r="E151" s="12">
        <v>5.5</v>
      </c>
      <c r="F151" s="12">
        <v>11</v>
      </c>
      <c r="G151" s="12">
        <v>0</v>
      </c>
      <c r="H151" s="12">
        <v>3.5</v>
      </c>
      <c r="I151" s="12" t="s">
        <v>1586</v>
      </c>
    </row>
    <row r="152" spans="1:9">
      <c r="A152" s="12" t="s">
        <v>1241</v>
      </c>
      <c r="B152" s="12" t="s">
        <v>1242</v>
      </c>
      <c r="C152" s="12" t="s">
        <v>80</v>
      </c>
      <c r="D152" s="12" t="s">
        <v>1585</v>
      </c>
      <c r="E152" s="12">
        <v>16</v>
      </c>
      <c r="F152" s="12">
        <v>4</v>
      </c>
      <c r="G152" s="12">
        <v>0</v>
      </c>
      <c r="H152" s="12">
        <v>0</v>
      </c>
      <c r="I152" s="12" t="s">
        <v>1586</v>
      </c>
    </row>
    <row r="153" spans="1:9">
      <c r="A153" s="12" t="s">
        <v>377</v>
      </c>
      <c r="B153" s="12" t="s">
        <v>378</v>
      </c>
      <c r="C153" s="12" t="s">
        <v>67</v>
      </c>
      <c r="D153" s="12" t="s">
        <v>1585</v>
      </c>
      <c r="E153" s="12">
        <v>19.5</v>
      </c>
      <c r="F153" s="12">
        <v>0</v>
      </c>
      <c r="G153" s="12">
        <v>0.5</v>
      </c>
      <c r="H153" s="12">
        <v>0</v>
      </c>
      <c r="I153" s="12" t="s">
        <v>1586</v>
      </c>
    </row>
    <row r="154" spans="1:9">
      <c r="A154" s="12" t="s">
        <v>843</v>
      </c>
      <c r="B154" s="12" t="s">
        <v>844</v>
      </c>
      <c r="C154" s="12" t="s">
        <v>12</v>
      </c>
      <c r="D154" s="12" t="s">
        <v>1585</v>
      </c>
      <c r="E154" s="12">
        <v>14</v>
      </c>
      <c r="F154" s="12">
        <v>0</v>
      </c>
      <c r="G154" s="12">
        <v>0</v>
      </c>
      <c r="H154" s="12">
        <v>6</v>
      </c>
      <c r="I154" s="12" t="s">
        <v>1586</v>
      </c>
    </row>
    <row r="155" spans="1:9">
      <c r="A155" s="12" t="s">
        <v>538</v>
      </c>
      <c r="B155" s="12" t="s">
        <v>539</v>
      </c>
      <c r="C155" s="12" t="s">
        <v>45</v>
      </c>
      <c r="D155" s="12" t="s">
        <v>1585</v>
      </c>
      <c r="E155" s="12">
        <v>11</v>
      </c>
      <c r="F155" s="12">
        <v>0</v>
      </c>
      <c r="G155" s="12">
        <v>9</v>
      </c>
      <c r="H155" s="12">
        <v>0</v>
      </c>
      <c r="I155" s="12" t="s">
        <v>1586</v>
      </c>
    </row>
    <row r="156" spans="1:9">
      <c r="A156" s="12" t="s">
        <v>759</v>
      </c>
      <c r="B156" s="12" t="s">
        <v>760</v>
      </c>
      <c r="C156" s="12" t="s">
        <v>56</v>
      </c>
      <c r="D156" s="12" t="s">
        <v>1585</v>
      </c>
      <c r="E156" s="12">
        <v>0</v>
      </c>
      <c r="F156" s="12">
        <v>0</v>
      </c>
      <c r="G156" s="12">
        <v>6</v>
      </c>
      <c r="H156" s="12">
        <v>14</v>
      </c>
      <c r="I156" s="12" t="s">
        <v>1586</v>
      </c>
    </row>
    <row r="157" spans="1:9">
      <c r="A157" s="12" t="s">
        <v>1530</v>
      </c>
      <c r="B157" s="12" t="s">
        <v>15</v>
      </c>
      <c r="C157" s="12" t="s">
        <v>8</v>
      </c>
      <c r="D157" s="12" t="s">
        <v>1585</v>
      </c>
      <c r="E157" s="12">
        <v>19</v>
      </c>
      <c r="F157" s="12">
        <v>1</v>
      </c>
      <c r="G157" s="12">
        <v>0</v>
      </c>
      <c r="H157" s="12">
        <v>0</v>
      </c>
      <c r="I157" s="12" t="s">
        <v>1586</v>
      </c>
    </row>
    <row r="158" spans="1:9">
      <c r="A158" s="12" t="s">
        <v>1311</v>
      </c>
      <c r="B158" s="12" t="s">
        <v>1312</v>
      </c>
      <c r="C158" s="12" t="s">
        <v>39</v>
      </c>
      <c r="D158" s="12" t="s">
        <v>1585</v>
      </c>
      <c r="E158" s="12">
        <v>0</v>
      </c>
      <c r="F158" s="12">
        <v>19</v>
      </c>
      <c r="G158" s="12">
        <v>1</v>
      </c>
      <c r="H158" s="12">
        <v>0</v>
      </c>
      <c r="I158" s="12" t="s">
        <v>1586</v>
      </c>
    </row>
    <row r="159" spans="1:9">
      <c r="A159" s="12" t="s">
        <v>1150</v>
      </c>
      <c r="B159" s="12" t="s">
        <v>1151</v>
      </c>
      <c r="C159" s="12" t="s">
        <v>48</v>
      </c>
      <c r="D159" s="12" t="s">
        <v>1585</v>
      </c>
      <c r="E159" s="12">
        <v>17</v>
      </c>
      <c r="F159" s="12">
        <v>0</v>
      </c>
      <c r="G159" s="12">
        <v>3</v>
      </c>
      <c r="H159" s="12">
        <v>0</v>
      </c>
      <c r="I159" s="12" t="s">
        <v>1586</v>
      </c>
    </row>
    <row r="160" spans="1:9">
      <c r="A160" s="12" t="s">
        <v>1531</v>
      </c>
      <c r="B160" s="12" t="s">
        <v>1532</v>
      </c>
      <c r="C160" s="12" t="s">
        <v>63</v>
      </c>
      <c r="D160" s="12" t="s">
        <v>1585</v>
      </c>
      <c r="E160" s="12">
        <v>12</v>
      </c>
      <c r="F160" s="12">
        <v>3</v>
      </c>
      <c r="G160" s="12">
        <v>5</v>
      </c>
      <c r="H160" s="12">
        <v>0</v>
      </c>
      <c r="I160" s="12" t="s">
        <v>1586</v>
      </c>
    </row>
    <row r="161" spans="1:9">
      <c r="A161" s="12" t="s">
        <v>284</v>
      </c>
      <c r="B161" s="12" t="s">
        <v>43</v>
      </c>
      <c r="C161" s="12" t="s">
        <v>63</v>
      </c>
      <c r="D161" s="12" t="s">
        <v>1585</v>
      </c>
      <c r="E161" s="12">
        <v>8</v>
      </c>
      <c r="F161" s="12">
        <v>8</v>
      </c>
      <c r="G161" s="12">
        <v>0</v>
      </c>
      <c r="H161" s="12">
        <v>0</v>
      </c>
      <c r="I161" s="12" t="s">
        <v>1586</v>
      </c>
    </row>
    <row r="162" spans="1:9">
      <c r="A162" s="12" t="s">
        <v>1527</v>
      </c>
      <c r="B162" s="12" t="s">
        <v>55</v>
      </c>
      <c r="C162" s="12" t="s">
        <v>8</v>
      </c>
      <c r="D162" s="12" t="s">
        <v>1585</v>
      </c>
      <c r="E162" s="12">
        <v>11</v>
      </c>
      <c r="F162" s="12">
        <v>8</v>
      </c>
      <c r="G162" s="12">
        <v>1</v>
      </c>
      <c r="H162" s="12">
        <v>0</v>
      </c>
      <c r="I162" s="12" t="s">
        <v>1586</v>
      </c>
    </row>
    <row r="163" spans="1:9">
      <c r="A163" s="12" t="s">
        <v>1315</v>
      </c>
      <c r="B163" s="12" t="s">
        <v>1316</v>
      </c>
      <c r="C163" s="12" t="s">
        <v>41</v>
      </c>
      <c r="D163" s="12" t="s">
        <v>1585</v>
      </c>
      <c r="E163" s="12">
        <v>19.5</v>
      </c>
      <c r="F163" s="12">
        <v>0.5</v>
      </c>
      <c r="G163" s="12">
        <v>0</v>
      </c>
      <c r="H163" s="12">
        <v>0</v>
      </c>
      <c r="I163" s="12" t="s">
        <v>1586</v>
      </c>
    </row>
    <row r="164" spans="1:9">
      <c r="A164" s="12" t="s">
        <v>397</v>
      </c>
      <c r="B164" s="12" t="s">
        <v>398</v>
      </c>
      <c r="C164" s="12" t="s">
        <v>13</v>
      </c>
      <c r="D164" s="12" t="s">
        <v>1585</v>
      </c>
      <c r="E164" s="12">
        <v>19</v>
      </c>
      <c r="F164" s="12">
        <v>0</v>
      </c>
      <c r="G164" s="12">
        <v>1</v>
      </c>
      <c r="H164" s="12">
        <v>0</v>
      </c>
      <c r="I164" s="12" t="s">
        <v>1586</v>
      </c>
    </row>
    <row r="165" spans="1:9">
      <c r="A165" s="12" t="s">
        <v>1474</v>
      </c>
      <c r="B165" s="12" t="s">
        <v>16</v>
      </c>
      <c r="C165" s="12" t="s">
        <v>63</v>
      </c>
      <c r="D165" s="12" t="s">
        <v>1585</v>
      </c>
      <c r="E165" s="12">
        <v>12</v>
      </c>
      <c r="F165" s="12">
        <v>8</v>
      </c>
      <c r="G165" s="12">
        <v>0</v>
      </c>
      <c r="H165" s="12">
        <v>0</v>
      </c>
      <c r="I165" s="12" t="s">
        <v>1586</v>
      </c>
    </row>
    <row r="166" spans="1:9">
      <c r="A166" s="12" t="s">
        <v>784</v>
      </c>
      <c r="B166" s="12" t="s">
        <v>785</v>
      </c>
      <c r="C166" s="12" t="s">
        <v>93</v>
      </c>
      <c r="D166" s="12" t="s">
        <v>1585</v>
      </c>
      <c r="E166" s="12">
        <v>19</v>
      </c>
      <c r="F166" s="12">
        <v>0</v>
      </c>
      <c r="G166" s="12">
        <v>1</v>
      </c>
      <c r="H166" s="12">
        <v>0</v>
      </c>
      <c r="I166" s="12" t="s">
        <v>1586</v>
      </c>
    </row>
    <row r="167" spans="1:9">
      <c r="A167" s="12" t="s">
        <v>672</v>
      </c>
      <c r="B167" s="12" t="s">
        <v>673</v>
      </c>
      <c r="C167" s="12" t="s">
        <v>39</v>
      </c>
      <c r="D167" s="12" t="s">
        <v>1585</v>
      </c>
      <c r="E167" s="12">
        <v>17</v>
      </c>
      <c r="F167" s="12">
        <v>1</v>
      </c>
      <c r="G167" s="12">
        <v>2</v>
      </c>
      <c r="H167" s="12">
        <v>0</v>
      </c>
      <c r="I167" s="12" t="s">
        <v>1586</v>
      </c>
    </row>
    <row r="168" spans="1:9">
      <c r="A168" s="12" t="s">
        <v>1310</v>
      </c>
      <c r="B168" s="12" t="s">
        <v>5</v>
      </c>
      <c r="C168" s="12" t="s">
        <v>31</v>
      </c>
      <c r="D168" s="12" t="s">
        <v>1585</v>
      </c>
      <c r="E168" s="12">
        <v>0</v>
      </c>
      <c r="F168" s="12">
        <v>0</v>
      </c>
      <c r="G168" s="12">
        <v>10</v>
      </c>
      <c r="H168" s="12">
        <v>10</v>
      </c>
      <c r="I168" s="12" t="s">
        <v>1586</v>
      </c>
    </row>
    <row r="169" spans="1:9">
      <c r="A169" s="12" t="s">
        <v>769</v>
      </c>
      <c r="B169" s="12" t="s">
        <v>27</v>
      </c>
      <c r="C169" s="12" t="s">
        <v>8</v>
      </c>
      <c r="D169" s="12" t="s">
        <v>1585</v>
      </c>
      <c r="E169" s="12">
        <v>18</v>
      </c>
      <c r="F169" s="12">
        <v>2</v>
      </c>
      <c r="G169" s="12">
        <v>0</v>
      </c>
      <c r="H169" s="12">
        <v>0</v>
      </c>
      <c r="I169" s="12" t="s">
        <v>1586</v>
      </c>
    </row>
    <row r="170" spans="1:9">
      <c r="A170" s="12" t="s">
        <v>314</v>
      </c>
      <c r="B170" s="12" t="s">
        <v>315</v>
      </c>
      <c r="C170" s="12" t="s">
        <v>17</v>
      </c>
      <c r="D170" s="12" t="s">
        <v>1585</v>
      </c>
      <c r="E170" s="12">
        <v>18</v>
      </c>
      <c r="F170" s="12">
        <v>0</v>
      </c>
      <c r="G170" s="12">
        <v>2</v>
      </c>
      <c r="H170" s="12">
        <v>0</v>
      </c>
      <c r="I170" s="12" t="s">
        <v>1586</v>
      </c>
    </row>
    <row r="171" spans="1:9">
      <c r="A171" s="12" t="s">
        <v>1258</v>
      </c>
      <c r="B171" s="12" t="s">
        <v>1259</v>
      </c>
      <c r="C171" s="12" t="s">
        <v>28</v>
      </c>
      <c r="D171" s="12" t="s">
        <v>1585</v>
      </c>
      <c r="E171" s="12">
        <v>20</v>
      </c>
      <c r="F171" s="12">
        <v>0</v>
      </c>
      <c r="G171" s="12">
        <v>0</v>
      </c>
      <c r="H171" s="12">
        <v>0</v>
      </c>
      <c r="I171" s="12" t="s">
        <v>1586</v>
      </c>
    </row>
    <row r="172" spans="1:9">
      <c r="A172" s="12" t="s">
        <v>1195</v>
      </c>
      <c r="B172" s="12" t="s">
        <v>1196</v>
      </c>
      <c r="C172" s="12" t="s">
        <v>55</v>
      </c>
      <c r="D172" s="12" t="s">
        <v>1585</v>
      </c>
      <c r="E172" s="12">
        <v>18</v>
      </c>
      <c r="F172" s="12">
        <v>0</v>
      </c>
      <c r="G172" s="12">
        <v>2</v>
      </c>
      <c r="H172" s="12">
        <v>0</v>
      </c>
      <c r="I172" s="12" t="s">
        <v>1586</v>
      </c>
    </row>
    <row r="173" spans="1:9">
      <c r="A173" s="12" t="s">
        <v>1211</v>
      </c>
      <c r="B173" s="12" t="s">
        <v>53</v>
      </c>
      <c r="C173" s="12" t="s">
        <v>38</v>
      </c>
      <c r="D173" s="12" t="s">
        <v>1585</v>
      </c>
      <c r="E173" s="12">
        <v>16</v>
      </c>
      <c r="F173" s="12">
        <v>3.5</v>
      </c>
      <c r="G173" s="12">
        <v>0.5</v>
      </c>
      <c r="H173" s="12">
        <v>0</v>
      </c>
      <c r="I173" s="12" t="s">
        <v>1586</v>
      </c>
    </row>
    <row r="174" spans="1:9">
      <c r="A174" s="12" t="s">
        <v>1082</v>
      </c>
      <c r="B174" s="12" t="s">
        <v>1083</v>
      </c>
      <c r="C174" s="12" t="s">
        <v>39</v>
      </c>
      <c r="D174" s="12" t="s">
        <v>1585</v>
      </c>
      <c r="E174" s="12">
        <v>19</v>
      </c>
      <c r="F174" s="12">
        <v>0</v>
      </c>
      <c r="G174" s="12">
        <v>1</v>
      </c>
      <c r="H174" s="12">
        <v>0</v>
      </c>
      <c r="I174" s="12" t="s">
        <v>1586</v>
      </c>
    </row>
    <row r="175" spans="1:9">
      <c r="A175" s="12" t="s">
        <v>1253</v>
      </c>
      <c r="B175" s="12" t="s">
        <v>1254</v>
      </c>
      <c r="C175" s="12" t="s">
        <v>80</v>
      </c>
      <c r="D175" s="12" t="s">
        <v>1585</v>
      </c>
      <c r="E175" s="12">
        <v>19</v>
      </c>
      <c r="F175" s="12">
        <v>0</v>
      </c>
      <c r="G175" s="12">
        <v>1</v>
      </c>
      <c r="H175" s="12">
        <v>0</v>
      </c>
      <c r="I175" s="12" t="s">
        <v>1586</v>
      </c>
    </row>
    <row r="176" spans="1:9">
      <c r="A176" s="12" t="s">
        <v>1159</v>
      </c>
      <c r="B176" s="12" t="s">
        <v>1160</v>
      </c>
      <c r="C176" s="12" t="s">
        <v>48</v>
      </c>
      <c r="D176" s="12" t="s">
        <v>1585</v>
      </c>
      <c r="E176" s="12">
        <v>18.5</v>
      </c>
      <c r="F176" s="12">
        <v>0</v>
      </c>
      <c r="G176" s="12">
        <v>1.5</v>
      </c>
      <c r="H176" s="12">
        <v>0</v>
      </c>
      <c r="I176" s="12" t="s">
        <v>1586</v>
      </c>
    </row>
    <row r="177" spans="1:9">
      <c r="A177" s="12" t="s">
        <v>1478</v>
      </c>
      <c r="B177" s="12" t="s">
        <v>23</v>
      </c>
      <c r="C177" s="12" t="s">
        <v>63</v>
      </c>
      <c r="D177" s="12" t="s">
        <v>1585</v>
      </c>
      <c r="E177" s="12">
        <v>17</v>
      </c>
      <c r="F177" s="12">
        <v>3</v>
      </c>
      <c r="G177" s="12">
        <v>0</v>
      </c>
      <c r="H177" s="12">
        <v>0</v>
      </c>
      <c r="I177" s="12" t="s">
        <v>1586</v>
      </c>
    </row>
    <row r="178" spans="1:9">
      <c r="A178" s="12" t="s">
        <v>1097</v>
      </c>
      <c r="B178" s="12" t="s">
        <v>1098</v>
      </c>
      <c r="C178" s="12" t="s">
        <v>13</v>
      </c>
      <c r="D178" s="12" t="s">
        <v>1585</v>
      </c>
      <c r="E178" s="12">
        <v>20</v>
      </c>
      <c r="F178" s="12">
        <v>0</v>
      </c>
      <c r="G178" s="12">
        <v>0</v>
      </c>
      <c r="H178" s="12">
        <v>0</v>
      </c>
      <c r="I178" s="12" t="s">
        <v>1586</v>
      </c>
    </row>
    <row r="179" spans="1:9">
      <c r="A179" s="12" t="s">
        <v>342</v>
      </c>
      <c r="B179" s="12" t="s">
        <v>343</v>
      </c>
      <c r="C179" s="12" t="s">
        <v>35</v>
      </c>
      <c r="D179" s="12" t="s">
        <v>1585</v>
      </c>
      <c r="E179" s="12">
        <v>20</v>
      </c>
      <c r="F179" s="12">
        <v>0</v>
      </c>
      <c r="G179" s="12">
        <v>0</v>
      </c>
      <c r="H179" s="12">
        <v>0</v>
      </c>
      <c r="I179" s="12" t="s">
        <v>1586</v>
      </c>
    </row>
    <row r="180" spans="1:9">
      <c r="A180" s="12" t="s">
        <v>1006</v>
      </c>
      <c r="B180" s="12" t="s">
        <v>1007</v>
      </c>
      <c r="C180" s="12" t="s">
        <v>49</v>
      </c>
      <c r="D180" s="12" t="s">
        <v>1585</v>
      </c>
      <c r="E180" s="12">
        <v>18</v>
      </c>
      <c r="F180" s="12">
        <v>0</v>
      </c>
      <c r="G180" s="12">
        <v>2</v>
      </c>
      <c r="H180" s="12">
        <v>0</v>
      </c>
      <c r="I180" s="12" t="s">
        <v>1586</v>
      </c>
    </row>
    <row r="181" spans="1:9">
      <c r="A181" s="12" t="s">
        <v>454</v>
      </c>
      <c r="B181" s="12" t="s">
        <v>455</v>
      </c>
      <c r="C181" s="12" t="s">
        <v>70</v>
      </c>
      <c r="D181" s="12" t="s">
        <v>1585</v>
      </c>
      <c r="E181" s="12">
        <v>15</v>
      </c>
      <c r="F181" s="12">
        <v>0</v>
      </c>
      <c r="G181" s="12">
        <v>5</v>
      </c>
      <c r="H181" s="12">
        <v>0</v>
      </c>
      <c r="I181" s="12" t="s">
        <v>1586</v>
      </c>
    </row>
    <row r="182" spans="1:9">
      <c r="A182" s="12" t="s">
        <v>578</v>
      </c>
      <c r="B182" s="12" t="s">
        <v>579</v>
      </c>
      <c r="C182" s="12" t="s">
        <v>29</v>
      </c>
      <c r="D182" s="12" t="s">
        <v>1585</v>
      </c>
      <c r="E182" s="12">
        <v>0</v>
      </c>
      <c r="F182" s="12">
        <v>20</v>
      </c>
      <c r="G182" s="12">
        <v>0</v>
      </c>
      <c r="H182" s="12">
        <v>0</v>
      </c>
      <c r="I182" s="12" t="s">
        <v>1586</v>
      </c>
    </row>
    <row r="183" spans="1:9">
      <c r="A183" s="12" t="s">
        <v>616</v>
      </c>
      <c r="B183" s="12" t="s">
        <v>617</v>
      </c>
      <c r="C183" s="12" t="s">
        <v>35</v>
      </c>
      <c r="D183" s="12" t="s">
        <v>1585</v>
      </c>
      <c r="E183" s="12">
        <v>18</v>
      </c>
      <c r="F183" s="12">
        <v>0</v>
      </c>
      <c r="G183" s="12">
        <v>2</v>
      </c>
      <c r="H183" s="12">
        <v>0</v>
      </c>
      <c r="I183" s="12" t="s">
        <v>1586</v>
      </c>
    </row>
    <row r="184" spans="1:9">
      <c r="A184" s="12" t="s">
        <v>802</v>
      </c>
      <c r="B184" s="12" t="s">
        <v>803</v>
      </c>
      <c r="C184" s="12" t="s">
        <v>16</v>
      </c>
      <c r="D184" s="12" t="s">
        <v>1585</v>
      </c>
      <c r="E184" s="12">
        <v>20</v>
      </c>
      <c r="F184" s="12">
        <v>0</v>
      </c>
      <c r="G184" s="12">
        <v>0</v>
      </c>
      <c r="H184" s="12">
        <v>0</v>
      </c>
      <c r="I184" s="12" t="s">
        <v>1586</v>
      </c>
    </row>
    <row r="185" spans="1:9">
      <c r="A185" s="12" t="s">
        <v>1446</v>
      </c>
      <c r="B185" s="12" t="s">
        <v>45</v>
      </c>
      <c r="C185" s="12" t="s">
        <v>54</v>
      </c>
      <c r="D185" s="12" t="s">
        <v>1585</v>
      </c>
      <c r="E185" s="12">
        <v>10</v>
      </c>
      <c r="F185" s="12">
        <v>6</v>
      </c>
      <c r="G185" s="12">
        <v>2</v>
      </c>
      <c r="H185" s="12">
        <v>2</v>
      </c>
      <c r="I185" s="12" t="s">
        <v>1586</v>
      </c>
    </row>
    <row r="186" spans="1:9">
      <c r="A186" s="12" t="s">
        <v>653</v>
      </c>
      <c r="B186" s="12" t="s">
        <v>654</v>
      </c>
      <c r="C186" s="12" t="s">
        <v>31</v>
      </c>
      <c r="D186" s="12" t="s">
        <v>1585</v>
      </c>
      <c r="E186" s="12">
        <v>20</v>
      </c>
      <c r="F186" s="12">
        <v>0</v>
      </c>
      <c r="G186" s="12">
        <v>0</v>
      </c>
      <c r="H186" s="12">
        <v>0</v>
      </c>
      <c r="I186" s="12" t="s">
        <v>1586</v>
      </c>
    </row>
    <row r="187" spans="1:9">
      <c r="A187" s="12" t="s">
        <v>1206</v>
      </c>
      <c r="B187" s="12" t="s">
        <v>1053</v>
      </c>
      <c r="C187" s="12" t="s">
        <v>38</v>
      </c>
      <c r="D187" s="12" t="s">
        <v>1585</v>
      </c>
      <c r="E187" s="12">
        <v>17</v>
      </c>
      <c r="F187" s="12">
        <v>3</v>
      </c>
      <c r="G187" s="12">
        <v>0</v>
      </c>
      <c r="H187" s="12">
        <v>0</v>
      </c>
      <c r="I187" s="12" t="s">
        <v>1586</v>
      </c>
    </row>
    <row r="188" spans="1:9">
      <c r="A188" s="12" t="s">
        <v>1111</v>
      </c>
      <c r="B188" s="12" t="s">
        <v>1112</v>
      </c>
      <c r="C188" s="12" t="s">
        <v>31</v>
      </c>
      <c r="D188" s="12" t="s">
        <v>1585</v>
      </c>
      <c r="E188" s="12">
        <v>19</v>
      </c>
      <c r="F188" s="12">
        <v>0</v>
      </c>
      <c r="G188" s="12">
        <v>1</v>
      </c>
      <c r="H188" s="12">
        <v>0</v>
      </c>
      <c r="I188" s="12" t="s">
        <v>1586</v>
      </c>
    </row>
    <row r="189" spans="1:9">
      <c r="A189" s="12" t="s">
        <v>465</v>
      </c>
      <c r="B189" s="12" t="s">
        <v>466</v>
      </c>
      <c r="C189" s="12" t="s">
        <v>13</v>
      </c>
      <c r="D189" s="12" t="s">
        <v>1585</v>
      </c>
      <c r="E189" s="12">
        <v>19</v>
      </c>
      <c r="F189" s="12">
        <v>0</v>
      </c>
      <c r="G189" s="12">
        <v>1</v>
      </c>
      <c r="H189" s="12">
        <v>0</v>
      </c>
      <c r="I189" s="12" t="s">
        <v>1586</v>
      </c>
    </row>
    <row r="190" spans="1:9">
      <c r="A190" s="12" t="s">
        <v>942</v>
      </c>
      <c r="B190" s="12" t="s">
        <v>943</v>
      </c>
      <c r="C190" s="12" t="s">
        <v>45</v>
      </c>
      <c r="D190" s="12" t="s">
        <v>1585</v>
      </c>
      <c r="E190" s="12">
        <v>0</v>
      </c>
      <c r="F190" s="12">
        <v>0</v>
      </c>
      <c r="G190" s="12">
        <v>2</v>
      </c>
      <c r="H190" s="12">
        <v>18</v>
      </c>
      <c r="I190" s="12" t="s">
        <v>1586</v>
      </c>
    </row>
    <row r="191" spans="1:9">
      <c r="A191" s="12" t="s">
        <v>1437</v>
      </c>
      <c r="B191" s="12" t="s">
        <v>1438</v>
      </c>
      <c r="C191" s="12" t="s">
        <v>23</v>
      </c>
      <c r="D191" s="12" t="s">
        <v>1585</v>
      </c>
      <c r="E191" s="12">
        <v>20</v>
      </c>
      <c r="F191" s="12">
        <v>0</v>
      </c>
      <c r="G191" s="12">
        <v>0</v>
      </c>
      <c r="H191" s="12">
        <v>0</v>
      </c>
      <c r="I191" s="12" t="s">
        <v>1586</v>
      </c>
    </row>
    <row r="192" spans="1:9">
      <c r="A192" s="12" t="s">
        <v>1199</v>
      </c>
      <c r="B192" s="12" t="s">
        <v>36</v>
      </c>
      <c r="C192" s="12" t="s">
        <v>38</v>
      </c>
      <c r="D192" s="12" t="s">
        <v>1585</v>
      </c>
      <c r="E192" s="12">
        <v>18</v>
      </c>
      <c r="F192" s="12">
        <v>1</v>
      </c>
      <c r="G192" s="12">
        <v>1</v>
      </c>
      <c r="H192" s="12">
        <v>0</v>
      </c>
      <c r="I192" s="12" t="s">
        <v>1586</v>
      </c>
    </row>
    <row r="193" spans="1:9">
      <c r="A193" s="12" t="s">
        <v>1475</v>
      </c>
      <c r="B193" s="12" t="s">
        <v>12</v>
      </c>
      <c r="C193" s="12" t="s">
        <v>63</v>
      </c>
      <c r="D193" s="12" t="s">
        <v>1585</v>
      </c>
      <c r="E193" s="12">
        <v>16</v>
      </c>
      <c r="F193" s="12">
        <v>4</v>
      </c>
      <c r="G193" s="12">
        <v>0</v>
      </c>
      <c r="H193" s="12">
        <v>0</v>
      </c>
      <c r="I193" s="12" t="s">
        <v>1586</v>
      </c>
    </row>
    <row r="194" spans="1:9">
      <c r="A194" s="12" t="s">
        <v>1016</v>
      </c>
      <c r="B194" s="12" t="s">
        <v>1017</v>
      </c>
      <c r="C194" s="12" t="s">
        <v>13</v>
      </c>
      <c r="D194" s="12" t="s">
        <v>1585</v>
      </c>
      <c r="E194" s="12">
        <v>18</v>
      </c>
      <c r="F194" s="12">
        <v>2</v>
      </c>
      <c r="G194" s="12">
        <v>0</v>
      </c>
      <c r="H194" s="12">
        <v>0</v>
      </c>
      <c r="I194" s="12" t="s">
        <v>1586</v>
      </c>
    </row>
    <row r="195" spans="1:9">
      <c r="A195" s="12" t="s">
        <v>368</v>
      </c>
      <c r="B195" s="12" t="s">
        <v>369</v>
      </c>
      <c r="C195" s="12" t="s">
        <v>67</v>
      </c>
      <c r="D195" s="12" t="s">
        <v>1585</v>
      </c>
      <c r="E195" s="12">
        <v>18</v>
      </c>
      <c r="F195" s="12">
        <v>0</v>
      </c>
      <c r="G195" s="12">
        <v>2</v>
      </c>
      <c r="H195" s="12">
        <v>0</v>
      </c>
      <c r="I195" s="12" t="s">
        <v>1586</v>
      </c>
    </row>
    <row r="196" spans="1:9">
      <c r="A196" s="12" t="s">
        <v>1263</v>
      </c>
      <c r="B196" s="12" t="s">
        <v>1264</v>
      </c>
      <c r="C196" s="12" t="s">
        <v>3</v>
      </c>
      <c r="D196" s="12" t="s">
        <v>1585</v>
      </c>
      <c r="E196" s="12">
        <v>0</v>
      </c>
      <c r="F196" s="12">
        <v>20</v>
      </c>
      <c r="G196" s="12">
        <v>0</v>
      </c>
      <c r="H196" s="12">
        <v>0</v>
      </c>
      <c r="I196" s="12" t="s">
        <v>1586</v>
      </c>
    </row>
    <row r="197" spans="1:9">
      <c r="A197" s="12" t="s">
        <v>344</v>
      </c>
      <c r="B197" s="12" t="s">
        <v>345</v>
      </c>
      <c r="C197" s="12" t="s">
        <v>36</v>
      </c>
      <c r="D197" s="12" t="s">
        <v>1585</v>
      </c>
      <c r="E197" s="12">
        <v>20</v>
      </c>
      <c r="F197" s="12">
        <v>0</v>
      </c>
      <c r="G197" s="12">
        <v>0</v>
      </c>
      <c r="H197" s="12">
        <v>0</v>
      </c>
      <c r="I197" s="12" t="s">
        <v>1586</v>
      </c>
    </row>
    <row r="198" spans="1:9">
      <c r="A198" s="12" t="s">
        <v>530</v>
      </c>
      <c r="B198" s="12" t="s">
        <v>531</v>
      </c>
      <c r="C198" s="12" t="s">
        <v>3</v>
      </c>
      <c r="D198" s="12" t="s">
        <v>1585</v>
      </c>
      <c r="E198" s="12">
        <v>20</v>
      </c>
      <c r="F198" s="12">
        <v>0</v>
      </c>
      <c r="G198" s="12">
        <v>0</v>
      </c>
      <c r="H198" s="12">
        <v>0</v>
      </c>
      <c r="I198" s="12" t="s">
        <v>1586</v>
      </c>
    </row>
    <row r="199" spans="1:9">
      <c r="A199" s="12" t="s">
        <v>1101</v>
      </c>
      <c r="B199" s="12" t="s">
        <v>1102</v>
      </c>
      <c r="C199" s="12" t="s">
        <v>18</v>
      </c>
      <c r="D199" s="12" t="s">
        <v>1585</v>
      </c>
      <c r="E199" s="12">
        <v>20</v>
      </c>
      <c r="F199" s="12">
        <v>0</v>
      </c>
      <c r="G199" s="12">
        <v>0</v>
      </c>
      <c r="H199" s="12">
        <v>0</v>
      </c>
      <c r="I199" s="12" t="s">
        <v>1586</v>
      </c>
    </row>
    <row r="200" spans="1:9">
      <c r="A200" s="12" t="s">
        <v>634</v>
      </c>
      <c r="B200" s="12" t="s">
        <v>635</v>
      </c>
      <c r="C200" s="12" t="s">
        <v>39</v>
      </c>
      <c r="D200" s="12" t="s">
        <v>1585</v>
      </c>
      <c r="E200" s="12">
        <v>20</v>
      </c>
      <c r="F200" s="12">
        <v>0</v>
      </c>
      <c r="G200" s="12">
        <v>0</v>
      </c>
      <c r="H200" s="12">
        <v>0</v>
      </c>
      <c r="I200" s="12" t="s">
        <v>1586</v>
      </c>
    </row>
    <row r="201" spans="1:9">
      <c r="A201" s="12" t="s">
        <v>399</v>
      </c>
      <c r="B201" s="12" t="s">
        <v>69</v>
      </c>
      <c r="C201" s="12" t="s">
        <v>55</v>
      </c>
      <c r="D201" s="12" t="s">
        <v>1585</v>
      </c>
      <c r="E201" s="12">
        <v>19</v>
      </c>
      <c r="F201" s="12">
        <v>0</v>
      </c>
      <c r="G201" s="12">
        <v>1</v>
      </c>
      <c r="H201" s="12">
        <v>0</v>
      </c>
      <c r="I201" s="12" t="s">
        <v>1586</v>
      </c>
    </row>
    <row r="202" spans="1:9">
      <c r="A202" s="12" t="s">
        <v>686</v>
      </c>
      <c r="B202" s="12" t="s">
        <v>687</v>
      </c>
      <c r="C202" s="12" t="s">
        <v>46</v>
      </c>
      <c r="D202" s="12" t="s">
        <v>1585</v>
      </c>
      <c r="E202" s="12">
        <v>20</v>
      </c>
      <c r="F202" s="12">
        <v>0</v>
      </c>
      <c r="G202" s="12">
        <v>0</v>
      </c>
      <c r="H202" s="12">
        <v>0</v>
      </c>
      <c r="I202" s="12" t="s">
        <v>1586</v>
      </c>
    </row>
    <row r="203" spans="1:9">
      <c r="A203" s="12" t="s">
        <v>594</v>
      </c>
      <c r="B203" s="12" t="s">
        <v>595</v>
      </c>
      <c r="C203" s="12" t="s">
        <v>76</v>
      </c>
      <c r="D203" s="12" t="s">
        <v>1585</v>
      </c>
      <c r="E203" s="12">
        <v>14</v>
      </c>
      <c r="F203" s="12">
        <v>0</v>
      </c>
      <c r="G203" s="12">
        <v>6</v>
      </c>
      <c r="H203" s="12">
        <v>0</v>
      </c>
      <c r="I203" s="12" t="s">
        <v>1586</v>
      </c>
    </row>
    <row r="204" spans="1:9">
      <c r="A204" s="12" t="s">
        <v>1135</v>
      </c>
      <c r="B204" s="12" t="s">
        <v>70</v>
      </c>
      <c r="C204" s="12" t="s">
        <v>543</v>
      </c>
      <c r="D204" s="12" t="s">
        <v>1585</v>
      </c>
      <c r="E204" s="12">
        <v>10</v>
      </c>
      <c r="F204" s="12">
        <v>9</v>
      </c>
      <c r="G204" s="12">
        <v>1</v>
      </c>
      <c r="H204" s="12">
        <v>0</v>
      </c>
      <c r="I204" s="12" t="s">
        <v>1586</v>
      </c>
    </row>
    <row r="205" spans="1:9">
      <c r="A205" s="12" t="s">
        <v>1468</v>
      </c>
      <c r="B205" s="12" t="s">
        <v>1469</v>
      </c>
      <c r="C205" s="12" t="s">
        <v>63</v>
      </c>
      <c r="D205" s="12" t="s">
        <v>1585</v>
      </c>
      <c r="E205" s="12">
        <v>5</v>
      </c>
      <c r="F205" s="12">
        <v>15</v>
      </c>
      <c r="G205" s="12">
        <v>0</v>
      </c>
      <c r="H205" s="12">
        <v>0</v>
      </c>
      <c r="I205" s="12" t="s">
        <v>1586</v>
      </c>
    </row>
    <row r="206" spans="1:9">
      <c r="A206" s="12" t="s">
        <v>1249</v>
      </c>
      <c r="B206" s="12" t="s">
        <v>1250</v>
      </c>
      <c r="C206" s="12" t="s">
        <v>80</v>
      </c>
      <c r="D206" s="12" t="s">
        <v>1585</v>
      </c>
      <c r="E206" s="12">
        <v>15</v>
      </c>
      <c r="F206" s="12">
        <v>3</v>
      </c>
      <c r="G206" s="12">
        <v>2</v>
      </c>
      <c r="H206" s="12">
        <v>0</v>
      </c>
      <c r="I206" s="12" t="s">
        <v>1586</v>
      </c>
    </row>
    <row r="207" spans="1:9">
      <c r="A207" s="12" t="s">
        <v>457</v>
      </c>
      <c r="B207" s="12" t="s">
        <v>458</v>
      </c>
      <c r="C207" s="12" t="s">
        <v>70</v>
      </c>
      <c r="D207" s="12" t="s">
        <v>1585</v>
      </c>
      <c r="E207" s="12">
        <v>19</v>
      </c>
      <c r="F207" s="12">
        <v>0</v>
      </c>
      <c r="G207" s="12">
        <v>1</v>
      </c>
      <c r="H207" s="12">
        <v>0</v>
      </c>
      <c r="I207" s="12" t="s">
        <v>1586</v>
      </c>
    </row>
    <row r="208" spans="1:9">
      <c r="A208" s="12" t="s">
        <v>389</v>
      </c>
      <c r="B208" s="12" t="s">
        <v>22</v>
      </c>
      <c r="C208" s="12" t="s">
        <v>31</v>
      </c>
      <c r="D208" s="12" t="s">
        <v>1585</v>
      </c>
      <c r="E208" s="12">
        <v>20</v>
      </c>
      <c r="F208" s="12">
        <v>0</v>
      </c>
      <c r="G208" s="12">
        <v>0</v>
      </c>
      <c r="H208" s="12">
        <v>0</v>
      </c>
      <c r="I208" s="12" t="s">
        <v>1586</v>
      </c>
    </row>
    <row r="209" spans="1:9">
      <c r="A209" s="12" t="s">
        <v>1499</v>
      </c>
      <c r="B209" s="12" t="s">
        <v>1500</v>
      </c>
      <c r="C209" s="12" t="s">
        <v>13</v>
      </c>
      <c r="D209" s="12" t="s">
        <v>1585</v>
      </c>
      <c r="E209" s="12">
        <v>7.5</v>
      </c>
      <c r="F209" s="12">
        <v>0</v>
      </c>
      <c r="G209" s="12">
        <v>10</v>
      </c>
      <c r="H209" s="12">
        <v>2.5</v>
      </c>
      <c r="I209" s="12" t="s">
        <v>1586</v>
      </c>
    </row>
    <row r="210" spans="1:9">
      <c r="A210" s="12" t="s">
        <v>809</v>
      </c>
      <c r="B210" s="12" t="s">
        <v>810</v>
      </c>
      <c r="C210" s="12" t="s">
        <v>16</v>
      </c>
      <c r="D210" s="12" t="s">
        <v>1585</v>
      </c>
      <c r="E210" s="12">
        <v>16.5</v>
      </c>
      <c r="F210" s="12">
        <v>2.5</v>
      </c>
      <c r="G210" s="12">
        <v>1</v>
      </c>
      <c r="H210" s="12">
        <v>0</v>
      </c>
      <c r="I210" s="12" t="s">
        <v>1586</v>
      </c>
    </row>
    <row r="211" spans="1:9">
      <c r="A211" s="12" t="s">
        <v>612</v>
      </c>
      <c r="B211" s="12" t="s">
        <v>613</v>
      </c>
      <c r="C211" s="12" t="s">
        <v>76</v>
      </c>
      <c r="D211" s="12" t="s">
        <v>1585</v>
      </c>
      <c r="E211" s="12">
        <v>17</v>
      </c>
      <c r="F211" s="12">
        <v>0</v>
      </c>
      <c r="G211" s="12">
        <v>3</v>
      </c>
      <c r="H211" s="12">
        <v>0</v>
      </c>
      <c r="I211" s="12" t="s">
        <v>1586</v>
      </c>
    </row>
    <row r="212" spans="1:9">
      <c r="A212" s="12" t="s">
        <v>956</v>
      </c>
      <c r="B212" s="12" t="s">
        <v>957</v>
      </c>
      <c r="C212" s="12" t="s">
        <v>45</v>
      </c>
      <c r="D212" s="12" t="s">
        <v>1585</v>
      </c>
      <c r="E212" s="12">
        <v>20</v>
      </c>
      <c r="F212" s="12">
        <v>0</v>
      </c>
      <c r="G212" s="12">
        <v>0</v>
      </c>
      <c r="H212" s="12">
        <v>0</v>
      </c>
      <c r="I212" s="12" t="s">
        <v>1586</v>
      </c>
    </row>
    <row r="213" spans="1:9">
      <c r="A213" s="12" t="s">
        <v>349</v>
      </c>
      <c r="B213" s="12" t="s">
        <v>350</v>
      </c>
      <c r="C213" s="12" t="s">
        <v>61</v>
      </c>
      <c r="D213" s="12" t="s">
        <v>1585</v>
      </c>
      <c r="E213" s="12">
        <v>1</v>
      </c>
      <c r="F213" s="12">
        <v>19</v>
      </c>
      <c r="G213" s="12">
        <v>0</v>
      </c>
      <c r="H213" s="12">
        <v>0</v>
      </c>
      <c r="I213" s="12" t="s">
        <v>1586</v>
      </c>
    </row>
    <row r="214" spans="1:9">
      <c r="A214" s="12" t="s">
        <v>665</v>
      </c>
      <c r="B214" s="12" t="s">
        <v>48</v>
      </c>
      <c r="C214" s="12" t="s">
        <v>28</v>
      </c>
      <c r="D214" s="12" t="s">
        <v>1585</v>
      </c>
      <c r="E214" s="12">
        <v>13</v>
      </c>
      <c r="F214" s="12">
        <v>6</v>
      </c>
      <c r="G214" s="12">
        <v>0</v>
      </c>
      <c r="H214" s="12">
        <v>1</v>
      </c>
      <c r="I214" s="12" t="s">
        <v>1586</v>
      </c>
    </row>
    <row r="215" spans="1:9">
      <c r="A215" s="12" t="s">
        <v>1494</v>
      </c>
      <c r="B215" s="12" t="s">
        <v>1495</v>
      </c>
      <c r="C215" s="12" t="s">
        <v>46</v>
      </c>
      <c r="D215" s="12" t="s">
        <v>1585</v>
      </c>
      <c r="E215" s="12">
        <v>17</v>
      </c>
      <c r="F215" s="12">
        <v>2</v>
      </c>
      <c r="G215" s="12">
        <v>1</v>
      </c>
      <c r="H215" s="12">
        <v>0</v>
      </c>
      <c r="I215" s="12" t="s">
        <v>1586</v>
      </c>
    </row>
    <row r="216" spans="1:9">
      <c r="A216" s="12" t="s">
        <v>1472</v>
      </c>
      <c r="B216" s="12" t="s">
        <v>1473</v>
      </c>
      <c r="C216" s="12" t="s">
        <v>63</v>
      </c>
      <c r="D216" s="12" t="s">
        <v>1585</v>
      </c>
      <c r="E216" s="12">
        <v>14</v>
      </c>
      <c r="F216" s="12">
        <v>6</v>
      </c>
      <c r="G216" s="12">
        <v>0</v>
      </c>
      <c r="H216" s="12">
        <v>0</v>
      </c>
      <c r="I216" s="12" t="s">
        <v>1586</v>
      </c>
    </row>
    <row r="217" spans="1:9">
      <c r="A217" s="12" t="s">
        <v>1479</v>
      </c>
      <c r="B217" s="12" t="s">
        <v>54</v>
      </c>
      <c r="C217" s="12" t="s">
        <v>63</v>
      </c>
      <c r="D217" s="12" t="s">
        <v>1585</v>
      </c>
      <c r="E217" s="12">
        <v>10</v>
      </c>
      <c r="F217" s="12">
        <v>0</v>
      </c>
      <c r="G217" s="12">
        <v>2</v>
      </c>
      <c r="H217" s="12">
        <v>8</v>
      </c>
      <c r="I217" s="12" t="s">
        <v>1586</v>
      </c>
    </row>
    <row r="218" spans="1:9">
      <c r="A218" s="12" t="s">
        <v>1533</v>
      </c>
      <c r="B218" s="12" t="s">
        <v>41</v>
      </c>
      <c r="C218" s="12" t="s">
        <v>8</v>
      </c>
      <c r="D218" s="12" t="s">
        <v>1585</v>
      </c>
      <c r="E218" s="12">
        <v>13</v>
      </c>
      <c r="F218" s="12">
        <v>6</v>
      </c>
      <c r="G218" s="12">
        <v>0</v>
      </c>
      <c r="H218" s="12">
        <v>0</v>
      </c>
      <c r="I218" s="12" t="s">
        <v>1586</v>
      </c>
    </row>
    <row r="219" spans="1:9">
      <c r="A219" s="12" t="s">
        <v>574</v>
      </c>
      <c r="B219" s="12" t="s">
        <v>575</v>
      </c>
      <c r="C219" s="12" t="s">
        <v>29</v>
      </c>
      <c r="D219" s="12" t="s">
        <v>1585</v>
      </c>
      <c r="E219" s="12">
        <v>20</v>
      </c>
      <c r="F219" s="12">
        <v>0</v>
      </c>
      <c r="G219" s="12">
        <v>0</v>
      </c>
      <c r="H219" s="12">
        <v>0</v>
      </c>
      <c r="I219" s="12" t="s">
        <v>1586</v>
      </c>
    </row>
    <row r="220" spans="1:9">
      <c r="A220" s="12" t="s">
        <v>864</v>
      </c>
      <c r="B220" s="12" t="s">
        <v>865</v>
      </c>
      <c r="C220" s="12" t="s">
        <v>43</v>
      </c>
      <c r="D220" s="12" t="s">
        <v>1585</v>
      </c>
      <c r="E220" s="12">
        <v>20</v>
      </c>
      <c r="F220" s="12">
        <v>0</v>
      </c>
      <c r="G220" s="12">
        <v>0</v>
      </c>
      <c r="H220" s="12">
        <v>0</v>
      </c>
      <c r="I220" s="12" t="s">
        <v>1586</v>
      </c>
    </row>
    <row r="221" spans="1:9">
      <c r="A221" s="12" t="s">
        <v>306</v>
      </c>
      <c r="B221" s="12" t="s">
        <v>307</v>
      </c>
      <c r="C221" s="12" t="s">
        <v>17</v>
      </c>
      <c r="D221" s="12" t="s">
        <v>1585</v>
      </c>
      <c r="E221" s="12">
        <v>19</v>
      </c>
      <c r="F221" s="12">
        <v>0</v>
      </c>
      <c r="G221" s="12">
        <v>1</v>
      </c>
      <c r="H221" s="12">
        <v>0</v>
      </c>
      <c r="I221" s="12" t="s">
        <v>1586</v>
      </c>
    </row>
    <row r="222" spans="1:9">
      <c r="A222" s="12" t="s">
        <v>692</v>
      </c>
      <c r="B222" s="12" t="s">
        <v>29</v>
      </c>
      <c r="C222" s="12" t="s">
        <v>46</v>
      </c>
      <c r="D222" s="12" t="s">
        <v>1585</v>
      </c>
      <c r="E222" s="12">
        <v>10</v>
      </c>
      <c r="F222" s="12">
        <v>10</v>
      </c>
      <c r="G222" s="12">
        <v>0</v>
      </c>
      <c r="H222" s="12">
        <v>0</v>
      </c>
      <c r="I222" s="12" t="s">
        <v>1586</v>
      </c>
    </row>
    <row r="223" spans="1:9">
      <c r="A223" s="12" t="s">
        <v>1139</v>
      </c>
      <c r="B223" s="12" t="s">
        <v>95</v>
      </c>
      <c r="C223" s="12" t="s">
        <v>543</v>
      </c>
      <c r="D223" s="12" t="s">
        <v>1585</v>
      </c>
      <c r="E223" s="12">
        <v>18</v>
      </c>
      <c r="F223" s="12">
        <v>0</v>
      </c>
      <c r="G223" s="12">
        <v>2</v>
      </c>
      <c r="H223" s="12">
        <v>0</v>
      </c>
      <c r="I223" s="12" t="s">
        <v>1586</v>
      </c>
    </row>
    <row r="224" spans="1:9">
      <c r="A224" s="12" t="s">
        <v>585</v>
      </c>
      <c r="B224" s="12" t="s">
        <v>520</v>
      </c>
      <c r="C224" s="12" t="s">
        <v>29</v>
      </c>
      <c r="D224" s="12" t="s">
        <v>1585</v>
      </c>
      <c r="E224" s="12">
        <v>9</v>
      </c>
      <c r="F224" s="12">
        <v>0</v>
      </c>
      <c r="G224" s="12">
        <v>8</v>
      </c>
      <c r="H224" s="12">
        <v>3</v>
      </c>
      <c r="I224" s="12" t="s">
        <v>1586</v>
      </c>
    </row>
    <row r="225" spans="1:9">
      <c r="A225" s="12" t="s">
        <v>862</v>
      </c>
      <c r="B225" s="12" t="s">
        <v>863</v>
      </c>
      <c r="C225" s="12" t="s">
        <v>36</v>
      </c>
      <c r="D225" s="12" t="s">
        <v>1585</v>
      </c>
      <c r="E225" s="12">
        <v>20</v>
      </c>
      <c r="F225" s="12">
        <v>0</v>
      </c>
      <c r="G225" s="12">
        <v>0</v>
      </c>
      <c r="H225" s="12">
        <v>0</v>
      </c>
      <c r="I225" s="12" t="s">
        <v>1586</v>
      </c>
    </row>
    <row r="226" spans="1:9">
      <c r="A226" s="12" t="s">
        <v>356</v>
      </c>
      <c r="B226" s="12" t="s">
        <v>357</v>
      </c>
      <c r="C226" s="12" t="s">
        <v>61</v>
      </c>
      <c r="D226" s="12" t="s">
        <v>1585</v>
      </c>
      <c r="E226" s="12">
        <v>16</v>
      </c>
      <c r="F226" s="12">
        <v>0</v>
      </c>
      <c r="G226" s="12">
        <v>4</v>
      </c>
      <c r="H226" s="12">
        <v>0</v>
      </c>
      <c r="I226" s="12" t="s">
        <v>1586</v>
      </c>
    </row>
    <row r="227" spans="1:9">
      <c r="A227" s="12" t="s">
        <v>1173</v>
      </c>
      <c r="B227" s="12" t="s">
        <v>1174</v>
      </c>
      <c r="C227" s="12" t="s">
        <v>86</v>
      </c>
      <c r="D227" s="12" t="s">
        <v>1585</v>
      </c>
      <c r="E227" s="12">
        <v>11</v>
      </c>
      <c r="F227" s="12">
        <v>0</v>
      </c>
      <c r="G227" s="12">
        <v>9</v>
      </c>
      <c r="H227" s="12">
        <v>0</v>
      </c>
      <c r="I227" s="12" t="s">
        <v>1586</v>
      </c>
    </row>
    <row r="228" spans="1:9">
      <c r="A228" s="12" t="s">
        <v>1255</v>
      </c>
      <c r="B228" s="12" t="s">
        <v>1256</v>
      </c>
      <c r="C228" s="12" t="s">
        <v>80</v>
      </c>
      <c r="D228" s="12" t="s">
        <v>1585</v>
      </c>
      <c r="E228" s="12">
        <v>10</v>
      </c>
      <c r="F228" s="12">
        <v>10</v>
      </c>
      <c r="G228" s="12">
        <v>0</v>
      </c>
      <c r="H228" s="12">
        <v>0</v>
      </c>
      <c r="I228" s="12" t="s">
        <v>1586</v>
      </c>
    </row>
    <row r="229" spans="1:9">
      <c r="A229" s="12" t="s">
        <v>582</v>
      </c>
      <c r="B229" s="12" t="s">
        <v>59</v>
      </c>
      <c r="C229" s="12" t="s">
        <v>29</v>
      </c>
      <c r="D229" s="12" t="s">
        <v>1585</v>
      </c>
      <c r="E229" s="12">
        <v>20</v>
      </c>
      <c r="F229" s="12">
        <v>0</v>
      </c>
      <c r="G229" s="12">
        <v>0</v>
      </c>
      <c r="H229" s="12">
        <v>0</v>
      </c>
      <c r="I229" s="12" t="s">
        <v>1586</v>
      </c>
    </row>
    <row r="230" spans="1:9">
      <c r="A230" s="12" t="s">
        <v>924</v>
      </c>
      <c r="B230" s="12" t="s">
        <v>925</v>
      </c>
      <c r="C230" s="12" t="s">
        <v>66</v>
      </c>
      <c r="D230" s="12" t="s">
        <v>1585</v>
      </c>
      <c r="E230" s="12">
        <v>18</v>
      </c>
      <c r="F230" s="12">
        <v>0</v>
      </c>
      <c r="G230" s="12">
        <v>2</v>
      </c>
      <c r="H230" s="12">
        <v>0</v>
      </c>
      <c r="I230" s="12" t="s">
        <v>1586</v>
      </c>
    </row>
    <row r="231" spans="1:9">
      <c r="A231" s="12" t="s">
        <v>525</v>
      </c>
      <c r="B231" s="12" t="s">
        <v>526</v>
      </c>
      <c r="C231" s="12" t="s">
        <v>4</v>
      </c>
      <c r="D231" s="12" t="s">
        <v>1585</v>
      </c>
      <c r="E231" s="12">
        <v>20</v>
      </c>
      <c r="F231" s="12">
        <v>0</v>
      </c>
      <c r="G231" s="12">
        <v>0</v>
      </c>
      <c r="H231" s="12">
        <v>0</v>
      </c>
      <c r="I231" s="12" t="s">
        <v>1586</v>
      </c>
    </row>
    <row r="232" spans="1:9">
      <c r="A232" s="12" t="s">
        <v>1138</v>
      </c>
      <c r="B232" s="12" t="s">
        <v>86</v>
      </c>
      <c r="C232" s="12" t="s">
        <v>543</v>
      </c>
      <c r="D232" s="12" t="s">
        <v>1585</v>
      </c>
      <c r="E232" s="12">
        <v>14</v>
      </c>
      <c r="F232" s="12">
        <v>2</v>
      </c>
      <c r="G232" s="12">
        <v>4</v>
      </c>
      <c r="H232" s="12">
        <v>0</v>
      </c>
      <c r="I232" s="12" t="s">
        <v>1586</v>
      </c>
    </row>
    <row r="233" spans="1:9">
      <c r="A233" s="12" t="s">
        <v>670</v>
      </c>
      <c r="B233" s="12" t="s">
        <v>671</v>
      </c>
      <c r="C233" s="12" t="s">
        <v>39</v>
      </c>
      <c r="D233" s="12" t="s">
        <v>1585</v>
      </c>
      <c r="E233" s="12">
        <v>17</v>
      </c>
      <c r="F233" s="12">
        <v>1</v>
      </c>
      <c r="G233" s="12">
        <v>2</v>
      </c>
      <c r="H233" s="12">
        <v>0</v>
      </c>
      <c r="I233" s="12" t="s">
        <v>1586</v>
      </c>
    </row>
    <row r="234" spans="1:9">
      <c r="A234" s="12" t="s">
        <v>163</v>
      </c>
      <c r="B234" s="12" t="s">
        <v>164</v>
      </c>
      <c r="C234" s="12" t="s">
        <v>67</v>
      </c>
      <c r="D234" s="12" t="s">
        <v>1585</v>
      </c>
      <c r="E234" s="12">
        <v>19</v>
      </c>
      <c r="F234" s="12">
        <v>0</v>
      </c>
      <c r="G234" s="12">
        <v>1</v>
      </c>
      <c r="H234" s="12">
        <v>0</v>
      </c>
      <c r="I234" s="12" t="s">
        <v>1586</v>
      </c>
    </row>
    <row r="235" spans="1:9">
      <c r="A235" s="12" t="s">
        <v>494</v>
      </c>
      <c r="B235" s="12" t="s">
        <v>495</v>
      </c>
      <c r="C235" s="12" t="s">
        <v>33</v>
      </c>
      <c r="D235" s="12" t="s">
        <v>1585</v>
      </c>
      <c r="E235" s="12">
        <v>20</v>
      </c>
      <c r="F235" s="12">
        <v>0</v>
      </c>
      <c r="G235" s="12">
        <v>0</v>
      </c>
      <c r="H235" s="12">
        <v>0</v>
      </c>
      <c r="I235" s="12" t="s">
        <v>1586</v>
      </c>
    </row>
    <row r="236" spans="1:9">
      <c r="A236" s="12" t="s">
        <v>456</v>
      </c>
      <c r="B236" s="12" t="s">
        <v>361</v>
      </c>
      <c r="C236" s="12" t="s">
        <v>70</v>
      </c>
      <c r="D236" s="12" t="s">
        <v>1585</v>
      </c>
      <c r="E236" s="12">
        <v>20</v>
      </c>
      <c r="F236" s="12">
        <v>0</v>
      </c>
      <c r="G236" s="12">
        <v>0</v>
      </c>
      <c r="H236" s="12">
        <v>0</v>
      </c>
      <c r="I236" s="12" t="s">
        <v>1586</v>
      </c>
    </row>
    <row r="237" spans="1:9">
      <c r="A237" s="12" t="s">
        <v>668</v>
      </c>
      <c r="B237" s="12" t="s">
        <v>669</v>
      </c>
      <c r="C237" s="12" t="s">
        <v>39</v>
      </c>
      <c r="D237" s="12" t="s">
        <v>1585</v>
      </c>
      <c r="E237" s="12">
        <v>20</v>
      </c>
      <c r="F237" s="12">
        <v>0</v>
      </c>
      <c r="G237" s="12">
        <v>0</v>
      </c>
      <c r="H237" s="12">
        <v>0</v>
      </c>
      <c r="I237" s="12" t="s">
        <v>1586</v>
      </c>
    </row>
    <row r="238" spans="1:9">
      <c r="A238" s="12" t="s">
        <v>1190</v>
      </c>
      <c r="B238" s="12" t="s">
        <v>1191</v>
      </c>
      <c r="C238" s="12" t="s">
        <v>55</v>
      </c>
      <c r="D238" s="12" t="s">
        <v>1585</v>
      </c>
      <c r="E238" s="12">
        <v>20</v>
      </c>
      <c r="F238" s="12">
        <v>0</v>
      </c>
      <c r="G238" s="12">
        <v>0</v>
      </c>
      <c r="H238" s="12">
        <v>0</v>
      </c>
      <c r="I238" s="12" t="s">
        <v>1586</v>
      </c>
    </row>
    <row r="239" spans="1:9">
      <c r="A239" s="12" t="s">
        <v>988</v>
      </c>
      <c r="B239" s="12" t="s">
        <v>989</v>
      </c>
      <c r="C239" s="12" t="s">
        <v>38</v>
      </c>
      <c r="D239" s="12" t="s">
        <v>1585</v>
      </c>
      <c r="E239" s="12">
        <v>3</v>
      </c>
      <c r="F239" s="12">
        <v>5</v>
      </c>
      <c r="G239" s="12">
        <v>3</v>
      </c>
      <c r="H239" s="12">
        <v>9</v>
      </c>
      <c r="I239" s="12" t="s">
        <v>1586</v>
      </c>
    </row>
    <row r="240" spans="1:9">
      <c r="A240" s="12" t="s">
        <v>1243</v>
      </c>
      <c r="B240" s="12" t="s">
        <v>1244</v>
      </c>
      <c r="C240" s="12" t="s">
        <v>80</v>
      </c>
      <c r="D240" s="12" t="s">
        <v>1585</v>
      </c>
      <c r="E240" s="12">
        <v>19</v>
      </c>
      <c r="F240" s="12">
        <v>0</v>
      </c>
      <c r="G240" s="12">
        <v>1</v>
      </c>
      <c r="H240" s="12">
        <v>0</v>
      </c>
      <c r="I240" s="12" t="s">
        <v>1586</v>
      </c>
    </row>
    <row r="241" spans="1:9">
      <c r="A241" s="12" t="s">
        <v>800</v>
      </c>
      <c r="B241" s="12" t="s">
        <v>801</v>
      </c>
      <c r="C241" s="12" t="s">
        <v>16</v>
      </c>
      <c r="D241" s="12" t="s">
        <v>1585</v>
      </c>
      <c r="E241" s="12">
        <v>20</v>
      </c>
      <c r="F241" s="12">
        <v>0</v>
      </c>
      <c r="G241" s="12">
        <v>0</v>
      </c>
      <c r="H241" s="12">
        <v>0</v>
      </c>
      <c r="I241" s="12" t="s">
        <v>1586</v>
      </c>
    </row>
    <row r="242" spans="1:9">
      <c r="A242" s="12" t="s">
        <v>353</v>
      </c>
      <c r="B242" s="12" t="s">
        <v>14</v>
      </c>
      <c r="C242" s="12" t="s">
        <v>61</v>
      </c>
      <c r="D242" s="12" t="s">
        <v>1585</v>
      </c>
      <c r="E242" s="12">
        <v>16</v>
      </c>
      <c r="F242" s="12">
        <v>2</v>
      </c>
      <c r="G242" s="12">
        <v>2</v>
      </c>
      <c r="H242" s="12">
        <v>0</v>
      </c>
      <c r="I242" s="12" t="s">
        <v>1586</v>
      </c>
    </row>
    <row r="243" spans="1:9">
      <c r="A243" s="12" t="s">
        <v>441</v>
      </c>
      <c r="B243" s="12" t="s">
        <v>442</v>
      </c>
      <c r="C243" s="12" t="s">
        <v>92</v>
      </c>
      <c r="D243" s="12" t="s">
        <v>1585</v>
      </c>
      <c r="E243" s="12">
        <v>17</v>
      </c>
      <c r="F243" s="12">
        <v>0</v>
      </c>
      <c r="G243" s="12">
        <v>3</v>
      </c>
      <c r="H243" s="12">
        <v>0</v>
      </c>
      <c r="I243" s="12" t="s">
        <v>1586</v>
      </c>
    </row>
    <row r="244" spans="1:9">
      <c r="A244" s="12" t="s">
        <v>979</v>
      </c>
      <c r="B244" s="12" t="s">
        <v>980</v>
      </c>
      <c r="C244" s="12" t="s">
        <v>55</v>
      </c>
      <c r="D244" s="12" t="s">
        <v>1585</v>
      </c>
      <c r="E244" s="12">
        <v>18</v>
      </c>
      <c r="F244" s="12">
        <v>0</v>
      </c>
      <c r="G244" s="12">
        <v>2</v>
      </c>
      <c r="H244" s="12">
        <v>0</v>
      </c>
      <c r="I244" s="12" t="s">
        <v>1586</v>
      </c>
    </row>
    <row r="245" spans="1:9">
      <c r="A245" s="12" t="s">
        <v>659</v>
      </c>
      <c r="B245" s="12" t="s">
        <v>660</v>
      </c>
      <c r="C245" s="12" t="s">
        <v>86</v>
      </c>
      <c r="D245" s="12" t="s">
        <v>1585</v>
      </c>
      <c r="E245" s="12">
        <v>20</v>
      </c>
      <c r="F245" s="12">
        <v>0</v>
      </c>
      <c r="G245" s="12">
        <v>0</v>
      </c>
      <c r="H245" s="12">
        <v>0</v>
      </c>
      <c r="I245" s="12" t="s">
        <v>1586</v>
      </c>
    </row>
    <row r="246" spans="1:9">
      <c r="A246" s="12" t="s">
        <v>1149</v>
      </c>
      <c r="B246" s="12" t="s">
        <v>75</v>
      </c>
      <c r="C246" s="12" t="s">
        <v>48</v>
      </c>
      <c r="D246" s="12" t="s">
        <v>1585</v>
      </c>
      <c r="E246" s="12">
        <v>13</v>
      </c>
      <c r="F246" s="12">
        <v>5</v>
      </c>
      <c r="G246" s="12">
        <v>2</v>
      </c>
      <c r="H246" s="12">
        <v>0</v>
      </c>
      <c r="I246" s="12" t="s">
        <v>1586</v>
      </c>
    </row>
    <row r="247" spans="1:9">
      <c r="A247" s="12" t="s">
        <v>1014</v>
      </c>
      <c r="B247" s="12" t="s">
        <v>1015</v>
      </c>
      <c r="C247" s="12" t="s">
        <v>13</v>
      </c>
      <c r="D247" s="12" t="s">
        <v>1585</v>
      </c>
      <c r="E247" s="12">
        <v>20</v>
      </c>
      <c r="F247" s="12">
        <v>0</v>
      </c>
      <c r="G247" s="12">
        <v>0</v>
      </c>
      <c r="H247" s="12">
        <v>0</v>
      </c>
      <c r="I247" s="12" t="s">
        <v>1586</v>
      </c>
    </row>
    <row r="248" spans="1:9">
      <c r="A248" s="12" t="s">
        <v>1506</v>
      </c>
      <c r="B248" s="12" t="s">
        <v>1507</v>
      </c>
      <c r="C248" s="12" t="s">
        <v>54</v>
      </c>
      <c r="D248" s="12" t="s">
        <v>1585</v>
      </c>
      <c r="E248" s="12">
        <v>0</v>
      </c>
      <c r="F248" s="12">
        <v>0</v>
      </c>
      <c r="G248" s="12">
        <v>0</v>
      </c>
      <c r="H248" s="12">
        <v>16</v>
      </c>
      <c r="I248" s="12" t="s">
        <v>1586</v>
      </c>
    </row>
    <row r="249" spans="1:9">
      <c r="A249" s="12" t="s">
        <v>304</v>
      </c>
      <c r="B249" s="12" t="s">
        <v>305</v>
      </c>
      <c r="C249" s="12" t="s">
        <v>17</v>
      </c>
      <c r="D249" s="12" t="s">
        <v>1585</v>
      </c>
      <c r="E249" s="12">
        <v>0</v>
      </c>
      <c r="F249" s="12">
        <v>0</v>
      </c>
      <c r="G249" s="12">
        <v>0</v>
      </c>
      <c r="H249" s="12">
        <v>20</v>
      </c>
      <c r="I249" s="12" t="s">
        <v>1586</v>
      </c>
    </row>
    <row r="250" spans="1:9">
      <c r="A250" s="12" t="s">
        <v>1026</v>
      </c>
      <c r="B250" s="12" t="s">
        <v>1027</v>
      </c>
      <c r="C250" s="12" t="s">
        <v>3</v>
      </c>
      <c r="D250" s="12" t="s">
        <v>1585</v>
      </c>
      <c r="E250" s="12">
        <v>20</v>
      </c>
      <c r="F250" s="12">
        <v>0</v>
      </c>
      <c r="G250" s="12">
        <v>0</v>
      </c>
      <c r="H250" s="12">
        <v>0</v>
      </c>
      <c r="I250" s="12" t="s">
        <v>1586</v>
      </c>
    </row>
    <row r="251" spans="1:9">
      <c r="A251" s="12" t="s">
        <v>376</v>
      </c>
      <c r="B251" s="12" t="s">
        <v>71</v>
      </c>
      <c r="C251" s="12" t="s">
        <v>8</v>
      </c>
      <c r="D251" s="12" t="s">
        <v>1585</v>
      </c>
      <c r="E251" s="12">
        <v>12</v>
      </c>
      <c r="F251" s="12">
        <v>0</v>
      </c>
      <c r="G251" s="12">
        <v>4</v>
      </c>
      <c r="H251" s="12">
        <v>0</v>
      </c>
      <c r="I251" s="12" t="s">
        <v>1586</v>
      </c>
    </row>
    <row r="252" spans="1:9">
      <c r="A252" s="12" t="s">
        <v>1408</v>
      </c>
      <c r="B252" s="12" t="s">
        <v>1409</v>
      </c>
      <c r="C252" s="12" t="s">
        <v>32</v>
      </c>
      <c r="D252" s="12" t="s">
        <v>1585</v>
      </c>
      <c r="E252" s="12">
        <v>16</v>
      </c>
      <c r="F252" s="12">
        <v>0</v>
      </c>
      <c r="G252" s="12">
        <v>4</v>
      </c>
      <c r="H252" s="12">
        <v>0</v>
      </c>
      <c r="I252" s="12" t="s">
        <v>1586</v>
      </c>
    </row>
    <row r="253" spans="1:9">
      <c r="A253" s="12" t="s">
        <v>364</v>
      </c>
      <c r="B253" s="12" t="s">
        <v>365</v>
      </c>
      <c r="C253" s="12" t="s">
        <v>67</v>
      </c>
      <c r="D253" s="12" t="s">
        <v>1585</v>
      </c>
      <c r="E253" s="12">
        <v>20</v>
      </c>
      <c r="F253" s="12">
        <v>0</v>
      </c>
      <c r="G253" s="12">
        <v>0</v>
      </c>
      <c r="H253" s="12">
        <v>0</v>
      </c>
      <c r="I253" s="12" t="s">
        <v>1586</v>
      </c>
    </row>
    <row r="254" spans="1:9">
      <c r="A254" s="12" t="s">
        <v>850</v>
      </c>
      <c r="B254" s="12" t="s">
        <v>2</v>
      </c>
      <c r="C254" s="12" t="s">
        <v>36</v>
      </c>
      <c r="D254" s="12" t="s">
        <v>1585</v>
      </c>
      <c r="E254" s="12">
        <v>10</v>
      </c>
      <c r="F254" s="12">
        <v>9</v>
      </c>
      <c r="G254" s="12">
        <v>1</v>
      </c>
      <c r="H254" s="12">
        <v>0</v>
      </c>
      <c r="I254" s="12" t="s">
        <v>1586</v>
      </c>
    </row>
    <row r="255" spans="1:9">
      <c r="A255" s="12" t="s">
        <v>1518</v>
      </c>
      <c r="B255" s="12" t="s">
        <v>1519</v>
      </c>
      <c r="C255" s="12" t="s">
        <v>8</v>
      </c>
      <c r="D255" s="12" t="s">
        <v>1585</v>
      </c>
      <c r="E255" s="12">
        <v>18</v>
      </c>
      <c r="F255" s="12">
        <v>0</v>
      </c>
      <c r="G255" s="12">
        <v>2</v>
      </c>
      <c r="H255" s="12">
        <v>0</v>
      </c>
      <c r="I255" s="12" t="s">
        <v>1586</v>
      </c>
    </row>
    <row r="256" spans="1:9">
      <c r="A256" s="12" t="s">
        <v>1257</v>
      </c>
      <c r="B256" s="12" t="s">
        <v>60</v>
      </c>
      <c r="C256" s="12" t="s">
        <v>28</v>
      </c>
      <c r="D256" s="12" t="s">
        <v>1585</v>
      </c>
      <c r="E256" s="12">
        <v>0</v>
      </c>
      <c r="F256" s="12">
        <v>20</v>
      </c>
      <c r="G256" s="12">
        <v>0</v>
      </c>
      <c r="H256" s="12">
        <v>0</v>
      </c>
      <c r="I256" s="12" t="s">
        <v>1586</v>
      </c>
    </row>
    <row r="257" spans="1:9">
      <c r="A257" s="12" t="s">
        <v>572</v>
      </c>
      <c r="B257" s="12" t="s">
        <v>62</v>
      </c>
      <c r="C257" s="12" t="s">
        <v>29</v>
      </c>
      <c r="D257" s="12" t="s">
        <v>1585</v>
      </c>
      <c r="E257" s="12">
        <v>16</v>
      </c>
      <c r="F257" s="12">
        <v>1</v>
      </c>
      <c r="G257" s="12">
        <v>3</v>
      </c>
      <c r="H257" s="12">
        <v>0</v>
      </c>
      <c r="I257" s="12" t="s">
        <v>1586</v>
      </c>
    </row>
    <row r="258" spans="1:9">
      <c r="A258" s="12" t="s">
        <v>300</v>
      </c>
      <c r="B258" s="12" t="s">
        <v>301</v>
      </c>
      <c r="C258" s="12" t="s">
        <v>17</v>
      </c>
      <c r="D258" s="12" t="s">
        <v>1585</v>
      </c>
      <c r="E258" s="12">
        <v>6</v>
      </c>
      <c r="F258" s="12">
        <v>7</v>
      </c>
      <c r="G258" s="12">
        <v>7</v>
      </c>
      <c r="H258" s="12">
        <v>0</v>
      </c>
      <c r="I258" s="12" t="s">
        <v>1586</v>
      </c>
    </row>
    <row r="259" spans="1:9">
      <c r="A259" s="12" t="s">
        <v>1010</v>
      </c>
      <c r="B259" s="12" t="s">
        <v>1011</v>
      </c>
      <c r="C259" s="12" t="s">
        <v>13</v>
      </c>
      <c r="D259" s="12" t="s">
        <v>1585</v>
      </c>
      <c r="E259" s="12">
        <v>0</v>
      </c>
      <c r="F259" s="12">
        <v>0</v>
      </c>
      <c r="G259" s="12">
        <v>0</v>
      </c>
      <c r="H259" s="12">
        <v>0</v>
      </c>
      <c r="I259" s="12" t="s">
        <v>1586</v>
      </c>
    </row>
    <row r="260" spans="1:9">
      <c r="A260" s="12" t="s">
        <v>1185</v>
      </c>
      <c r="B260" s="12" t="s">
        <v>1186</v>
      </c>
      <c r="C260" s="12" t="s">
        <v>80</v>
      </c>
      <c r="D260" s="12" t="s">
        <v>1585</v>
      </c>
      <c r="E260" s="12">
        <v>19.5</v>
      </c>
      <c r="F260" s="12">
        <v>0</v>
      </c>
      <c r="G260" s="12">
        <v>0.5</v>
      </c>
      <c r="H260" s="12">
        <v>0</v>
      </c>
      <c r="I260" s="12" t="s">
        <v>1586</v>
      </c>
    </row>
    <row r="261" spans="1:9">
      <c r="A261" s="12" t="s">
        <v>588</v>
      </c>
      <c r="B261" s="12" t="s">
        <v>589</v>
      </c>
      <c r="C261" s="12" t="s">
        <v>76</v>
      </c>
      <c r="D261" s="12" t="s">
        <v>1585</v>
      </c>
      <c r="E261" s="12">
        <v>15</v>
      </c>
      <c r="F261" s="12">
        <v>5</v>
      </c>
      <c r="G261" s="12">
        <v>0</v>
      </c>
      <c r="H261" s="12">
        <v>0</v>
      </c>
      <c r="I261" s="12" t="s">
        <v>1586</v>
      </c>
    </row>
    <row r="262" spans="1:9">
      <c r="A262" s="12" t="s">
        <v>793</v>
      </c>
      <c r="B262" s="12" t="s">
        <v>52</v>
      </c>
      <c r="C262" s="12" t="s">
        <v>16</v>
      </c>
      <c r="D262" s="12" t="s">
        <v>1585</v>
      </c>
      <c r="E262" s="12">
        <v>6</v>
      </c>
      <c r="F262" s="12">
        <v>0</v>
      </c>
      <c r="G262" s="12">
        <v>14</v>
      </c>
      <c r="H262" s="12">
        <v>0</v>
      </c>
      <c r="I262" s="12" t="s">
        <v>1586</v>
      </c>
    </row>
    <row r="263" spans="1:9">
      <c r="A263" s="12" t="s">
        <v>1435</v>
      </c>
      <c r="B263" s="12" t="s">
        <v>1436</v>
      </c>
      <c r="C263" s="12" t="s">
        <v>23</v>
      </c>
      <c r="D263" s="12" t="s">
        <v>1585</v>
      </c>
      <c r="E263" s="12">
        <v>0</v>
      </c>
      <c r="F263" s="12">
        <v>14</v>
      </c>
      <c r="G263" s="12">
        <v>0</v>
      </c>
      <c r="H263" s="12">
        <v>6</v>
      </c>
      <c r="I263" s="12" t="s">
        <v>1586</v>
      </c>
    </row>
    <row r="264" spans="1:9">
      <c r="A264" s="12" t="s">
        <v>146</v>
      </c>
      <c r="B264" s="12" t="s">
        <v>84</v>
      </c>
      <c r="C264" s="12" t="s">
        <v>31</v>
      </c>
      <c r="D264" s="12" t="s">
        <v>1585</v>
      </c>
      <c r="E264" s="12">
        <v>20</v>
      </c>
      <c r="F264" s="12">
        <v>0</v>
      </c>
      <c r="G264" s="12">
        <v>0</v>
      </c>
      <c r="H264" s="12">
        <v>0</v>
      </c>
      <c r="I264" s="12" t="s">
        <v>1586</v>
      </c>
    </row>
    <row r="265" spans="1:9">
      <c r="A265" s="12" t="s">
        <v>1134</v>
      </c>
      <c r="B265" s="12" t="s">
        <v>17</v>
      </c>
      <c r="C265" s="12" t="s">
        <v>543</v>
      </c>
      <c r="D265" s="12" t="s">
        <v>1585</v>
      </c>
      <c r="E265" s="12">
        <v>5</v>
      </c>
      <c r="F265" s="12">
        <v>15</v>
      </c>
      <c r="G265" s="12">
        <v>0</v>
      </c>
      <c r="H265" s="12">
        <v>0</v>
      </c>
      <c r="I265" s="12" t="s">
        <v>1586</v>
      </c>
    </row>
    <row r="266" spans="1:9">
      <c r="A266" s="12" t="s">
        <v>1008</v>
      </c>
      <c r="B266" s="12" t="s">
        <v>1009</v>
      </c>
      <c r="C266" s="12" t="s">
        <v>13</v>
      </c>
      <c r="D266" s="12" t="s">
        <v>1585</v>
      </c>
      <c r="E266" s="12">
        <v>17</v>
      </c>
      <c r="F266" s="12">
        <v>0</v>
      </c>
      <c r="G266" s="12">
        <v>3</v>
      </c>
      <c r="H266" s="12">
        <v>0</v>
      </c>
      <c r="I266" s="12" t="s">
        <v>1586</v>
      </c>
    </row>
    <row r="267" spans="1:9">
      <c r="A267" s="12" t="s">
        <v>1133</v>
      </c>
      <c r="B267" s="12" t="s">
        <v>3</v>
      </c>
      <c r="C267" s="12" t="s">
        <v>543</v>
      </c>
      <c r="D267" s="12" t="s">
        <v>1585</v>
      </c>
      <c r="E267" s="12">
        <v>16</v>
      </c>
      <c r="F267" s="12">
        <v>4</v>
      </c>
      <c r="G267" s="12">
        <v>0</v>
      </c>
      <c r="H267" s="12">
        <v>0</v>
      </c>
      <c r="I267" s="12" t="s">
        <v>1586</v>
      </c>
    </row>
    <row r="268" spans="1:9">
      <c r="A268" s="12" t="s">
        <v>551</v>
      </c>
      <c r="B268" s="12" t="s">
        <v>552</v>
      </c>
      <c r="C268" s="12" t="s">
        <v>30</v>
      </c>
      <c r="D268" s="12" t="s">
        <v>1585</v>
      </c>
      <c r="E268" s="12">
        <v>20</v>
      </c>
      <c r="F268" s="12">
        <v>0</v>
      </c>
      <c r="G268" s="12">
        <v>0</v>
      </c>
      <c r="H268" s="12">
        <v>0</v>
      </c>
      <c r="I268" s="12" t="s">
        <v>1586</v>
      </c>
    </row>
    <row r="269" spans="1:9">
      <c r="A269" s="12" t="s">
        <v>1510</v>
      </c>
      <c r="B269" s="12" t="s">
        <v>1511</v>
      </c>
      <c r="C269" s="12" t="s">
        <v>39</v>
      </c>
      <c r="D269" s="12" t="s">
        <v>1585</v>
      </c>
      <c r="E269" s="12">
        <v>10</v>
      </c>
      <c r="F269" s="12">
        <v>0</v>
      </c>
      <c r="G269" s="12">
        <v>0</v>
      </c>
      <c r="H269" s="12">
        <v>10</v>
      </c>
      <c r="I269" s="12" t="s">
        <v>1586</v>
      </c>
    </row>
    <row r="270" spans="1:9">
      <c r="A270" s="12" t="s">
        <v>447</v>
      </c>
      <c r="B270" s="12" t="s">
        <v>64</v>
      </c>
      <c r="C270" s="12" t="s">
        <v>70</v>
      </c>
      <c r="D270" s="12" t="s">
        <v>1585</v>
      </c>
      <c r="E270" s="12">
        <v>20</v>
      </c>
      <c r="F270" s="12">
        <v>0</v>
      </c>
      <c r="G270" s="12">
        <v>0</v>
      </c>
      <c r="H270" s="12">
        <v>0</v>
      </c>
      <c r="I270" s="12" t="s">
        <v>1586</v>
      </c>
    </row>
    <row r="271" spans="1:9">
      <c r="A271" s="12" t="s">
        <v>336</v>
      </c>
      <c r="B271" s="12" t="s">
        <v>337</v>
      </c>
      <c r="C271" s="12" t="s">
        <v>54</v>
      </c>
      <c r="D271" s="12" t="s">
        <v>1585</v>
      </c>
      <c r="E271" s="12">
        <v>20</v>
      </c>
      <c r="F271" s="12">
        <v>0</v>
      </c>
      <c r="G271" s="12">
        <v>0</v>
      </c>
      <c r="H271" s="12">
        <v>0</v>
      </c>
      <c r="I271" s="12" t="s">
        <v>1586</v>
      </c>
    </row>
    <row r="272" spans="1:9">
      <c r="A272" s="12" t="s">
        <v>1054</v>
      </c>
      <c r="B272" s="12" t="s">
        <v>1055</v>
      </c>
      <c r="C272" s="12" t="s">
        <v>67</v>
      </c>
      <c r="D272" s="12" t="s">
        <v>1585</v>
      </c>
      <c r="E272" s="12">
        <v>15</v>
      </c>
      <c r="F272" s="12">
        <v>0.5</v>
      </c>
      <c r="G272" s="12">
        <v>4.5</v>
      </c>
      <c r="H272" s="12">
        <v>0</v>
      </c>
      <c r="I272" s="12" t="s">
        <v>1586</v>
      </c>
    </row>
    <row r="273" spans="1:9">
      <c r="A273" s="12" t="s">
        <v>1496</v>
      </c>
      <c r="B273" s="12" t="s">
        <v>11</v>
      </c>
      <c r="C273" s="12" t="s">
        <v>48</v>
      </c>
      <c r="D273" s="12" t="s">
        <v>1585</v>
      </c>
      <c r="E273" s="12">
        <v>7.5</v>
      </c>
      <c r="F273" s="12">
        <v>8</v>
      </c>
      <c r="G273" s="12">
        <v>1</v>
      </c>
      <c r="H273" s="12">
        <v>3.5</v>
      </c>
      <c r="I273" s="12" t="s">
        <v>1586</v>
      </c>
    </row>
    <row r="274" spans="1:9">
      <c r="A274" s="12" t="s">
        <v>868</v>
      </c>
      <c r="B274" s="12" t="s">
        <v>47</v>
      </c>
      <c r="C274" s="12" t="s">
        <v>34</v>
      </c>
      <c r="D274" s="12" t="s">
        <v>1585</v>
      </c>
      <c r="E274" s="12">
        <v>15</v>
      </c>
      <c r="F274" s="12">
        <v>4.5</v>
      </c>
      <c r="G274" s="12">
        <v>0.5</v>
      </c>
      <c r="H274" s="12">
        <v>0</v>
      </c>
      <c r="I274" s="12" t="s">
        <v>1586</v>
      </c>
    </row>
    <row r="275" spans="1:9">
      <c r="A275" s="12" t="s">
        <v>1088</v>
      </c>
      <c r="B275" s="12" t="s">
        <v>82</v>
      </c>
      <c r="C275" s="12" t="s">
        <v>13</v>
      </c>
      <c r="D275" s="12" t="s">
        <v>1585</v>
      </c>
      <c r="E275" s="12">
        <v>1</v>
      </c>
      <c r="F275" s="12">
        <v>5</v>
      </c>
      <c r="G275" s="12">
        <v>0</v>
      </c>
      <c r="H275" s="12">
        <v>14</v>
      </c>
      <c r="I275" s="12" t="s">
        <v>1586</v>
      </c>
    </row>
    <row r="276" spans="1:9">
      <c r="A276" s="12" t="s">
        <v>973</v>
      </c>
      <c r="B276" s="12" t="s">
        <v>974</v>
      </c>
      <c r="C276" s="12" t="s">
        <v>55</v>
      </c>
      <c r="D276" s="12" t="s">
        <v>1585</v>
      </c>
      <c r="E276" s="12">
        <v>14</v>
      </c>
      <c r="F276" s="12">
        <v>0</v>
      </c>
      <c r="G276" s="12">
        <v>6</v>
      </c>
      <c r="H276" s="12">
        <v>0</v>
      </c>
      <c r="I276" s="12" t="s">
        <v>1586</v>
      </c>
    </row>
    <row r="277" spans="1:9">
      <c r="A277" s="12" t="s">
        <v>712</v>
      </c>
      <c r="B277" s="12" t="s">
        <v>713</v>
      </c>
      <c r="C277" s="12" t="s">
        <v>75</v>
      </c>
      <c r="D277" s="12" t="s">
        <v>1585</v>
      </c>
      <c r="E277" s="12">
        <v>19.5</v>
      </c>
      <c r="F277" s="12">
        <v>0</v>
      </c>
      <c r="G277" s="12">
        <v>0.5</v>
      </c>
      <c r="H277" s="12">
        <v>0</v>
      </c>
      <c r="I277" s="12" t="s">
        <v>1586</v>
      </c>
    </row>
    <row r="278" spans="1:9">
      <c r="A278" s="12" t="s">
        <v>295</v>
      </c>
      <c r="B278" s="12" t="s">
        <v>296</v>
      </c>
      <c r="C278" s="12" t="s">
        <v>3</v>
      </c>
      <c r="D278" s="12" t="s">
        <v>1585</v>
      </c>
      <c r="E278" s="12">
        <v>18</v>
      </c>
      <c r="F278" s="12">
        <v>0</v>
      </c>
      <c r="G278" s="12">
        <v>2</v>
      </c>
      <c r="H278" s="12">
        <v>0</v>
      </c>
      <c r="I278" s="12" t="s">
        <v>1586</v>
      </c>
    </row>
    <row r="279" spans="1:9">
      <c r="A279" s="12" t="s">
        <v>287</v>
      </c>
      <c r="B279" s="12" t="s">
        <v>288</v>
      </c>
      <c r="C279" s="12" t="s">
        <v>3</v>
      </c>
      <c r="D279" s="12" t="s">
        <v>1585</v>
      </c>
      <c r="E279" s="12">
        <v>9</v>
      </c>
      <c r="F279" s="12">
        <v>0</v>
      </c>
      <c r="G279" s="12">
        <v>11</v>
      </c>
      <c r="H279" s="12">
        <v>0</v>
      </c>
      <c r="I279" s="12" t="s">
        <v>1586</v>
      </c>
    </row>
    <row r="280" spans="1:9">
      <c r="A280" s="12" t="s">
        <v>1345</v>
      </c>
      <c r="B280" s="12" t="s">
        <v>1346</v>
      </c>
      <c r="C280" s="12" t="s">
        <v>53</v>
      </c>
      <c r="D280" s="12" t="s">
        <v>1585</v>
      </c>
      <c r="E280" s="12">
        <v>20</v>
      </c>
      <c r="F280" s="12">
        <v>0</v>
      </c>
      <c r="G280" s="12">
        <v>0</v>
      </c>
      <c r="H280" s="12">
        <v>0</v>
      </c>
      <c r="I280" s="12" t="s">
        <v>1586</v>
      </c>
    </row>
    <row r="281" spans="1:9">
      <c r="A281" s="12" t="s">
        <v>596</v>
      </c>
      <c r="B281" s="12" t="s">
        <v>597</v>
      </c>
      <c r="C281" s="12" t="s">
        <v>76</v>
      </c>
      <c r="D281" s="12" t="s">
        <v>1585</v>
      </c>
      <c r="E281" s="12">
        <v>13.5</v>
      </c>
      <c r="F281" s="12">
        <v>3.5</v>
      </c>
      <c r="G281" s="12">
        <v>3</v>
      </c>
      <c r="H281" s="12">
        <v>0</v>
      </c>
      <c r="I281" s="12" t="s">
        <v>1586</v>
      </c>
    </row>
    <row r="282" spans="1:9">
      <c r="A282" s="12" t="s">
        <v>1347</v>
      </c>
      <c r="B282" s="12" t="s">
        <v>1348</v>
      </c>
      <c r="C282" s="12" t="s">
        <v>53</v>
      </c>
      <c r="D282" s="12" t="s">
        <v>1585</v>
      </c>
      <c r="E282" s="12">
        <v>19</v>
      </c>
      <c r="F282" s="12">
        <v>0</v>
      </c>
      <c r="G282" s="12">
        <v>1</v>
      </c>
      <c r="H282" s="12">
        <v>0</v>
      </c>
      <c r="I282" s="12" t="s">
        <v>1586</v>
      </c>
    </row>
    <row r="283" spans="1:9">
      <c r="A283" s="12" t="s">
        <v>231</v>
      </c>
      <c r="B283" s="12" t="s">
        <v>232</v>
      </c>
      <c r="C283" s="12" t="s">
        <v>52</v>
      </c>
      <c r="D283" s="12" t="s">
        <v>1585</v>
      </c>
      <c r="E283" s="12">
        <v>18</v>
      </c>
      <c r="F283" s="12">
        <v>0</v>
      </c>
      <c r="G283" s="12">
        <v>2</v>
      </c>
      <c r="H283" s="12">
        <v>0</v>
      </c>
      <c r="I283" s="12" t="s">
        <v>1586</v>
      </c>
    </row>
    <row r="284" spans="1:9">
      <c r="A284" s="12" t="s">
        <v>395</v>
      </c>
      <c r="B284" s="12" t="s">
        <v>396</v>
      </c>
      <c r="C284" s="12" t="s">
        <v>13</v>
      </c>
      <c r="D284" s="12" t="s">
        <v>1585</v>
      </c>
      <c r="E284" s="12">
        <v>10</v>
      </c>
      <c r="F284" s="12">
        <v>0</v>
      </c>
      <c r="G284" s="12">
        <v>10</v>
      </c>
      <c r="H284" s="12">
        <v>0</v>
      </c>
      <c r="I284" s="12" t="s">
        <v>1586</v>
      </c>
    </row>
    <row r="285" spans="1:9">
      <c r="A285" s="12" t="s">
        <v>1012</v>
      </c>
      <c r="B285" s="12" t="s">
        <v>1013</v>
      </c>
      <c r="C285" s="12" t="s">
        <v>13</v>
      </c>
      <c r="D285" s="12" t="s">
        <v>1585</v>
      </c>
      <c r="E285" s="12">
        <v>20</v>
      </c>
      <c r="F285" s="12">
        <v>0</v>
      </c>
      <c r="G285" s="12">
        <v>0</v>
      </c>
      <c r="H285" s="12">
        <v>0</v>
      </c>
      <c r="I285" s="12" t="s">
        <v>1586</v>
      </c>
    </row>
    <row r="286" spans="1:9">
      <c r="A286" s="12" t="s">
        <v>1415</v>
      </c>
      <c r="B286" s="12" t="s">
        <v>1416</v>
      </c>
      <c r="C286" s="12" t="s">
        <v>32</v>
      </c>
      <c r="D286" s="12" t="s">
        <v>1585</v>
      </c>
      <c r="E286" s="12">
        <v>20</v>
      </c>
      <c r="F286" s="12">
        <v>0</v>
      </c>
      <c r="G286" s="12">
        <v>0</v>
      </c>
      <c r="H286" s="12">
        <v>0</v>
      </c>
      <c r="I286" s="12" t="s">
        <v>1586</v>
      </c>
    </row>
    <row r="287" spans="1:9">
      <c r="A287" s="12" t="s">
        <v>786</v>
      </c>
      <c r="B287" s="12" t="s">
        <v>787</v>
      </c>
      <c r="C287" s="12" t="s">
        <v>35</v>
      </c>
      <c r="D287" s="12" t="s">
        <v>1585</v>
      </c>
      <c r="E287" s="12">
        <v>0</v>
      </c>
      <c r="F287" s="12">
        <v>0</v>
      </c>
      <c r="G287" s="12">
        <v>0</v>
      </c>
      <c r="H287" s="12">
        <v>20</v>
      </c>
      <c r="I287" s="12" t="s">
        <v>1586</v>
      </c>
    </row>
    <row r="288" spans="1:9">
      <c r="A288" s="12" t="s">
        <v>880</v>
      </c>
      <c r="B288" s="12" t="s">
        <v>881</v>
      </c>
      <c r="C288" s="12" t="s">
        <v>14</v>
      </c>
      <c r="D288" s="12" t="s">
        <v>1585</v>
      </c>
      <c r="E288" s="12">
        <v>0</v>
      </c>
      <c r="F288" s="12">
        <v>12</v>
      </c>
      <c r="G288" s="12">
        <v>0</v>
      </c>
      <c r="H288" s="12">
        <v>0</v>
      </c>
      <c r="I288" s="12" t="s">
        <v>1586</v>
      </c>
    </row>
    <row r="289" spans="1:9">
      <c r="A289" s="12" t="s">
        <v>922</v>
      </c>
      <c r="B289" s="12" t="s">
        <v>923</v>
      </c>
      <c r="C289" s="12" t="s">
        <v>66</v>
      </c>
      <c r="D289" s="12" t="s">
        <v>1585</v>
      </c>
      <c r="E289" s="12">
        <v>20</v>
      </c>
      <c r="F289" s="12">
        <v>0</v>
      </c>
      <c r="G289" s="12">
        <v>0</v>
      </c>
      <c r="H289" s="12">
        <v>0</v>
      </c>
      <c r="I289" s="12" t="s">
        <v>1586</v>
      </c>
    </row>
    <row r="290" spans="1:9">
      <c r="A290" s="12" t="s">
        <v>297</v>
      </c>
      <c r="B290" s="12" t="s">
        <v>298</v>
      </c>
      <c r="C290" s="12" t="s">
        <v>17</v>
      </c>
      <c r="D290" s="12" t="s">
        <v>1585</v>
      </c>
      <c r="E290" s="12">
        <v>18</v>
      </c>
      <c r="F290" s="12">
        <v>0</v>
      </c>
      <c r="G290" s="12">
        <v>2</v>
      </c>
      <c r="H290" s="12">
        <v>0</v>
      </c>
      <c r="I290" s="12" t="s">
        <v>1586</v>
      </c>
    </row>
    <row r="291" spans="1:9">
      <c r="A291" s="12" t="s">
        <v>920</v>
      </c>
      <c r="B291" s="12" t="s">
        <v>921</v>
      </c>
      <c r="C291" s="12" t="s">
        <v>66</v>
      </c>
      <c r="D291" s="12" t="s">
        <v>1585</v>
      </c>
      <c r="E291" s="12">
        <v>15</v>
      </c>
      <c r="F291" s="12">
        <v>0</v>
      </c>
      <c r="G291" s="12">
        <v>0</v>
      </c>
      <c r="H291" s="12">
        <v>5</v>
      </c>
      <c r="I291" s="12" t="s">
        <v>1586</v>
      </c>
    </row>
    <row r="292" spans="1:9">
      <c r="A292" s="12" t="s">
        <v>366</v>
      </c>
      <c r="B292" s="12" t="s">
        <v>367</v>
      </c>
      <c r="C292" s="12" t="s">
        <v>67</v>
      </c>
      <c r="D292" s="12" t="s">
        <v>1585</v>
      </c>
      <c r="E292" s="12">
        <v>19</v>
      </c>
      <c r="F292" s="12">
        <v>0</v>
      </c>
      <c r="G292" s="12">
        <v>1</v>
      </c>
      <c r="H292" s="12">
        <v>0</v>
      </c>
      <c r="I292" s="12" t="s">
        <v>1586</v>
      </c>
    </row>
    <row r="293" spans="1:9">
      <c r="A293" s="12" t="s">
        <v>1406</v>
      </c>
      <c r="B293" s="12" t="s">
        <v>1407</v>
      </c>
      <c r="C293" s="12" t="s">
        <v>32</v>
      </c>
      <c r="D293" s="12" t="s">
        <v>1585</v>
      </c>
      <c r="E293" s="12">
        <v>20</v>
      </c>
      <c r="F293" s="12">
        <v>0</v>
      </c>
      <c r="G293" s="12">
        <v>0</v>
      </c>
      <c r="H293" s="12">
        <v>0</v>
      </c>
      <c r="I293" s="12" t="s">
        <v>1586</v>
      </c>
    </row>
    <row r="294" spans="1:9">
      <c r="A294" s="12" t="s">
        <v>340</v>
      </c>
      <c r="B294" s="12" t="s">
        <v>341</v>
      </c>
      <c r="C294" s="12" t="s">
        <v>35</v>
      </c>
      <c r="D294" s="12" t="s">
        <v>1585</v>
      </c>
      <c r="E294" s="12">
        <v>5</v>
      </c>
      <c r="F294" s="12">
        <v>0</v>
      </c>
      <c r="G294" s="12">
        <v>5</v>
      </c>
      <c r="H294" s="12">
        <v>10</v>
      </c>
      <c r="I294" s="12" t="s">
        <v>1586</v>
      </c>
    </row>
    <row r="295" spans="1:9">
      <c r="A295" s="12" t="s">
        <v>966</v>
      </c>
      <c r="B295" s="12" t="s">
        <v>967</v>
      </c>
      <c r="C295" s="12" t="s">
        <v>5</v>
      </c>
      <c r="D295" s="12" t="s">
        <v>1585</v>
      </c>
      <c r="E295" s="12">
        <v>20</v>
      </c>
      <c r="F295" s="12">
        <v>0</v>
      </c>
      <c r="G295" s="12">
        <v>0</v>
      </c>
      <c r="H295" s="12">
        <v>0</v>
      </c>
      <c r="I295" s="12" t="s">
        <v>1586</v>
      </c>
    </row>
    <row r="296" spans="1:9">
      <c r="A296" s="12" t="s">
        <v>312</v>
      </c>
      <c r="B296" s="12" t="s">
        <v>313</v>
      </c>
      <c r="C296" s="12" t="s">
        <v>17</v>
      </c>
      <c r="D296" s="12" t="s">
        <v>1585</v>
      </c>
      <c r="E296" s="12">
        <v>0</v>
      </c>
      <c r="F296" s="12">
        <v>17</v>
      </c>
      <c r="G296" s="12">
        <v>3</v>
      </c>
      <c r="H296" s="12">
        <v>0</v>
      </c>
      <c r="I296" s="12" t="s">
        <v>1586</v>
      </c>
    </row>
    <row r="297" spans="1:9">
      <c r="A297" s="12" t="s">
        <v>1365</v>
      </c>
      <c r="B297" s="12" t="s">
        <v>1366</v>
      </c>
      <c r="C297" s="12" t="s">
        <v>15</v>
      </c>
      <c r="D297" s="12" t="s">
        <v>1585</v>
      </c>
      <c r="E297" s="12">
        <v>20</v>
      </c>
      <c r="F297" s="12">
        <v>0</v>
      </c>
      <c r="G297" s="12">
        <v>0</v>
      </c>
      <c r="H297" s="12">
        <v>0</v>
      </c>
      <c r="I297" s="12" t="s">
        <v>1586</v>
      </c>
    </row>
    <row r="298" spans="1:9">
      <c r="A298" s="12" t="s">
        <v>841</v>
      </c>
      <c r="B298" s="12" t="s">
        <v>842</v>
      </c>
      <c r="C298" s="12" t="s">
        <v>12</v>
      </c>
      <c r="D298" s="12" t="s">
        <v>1585</v>
      </c>
      <c r="E298" s="12">
        <v>19</v>
      </c>
      <c r="F298" s="12">
        <v>0</v>
      </c>
      <c r="G298" s="12">
        <v>1</v>
      </c>
      <c r="H298" s="12">
        <v>0</v>
      </c>
      <c r="I298" s="12" t="s">
        <v>1586</v>
      </c>
    </row>
    <row r="299" spans="1:9">
      <c r="A299" s="12" t="s">
        <v>308</v>
      </c>
      <c r="B299" s="12" t="s">
        <v>309</v>
      </c>
      <c r="C299" s="12" t="s">
        <v>17</v>
      </c>
      <c r="D299" s="12" t="s">
        <v>1585</v>
      </c>
      <c r="E299" s="12">
        <v>19</v>
      </c>
      <c r="F299" s="12">
        <v>0</v>
      </c>
      <c r="G299" s="12">
        <v>1</v>
      </c>
      <c r="H299" s="12">
        <v>0</v>
      </c>
      <c r="I299" s="12" t="s">
        <v>1586</v>
      </c>
    </row>
    <row r="300" spans="1:9">
      <c r="A300" s="12" t="s">
        <v>856</v>
      </c>
      <c r="B300" s="12" t="s">
        <v>857</v>
      </c>
      <c r="C300" s="12" t="s">
        <v>36</v>
      </c>
      <c r="D300" s="12" t="s">
        <v>1585</v>
      </c>
      <c r="E300" s="12">
        <v>0</v>
      </c>
      <c r="F300" s="12">
        <v>20</v>
      </c>
      <c r="G300" s="12">
        <v>0</v>
      </c>
      <c r="H300" s="12">
        <v>0</v>
      </c>
      <c r="I300" s="12" t="s">
        <v>1586</v>
      </c>
    </row>
    <row r="301" spans="1:9">
      <c r="A301" s="12" t="s">
        <v>1367</v>
      </c>
      <c r="B301" s="12" t="s">
        <v>1368</v>
      </c>
      <c r="C301" s="12" t="s">
        <v>15</v>
      </c>
      <c r="D301" s="12" t="s">
        <v>1585</v>
      </c>
      <c r="E301" s="12">
        <v>20</v>
      </c>
      <c r="F301" s="12">
        <v>0</v>
      </c>
      <c r="G301" s="12">
        <v>0</v>
      </c>
      <c r="H301" s="12">
        <v>0</v>
      </c>
      <c r="I301" s="12" t="s">
        <v>1586</v>
      </c>
    </row>
    <row r="302" spans="1:9">
      <c r="A302" s="12" t="s">
        <v>1497</v>
      </c>
      <c r="B302" s="12" t="s">
        <v>1498</v>
      </c>
      <c r="C302" s="12" t="s">
        <v>13</v>
      </c>
      <c r="D302" s="12" t="s">
        <v>1585</v>
      </c>
      <c r="E302" s="12">
        <v>15</v>
      </c>
      <c r="F302" s="12">
        <v>3</v>
      </c>
      <c r="G302" s="12">
        <v>0</v>
      </c>
      <c r="H302" s="12">
        <v>2</v>
      </c>
      <c r="I302" s="12" t="s">
        <v>1586</v>
      </c>
    </row>
    <row r="303" spans="1:9">
      <c r="A303" s="12" t="s">
        <v>819</v>
      </c>
      <c r="B303" s="12" t="s">
        <v>820</v>
      </c>
      <c r="C303" s="12" t="s">
        <v>19</v>
      </c>
      <c r="D303" s="12" t="s">
        <v>1585</v>
      </c>
      <c r="E303" s="12">
        <v>20</v>
      </c>
      <c r="F303" s="12">
        <v>0</v>
      </c>
      <c r="G303" s="12">
        <v>0</v>
      </c>
      <c r="H303" s="12">
        <v>0</v>
      </c>
      <c r="I303" s="12" t="s">
        <v>1586</v>
      </c>
    </row>
    <row r="304" spans="1:9">
      <c r="A304" s="12" t="s">
        <v>791</v>
      </c>
      <c r="B304" s="12" t="s">
        <v>792</v>
      </c>
      <c r="C304" s="12" t="s">
        <v>35</v>
      </c>
      <c r="D304" s="12" t="s">
        <v>1585</v>
      </c>
      <c r="E304" s="12">
        <v>20</v>
      </c>
      <c r="F304" s="12">
        <v>0</v>
      </c>
      <c r="G304" s="12">
        <v>0</v>
      </c>
      <c r="H304" s="12">
        <v>0</v>
      </c>
      <c r="I304" s="12" t="s">
        <v>1586</v>
      </c>
    </row>
    <row r="305" spans="1:9">
      <c r="A305" s="12" t="s">
        <v>886</v>
      </c>
      <c r="B305" s="12" t="s">
        <v>887</v>
      </c>
      <c r="C305" s="12" t="s">
        <v>14</v>
      </c>
      <c r="D305" s="12" t="s">
        <v>1585</v>
      </c>
      <c r="E305" s="12">
        <v>19</v>
      </c>
      <c r="F305" s="12">
        <v>0</v>
      </c>
      <c r="G305" s="12">
        <v>1</v>
      </c>
      <c r="H305" s="12">
        <v>0</v>
      </c>
      <c r="I305" s="12" t="s">
        <v>1586</v>
      </c>
    </row>
    <row r="306" spans="1:9">
      <c r="A306" s="12" t="s">
        <v>1247</v>
      </c>
      <c r="B306" s="12" t="s">
        <v>1248</v>
      </c>
      <c r="C306" s="12" t="s">
        <v>80</v>
      </c>
      <c r="D306" s="12" t="s">
        <v>1585</v>
      </c>
      <c r="E306" s="12">
        <v>16</v>
      </c>
      <c r="F306" s="12">
        <v>0</v>
      </c>
      <c r="G306" s="12">
        <v>4</v>
      </c>
      <c r="H306" s="12">
        <v>0</v>
      </c>
      <c r="I306" s="12" t="s">
        <v>1586</v>
      </c>
    </row>
    <row r="307" spans="1:9">
      <c r="A307" s="12" t="s">
        <v>932</v>
      </c>
      <c r="B307" s="12" t="s">
        <v>933</v>
      </c>
      <c r="C307" s="12" t="s">
        <v>93</v>
      </c>
      <c r="D307" s="12" t="s">
        <v>1585</v>
      </c>
      <c r="E307" s="12">
        <v>0</v>
      </c>
      <c r="F307" s="12">
        <v>0</v>
      </c>
      <c r="G307" s="12">
        <v>0</v>
      </c>
      <c r="H307" s="12">
        <v>0</v>
      </c>
      <c r="I307" s="12" t="s">
        <v>1586</v>
      </c>
    </row>
    <row r="308" spans="1:9">
      <c r="A308" s="12" t="s">
        <v>370</v>
      </c>
      <c r="B308" s="12" t="s">
        <v>371</v>
      </c>
      <c r="C308" s="12" t="s">
        <v>67</v>
      </c>
      <c r="D308" s="12" t="s">
        <v>1585</v>
      </c>
      <c r="E308" s="12">
        <v>19</v>
      </c>
      <c r="F308" s="12">
        <v>0</v>
      </c>
      <c r="G308" s="12">
        <v>1</v>
      </c>
      <c r="H308" s="12">
        <v>0</v>
      </c>
      <c r="I308" s="12" t="s">
        <v>1586</v>
      </c>
    </row>
    <row r="309" spans="1:9">
      <c r="A309" s="12" t="s">
        <v>896</v>
      </c>
      <c r="B309" s="12" t="s">
        <v>897</v>
      </c>
      <c r="C309" s="12" t="s">
        <v>14</v>
      </c>
      <c r="D309" s="12" t="s">
        <v>1585</v>
      </c>
      <c r="E309" s="12">
        <v>20</v>
      </c>
      <c r="F309" s="12">
        <v>0</v>
      </c>
      <c r="G309" s="12">
        <v>0</v>
      </c>
      <c r="H309" s="12">
        <v>0</v>
      </c>
      <c r="I309" s="12" t="s">
        <v>1586</v>
      </c>
    </row>
    <row r="310" spans="1:9">
      <c r="A310" s="12" t="s">
        <v>1125</v>
      </c>
      <c r="B310" s="12" t="s">
        <v>1126</v>
      </c>
      <c r="C310" s="12" t="s">
        <v>73</v>
      </c>
      <c r="D310" s="12" t="s">
        <v>1585</v>
      </c>
      <c r="E310" s="12">
        <v>15</v>
      </c>
      <c r="F310" s="12">
        <v>0</v>
      </c>
      <c r="G310" s="12">
        <v>5</v>
      </c>
      <c r="H310" s="12">
        <v>0</v>
      </c>
      <c r="I310" s="12" t="s">
        <v>1586</v>
      </c>
    </row>
    <row r="311" spans="1:9">
      <c r="A311" s="12" t="s">
        <v>908</v>
      </c>
      <c r="B311" s="12" t="s">
        <v>909</v>
      </c>
      <c r="C311" s="12" t="s">
        <v>66</v>
      </c>
      <c r="D311" s="12" t="s">
        <v>1585</v>
      </c>
      <c r="E311" s="12">
        <v>20</v>
      </c>
      <c r="F311" s="12">
        <v>0</v>
      </c>
      <c r="G311" s="12">
        <v>0</v>
      </c>
      <c r="H311" s="12">
        <v>0</v>
      </c>
      <c r="I311" s="12" t="s">
        <v>1586</v>
      </c>
    </row>
    <row r="312" spans="1:9">
      <c r="A312" s="12" t="s">
        <v>1282</v>
      </c>
      <c r="B312" s="12" t="s">
        <v>1283</v>
      </c>
      <c r="C312" s="12" t="s">
        <v>27</v>
      </c>
      <c r="D312" s="12" t="s">
        <v>1585</v>
      </c>
      <c r="E312" s="12">
        <v>8</v>
      </c>
      <c r="F312" s="12">
        <v>6</v>
      </c>
      <c r="G312" s="12">
        <v>0</v>
      </c>
      <c r="H312" s="12">
        <v>6</v>
      </c>
      <c r="I312" s="12" t="s">
        <v>1586</v>
      </c>
    </row>
    <row r="313" spans="1:9">
      <c r="A313" s="12" t="s">
        <v>894</v>
      </c>
      <c r="B313" s="12" t="s">
        <v>895</v>
      </c>
      <c r="C313" s="12" t="s">
        <v>14</v>
      </c>
      <c r="D313" s="12" t="s">
        <v>1585</v>
      </c>
      <c r="E313" s="12">
        <v>20</v>
      </c>
      <c r="F313" s="12">
        <v>0</v>
      </c>
      <c r="G313" s="12">
        <v>0</v>
      </c>
      <c r="H313" s="12">
        <v>0</v>
      </c>
      <c r="I313" s="12" t="s">
        <v>1586</v>
      </c>
    </row>
    <row r="314" spans="1:9">
      <c r="A314" s="12" t="s">
        <v>602</v>
      </c>
      <c r="B314" s="12" t="s">
        <v>603</v>
      </c>
      <c r="C314" s="12" t="s">
        <v>76</v>
      </c>
      <c r="D314" s="12" t="s">
        <v>1585</v>
      </c>
      <c r="E314" s="12">
        <v>0</v>
      </c>
      <c r="F314" s="12">
        <v>19</v>
      </c>
      <c r="G314" s="12">
        <v>1</v>
      </c>
      <c r="H314" s="12">
        <v>0</v>
      </c>
      <c r="I314" s="12" t="s">
        <v>1586</v>
      </c>
    </row>
    <row r="315" spans="1:9">
      <c r="A315" s="12" t="s">
        <v>1325</v>
      </c>
      <c r="B315" s="12" t="s">
        <v>1326</v>
      </c>
      <c r="C315" s="12" t="s">
        <v>59</v>
      </c>
      <c r="D315" s="12" t="s">
        <v>1585</v>
      </c>
      <c r="E315" s="12">
        <v>11</v>
      </c>
      <c r="F315" s="12">
        <v>0</v>
      </c>
      <c r="G315" s="12">
        <v>9</v>
      </c>
      <c r="H315" s="12">
        <v>0</v>
      </c>
      <c r="I315" s="12" t="s">
        <v>1586</v>
      </c>
    </row>
    <row r="316" spans="1:9">
      <c r="A316" s="12" t="s">
        <v>139</v>
      </c>
      <c r="B316" s="12" t="s">
        <v>140</v>
      </c>
      <c r="C316" s="12" t="s">
        <v>60</v>
      </c>
      <c r="D316" s="12" t="s">
        <v>1585</v>
      </c>
      <c r="E316" s="12">
        <v>18</v>
      </c>
      <c r="F316" s="12">
        <v>0</v>
      </c>
      <c r="G316" s="12">
        <v>2</v>
      </c>
      <c r="H316" s="12">
        <v>0</v>
      </c>
      <c r="I316" s="12" t="s">
        <v>1586</v>
      </c>
    </row>
    <row r="317" spans="1:9">
      <c r="A317" s="12" t="s">
        <v>813</v>
      </c>
      <c r="B317" s="12" t="s">
        <v>814</v>
      </c>
      <c r="C317" s="12" t="s">
        <v>19</v>
      </c>
      <c r="D317" s="12" t="s">
        <v>1585</v>
      </c>
      <c r="E317" s="12">
        <v>20</v>
      </c>
      <c r="F317" s="12">
        <v>0</v>
      </c>
      <c r="G317" s="12">
        <v>0</v>
      </c>
      <c r="H317" s="12">
        <v>0</v>
      </c>
      <c r="I317" s="12" t="s">
        <v>1586</v>
      </c>
    </row>
    <row r="318" spans="1:9">
      <c r="A318" s="12" t="s">
        <v>914</v>
      </c>
      <c r="B318" s="12" t="s">
        <v>915</v>
      </c>
      <c r="C318" s="12" t="s">
        <v>66</v>
      </c>
      <c r="D318" s="12" t="s">
        <v>1585</v>
      </c>
      <c r="E318" s="12">
        <v>15</v>
      </c>
      <c r="F318" s="12">
        <v>0</v>
      </c>
      <c r="G318" s="12">
        <v>5</v>
      </c>
      <c r="H318" s="12">
        <v>0</v>
      </c>
      <c r="I318" s="12" t="s">
        <v>1586</v>
      </c>
    </row>
    <row r="319" spans="1:9">
      <c r="A319" s="12" t="s">
        <v>1284</v>
      </c>
      <c r="B319" s="12" t="s">
        <v>1285</v>
      </c>
      <c r="C319" s="12" t="s">
        <v>27</v>
      </c>
      <c r="D319" s="12" t="s">
        <v>1585</v>
      </c>
      <c r="E319" s="12">
        <v>18</v>
      </c>
      <c r="F319" s="12">
        <v>2</v>
      </c>
      <c r="G319" s="12">
        <v>0</v>
      </c>
      <c r="H319" s="12">
        <v>0</v>
      </c>
      <c r="I319" s="12" t="s">
        <v>1586</v>
      </c>
    </row>
    <row r="320" spans="1:9">
      <c r="A320" s="12" t="s">
        <v>137</v>
      </c>
      <c r="B320" s="12" t="s">
        <v>138</v>
      </c>
      <c r="C320" s="12" t="s">
        <v>60</v>
      </c>
      <c r="D320" s="12" t="s">
        <v>1585</v>
      </c>
      <c r="E320" s="12">
        <v>16</v>
      </c>
      <c r="F320" s="12">
        <v>0</v>
      </c>
      <c r="G320" s="12">
        <v>4</v>
      </c>
      <c r="H320" s="12">
        <v>0</v>
      </c>
      <c r="I320" s="12" t="s">
        <v>1586</v>
      </c>
    </row>
    <row r="321" spans="1:9">
      <c r="A321" s="12" t="s">
        <v>1143</v>
      </c>
      <c r="B321" s="12" t="s">
        <v>1144</v>
      </c>
      <c r="C321" s="12" t="s">
        <v>48</v>
      </c>
      <c r="D321" s="12" t="s">
        <v>1585</v>
      </c>
      <c r="E321" s="12">
        <v>15</v>
      </c>
      <c r="F321" s="12">
        <v>0</v>
      </c>
      <c r="G321" s="12">
        <v>0</v>
      </c>
      <c r="H321" s="12">
        <v>5</v>
      </c>
      <c r="I321" s="12" t="s">
        <v>1586</v>
      </c>
    </row>
    <row r="322" spans="1:9">
      <c r="A322" s="12" t="s">
        <v>1251</v>
      </c>
      <c r="B322" s="12" t="s">
        <v>1252</v>
      </c>
      <c r="C322" s="12" t="s">
        <v>80</v>
      </c>
      <c r="D322" s="12" t="s">
        <v>1585</v>
      </c>
      <c r="E322" s="12">
        <v>10.5</v>
      </c>
      <c r="F322" s="12">
        <v>0</v>
      </c>
      <c r="G322" s="12">
        <v>9.5</v>
      </c>
      <c r="H322" s="12">
        <v>0</v>
      </c>
      <c r="I322" s="12" t="s">
        <v>1586</v>
      </c>
    </row>
    <row r="323" spans="1:9">
      <c r="A323" s="12" t="s">
        <v>1270</v>
      </c>
      <c r="B323" s="12" t="s">
        <v>1271</v>
      </c>
      <c r="C323" s="12" t="s">
        <v>27</v>
      </c>
      <c r="D323" s="12" t="s">
        <v>1585</v>
      </c>
      <c r="E323" s="12">
        <v>0</v>
      </c>
      <c r="F323" s="12">
        <v>10</v>
      </c>
      <c r="G323" s="12">
        <v>0</v>
      </c>
      <c r="H323" s="12">
        <v>0</v>
      </c>
      <c r="I323" s="12" t="s">
        <v>1586</v>
      </c>
    </row>
    <row r="324" spans="1:9">
      <c r="A324" s="12" t="s">
        <v>610</v>
      </c>
      <c r="B324" s="12" t="s">
        <v>611</v>
      </c>
      <c r="C324" s="12" t="s">
        <v>76</v>
      </c>
      <c r="D324" s="12" t="s">
        <v>1585</v>
      </c>
      <c r="E324" s="12">
        <v>8.5</v>
      </c>
      <c r="F324" s="12">
        <v>6.5</v>
      </c>
      <c r="G324" s="12">
        <v>5</v>
      </c>
      <c r="H324" s="12">
        <v>0</v>
      </c>
      <c r="I324" s="12" t="s">
        <v>1586</v>
      </c>
    </row>
    <row r="325" spans="1:9">
      <c r="A325" s="12" t="s">
        <v>250</v>
      </c>
      <c r="B325" s="12" t="s">
        <v>251</v>
      </c>
      <c r="C325" s="12" t="s">
        <v>19</v>
      </c>
      <c r="D325" s="12" t="s">
        <v>1585</v>
      </c>
      <c r="E325" s="12">
        <v>15</v>
      </c>
      <c r="F325" s="12">
        <v>0</v>
      </c>
      <c r="G325" s="12">
        <v>5</v>
      </c>
      <c r="H325" s="12">
        <v>0</v>
      </c>
      <c r="I325" s="12" t="s">
        <v>1586</v>
      </c>
    </row>
    <row r="326" spans="1:9">
      <c r="A326" s="12" t="s">
        <v>374</v>
      </c>
      <c r="B326" s="12" t="s">
        <v>375</v>
      </c>
      <c r="C326" s="12" t="s">
        <v>67</v>
      </c>
      <c r="D326" s="12" t="s">
        <v>1585</v>
      </c>
      <c r="E326" s="12">
        <v>18</v>
      </c>
      <c r="F326" s="12">
        <v>0</v>
      </c>
      <c r="G326" s="12">
        <v>2</v>
      </c>
      <c r="H326" s="12">
        <v>0</v>
      </c>
      <c r="I326" s="12" t="s">
        <v>1586</v>
      </c>
    </row>
    <row r="327" spans="1:9">
      <c r="A327" s="12" t="s">
        <v>326</v>
      </c>
      <c r="B327" s="12" t="s">
        <v>327</v>
      </c>
      <c r="C327" s="12" t="s">
        <v>14</v>
      </c>
      <c r="D327" s="12" t="s">
        <v>1585</v>
      </c>
      <c r="E327" s="12">
        <v>16</v>
      </c>
      <c r="F327" s="12">
        <v>4</v>
      </c>
      <c r="G327" s="12">
        <v>0</v>
      </c>
      <c r="H327" s="12">
        <v>0</v>
      </c>
      <c r="I327" s="12" t="s">
        <v>1586</v>
      </c>
    </row>
    <row r="328" spans="1:9">
      <c r="A328" s="12" t="s">
        <v>238</v>
      </c>
      <c r="B328" s="12" t="s">
        <v>239</v>
      </c>
      <c r="C328" s="12" t="s">
        <v>62</v>
      </c>
      <c r="D328" s="12" t="s">
        <v>1585</v>
      </c>
      <c r="E328" s="12">
        <v>7</v>
      </c>
      <c r="F328" s="12">
        <v>0</v>
      </c>
      <c r="G328" s="12">
        <v>11</v>
      </c>
      <c r="H328" s="12">
        <v>2</v>
      </c>
      <c r="I328" s="12" t="s">
        <v>1586</v>
      </c>
    </row>
    <row r="329" spans="1:9">
      <c r="A329" s="12" t="s">
        <v>1169</v>
      </c>
      <c r="B329" s="12" t="s">
        <v>1170</v>
      </c>
      <c r="C329" s="12" t="s">
        <v>86</v>
      </c>
      <c r="D329" s="12" t="s">
        <v>1585</v>
      </c>
      <c r="E329" s="12">
        <v>0</v>
      </c>
      <c r="F329" s="12">
        <v>20</v>
      </c>
      <c r="G329" s="12">
        <v>0</v>
      </c>
      <c r="H329" s="12">
        <v>0</v>
      </c>
      <c r="I329" s="12" t="s">
        <v>1586</v>
      </c>
    </row>
    <row r="330" spans="1:9">
      <c r="A330" s="12" t="s">
        <v>918</v>
      </c>
      <c r="B330" s="12" t="s">
        <v>919</v>
      </c>
      <c r="C330" s="12" t="s">
        <v>66</v>
      </c>
      <c r="D330" s="12" t="s">
        <v>1585</v>
      </c>
      <c r="E330" s="12">
        <v>20</v>
      </c>
      <c r="F330" s="12">
        <v>0</v>
      </c>
      <c r="G330" s="12">
        <v>0</v>
      </c>
      <c r="H330" s="12">
        <v>0</v>
      </c>
      <c r="I330" s="12" t="s">
        <v>1586</v>
      </c>
    </row>
    <row r="331" spans="1:9">
      <c r="A331" s="12" t="s">
        <v>876</v>
      </c>
      <c r="B331" s="12" t="s">
        <v>877</v>
      </c>
      <c r="C331" s="12" t="s">
        <v>34</v>
      </c>
      <c r="D331" s="12" t="s">
        <v>1585</v>
      </c>
      <c r="E331" s="12">
        <v>15</v>
      </c>
      <c r="F331" s="12">
        <v>0</v>
      </c>
      <c r="G331" s="12">
        <v>0</v>
      </c>
      <c r="H331" s="12">
        <v>5</v>
      </c>
      <c r="I331" s="12" t="s">
        <v>1586</v>
      </c>
    </row>
    <row r="332" spans="1:9">
      <c r="A332" s="12" t="s">
        <v>199</v>
      </c>
      <c r="B332" s="12" t="s">
        <v>200</v>
      </c>
      <c r="C332" s="12" t="s">
        <v>11</v>
      </c>
      <c r="D332" s="12" t="s">
        <v>1585</v>
      </c>
      <c r="E332" s="12">
        <v>19</v>
      </c>
      <c r="F332" s="12">
        <v>0</v>
      </c>
      <c r="G332" s="12">
        <v>1</v>
      </c>
      <c r="H332" s="12">
        <v>0</v>
      </c>
      <c r="I332" s="12" t="s">
        <v>1586</v>
      </c>
    </row>
    <row r="333" spans="1:9">
      <c r="A333" s="12" t="s">
        <v>1127</v>
      </c>
      <c r="B333" s="12" t="s">
        <v>1128</v>
      </c>
      <c r="C333" s="12" t="s">
        <v>73</v>
      </c>
      <c r="D333" s="12" t="s">
        <v>1585</v>
      </c>
      <c r="E333" s="12">
        <v>20</v>
      </c>
      <c r="F333" s="12">
        <v>0</v>
      </c>
      <c r="G333" s="12">
        <v>0</v>
      </c>
      <c r="H333" s="12">
        <v>0</v>
      </c>
      <c r="I333" s="12" t="s">
        <v>1586</v>
      </c>
    </row>
    <row r="334" spans="1:9">
      <c r="A334" s="12" t="s">
        <v>831</v>
      </c>
      <c r="B334" s="12" t="s">
        <v>832</v>
      </c>
      <c r="C334" s="12" t="s">
        <v>12</v>
      </c>
      <c r="D334" s="12" t="s">
        <v>1585</v>
      </c>
      <c r="E334" s="12">
        <v>20</v>
      </c>
      <c r="F334" s="12">
        <v>0</v>
      </c>
      <c r="G334" s="12">
        <v>0</v>
      </c>
      <c r="H334" s="12">
        <v>0</v>
      </c>
      <c r="I334" s="12" t="s">
        <v>1586</v>
      </c>
    </row>
    <row r="335" spans="1:9">
      <c r="A335" s="12" t="s">
        <v>1331</v>
      </c>
      <c r="B335" s="12" t="s">
        <v>1332</v>
      </c>
      <c r="C335" s="12" t="s">
        <v>35</v>
      </c>
      <c r="D335" s="12" t="s">
        <v>1585</v>
      </c>
      <c r="E335" s="12">
        <v>0</v>
      </c>
      <c r="F335" s="12">
        <v>15</v>
      </c>
      <c r="G335" s="12">
        <v>5</v>
      </c>
      <c r="H335" s="12">
        <v>0</v>
      </c>
      <c r="I335" s="12" t="s">
        <v>1586</v>
      </c>
    </row>
    <row r="336" spans="1:9">
      <c r="A336" s="12" t="s">
        <v>1152</v>
      </c>
      <c r="B336" s="12" t="s">
        <v>1153</v>
      </c>
      <c r="C336" s="12" t="s">
        <v>12</v>
      </c>
      <c r="D336" s="12" t="s">
        <v>1585</v>
      </c>
      <c r="E336" s="12">
        <v>19</v>
      </c>
      <c r="F336" s="12">
        <v>0</v>
      </c>
      <c r="G336" s="12">
        <v>1</v>
      </c>
      <c r="H336" s="12">
        <v>0</v>
      </c>
      <c r="I336" s="12" t="s">
        <v>1586</v>
      </c>
    </row>
    <row r="337" spans="1:9">
      <c r="A337" s="12" t="s">
        <v>280</v>
      </c>
      <c r="B337" s="12" t="s">
        <v>281</v>
      </c>
      <c r="C337" s="12" t="s">
        <v>3</v>
      </c>
      <c r="D337" s="12" t="s">
        <v>1585</v>
      </c>
      <c r="E337" s="12">
        <v>20</v>
      </c>
      <c r="F337" s="12">
        <v>0</v>
      </c>
      <c r="G337" s="12">
        <v>0</v>
      </c>
      <c r="H337" s="12">
        <v>0</v>
      </c>
      <c r="I337" s="12" t="s">
        <v>1586</v>
      </c>
    </row>
    <row r="338" spans="1:9">
      <c r="A338" s="12" t="s">
        <v>277</v>
      </c>
      <c r="B338" s="12" t="s">
        <v>278</v>
      </c>
      <c r="C338" s="12" t="s">
        <v>59</v>
      </c>
      <c r="D338" s="12" t="s">
        <v>1585</v>
      </c>
      <c r="E338" s="12">
        <v>16</v>
      </c>
      <c r="F338" s="12">
        <v>0</v>
      </c>
      <c r="G338" s="12">
        <v>4</v>
      </c>
      <c r="H338" s="12">
        <v>0</v>
      </c>
      <c r="I338" s="12" t="s">
        <v>1586</v>
      </c>
    </row>
    <row r="339" spans="1:9">
      <c r="A339" s="12" t="s">
        <v>1343</v>
      </c>
      <c r="B339" s="12" t="s">
        <v>1344</v>
      </c>
      <c r="C339" s="12" t="s">
        <v>53</v>
      </c>
      <c r="D339" s="12" t="s">
        <v>1585</v>
      </c>
      <c r="E339" s="12">
        <v>20</v>
      </c>
      <c r="F339" s="12">
        <v>0</v>
      </c>
      <c r="G339" s="12">
        <v>0</v>
      </c>
      <c r="H339" s="12">
        <v>0</v>
      </c>
      <c r="I339" s="12" t="s">
        <v>1586</v>
      </c>
    </row>
    <row r="340" spans="1:9">
      <c r="A340" s="12" t="s">
        <v>1341</v>
      </c>
      <c r="B340" s="12" t="s">
        <v>1342</v>
      </c>
      <c r="C340" s="12" t="s">
        <v>53</v>
      </c>
      <c r="D340" s="12" t="s">
        <v>1585</v>
      </c>
      <c r="E340" s="12">
        <v>10</v>
      </c>
      <c r="F340" s="12">
        <v>0</v>
      </c>
      <c r="G340" s="12">
        <v>0</v>
      </c>
      <c r="H340" s="12">
        <v>10</v>
      </c>
      <c r="I340" s="12" t="s">
        <v>1586</v>
      </c>
    </row>
    <row r="341" spans="1:9">
      <c r="A341" s="12" t="s">
        <v>1371</v>
      </c>
      <c r="B341" s="12" t="s">
        <v>1372</v>
      </c>
      <c r="C341" s="12" t="s">
        <v>15</v>
      </c>
      <c r="D341" s="12" t="s">
        <v>1585</v>
      </c>
      <c r="E341" s="12">
        <v>18</v>
      </c>
      <c r="F341" s="12">
        <v>2</v>
      </c>
      <c r="G341" s="12">
        <v>0</v>
      </c>
      <c r="H341" s="12">
        <v>0</v>
      </c>
      <c r="I341" s="12" t="s">
        <v>1586</v>
      </c>
    </row>
    <row r="342" spans="1:9">
      <c r="A342" s="12" t="s">
        <v>778</v>
      </c>
      <c r="B342" s="12" t="s">
        <v>779</v>
      </c>
      <c r="C342" s="12" t="s">
        <v>35</v>
      </c>
      <c r="D342" s="12" t="s">
        <v>1585</v>
      </c>
      <c r="E342" s="12">
        <v>20</v>
      </c>
      <c r="F342" s="12">
        <v>0</v>
      </c>
      <c r="G342" s="12">
        <v>0</v>
      </c>
      <c r="H342" s="12">
        <v>0</v>
      </c>
      <c r="I342" s="12" t="s">
        <v>1586</v>
      </c>
    </row>
    <row r="343" spans="1:9">
      <c r="A343" s="12" t="s">
        <v>291</v>
      </c>
      <c r="B343" s="12" t="s">
        <v>292</v>
      </c>
      <c r="C343" s="12" t="s">
        <v>3</v>
      </c>
      <c r="D343" s="12" t="s">
        <v>1585</v>
      </c>
      <c r="E343" s="12">
        <v>20</v>
      </c>
      <c r="F343" s="12">
        <v>0</v>
      </c>
      <c r="G343" s="12">
        <v>0</v>
      </c>
      <c r="H343" s="12">
        <v>0</v>
      </c>
      <c r="I343" s="12" t="s">
        <v>1586</v>
      </c>
    </row>
    <row r="344" spans="1:9">
      <c r="A344" s="12" t="s">
        <v>362</v>
      </c>
      <c r="B344" s="12" t="s">
        <v>363</v>
      </c>
      <c r="C344" s="12" t="s">
        <v>67</v>
      </c>
      <c r="D344" s="12" t="s">
        <v>1585</v>
      </c>
      <c r="E344" s="12">
        <v>9</v>
      </c>
      <c r="F344" s="12">
        <v>0</v>
      </c>
      <c r="G344" s="12">
        <v>2</v>
      </c>
      <c r="H344" s="12">
        <v>9</v>
      </c>
      <c r="I344" s="12" t="s">
        <v>1586</v>
      </c>
    </row>
    <row r="345" spans="1:9">
      <c r="A345" s="12" t="s">
        <v>1322</v>
      </c>
      <c r="B345" s="12" t="s">
        <v>1323</v>
      </c>
      <c r="C345" s="12" t="s">
        <v>59</v>
      </c>
      <c r="D345" s="12" t="s">
        <v>1585</v>
      </c>
      <c r="E345" s="12">
        <v>9</v>
      </c>
      <c r="F345" s="12">
        <v>0</v>
      </c>
      <c r="G345" s="12">
        <v>0</v>
      </c>
      <c r="H345" s="12">
        <v>11</v>
      </c>
      <c r="I345" s="12" t="s">
        <v>1586</v>
      </c>
    </row>
    <row r="346" spans="1:9">
      <c r="A346" s="12" t="s">
        <v>797</v>
      </c>
      <c r="B346" s="12" t="s">
        <v>798</v>
      </c>
      <c r="C346" s="12" t="s">
        <v>59</v>
      </c>
      <c r="D346" s="12" t="s">
        <v>1585</v>
      </c>
      <c r="E346" s="12">
        <v>15</v>
      </c>
      <c r="F346" s="12">
        <v>0</v>
      </c>
      <c r="G346" s="12">
        <v>5</v>
      </c>
      <c r="H346" s="12">
        <v>0</v>
      </c>
      <c r="I346" s="12" t="s">
        <v>1586</v>
      </c>
    </row>
    <row r="347" spans="1:9">
      <c r="A347" s="12" t="s">
        <v>439</v>
      </c>
      <c r="B347" s="12" t="s">
        <v>440</v>
      </c>
      <c r="C347" s="12" t="s">
        <v>27</v>
      </c>
      <c r="D347" s="12" t="s">
        <v>1585</v>
      </c>
      <c r="E347" s="12">
        <v>16</v>
      </c>
      <c r="F347" s="12">
        <v>0</v>
      </c>
      <c r="G347" s="12">
        <v>0</v>
      </c>
      <c r="H347" s="12">
        <v>4</v>
      </c>
      <c r="I347" s="12" t="s">
        <v>1586</v>
      </c>
    </row>
    <row r="348" spans="1:9">
      <c r="A348" s="12" t="s">
        <v>233</v>
      </c>
      <c r="B348" s="12" t="s">
        <v>234</v>
      </c>
      <c r="C348" s="12" t="s">
        <v>52</v>
      </c>
      <c r="D348" s="12" t="s">
        <v>1585</v>
      </c>
      <c r="E348" s="12">
        <v>6</v>
      </c>
      <c r="F348" s="12">
        <v>0</v>
      </c>
      <c r="G348" s="12">
        <v>0</v>
      </c>
      <c r="H348" s="12">
        <v>14</v>
      </c>
      <c r="I348" s="12" t="s">
        <v>1586</v>
      </c>
    </row>
    <row r="349" spans="1:9">
      <c r="A349" s="12" t="s">
        <v>1363</v>
      </c>
      <c r="B349" s="12" t="s">
        <v>1364</v>
      </c>
      <c r="C349" s="12" t="s">
        <v>15</v>
      </c>
      <c r="D349" s="12" t="s">
        <v>1585</v>
      </c>
      <c r="E349" s="12">
        <v>19</v>
      </c>
      <c r="F349" s="12">
        <v>0</v>
      </c>
      <c r="G349" s="12">
        <v>1</v>
      </c>
      <c r="H349" s="12">
        <v>0</v>
      </c>
      <c r="I349" s="12" t="s">
        <v>1586</v>
      </c>
    </row>
    <row r="350" spans="1:9">
      <c r="A350" s="12" t="s">
        <v>695</v>
      </c>
      <c r="B350" s="12" t="s">
        <v>34</v>
      </c>
      <c r="C350" s="12" t="s">
        <v>46</v>
      </c>
      <c r="D350" s="12" t="s">
        <v>1585</v>
      </c>
      <c r="E350" s="12">
        <v>6</v>
      </c>
      <c r="F350" s="12">
        <v>8</v>
      </c>
      <c r="G350" s="12">
        <v>0</v>
      </c>
      <c r="H350" s="12">
        <v>6</v>
      </c>
      <c r="I350" s="12" t="s">
        <v>1586</v>
      </c>
    </row>
    <row r="351" spans="1:9">
      <c r="A351" s="12" t="s">
        <v>928</v>
      </c>
      <c r="B351" s="12" t="s">
        <v>929</v>
      </c>
      <c r="C351" s="12" t="s">
        <v>42</v>
      </c>
      <c r="D351" s="12" t="s">
        <v>1585</v>
      </c>
      <c r="E351" s="12">
        <v>0</v>
      </c>
      <c r="F351" s="12">
        <v>0</v>
      </c>
      <c r="G351" s="12">
        <v>0</v>
      </c>
      <c r="H351" s="12">
        <v>20</v>
      </c>
      <c r="I351" s="12" t="s">
        <v>1586</v>
      </c>
    </row>
    <row r="352" spans="1:9">
      <c r="A352" s="12" t="s">
        <v>666</v>
      </c>
      <c r="B352" s="12" t="s">
        <v>90</v>
      </c>
      <c r="C352" s="12" t="s">
        <v>97</v>
      </c>
      <c r="D352" s="12" t="s">
        <v>1585</v>
      </c>
      <c r="E352" s="12">
        <v>0</v>
      </c>
      <c r="F352" s="12">
        <v>14.5</v>
      </c>
      <c r="G352" s="12">
        <v>5.5</v>
      </c>
      <c r="H352" s="12">
        <v>0</v>
      </c>
      <c r="I352" s="12" t="s">
        <v>1586</v>
      </c>
    </row>
    <row r="353" spans="1:9">
      <c r="A353" s="12" t="s">
        <v>701</v>
      </c>
      <c r="B353" s="12" t="s">
        <v>18</v>
      </c>
      <c r="C353" s="12" t="s">
        <v>46</v>
      </c>
      <c r="D353" s="12" t="s">
        <v>1585</v>
      </c>
      <c r="E353" s="12">
        <v>0</v>
      </c>
      <c r="F353" s="12">
        <v>20</v>
      </c>
      <c r="G353" s="12">
        <v>0</v>
      </c>
      <c r="H353" s="12">
        <v>0</v>
      </c>
      <c r="I353" s="12" t="s">
        <v>1586</v>
      </c>
    </row>
    <row r="354" spans="1:9">
      <c r="A354" s="12" t="s">
        <v>614</v>
      </c>
      <c r="B354" s="12" t="s">
        <v>615</v>
      </c>
      <c r="C354" s="12" t="s">
        <v>46</v>
      </c>
      <c r="D354" s="12" t="s">
        <v>1585</v>
      </c>
      <c r="E354" s="12">
        <v>20</v>
      </c>
      <c r="F354" s="12">
        <v>0</v>
      </c>
      <c r="G354" s="12">
        <v>0</v>
      </c>
      <c r="H354" s="12">
        <v>0</v>
      </c>
      <c r="I354" s="12" t="s">
        <v>1586</v>
      </c>
    </row>
    <row r="355" spans="1:9">
      <c r="A355" s="12" t="s">
        <v>293</v>
      </c>
      <c r="B355" s="12" t="s">
        <v>294</v>
      </c>
      <c r="C355" s="12" t="s">
        <v>3</v>
      </c>
      <c r="D355" s="12" t="s">
        <v>1585</v>
      </c>
      <c r="E355" s="12">
        <v>19</v>
      </c>
      <c r="F355" s="12">
        <v>0</v>
      </c>
      <c r="G355" s="12">
        <v>1</v>
      </c>
      <c r="H355" s="12">
        <v>0</v>
      </c>
      <c r="I355" s="12" t="s">
        <v>1586</v>
      </c>
    </row>
    <row r="356" spans="1:9">
      <c r="A356" s="12" t="s">
        <v>196</v>
      </c>
      <c r="B356" s="12" t="s">
        <v>197</v>
      </c>
      <c r="C356" s="12" t="s">
        <v>32</v>
      </c>
      <c r="D356" s="12" t="s">
        <v>1585</v>
      </c>
      <c r="E356" s="12">
        <v>15</v>
      </c>
      <c r="F356" s="12">
        <v>5</v>
      </c>
      <c r="G356" s="12">
        <v>0</v>
      </c>
      <c r="H356" s="12">
        <v>0</v>
      </c>
      <c r="I356" s="12" t="s">
        <v>1586</v>
      </c>
    </row>
    <row r="357" spans="1:9">
      <c r="A357" s="12" t="s">
        <v>1290</v>
      </c>
      <c r="B357" s="12" t="s">
        <v>1291</v>
      </c>
      <c r="C357" s="12" t="s">
        <v>90</v>
      </c>
      <c r="D357" s="12" t="s">
        <v>1585</v>
      </c>
      <c r="E357" s="12">
        <v>0</v>
      </c>
      <c r="F357" s="12">
        <v>0</v>
      </c>
      <c r="G357" s="12">
        <v>1</v>
      </c>
      <c r="H357" s="12">
        <v>17</v>
      </c>
      <c r="I357" s="12" t="s">
        <v>1586</v>
      </c>
    </row>
    <row r="358" spans="1:9">
      <c r="A358" s="12" t="s">
        <v>1292</v>
      </c>
      <c r="B358" s="12" t="s">
        <v>74</v>
      </c>
      <c r="C358" s="12" t="s">
        <v>90</v>
      </c>
      <c r="D358" s="12" t="s">
        <v>1585</v>
      </c>
      <c r="E358" s="12">
        <v>0</v>
      </c>
      <c r="F358" s="12">
        <v>0</v>
      </c>
      <c r="G358" s="12">
        <v>0</v>
      </c>
      <c r="H358" s="12">
        <v>16</v>
      </c>
      <c r="I358" s="12" t="s">
        <v>1586</v>
      </c>
    </row>
    <row r="359" spans="1:9">
      <c r="A359" s="12" t="s">
        <v>1076</v>
      </c>
      <c r="B359" s="12" t="s">
        <v>1077</v>
      </c>
      <c r="C359" s="12" t="s">
        <v>43</v>
      </c>
      <c r="D359" s="12" t="s">
        <v>1585</v>
      </c>
      <c r="E359" s="12">
        <v>20</v>
      </c>
      <c r="F359" s="12">
        <v>0</v>
      </c>
      <c r="G359" s="12">
        <v>0</v>
      </c>
      <c r="H359" s="12">
        <v>0</v>
      </c>
      <c r="I359" s="12" t="s">
        <v>1586</v>
      </c>
    </row>
    <row r="360" spans="1:9">
      <c r="A360" s="12" t="s">
        <v>902</v>
      </c>
      <c r="B360" s="12" t="s">
        <v>903</v>
      </c>
      <c r="C360" s="12" t="s">
        <v>14</v>
      </c>
      <c r="D360" s="12" t="s">
        <v>1585</v>
      </c>
      <c r="E360" s="12">
        <v>10</v>
      </c>
      <c r="F360" s="12">
        <v>0</v>
      </c>
      <c r="G360" s="12">
        <v>0</v>
      </c>
      <c r="H360" s="12">
        <v>10</v>
      </c>
      <c r="I360" s="12" t="s">
        <v>1586</v>
      </c>
    </row>
    <row r="361" spans="1:9">
      <c r="A361" s="12" t="s">
        <v>930</v>
      </c>
      <c r="B361" s="12" t="s">
        <v>931</v>
      </c>
      <c r="C361" s="12" t="s">
        <v>42</v>
      </c>
      <c r="D361" s="12" t="s">
        <v>1585</v>
      </c>
      <c r="E361" s="12">
        <v>0</v>
      </c>
      <c r="F361" s="12">
        <v>0</v>
      </c>
      <c r="G361" s="12">
        <v>3</v>
      </c>
      <c r="H361" s="12">
        <v>9</v>
      </c>
      <c r="I361" s="12" t="s">
        <v>1586</v>
      </c>
    </row>
    <row r="362" spans="1:9">
      <c r="A362" s="12" t="s">
        <v>346</v>
      </c>
      <c r="B362" s="12" t="s">
        <v>347</v>
      </c>
      <c r="C362" s="12" t="s">
        <v>5</v>
      </c>
      <c r="D362" s="12" t="s">
        <v>1585</v>
      </c>
      <c r="E362" s="12">
        <v>5</v>
      </c>
      <c r="F362" s="12">
        <v>10</v>
      </c>
      <c r="G362" s="12">
        <v>2</v>
      </c>
      <c r="H362" s="12">
        <v>3</v>
      </c>
      <c r="I362" s="12" t="s">
        <v>1586</v>
      </c>
    </row>
    <row r="363" spans="1:9">
      <c r="A363" s="12" t="s">
        <v>1276</v>
      </c>
      <c r="B363" s="12" t="s">
        <v>1277</v>
      </c>
      <c r="C363" s="12" t="s">
        <v>27</v>
      </c>
      <c r="D363" s="12" t="s">
        <v>1585</v>
      </c>
      <c r="E363" s="12">
        <v>10</v>
      </c>
      <c r="F363" s="12">
        <v>0</v>
      </c>
      <c r="G363" s="12">
        <v>2.5</v>
      </c>
      <c r="H363" s="12">
        <v>7.5</v>
      </c>
      <c r="I363" s="12" t="s">
        <v>1586</v>
      </c>
    </row>
    <row r="364" spans="1:9">
      <c r="A364" s="12" t="s">
        <v>1109</v>
      </c>
      <c r="B364" s="12" t="s">
        <v>1110</v>
      </c>
      <c r="C364" s="12" t="s">
        <v>18</v>
      </c>
      <c r="D364" s="12" t="s">
        <v>1585</v>
      </c>
      <c r="E364" s="12">
        <v>20</v>
      </c>
      <c r="F364" s="12">
        <v>0</v>
      </c>
      <c r="G364" s="12">
        <v>0</v>
      </c>
      <c r="H364" s="12">
        <v>0</v>
      </c>
      <c r="I364" s="12" t="s">
        <v>1586</v>
      </c>
    </row>
    <row r="365" spans="1:9">
      <c r="A365" s="12" t="s">
        <v>521</v>
      </c>
      <c r="B365" s="12" t="s">
        <v>522</v>
      </c>
      <c r="C365" s="12" t="s">
        <v>4</v>
      </c>
      <c r="D365" s="12" t="s">
        <v>1585</v>
      </c>
      <c r="E365" s="12">
        <v>19</v>
      </c>
      <c r="F365" s="12">
        <v>0</v>
      </c>
      <c r="G365" s="12">
        <v>1</v>
      </c>
      <c r="H365" s="12">
        <v>0</v>
      </c>
      <c r="I365" s="12" t="s">
        <v>1586</v>
      </c>
    </row>
    <row r="366" spans="1:9">
      <c r="A366" s="12" t="s">
        <v>1369</v>
      </c>
      <c r="B366" s="12" t="s">
        <v>1370</v>
      </c>
      <c r="C366" s="12" t="s">
        <v>15</v>
      </c>
      <c r="D366" s="12" t="s">
        <v>1585</v>
      </c>
      <c r="E366" s="12">
        <v>19.5</v>
      </c>
      <c r="F366" s="12">
        <v>0.5</v>
      </c>
      <c r="G366" s="12">
        <v>0</v>
      </c>
      <c r="H366" s="12">
        <v>0</v>
      </c>
      <c r="I366" s="12" t="s">
        <v>1586</v>
      </c>
    </row>
    <row r="367" spans="1:9">
      <c r="A367" s="12" t="s">
        <v>1099</v>
      </c>
      <c r="B367" s="12" t="s">
        <v>1100</v>
      </c>
      <c r="C367" s="12" t="s">
        <v>18</v>
      </c>
      <c r="D367" s="12" t="s">
        <v>1585</v>
      </c>
      <c r="E367" s="12">
        <v>20</v>
      </c>
      <c r="F367" s="12">
        <v>0</v>
      </c>
      <c r="G367" s="12">
        <v>0</v>
      </c>
      <c r="H367" s="12">
        <v>0</v>
      </c>
      <c r="I367" s="12" t="s">
        <v>1586</v>
      </c>
    </row>
    <row r="368" spans="1:9">
      <c r="A368" s="12" t="s">
        <v>1129</v>
      </c>
      <c r="B368" s="12" t="s">
        <v>1130</v>
      </c>
      <c r="C368" s="12" t="s">
        <v>73</v>
      </c>
      <c r="D368" s="12" t="s">
        <v>1585</v>
      </c>
      <c r="E368" s="12">
        <v>17.5</v>
      </c>
      <c r="F368" s="12">
        <v>2.5</v>
      </c>
      <c r="G368" s="12">
        <v>0</v>
      </c>
      <c r="H368" s="12">
        <v>0</v>
      </c>
      <c r="I368" s="12" t="s">
        <v>1586</v>
      </c>
    </row>
    <row r="369" spans="1:9">
      <c r="A369" s="12" t="s">
        <v>1245</v>
      </c>
      <c r="B369" s="12" t="s">
        <v>1246</v>
      </c>
      <c r="C369" s="12" t="s">
        <v>80</v>
      </c>
      <c r="D369" s="12" t="s">
        <v>1585</v>
      </c>
      <c r="E369" s="12">
        <v>18</v>
      </c>
      <c r="F369" s="12">
        <v>0</v>
      </c>
      <c r="G369" s="12">
        <v>2</v>
      </c>
      <c r="H369" s="12">
        <v>0</v>
      </c>
      <c r="I369" s="12" t="s">
        <v>1586</v>
      </c>
    </row>
    <row r="370" spans="1:9">
      <c r="A370" s="12" t="s">
        <v>934</v>
      </c>
      <c r="B370" s="12" t="s">
        <v>935</v>
      </c>
      <c r="C370" s="12" t="s">
        <v>93</v>
      </c>
      <c r="D370" s="12" t="s">
        <v>1585</v>
      </c>
      <c r="E370" s="12">
        <v>20</v>
      </c>
      <c r="F370" s="12">
        <v>0</v>
      </c>
      <c r="G370" s="12">
        <v>0</v>
      </c>
      <c r="H370" s="12">
        <v>0</v>
      </c>
      <c r="I370" s="12" t="s">
        <v>1586</v>
      </c>
    </row>
    <row r="371" spans="1:9">
      <c r="A371" s="12" t="s">
        <v>960</v>
      </c>
      <c r="B371" s="12" t="s">
        <v>961</v>
      </c>
      <c r="C371" s="12" t="s">
        <v>49</v>
      </c>
      <c r="D371" s="12" t="s">
        <v>1585</v>
      </c>
      <c r="E371" s="12">
        <v>0</v>
      </c>
      <c r="F371" s="12">
        <v>0</v>
      </c>
      <c r="G371" s="12">
        <v>0</v>
      </c>
      <c r="H371" s="12">
        <v>20</v>
      </c>
      <c r="I371" s="12" t="s">
        <v>1586</v>
      </c>
    </row>
    <row r="372" spans="1:9">
      <c r="A372" s="12" t="s">
        <v>1131</v>
      </c>
      <c r="B372" s="12" t="s">
        <v>1132</v>
      </c>
      <c r="C372" s="12" t="s">
        <v>73</v>
      </c>
      <c r="D372" s="12" t="s">
        <v>1585</v>
      </c>
      <c r="E372" s="12">
        <v>11</v>
      </c>
      <c r="F372" s="12">
        <v>0</v>
      </c>
      <c r="G372" s="12">
        <v>9</v>
      </c>
      <c r="H372" s="12">
        <v>0</v>
      </c>
      <c r="I372" s="12" t="s">
        <v>1586</v>
      </c>
    </row>
    <row r="373" spans="1:9">
      <c r="A373" s="12" t="s">
        <v>888</v>
      </c>
      <c r="B373" s="12" t="s">
        <v>889</v>
      </c>
      <c r="C373" s="12" t="s">
        <v>34</v>
      </c>
      <c r="D373" s="12" t="s">
        <v>1585</v>
      </c>
      <c r="E373" s="12">
        <v>20</v>
      </c>
      <c r="F373" s="12">
        <v>0</v>
      </c>
      <c r="G373" s="12">
        <v>0</v>
      </c>
      <c r="H373" s="12">
        <v>0</v>
      </c>
      <c r="I373" s="12" t="s">
        <v>1586</v>
      </c>
    </row>
    <row r="374" spans="1:9">
      <c r="A374" s="12" t="s">
        <v>1286</v>
      </c>
      <c r="B374" s="12" t="s">
        <v>1287</v>
      </c>
      <c r="C374" s="12" t="s">
        <v>27</v>
      </c>
      <c r="D374" s="12" t="s">
        <v>1585</v>
      </c>
      <c r="E374" s="12">
        <v>20</v>
      </c>
      <c r="F374" s="12">
        <v>0</v>
      </c>
      <c r="G374" s="12">
        <v>0</v>
      </c>
      <c r="H374" s="12">
        <v>0</v>
      </c>
      <c r="I374" s="12" t="s">
        <v>1586</v>
      </c>
    </row>
    <row r="375" spans="1:9">
      <c r="A375" s="12" t="s">
        <v>211</v>
      </c>
      <c r="B375" s="12" t="s">
        <v>212</v>
      </c>
      <c r="C375" s="12" t="s">
        <v>11</v>
      </c>
      <c r="D375" s="12" t="s">
        <v>1585</v>
      </c>
      <c r="E375" s="12">
        <v>0</v>
      </c>
      <c r="F375" s="12">
        <v>0</v>
      </c>
      <c r="G375" s="12">
        <v>9</v>
      </c>
      <c r="H375" s="12">
        <v>11</v>
      </c>
      <c r="I375" s="12" t="s">
        <v>1586</v>
      </c>
    </row>
    <row r="376" spans="1:9">
      <c r="A376" s="12" t="s">
        <v>657</v>
      </c>
      <c r="B376" s="12" t="s">
        <v>658</v>
      </c>
      <c r="C376" s="12" t="s">
        <v>18</v>
      </c>
      <c r="D376" s="12" t="s">
        <v>1585</v>
      </c>
      <c r="E376" s="12">
        <v>5</v>
      </c>
      <c r="F376" s="12">
        <v>0</v>
      </c>
      <c r="G376" s="12">
        <v>0</v>
      </c>
      <c r="H376" s="12">
        <v>15</v>
      </c>
      <c r="I376" s="12" t="s">
        <v>1586</v>
      </c>
    </row>
    <row r="377" spans="1:9">
      <c r="A377" s="12" t="s">
        <v>1225</v>
      </c>
      <c r="B377" s="12" t="s">
        <v>1226</v>
      </c>
      <c r="C377" s="12" t="s">
        <v>22</v>
      </c>
      <c r="D377" s="12" t="s">
        <v>1585</v>
      </c>
      <c r="E377" s="12">
        <v>10</v>
      </c>
      <c r="F377" s="12">
        <v>0</v>
      </c>
      <c r="G377" s="12">
        <v>0</v>
      </c>
      <c r="H377" s="12">
        <v>10</v>
      </c>
      <c r="I377" s="12" t="s">
        <v>1586</v>
      </c>
    </row>
    <row r="378" spans="1:9" ht="29.1">
      <c r="A378" s="12" t="s">
        <v>1175</v>
      </c>
      <c r="B378" s="12" t="s">
        <v>1176</v>
      </c>
      <c r="C378" s="12" t="s">
        <v>86</v>
      </c>
      <c r="D378" s="12" t="s">
        <v>1585</v>
      </c>
      <c r="E378" s="12">
        <v>19</v>
      </c>
      <c r="F378" s="12">
        <v>0</v>
      </c>
      <c r="G378" s="12">
        <v>0</v>
      </c>
      <c r="H378" s="12">
        <v>1</v>
      </c>
      <c r="I378" s="12" t="s">
        <v>1586</v>
      </c>
    </row>
    <row r="379" spans="1:9">
      <c r="A379" s="12" t="s">
        <v>408</v>
      </c>
      <c r="B379" s="12" t="s">
        <v>409</v>
      </c>
      <c r="C379" s="12" t="s">
        <v>21</v>
      </c>
      <c r="D379" s="12" t="s">
        <v>1585</v>
      </c>
      <c r="E379" s="12">
        <v>9</v>
      </c>
      <c r="F379" s="12">
        <v>2</v>
      </c>
      <c r="G379" s="12">
        <v>0</v>
      </c>
      <c r="H379" s="12">
        <v>9</v>
      </c>
      <c r="I379" s="12" t="s">
        <v>1586</v>
      </c>
    </row>
    <row r="380" spans="1:9">
      <c r="A380" s="12" t="s">
        <v>1177</v>
      </c>
      <c r="B380" s="12" t="s">
        <v>1178</v>
      </c>
      <c r="C380" s="12" t="s">
        <v>86</v>
      </c>
      <c r="D380" s="12" t="s">
        <v>1585</v>
      </c>
      <c r="E380" s="12">
        <v>0</v>
      </c>
      <c r="F380" s="12">
        <v>0</v>
      </c>
      <c r="G380" s="12">
        <v>1</v>
      </c>
      <c r="H380" s="12">
        <v>19</v>
      </c>
      <c r="I380" s="12" t="s">
        <v>1586</v>
      </c>
    </row>
    <row r="381" spans="1:9">
      <c r="A381" s="12" t="s">
        <v>182</v>
      </c>
      <c r="B381" s="12" t="s">
        <v>183</v>
      </c>
      <c r="C381" s="12" t="s">
        <v>47</v>
      </c>
      <c r="D381" s="12" t="s">
        <v>1585</v>
      </c>
      <c r="E381" s="12">
        <v>18</v>
      </c>
      <c r="F381" s="12">
        <v>2</v>
      </c>
      <c r="G381" s="12">
        <v>0</v>
      </c>
      <c r="H381" s="12">
        <v>0</v>
      </c>
      <c r="I381" s="12" t="s">
        <v>1586</v>
      </c>
    </row>
    <row r="382" spans="1:9">
      <c r="A382" s="12" t="s">
        <v>490</v>
      </c>
      <c r="B382" s="12" t="s">
        <v>491</v>
      </c>
      <c r="C382" s="12" t="s">
        <v>33</v>
      </c>
      <c r="D382" s="12" t="s">
        <v>1585</v>
      </c>
      <c r="E382" s="12">
        <v>15</v>
      </c>
      <c r="F382" s="12">
        <v>0</v>
      </c>
      <c r="G382" s="12">
        <v>5</v>
      </c>
      <c r="H382" s="12">
        <v>0</v>
      </c>
      <c r="I382" s="12" t="s">
        <v>1586</v>
      </c>
    </row>
    <row r="383" spans="1:9">
      <c r="A383" s="12" t="s">
        <v>192</v>
      </c>
      <c r="B383" s="12" t="s">
        <v>193</v>
      </c>
      <c r="C383" s="12" t="s">
        <v>47</v>
      </c>
      <c r="D383" s="12" t="s">
        <v>1585</v>
      </c>
      <c r="E383" s="12">
        <v>20</v>
      </c>
      <c r="F383" s="12">
        <v>0</v>
      </c>
      <c r="G383" s="12">
        <v>0</v>
      </c>
      <c r="H383" s="12">
        <v>0</v>
      </c>
      <c r="I383" s="12" t="s">
        <v>1586</v>
      </c>
    </row>
    <row r="384" spans="1:9">
      <c r="A384" s="12" t="s">
        <v>261</v>
      </c>
      <c r="B384" s="12" t="s">
        <v>262</v>
      </c>
      <c r="C384" s="12" t="s">
        <v>14</v>
      </c>
      <c r="D384" s="12" t="s">
        <v>1585</v>
      </c>
      <c r="E384" s="12">
        <v>11.5</v>
      </c>
      <c r="F384" s="12">
        <v>7.5</v>
      </c>
      <c r="G384" s="12">
        <v>1</v>
      </c>
      <c r="H384" s="12">
        <v>0</v>
      </c>
      <c r="I384" s="12" t="s">
        <v>1586</v>
      </c>
    </row>
    <row r="385" spans="1:9">
      <c r="A385" s="12" t="s">
        <v>1442</v>
      </c>
      <c r="B385" s="12" t="s">
        <v>1443</v>
      </c>
      <c r="C385" s="12" t="s">
        <v>520</v>
      </c>
      <c r="D385" s="12" t="s">
        <v>1585</v>
      </c>
      <c r="E385" s="12">
        <v>20</v>
      </c>
      <c r="F385" s="12">
        <v>0</v>
      </c>
      <c r="G385" s="12">
        <v>0</v>
      </c>
      <c r="H385" s="12">
        <v>0</v>
      </c>
      <c r="I385" s="12" t="s">
        <v>1586</v>
      </c>
    </row>
    <row r="386" spans="1:9">
      <c r="A386" s="12" t="s">
        <v>837</v>
      </c>
      <c r="B386" s="12" t="s">
        <v>838</v>
      </c>
      <c r="C386" s="12" t="s">
        <v>12</v>
      </c>
      <c r="D386" s="12" t="s">
        <v>1585</v>
      </c>
      <c r="E386" s="12">
        <v>14</v>
      </c>
      <c r="F386" s="12">
        <v>0</v>
      </c>
      <c r="G386" s="12">
        <v>0</v>
      </c>
      <c r="H386" s="12">
        <v>6</v>
      </c>
      <c r="I386" s="12" t="s">
        <v>1586</v>
      </c>
    </row>
    <row r="387" spans="1:9">
      <c r="A387" s="12" t="s">
        <v>1123</v>
      </c>
      <c r="B387" s="12" t="s">
        <v>1124</v>
      </c>
      <c r="C387" s="12" t="s">
        <v>73</v>
      </c>
      <c r="D387" s="12" t="s">
        <v>1585</v>
      </c>
      <c r="E387" s="12">
        <v>20</v>
      </c>
      <c r="F387" s="12">
        <v>0</v>
      </c>
      <c r="G387" s="12">
        <v>0</v>
      </c>
      <c r="H387" s="12">
        <v>0</v>
      </c>
      <c r="I387" s="12" t="s">
        <v>1586</v>
      </c>
    </row>
    <row r="388" spans="1:9">
      <c r="A388" s="12" t="s">
        <v>1439</v>
      </c>
      <c r="B388" s="12" t="s">
        <v>1440</v>
      </c>
      <c r="C388" s="12" t="s">
        <v>520</v>
      </c>
      <c r="D388" s="12" t="s">
        <v>1585</v>
      </c>
      <c r="E388" s="12">
        <v>15</v>
      </c>
      <c r="F388" s="12">
        <v>0</v>
      </c>
      <c r="G388" s="12">
        <v>5</v>
      </c>
      <c r="H388" s="12">
        <v>0</v>
      </c>
      <c r="I388" s="12" t="s">
        <v>1586</v>
      </c>
    </row>
    <row r="389" spans="1:9">
      <c r="A389" s="12" t="s">
        <v>244</v>
      </c>
      <c r="B389" s="12" t="s">
        <v>245</v>
      </c>
      <c r="C389" s="12" t="s">
        <v>62</v>
      </c>
      <c r="D389" s="12" t="s">
        <v>1585</v>
      </c>
      <c r="E389" s="12">
        <v>20</v>
      </c>
      <c r="F389" s="12">
        <v>0</v>
      </c>
      <c r="G389" s="12">
        <v>0</v>
      </c>
      <c r="H389" s="12">
        <v>0</v>
      </c>
      <c r="I389" s="12" t="s">
        <v>1586</v>
      </c>
    </row>
    <row r="390" spans="1:9">
      <c r="A390" s="12" t="s">
        <v>1433</v>
      </c>
      <c r="B390" s="12" t="s">
        <v>1434</v>
      </c>
      <c r="C390" s="12" t="s">
        <v>32</v>
      </c>
      <c r="D390" s="12" t="s">
        <v>1585</v>
      </c>
      <c r="E390" s="12">
        <v>0</v>
      </c>
      <c r="F390" s="12">
        <v>10</v>
      </c>
      <c r="G390" s="12">
        <v>10</v>
      </c>
      <c r="H390" s="12">
        <v>0</v>
      </c>
      <c r="I390" s="12" t="s">
        <v>1586</v>
      </c>
    </row>
    <row r="391" spans="1:9">
      <c r="A391" s="12" t="s">
        <v>1419</v>
      </c>
      <c r="B391" s="12" t="s">
        <v>1420</v>
      </c>
      <c r="C391" s="12" t="s">
        <v>32</v>
      </c>
      <c r="D391" s="12" t="s">
        <v>1585</v>
      </c>
      <c r="E391" s="12">
        <v>12</v>
      </c>
      <c r="F391" s="12">
        <v>8</v>
      </c>
      <c r="G391" s="12">
        <v>0</v>
      </c>
      <c r="H391" s="12">
        <v>0</v>
      </c>
      <c r="I391" s="12" t="s">
        <v>1586</v>
      </c>
    </row>
    <row r="392" spans="1:9">
      <c r="A392" s="12" t="s">
        <v>417</v>
      </c>
      <c r="B392" s="12" t="s">
        <v>418</v>
      </c>
      <c r="C392" s="12" t="s">
        <v>21</v>
      </c>
      <c r="D392" s="12" t="s">
        <v>1585</v>
      </c>
      <c r="E392" s="12">
        <v>0</v>
      </c>
      <c r="F392" s="12">
        <v>0</v>
      </c>
      <c r="G392" s="12">
        <v>0</v>
      </c>
      <c r="H392" s="12">
        <v>20</v>
      </c>
      <c r="I392" s="12" t="s">
        <v>1586</v>
      </c>
    </row>
    <row r="393" spans="1:9">
      <c r="A393" s="12" t="s">
        <v>452</v>
      </c>
      <c r="B393" s="12" t="s">
        <v>453</v>
      </c>
      <c r="C393" s="12" t="s">
        <v>70</v>
      </c>
      <c r="D393" s="12" t="s">
        <v>1585</v>
      </c>
      <c r="E393" s="12">
        <v>20</v>
      </c>
      <c r="F393" s="12">
        <v>0</v>
      </c>
      <c r="G393" s="12">
        <v>0</v>
      </c>
      <c r="H393" s="12">
        <v>0</v>
      </c>
      <c r="I393" s="12" t="s">
        <v>1586</v>
      </c>
    </row>
    <row r="394" spans="1:9">
      <c r="A394" s="12" t="s">
        <v>512</v>
      </c>
      <c r="B394" s="12" t="s">
        <v>513</v>
      </c>
      <c r="C394" s="12" t="s">
        <v>12</v>
      </c>
      <c r="D394" s="12" t="s">
        <v>1585</v>
      </c>
      <c r="E394" s="12">
        <v>20</v>
      </c>
      <c r="F394" s="12">
        <v>0</v>
      </c>
      <c r="G394" s="12">
        <v>0</v>
      </c>
      <c r="H394" s="12">
        <v>0</v>
      </c>
      <c r="I394" s="12" t="s">
        <v>1586</v>
      </c>
    </row>
    <row r="395" spans="1:9">
      <c r="A395" s="12" t="s">
        <v>310</v>
      </c>
      <c r="B395" s="12" t="s">
        <v>311</v>
      </c>
      <c r="C395" s="12" t="s">
        <v>17</v>
      </c>
      <c r="D395" s="12" t="s">
        <v>1585</v>
      </c>
      <c r="E395" s="12">
        <v>20</v>
      </c>
      <c r="F395" s="12">
        <v>0</v>
      </c>
      <c r="G395" s="12">
        <v>0</v>
      </c>
      <c r="H395" s="12">
        <v>0</v>
      </c>
      <c r="I395" s="12" t="s">
        <v>1586</v>
      </c>
    </row>
    <row r="396" spans="1:9">
      <c r="A396" s="12" t="s">
        <v>1045</v>
      </c>
      <c r="B396" s="12" t="s">
        <v>1046</v>
      </c>
      <c r="C396" s="12" t="s">
        <v>44</v>
      </c>
      <c r="D396" s="12" t="s">
        <v>1585</v>
      </c>
      <c r="E396" s="12">
        <v>20</v>
      </c>
      <c r="F396" s="12">
        <v>0</v>
      </c>
      <c r="G396" s="12">
        <v>0</v>
      </c>
      <c r="H396" s="12">
        <v>0</v>
      </c>
      <c r="I396" s="12" t="s">
        <v>1586</v>
      </c>
    </row>
    <row r="397" spans="1:9">
      <c r="A397" s="12" t="s">
        <v>998</v>
      </c>
      <c r="B397" s="12" t="s">
        <v>999</v>
      </c>
      <c r="C397" s="12" t="s">
        <v>577</v>
      </c>
      <c r="D397" s="12" t="s">
        <v>1585</v>
      </c>
      <c r="E397" s="12">
        <v>20</v>
      </c>
      <c r="F397" s="12">
        <v>0</v>
      </c>
      <c r="G397" s="12">
        <v>0</v>
      </c>
      <c r="H397" s="12">
        <v>0</v>
      </c>
      <c r="I397" s="12" t="s">
        <v>1586</v>
      </c>
    </row>
    <row r="398" spans="1:9">
      <c r="A398" s="12" t="s">
        <v>203</v>
      </c>
      <c r="B398" s="12" t="s">
        <v>204</v>
      </c>
      <c r="C398" s="12" t="s">
        <v>11</v>
      </c>
      <c r="D398" s="12" t="s">
        <v>1585</v>
      </c>
      <c r="E398" s="12">
        <v>0</v>
      </c>
      <c r="F398" s="12">
        <v>18</v>
      </c>
      <c r="G398" s="12">
        <v>2</v>
      </c>
      <c r="H398" s="12">
        <v>0</v>
      </c>
      <c r="I398" s="12" t="s">
        <v>1586</v>
      </c>
    </row>
    <row r="399" spans="1:9">
      <c r="A399" s="12" t="s">
        <v>1412</v>
      </c>
      <c r="B399" s="12" t="s">
        <v>1413</v>
      </c>
      <c r="C399" s="12" t="s">
        <v>32</v>
      </c>
      <c r="D399" s="12" t="s">
        <v>1585</v>
      </c>
      <c r="E399" s="12">
        <v>19.5</v>
      </c>
      <c r="F399" s="12">
        <v>0</v>
      </c>
      <c r="G399" s="12">
        <v>0.5</v>
      </c>
      <c r="H399" s="12">
        <v>0</v>
      </c>
      <c r="I399" s="12" t="s">
        <v>1586</v>
      </c>
    </row>
    <row r="400" spans="1:9">
      <c r="A400" s="12" t="s">
        <v>1207</v>
      </c>
      <c r="B400" s="12" t="s">
        <v>37</v>
      </c>
      <c r="C400" s="12" t="s">
        <v>38</v>
      </c>
      <c r="D400" s="12" t="s">
        <v>1585</v>
      </c>
      <c r="E400" s="12">
        <v>14</v>
      </c>
      <c r="F400" s="12">
        <v>2</v>
      </c>
      <c r="G400" s="12">
        <v>4</v>
      </c>
      <c r="H400" s="12">
        <v>0</v>
      </c>
      <c r="I400" s="12" t="s">
        <v>1586</v>
      </c>
    </row>
    <row r="401" spans="1:9">
      <c r="A401" s="12" t="s">
        <v>1274</v>
      </c>
      <c r="B401" s="12" t="s">
        <v>1275</v>
      </c>
      <c r="C401" s="12" t="s">
        <v>27</v>
      </c>
      <c r="D401" s="12" t="s">
        <v>1585</v>
      </c>
      <c r="E401" s="12">
        <v>20</v>
      </c>
      <c r="F401" s="12">
        <v>0</v>
      </c>
      <c r="G401" s="12">
        <v>0</v>
      </c>
      <c r="H401" s="12">
        <v>0</v>
      </c>
      <c r="I401" s="12" t="s">
        <v>1586</v>
      </c>
    </row>
    <row r="402" spans="1:9">
      <c r="A402" s="12" t="s">
        <v>568</v>
      </c>
      <c r="B402" s="12" t="s">
        <v>569</v>
      </c>
      <c r="C402" s="12" t="s">
        <v>29</v>
      </c>
      <c r="D402" s="12" t="s">
        <v>1585</v>
      </c>
      <c r="E402" s="12">
        <v>20</v>
      </c>
      <c r="F402" s="12">
        <v>0</v>
      </c>
      <c r="G402" s="12">
        <v>0</v>
      </c>
      <c r="H402" s="12">
        <v>0</v>
      </c>
      <c r="I402" s="12" t="s">
        <v>1586</v>
      </c>
    </row>
    <row r="403" spans="1:9">
      <c r="A403" s="12" t="s">
        <v>977</v>
      </c>
      <c r="B403" s="12" t="s">
        <v>978</v>
      </c>
      <c r="C403" s="12" t="s">
        <v>5</v>
      </c>
      <c r="D403" s="12" t="s">
        <v>1585</v>
      </c>
      <c r="E403" s="12">
        <v>20</v>
      </c>
      <c r="F403" s="12">
        <v>0</v>
      </c>
      <c r="G403" s="12">
        <v>0</v>
      </c>
      <c r="H403" s="12">
        <v>0</v>
      </c>
      <c r="I403" s="12" t="s">
        <v>1586</v>
      </c>
    </row>
    <row r="404" spans="1:9">
      <c r="A404" s="12" t="s">
        <v>1145</v>
      </c>
      <c r="B404" s="12" t="s">
        <v>1146</v>
      </c>
      <c r="C404" s="12" t="s">
        <v>48</v>
      </c>
      <c r="D404" s="12" t="s">
        <v>1585</v>
      </c>
      <c r="E404" s="12">
        <v>19</v>
      </c>
      <c r="F404" s="12">
        <v>0</v>
      </c>
      <c r="G404" s="12">
        <v>1</v>
      </c>
      <c r="H404" s="12">
        <v>0</v>
      </c>
      <c r="I404" s="12" t="s">
        <v>1586</v>
      </c>
    </row>
    <row r="405" spans="1:9">
      <c r="A405" s="12" t="s">
        <v>1000</v>
      </c>
      <c r="B405" s="12" t="s">
        <v>1001</v>
      </c>
      <c r="C405" s="12" t="s">
        <v>577</v>
      </c>
      <c r="D405" s="12" t="s">
        <v>1585</v>
      </c>
      <c r="E405" s="12">
        <v>18</v>
      </c>
      <c r="F405" s="12">
        <v>0</v>
      </c>
      <c r="G405" s="12">
        <v>2</v>
      </c>
      <c r="H405" s="12">
        <v>0</v>
      </c>
      <c r="I405" s="12" t="s">
        <v>1586</v>
      </c>
    </row>
    <row r="406" spans="1:9">
      <c r="A406" s="12" t="s">
        <v>1023</v>
      </c>
      <c r="B406" s="12" t="s">
        <v>1024</v>
      </c>
      <c r="C406" s="12" t="s">
        <v>41</v>
      </c>
      <c r="D406" s="12" t="s">
        <v>1585</v>
      </c>
      <c r="E406" s="12">
        <v>11</v>
      </c>
      <c r="F406" s="12">
        <v>0</v>
      </c>
      <c r="G406" s="12">
        <v>9</v>
      </c>
      <c r="H406" s="12">
        <v>0</v>
      </c>
      <c r="I406" s="12" t="s">
        <v>1586</v>
      </c>
    </row>
    <row r="407" spans="1:9">
      <c r="A407" s="12" t="s">
        <v>811</v>
      </c>
      <c r="B407" s="12" t="s">
        <v>812</v>
      </c>
      <c r="C407" s="12" t="s">
        <v>19</v>
      </c>
      <c r="D407" s="12" t="s">
        <v>1585</v>
      </c>
      <c r="E407" s="12">
        <v>18.5</v>
      </c>
      <c r="F407" s="12">
        <v>0</v>
      </c>
      <c r="G407" s="12">
        <v>1.5</v>
      </c>
      <c r="H407" s="12">
        <v>0</v>
      </c>
      <c r="I407" s="12" t="s">
        <v>1586</v>
      </c>
    </row>
    <row r="408" spans="1:9">
      <c r="A408" s="12" t="s">
        <v>1464</v>
      </c>
      <c r="B408" s="12" t="s">
        <v>1465</v>
      </c>
      <c r="C408" s="12" t="s">
        <v>49</v>
      </c>
      <c r="D408" s="12" t="s">
        <v>1585</v>
      </c>
      <c r="E408" s="12">
        <v>0</v>
      </c>
      <c r="F408" s="12">
        <v>3</v>
      </c>
      <c r="G408" s="12">
        <v>0</v>
      </c>
      <c r="H408" s="12">
        <v>17</v>
      </c>
      <c r="I408" s="12" t="s">
        <v>1586</v>
      </c>
    </row>
    <row r="409" spans="1:9">
      <c r="A409" s="12" t="s">
        <v>523</v>
      </c>
      <c r="B409" s="12" t="s">
        <v>524</v>
      </c>
      <c r="C409" s="12" t="s">
        <v>4</v>
      </c>
      <c r="D409" s="12" t="s">
        <v>1585</v>
      </c>
      <c r="E409" s="12">
        <v>19</v>
      </c>
      <c r="F409" s="12">
        <v>0</v>
      </c>
      <c r="G409" s="12">
        <v>1</v>
      </c>
      <c r="H409" s="12">
        <v>0</v>
      </c>
      <c r="I409" s="12" t="s">
        <v>1586</v>
      </c>
    </row>
    <row r="410" spans="1:9">
      <c r="A410" s="12" t="s">
        <v>1339</v>
      </c>
      <c r="B410" s="12" t="s">
        <v>1340</v>
      </c>
      <c r="C410" s="12" t="s">
        <v>53</v>
      </c>
      <c r="D410" s="12" t="s">
        <v>1585</v>
      </c>
      <c r="E410" s="12">
        <v>10</v>
      </c>
      <c r="F410" s="12">
        <v>2</v>
      </c>
      <c r="G410" s="12">
        <v>1.5</v>
      </c>
      <c r="H410" s="12">
        <v>6.5</v>
      </c>
      <c r="I410" s="12" t="s">
        <v>1586</v>
      </c>
    </row>
    <row r="411" spans="1:9">
      <c r="A411" s="12" t="s">
        <v>1410</v>
      </c>
      <c r="B411" s="12" t="s">
        <v>1411</v>
      </c>
      <c r="C411" s="12" t="s">
        <v>32</v>
      </c>
      <c r="D411" s="12" t="s">
        <v>1585</v>
      </c>
      <c r="E411" s="12">
        <v>16</v>
      </c>
      <c r="F411" s="12">
        <v>0</v>
      </c>
      <c r="G411" s="12">
        <v>4</v>
      </c>
      <c r="H411" s="12">
        <v>0</v>
      </c>
      <c r="I411" s="12" t="s">
        <v>1586</v>
      </c>
    </row>
    <row r="412" spans="1:9">
      <c r="A412" s="12" t="s">
        <v>354</v>
      </c>
      <c r="B412" s="12" t="s">
        <v>355</v>
      </c>
      <c r="C412" s="12" t="s">
        <v>61</v>
      </c>
      <c r="D412" s="12" t="s">
        <v>1585</v>
      </c>
      <c r="E412" s="12">
        <v>20</v>
      </c>
      <c r="F412" s="12">
        <v>0</v>
      </c>
      <c r="G412" s="12">
        <v>0</v>
      </c>
      <c r="H412" s="12">
        <v>0</v>
      </c>
      <c r="I412" s="12" t="s">
        <v>1586</v>
      </c>
    </row>
    <row r="413" spans="1:9">
      <c r="A413" s="12" t="s">
        <v>1147</v>
      </c>
      <c r="B413" s="12" t="s">
        <v>1148</v>
      </c>
      <c r="C413" s="12" t="s">
        <v>48</v>
      </c>
      <c r="D413" s="12" t="s">
        <v>1585</v>
      </c>
      <c r="E413" s="12">
        <v>19</v>
      </c>
      <c r="F413" s="12">
        <v>1</v>
      </c>
      <c r="G413" s="12">
        <v>0</v>
      </c>
      <c r="H413" s="12">
        <v>0</v>
      </c>
      <c r="I413" s="12" t="s">
        <v>1586</v>
      </c>
    </row>
    <row r="414" spans="1:9">
      <c r="A414" s="12" t="s">
        <v>556</v>
      </c>
      <c r="B414" s="12" t="s">
        <v>557</v>
      </c>
      <c r="C414" s="12" t="s">
        <v>49</v>
      </c>
      <c r="D414" s="12" t="s">
        <v>1585</v>
      </c>
      <c r="E414" s="12">
        <v>20</v>
      </c>
      <c r="F414" s="12">
        <v>0</v>
      </c>
      <c r="G414" s="12">
        <v>0</v>
      </c>
      <c r="H414" s="12">
        <v>0</v>
      </c>
      <c r="I414" s="12" t="s">
        <v>1586</v>
      </c>
    </row>
    <row r="415" spans="1:9">
      <c r="A415" s="12" t="s">
        <v>505</v>
      </c>
      <c r="B415" s="12" t="s">
        <v>506</v>
      </c>
      <c r="C415" s="12" t="s">
        <v>4</v>
      </c>
      <c r="D415" s="12" t="s">
        <v>1585</v>
      </c>
      <c r="E415" s="12">
        <v>20</v>
      </c>
      <c r="F415" s="12">
        <v>0</v>
      </c>
      <c r="G415" s="12">
        <v>0</v>
      </c>
      <c r="H415" s="12">
        <v>0</v>
      </c>
      <c r="I415" s="12" t="s">
        <v>1586</v>
      </c>
    </row>
    <row r="416" spans="1:9">
      <c r="A416" s="12" t="s">
        <v>1217</v>
      </c>
      <c r="B416" s="12" t="s">
        <v>1218</v>
      </c>
      <c r="C416" s="12" t="s">
        <v>22</v>
      </c>
      <c r="D416" s="12" t="s">
        <v>1585</v>
      </c>
      <c r="E416" s="12">
        <v>20</v>
      </c>
      <c r="F416" s="12">
        <v>0</v>
      </c>
      <c r="G416" s="12">
        <v>0</v>
      </c>
      <c r="H416" s="12">
        <v>0</v>
      </c>
      <c r="I416" s="12" t="s">
        <v>1586</v>
      </c>
    </row>
    <row r="417" spans="1:9">
      <c r="A417" s="12" t="s">
        <v>1490</v>
      </c>
      <c r="B417" s="12" t="s">
        <v>1491</v>
      </c>
      <c r="C417" s="12" t="s">
        <v>26</v>
      </c>
      <c r="D417" s="12" t="s">
        <v>1585</v>
      </c>
      <c r="E417" s="12">
        <v>13</v>
      </c>
      <c r="F417" s="12">
        <v>0</v>
      </c>
      <c r="G417" s="12">
        <v>7</v>
      </c>
      <c r="H417" s="12">
        <v>0</v>
      </c>
      <c r="I417" s="12" t="s">
        <v>1586</v>
      </c>
    </row>
    <row r="418" spans="1:9">
      <c r="A418" s="12" t="s">
        <v>845</v>
      </c>
      <c r="B418" s="12" t="s">
        <v>846</v>
      </c>
      <c r="C418" s="12" t="s">
        <v>12</v>
      </c>
      <c r="D418" s="12" t="s">
        <v>1585</v>
      </c>
      <c r="E418" s="12">
        <v>19.5</v>
      </c>
      <c r="F418" s="12">
        <v>0</v>
      </c>
      <c r="G418" s="12">
        <v>0.5</v>
      </c>
      <c r="H418" s="12">
        <v>0</v>
      </c>
      <c r="I418" s="12" t="s">
        <v>1586</v>
      </c>
    </row>
    <row r="419" spans="1:9">
      <c r="A419" s="12" t="s">
        <v>1482</v>
      </c>
      <c r="B419" s="12" t="s">
        <v>1483</v>
      </c>
      <c r="C419" s="12" t="s">
        <v>26</v>
      </c>
      <c r="D419" s="12" t="s">
        <v>1585</v>
      </c>
      <c r="E419" s="12">
        <v>0</v>
      </c>
      <c r="F419" s="12">
        <v>0</v>
      </c>
      <c r="G419" s="12">
        <v>6</v>
      </c>
      <c r="H419" s="12">
        <v>14</v>
      </c>
      <c r="I419" s="12" t="s">
        <v>1586</v>
      </c>
    </row>
    <row r="420" spans="1:9">
      <c r="A420" s="12" t="s">
        <v>384</v>
      </c>
      <c r="B420" s="12" t="s">
        <v>385</v>
      </c>
      <c r="C420" s="12" t="s">
        <v>64</v>
      </c>
      <c r="D420" s="12" t="s">
        <v>1585</v>
      </c>
      <c r="E420" s="12">
        <v>6</v>
      </c>
      <c r="F420" s="12">
        <v>10</v>
      </c>
      <c r="G420" s="12">
        <v>4</v>
      </c>
      <c r="H420" s="12">
        <v>0</v>
      </c>
      <c r="I420" s="12" t="s">
        <v>1586</v>
      </c>
    </row>
    <row r="421" spans="1:9">
      <c r="A421" s="12" t="s">
        <v>316</v>
      </c>
      <c r="B421" s="12" t="s">
        <v>317</v>
      </c>
      <c r="C421" s="12" t="s">
        <v>17</v>
      </c>
      <c r="D421" s="12" t="s">
        <v>1585</v>
      </c>
      <c r="E421" s="12">
        <v>20</v>
      </c>
      <c r="F421" s="12">
        <v>0</v>
      </c>
      <c r="G421" s="12">
        <v>0</v>
      </c>
      <c r="H421" s="12">
        <v>0</v>
      </c>
      <c r="I421" s="12" t="s">
        <v>1586</v>
      </c>
    </row>
    <row r="422" spans="1:9">
      <c r="A422" s="12" t="s">
        <v>332</v>
      </c>
      <c r="B422" s="12" t="s">
        <v>333</v>
      </c>
      <c r="C422" s="12" t="s">
        <v>64</v>
      </c>
      <c r="D422" s="12" t="s">
        <v>1585</v>
      </c>
      <c r="E422" s="12">
        <v>15</v>
      </c>
      <c r="F422" s="12">
        <v>0</v>
      </c>
      <c r="G422" s="12">
        <v>5</v>
      </c>
      <c r="H422" s="12">
        <v>0</v>
      </c>
      <c r="I422" s="12" t="s">
        <v>1586</v>
      </c>
    </row>
    <row r="423" spans="1:9">
      <c r="A423" s="12" t="s">
        <v>1540</v>
      </c>
      <c r="B423" s="12" t="s">
        <v>1541</v>
      </c>
      <c r="C423" s="12" t="s">
        <v>85</v>
      </c>
      <c r="D423" s="12" t="s">
        <v>1585</v>
      </c>
      <c r="E423" s="12">
        <v>20</v>
      </c>
      <c r="F423" s="12">
        <v>0</v>
      </c>
      <c r="G423" s="12">
        <v>0</v>
      </c>
      <c r="H423" s="12">
        <v>0</v>
      </c>
      <c r="I423" s="12" t="s">
        <v>1586</v>
      </c>
    </row>
    <row r="424" spans="1:9">
      <c r="A424" s="12" t="s">
        <v>716</v>
      </c>
      <c r="B424" s="12" t="s">
        <v>717</v>
      </c>
      <c r="C424" s="12" t="s">
        <v>75</v>
      </c>
      <c r="D424" s="12" t="s">
        <v>1585</v>
      </c>
      <c r="E424" s="12">
        <v>0</v>
      </c>
      <c r="F424" s="12">
        <v>17</v>
      </c>
      <c r="G424" s="12">
        <v>3</v>
      </c>
      <c r="H424" s="12">
        <v>0</v>
      </c>
      <c r="I424" s="12" t="s">
        <v>1586</v>
      </c>
    </row>
    <row r="425" spans="1:9">
      <c r="A425" s="12" t="s">
        <v>318</v>
      </c>
      <c r="B425" s="12" t="s">
        <v>319</v>
      </c>
      <c r="C425" s="12" t="s">
        <v>17</v>
      </c>
      <c r="D425" s="12" t="s">
        <v>1585</v>
      </c>
      <c r="E425" s="12">
        <v>0</v>
      </c>
      <c r="F425" s="12">
        <v>19</v>
      </c>
      <c r="G425" s="12">
        <v>1</v>
      </c>
      <c r="H425" s="12">
        <v>0</v>
      </c>
      <c r="I425" s="12" t="s">
        <v>1586</v>
      </c>
    </row>
    <row r="426" spans="1:9">
      <c r="A426" s="12" t="s">
        <v>1377</v>
      </c>
      <c r="B426" s="12" t="s">
        <v>1378</v>
      </c>
      <c r="C426" s="12" t="s">
        <v>78</v>
      </c>
      <c r="D426" s="12" t="s">
        <v>1585</v>
      </c>
      <c r="E426" s="12">
        <v>20</v>
      </c>
      <c r="F426" s="12">
        <v>0</v>
      </c>
      <c r="G426" s="12">
        <v>0</v>
      </c>
      <c r="H426" s="12">
        <v>0</v>
      </c>
      <c r="I426" s="12" t="s">
        <v>1586</v>
      </c>
    </row>
    <row r="427" spans="1:9">
      <c r="A427" s="12" t="s">
        <v>467</v>
      </c>
      <c r="B427" s="12" t="s">
        <v>468</v>
      </c>
      <c r="C427" s="12" t="s">
        <v>21</v>
      </c>
      <c r="D427" s="12" t="s">
        <v>1585</v>
      </c>
      <c r="E427" s="12">
        <v>15</v>
      </c>
      <c r="F427" s="12">
        <v>0</v>
      </c>
      <c r="G427" s="12">
        <v>0</v>
      </c>
      <c r="H427" s="12">
        <v>5</v>
      </c>
      <c r="I427" s="12" t="s">
        <v>1586</v>
      </c>
    </row>
    <row r="428" spans="1:9">
      <c r="A428" s="12" t="s">
        <v>186</v>
      </c>
      <c r="B428" s="12" t="s">
        <v>187</v>
      </c>
      <c r="C428" s="12" t="s">
        <v>47</v>
      </c>
      <c r="D428" s="12" t="s">
        <v>1585</v>
      </c>
      <c r="E428" s="12">
        <v>19.5</v>
      </c>
      <c r="F428" s="12">
        <v>0</v>
      </c>
      <c r="G428" s="12">
        <v>0.5</v>
      </c>
      <c r="H428" s="12">
        <v>0</v>
      </c>
      <c r="I428" s="12" t="s">
        <v>1586</v>
      </c>
    </row>
    <row r="429" spans="1:9">
      <c r="A429" s="12" t="s">
        <v>1313</v>
      </c>
      <c r="B429" s="12" t="s">
        <v>1314</v>
      </c>
      <c r="C429" s="12" t="s">
        <v>41</v>
      </c>
      <c r="D429" s="12" t="s">
        <v>1585</v>
      </c>
      <c r="E429" s="12">
        <v>20</v>
      </c>
      <c r="F429" s="12">
        <v>0</v>
      </c>
      <c r="G429" s="12">
        <v>0</v>
      </c>
      <c r="H429" s="12">
        <v>0</v>
      </c>
      <c r="I429" s="12" t="s">
        <v>1586</v>
      </c>
    </row>
    <row r="430" spans="1:9">
      <c r="A430" s="12" t="s">
        <v>1528</v>
      </c>
      <c r="B430" s="12" t="s">
        <v>1529</v>
      </c>
      <c r="C430" s="12" t="s">
        <v>4</v>
      </c>
      <c r="D430" s="12" t="s">
        <v>1585</v>
      </c>
      <c r="E430" s="12">
        <v>16</v>
      </c>
      <c r="F430" s="12">
        <v>0</v>
      </c>
      <c r="G430" s="12">
        <v>4</v>
      </c>
      <c r="H430" s="12">
        <v>0</v>
      </c>
      <c r="I430" s="12" t="s">
        <v>1586</v>
      </c>
    </row>
    <row r="431" spans="1:9">
      <c r="A431" s="12" t="s">
        <v>201</v>
      </c>
      <c r="B431" s="12" t="s">
        <v>202</v>
      </c>
      <c r="C431" s="12" t="s">
        <v>11</v>
      </c>
      <c r="D431" s="12" t="s">
        <v>1585</v>
      </c>
      <c r="E431" s="12">
        <v>20</v>
      </c>
      <c r="F431" s="12">
        <v>0</v>
      </c>
      <c r="G431" s="12">
        <v>0</v>
      </c>
      <c r="H431" s="12">
        <v>0</v>
      </c>
      <c r="I431" s="12" t="s">
        <v>1586</v>
      </c>
    </row>
    <row r="432" spans="1:9">
      <c r="A432" s="12" t="s">
        <v>714</v>
      </c>
      <c r="B432" s="12" t="s">
        <v>715</v>
      </c>
      <c r="C432" s="12" t="s">
        <v>75</v>
      </c>
      <c r="D432" s="12" t="s">
        <v>1585</v>
      </c>
      <c r="E432" s="12">
        <v>20</v>
      </c>
      <c r="F432" s="12">
        <v>0</v>
      </c>
      <c r="G432" s="12">
        <v>0</v>
      </c>
      <c r="H432" s="12">
        <v>0</v>
      </c>
      <c r="I432" s="12" t="s">
        <v>1586</v>
      </c>
    </row>
    <row r="433" spans="1:9">
      <c r="A433" s="12" t="s">
        <v>1305</v>
      </c>
      <c r="B433" s="12" t="s">
        <v>1306</v>
      </c>
      <c r="C433" s="12" t="s">
        <v>41</v>
      </c>
      <c r="D433" s="12" t="s">
        <v>1585</v>
      </c>
      <c r="E433" s="12">
        <v>13.5</v>
      </c>
      <c r="F433" s="12">
        <v>0</v>
      </c>
      <c r="G433" s="12">
        <v>6.5</v>
      </c>
      <c r="H433" s="12">
        <v>0</v>
      </c>
      <c r="I433" s="12" t="s">
        <v>1586</v>
      </c>
    </row>
    <row r="434" spans="1:9">
      <c r="A434" s="12" t="s">
        <v>730</v>
      </c>
      <c r="B434" s="12" t="s">
        <v>731</v>
      </c>
      <c r="C434" s="12" t="s">
        <v>25</v>
      </c>
      <c r="D434" s="12" t="s">
        <v>1585</v>
      </c>
      <c r="E434" s="12">
        <v>10</v>
      </c>
      <c r="F434" s="12">
        <v>0</v>
      </c>
      <c r="G434" s="12">
        <v>0</v>
      </c>
      <c r="H434" s="12">
        <v>10</v>
      </c>
      <c r="I434" s="12" t="s">
        <v>1586</v>
      </c>
    </row>
    <row r="435" spans="1:9">
      <c r="A435" s="12" t="s">
        <v>1119</v>
      </c>
      <c r="B435" s="12" t="s">
        <v>1120</v>
      </c>
      <c r="C435" s="12" t="s">
        <v>73</v>
      </c>
      <c r="D435" s="12" t="s">
        <v>1585</v>
      </c>
      <c r="E435" s="12">
        <v>16.5</v>
      </c>
      <c r="F435" s="12">
        <v>0</v>
      </c>
      <c r="G435" s="12">
        <v>3.5</v>
      </c>
      <c r="H435" s="12">
        <v>0</v>
      </c>
      <c r="I435" s="12" t="s">
        <v>1586</v>
      </c>
    </row>
    <row r="436" spans="1:9">
      <c r="A436" s="12" t="s">
        <v>510</v>
      </c>
      <c r="B436" s="12" t="s">
        <v>511</v>
      </c>
      <c r="C436" s="12" t="s">
        <v>4</v>
      </c>
      <c r="D436" s="12" t="s">
        <v>1585</v>
      </c>
      <c r="E436" s="12">
        <v>0</v>
      </c>
      <c r="F436" s="12">
        <v>0</v>
      </c>
      <c r="G436" s="12">
        <v>0</v>
      </c>
      <c r="H436" s="12">
        <v>7</v>
      </c>
      <c r="I436" s="12" t="s">
        <v>1586</v>
      </c>
    </row>
    <row r="437" spans="1:9">
      <c r="A437" s="12" t="s">
        <v>1516</v>
      </c>
      <c r="B437" s="12" t="s">
        <v>1517</v>
      </c>
      <c r="C437" s="12" t="s">
        <v>7</v>
      </c>
      <c r="D437" s="12" t="s">
        <v>1585</v>
      </c>
      <c r="E437" s="12">
        <v>0</v>
      </c>
      <c r="F437" s="12">
        <v>20</v>
      </c>
      <c r="G437" s="12">
        <v>0</v>
      </c>
      <c r="H437" s="12">
        <v>0</v>
      </c>
      <c r="I437" s="12" t="s">
        <v>1586</v>
      </c>
    </row>
    <row r="438" spans="1:9">
      <c r="A438" s="12" t="s">
        <v>804</v>
      </c>
      <c r="B438" s="12" t="s">
        <v>24</v>
      </c>
      <c r="C438" s="12" t="s">
        <v>16</v>
      </c>
      <c r="D438" s="12" t="s">
        <v>1585</v>
      </c>
      <c r="E438" s="12">
        <v>10</v>
      </c>
      <c r="F438" s="12">
        <v>10</v>
      </c>
      <c r="G438" s="12">
        <v>0</v>
      </c>
      <c r="H438" s="12">
        <v>0</v>
      </c>
      <c r="I438" s="12" t="s">
        <v>1586</v>
      </c>
    </row>
    <row r="439" spans="1:9">
      <c r="A439" s="12" t="s">
        <v>884</v>
      </c>
      <c r="B439" s="12" t="s">
        <v>885</v>
      </c>
      <c r="C439" s="12" t="s">
        <v>14</v>
      </c>
      <c r="D439" s="12" t="s">
        <v>1585</v>
      </c>
      <c r="E439" s="12">
        <v>20</v>
      </c>
      <c r="F439" s="12">
        <v>0</v>
      </c>
      <c r="G439" s="12">
        <v>0</v>
      </c>
      <c r="H439" s="12">
        <v>0</v>
      </c>
      <c r="I439" s="12" t="s">
        <v>1586</v>
      </c>
    </row>
    <row r="440" spans="1:9">
      <c r="A440" s="12" t="s">
        <v>1327</v>
      </c>
      <c r="B440" s="12" t="s">
        <v>1328</v>
      </c>
      <c r="C440" s="12" t="s">
        <v>59</v>
      </c>
      <c r="D440" s="12" t="s">
        <v>1585</v>
      </c>
      <c r="E440" s="12">
        <v>10</v>
      </c>
      <c r="F440" s="12">
        <v>8</v>
      </c>
      <c r="G440" s="12">
        <v>2</v>
      </c>
      <c r="H440" s="12">
        <v>0</v>
      </c>
      <c r="I440" s="12" t="s">
        <v>1586</v>
      </c>
    </row>
    <row r="441" spans="1:9">
      <c r="A441" s="12" t="s">
        <v>825</v>
      </c>
      <c r="B441" s="12" t="s">
        <v>826</v>
      </c>
      <c r="C441" s="12" t="s">
        <v>11</v>
      </c>
      <c r="D441" s="12" t="s">
        <v>1585</v>
      </c>
      <c r="E441" s="12">
        <v>7</v>
      </c>
      <c r="F441" s="12">
        <v>10</v>
      </c>
      <c r="G441" s="12">
        <v>1</v>
      </c>
      <c r="H441" s="12">
        <v>2</v>
      </c>
      <c r="I441" s="12" t="s">
        <v>1586</v>
      </c>
    </row>
    <row r="442" spans="1:9">
      <c r="A442" s="12" t="s">
        <v>1299</v>
      </c>
      <c r="B442" s="12" t="s">
        <v>1300</v>
      </c>
      <c r="C442" s="12" t="s">
        <v>41</v>
      </c>
      <c r="D442" s="12" t="s">
        <v>1585</v>
      </c>
      <c r="E442" s="12">
        <v>20</v>
      </c>
      <c r="F442" s="12">
        <v>0</v>
      </c>
      <c r="G442" s="12">
        <v>0</v>
      </c>
      <c r="H442" s="12">
        <v>0</v>
      </c>
      <c r="I442" s="12" t="s">
        <v>1586</v>
      </c>
    </row>
    <row r="443" spans="1:9">
      <c r="A443" s="12" t="s">
        <v>618</v>
      </c>
      <c r="B443" s="12" t="s">
        <v>619</v>
      </c>
      <c r="C443" s="12" t="s">
        <v>36</v>
      </c>
      <c r="D443" s="12" t="s">
        <v>1585</v>
      </c>
      <c r="E443" s="12">
        <v>13</v>
      </c>
      <c r="F443" s="12">
        <v>0</v>
      </c>
      <c r="G443" s="12">
        <v>7</v>
      </c>
      <c r="H443" s="12">
        <v>0</v>
      </c>
      <c r="I443" s="12" t="s">
        <v>1586</v>
      </c>
    </row>
    <row r="444" spans="1:9">
      <c r="A444" s="12" t="s">
        <v>221</v>
      </c>
      <c r="B444" s="12" t="s">
        <v>222</v>
      </c>
      <c r="C444" s="12" t="s">
        <v>52</v>
      </c>
      <c r="D444" s="12" t="s">
        <v>1585</v>
      </c>
      <c r="E444" s="12">
        <v>0</v>
      </c>
      <c r="F444" s="12">
        <v>20</v>
      </c>
      <c r="G444" s="12">
        <v>0</v>
      </c>
      <c r="H444" s="12">
        <v>0</v>
      </c>
      <c r="I444" s="12" t="s">
        <v>1586</v>
      </c>
    </row>
    <row r="445" spans="1:9">
      <c r="A445" s="12" t="s">
        <v>1508</v>
      </c>
      <c r="B445" s="12" t="s">
        <v>1509</v>
      </c>
      <c r="C445" s="12" t="s">
        <v>49</v>
      </c>
      <c r="D445" s="12" t="s">
        <v>1585</v>
      </c>
      <c r="E445" s="12">
        <v>10</v>
      </c>
      <c r="F445" s="12">
        <v>10</v>
      </c>
      <c r="G445" s="12">
        <v>0</v>
      </c>
      <c r="H445" s="12">
        <v>0</v>
      </c>
      <c r="I445" s="12" t="s">
        <v>1586</v>
      </c>
    </row>
    <row r="446" spans="1:9">
      <c r="A446" s="12" t="s">
        <v>726</v>
      </c>
      <c r="B446" s="12" t="s">
        <v>727</v>
      </c>
      <c r="C446" s="12" t="s">
        <v>25</v>
      </c>
      <c r="D446" s="12" t="s">
        <v>1585</v>
      </c>
      <c r="E446" s="12">
        <v>20</v>
      </c>
      <c r="F446" s="12">
        <v>0</v>
      </c>
      <c r="G446" s="12">
        <v>0</v>
      </c>
      <c r="H446" s="12">
        <v>0</v>
      </c>
      <c r="I446" s="12" t="s">
        <v>1586</v>
      </c>
    </row>
    <row r="447" spans="1:9">
      <c r="A447" s="12" t="s">
        <v>1192</v>
      </c>
      <c r="B447" s="12" t="s">
        <v>1193</v>
      </c>
      <c r="C447" s="12" t="s">
        <v>41</v>
      </c>
      <c r="D447" s="12" t="s">
        <v>1585</v>
      </c>
      <c r="E447" s="12">
        <v>10</v>
      </c>
      <c r="F447" s="12">
        <v>1</v>
      </c>
      <c r="G447" s="12">
        <v>0</v>
      </c>
      <c r="H447" s="12">
        <v>9</v>
      </c>
      <c r="I447" s="12" t="s">
        <v>1586</v>
      </c>
    </row>
    <row r="448" spans="1:9">
      <c r="A448" s="12" t="s">
        <v>1060</v>
      </c>
      <c r="B448" s="12" t="s">
        <v>1061</v>
      </c>
      <c r="C448" s="12" t="s">
        <v>7</v>
      </c>
      <c r="D448" s="12" t="s">
        <v>1585</v>
      </c>
      <c r="E448" s="12">
        <v>19</v>
      </c>
      <c r="F448" s="12">
        <v>0</v>
      </c>
      <c r="G448" s="12">
        <v>1</v>
      </c>
      <c r="H448" s="12">
        <v>0</v>
      </c>
      <c r="I448" s="12" t="s">
        <v>1586</v>
      </c>
    </row>
    <row r="449" spans="1:9">
      <c r="A449" s="12" t="s">
        <v>322</v>
      </c>
      <c r="B449" s="12" t="s">
        <v>323</v>
      </c>
      <c r="C449" s="12" t="s">
        <v>64</v>
      </c>
      <c r="D449" s="12" t="s">
        <v>1585</v>
      </c>
      <c r="E449" s="12">
        <v>20</v>
      </c>
      <c r="F449" s="12">
        <v>0</v>
      </c>
      <c r="G449" s="12">
        <v>0</v>
      </c>
      <c r="H449" s="12">
        <v>0</v>
      </c>
      <c r="I449" s="12" t="s">
        <v>1586</v>
      </c>
    </row>
    <row r="450" spans="1:9">
      <c r="A450" s="12" t="s">
        <v>413</v>
      </c>
      <c r="B450" s="12" t="s">
        <v>414</v>
      </c>
      <c r="C450" s="12" t="s">
        <v>21</v>
      </c>
      <c r="D450" s="12" t="s">
        <v>1585</v>
      </c>
      <c r="E450" s="12">
        <v>19</v>
      </c>
      <c r="F450" s="12">
        <v>0</v>
      </c>
      <c r="G450" s="12">
        <v>1</v>
      </c>
      <c r="H450" s="12">
        <v>0</v>
      </c>
      <c r="I450" s="12" t="s">
        <v>1586</v>
      </c>
    </row>
    <row r="451" spans="1:9">
      <c r="A451" s="12" t="s">
        <v>1484</v>
      </c>
      <c r="B451" s="12" t="s">
        <v>1485</v>
      </c>
      <c r="C451" s="12" t="s">
        <v>26</v>
      </c>
      <c r="D451" s="12" t="s">
        <v>1585</v>
      </c>
      <c r="E451" s="12">
        <v>20</v>
      </c>
      <c r="F451" s="12">
        <v>0</v>
      </c>
      <c r="G451" s="12">
        <v>0</v>
      </c>
      <c r="H451" s="12">
        <v>0</v>
      </c>
      <c r="I451" s="12" t="s">
        <v>1586</v>
      </c>
    </row>
    <row r="452" spans="1:9">
      <c r="A452" s="12" t="s">
        <v>240</v>
      </c>
      <c r="B452" s="12" t="s">
        <v>241</v>
      </c>
      <c r="C452" s="12" t="s">
        <v>62</v>
      </c>
      <c r="D452" s="12" t="s">
        <v>1585</v>
      </c>
      <c r="E452" s="12">
        <v>20</v>
      </c>
      <c r="F452" s="12">
        <v>0</v>
      </c>
      <c r="G452" s="12">
        <v>0</v>
      </c>
      <c r="H452" s="12">
        <v>0</v>
      </c>
      <c r="I452" s="12" t="s">
        <v>1586</v>
      </c>
    </row>
    <row r="453" spans="1:9">
      <c r="A453" s="12" t="s">
        <v>1297</v>
      </c>
      <c r="B453" s="12" t="s">
        <v>1298</v>
      </c>
      <c r="C453" s="12" t="s">
        <v>41</v>
      </c>
      <c r="D453" s="12" t="s">
        <v>1585</v>
      </c>
      <c r="E453" s="12">
        <v>20</v>
      </c>
      <c r="F453" s="12">
        <v>0</v>
      </c>
      <c r="G453" s="12">
        <v>0</v>
      </c>
      <c r="H453" s="12">
        <v>0</v>
      </c>
      <c r="I453" s="12" t="s">
        <v>1586</v>
      </c>
    </row>
    <row r="454" spans="1:9">
      <c r="A454" s="12" t="s">
        <v>817</v>
      </c>
      <c r="B454" s="12" t="s">
        <v>818</v>
      </c>
      <c r="C454" s="12" t="s">
        <v>19</v>
      </c>
      <c r="D454" s="12" t="s">
        <v>1585</v>
      </c>
      <c r="E454" s="12">
        <v>15</v>
      </c>
      <c r="F454" s="12">
        <v>0</v>
      </c>
      <c r="G454" s="12">
        <v>5</v>
      </c>
      <c r="H454" s="12">
        <v>0</v>
      </c>
      <c r="I454" s="12" t="s">
        <v>1586</v>
      </c>
    </row>
    <row r="455" spans="1:9">
      <c r="A455" s="12" t="s">
        <v>242</v>
      </c>
      <c r="B455" s="12" t="s">
        <v>243</v>
      </c>
      <c r="C455" s="12" t="s">
        <v>62</v>
      </c>
      <c r="D455" s="12" t="s">
        <v>1585</v>
      </c>
      <c r="E455" s="12">
        <v>20</v>
      </c>
      <c r="F455" s="12">
        <v>0</v>
      </c>
      <c r="G455" s="12">
        <v>0</v>
      </c>
      <c r="H455" s="12">
        <v>0</v>
      </c>
      <c r="I455" s="12" t="s">
        <v>1586</v>
      </c>
    </row>
    <row r="456" spans="1:9">
      <c r="A456" s="12" t="s">
        <v>1002</v>
      </c>
      <c r="B456" s="12" t="s">
        <v>1003</v>
      </c>
      <c r="C456" s="12" t="s">
        <v>577</v>
      </c>
      <c r="D456" s="12" t="s">
        <v>1585</v>
      </c>
      <c r="E456" s="12">
        <v>20</v>
      </c>
      <c r="F456" s="12">
        <v>0</v>
      </c>
      <c r="G456" s="12">
        <v>0</v>
      </c>
      <c r="H456" s="12">
        <v>0</v>
      </c>
      <c r="I456" s="12" t="s">
        <v>1586</v>
      </c>
    </row>
    <row r="457" spans="1:9">
      <c r="A457" s="12" t="s">
        <v>229</v>
      </c>
      <c r="B457" s="12" t="s">
        <v>230</v>
      </c>
      <c r="C457" s="12" t="s">
        <v>52</v>
      </c>
      <c r="D457" s="12" t="s">
        <v>1585</v>
      </c>
      <c r="E457" s="12">
        <v>0</v>
      </c>
      <c r="F457" s="12">
        <v>20</v>
      </c>
      <c r="G457" s="12">
        <v>0</v>
      </c>
      <c r="H457" s="12">
        <v>0</v>
      </c>
      <c r="I457" s="12" t="s">
        <v>1586</v>
      </c>
    </row>
    <row r="458" spans="1:9">
      <c r="A458" s="12" t="s">
        <v>1512</v>
      </c>
      <c r="B458" s="12" t="s">
        <v>1513</v>
      </c>
      <c r="C458" s="12" t="s">
        <v>86</v>
      </c>
      <c r="D458" s="12" t="s">
        <v>1585</v>
      </c>
      <c r="E458" s="12">
        <v>17</v>
      </c>
      <c r="F458" s="12">
        <v>0</v>
      </c>
      <c r="G458" s="12">
        <v>1</v>
      </c>
      <c r="H458" s="12">
        <v>2</v>
      </c>
      <c r="I458" s="12" t="s">
        <v>1586</v>
      </c>
    </row>
    <row r="459" spans="1:9">
      <c r="A459" s="12" t="s">
        <v>1037</v>
      </c>
      <c r="B459" s="12" t="s">
        <v>1038</v>
      </c>
      <c r="C459" s="12" t="s">
        <v>64</v>
      </c>
      <c r="D459" s="12" t="s">
        <v>1585</v>
      </c>
      <c r="E459" s="12">
        <v>20</v>
      </c>
      <c r="F459" s="12">
        <v>0</v>
      </c>
      <c r="G459" s="12">
        <v>0</v>
      </c>
      <c r="H459" s="12">
        <v>0</v>
      </c>
      <c r="I459" s="12" t="s">
        <v>1586</v>
      </c>
    </row>
    <row r="460" spans="1:9">
      <c r="A460" s="12" t="s">
        <v>564</v>
      </c>
      <c r="B460" s="12" t="s">
        <v>565</v>
      </c>
      <c r="C460" s="12" t="s">
        <v>33</v>
      </c>
      <c r="D460" s="12" t="s">
        <v>1585</v>
      </c>
      <c r="E460" s="12">
        <v>14</v>
      </c>
      <c r="F460" s="12">
        <v>4</v>
      </c>
      <c r="G460" s="12">
        <v>0</v>
      </c>
      <c r="H460" s="12">
        <v>2</v>
      </c>
      <c r="I460" s="12" t="s">
        <v>1586</v>
      </c>
    </row>
    <row r="461" spans="1:9">
      <c r="A461" s="12" t="s">
        <v>732</v>
      </c>
      <c r="B461" s="12" t="s">
        <v>733</v>
      </c>
      <c r="C461" s="12" t="s">
        <v>25</v>
      </c>
      <c r="D461" s="12" t="s">
        <v>1585</v>
      </c>
      <c r="E461" s="12">
        <v>9</v>
      </c>
      <c r="F461" s="12">
        <v>0</v>
      </c>
      <c r="G461" s="12">
        <v>2</v>
      </c>
      <c r="H461" s="12">
        <v>9</v>
      </c>
      <c r="I461" s="12" t="s">
        <v>1586</v>
      </c>
    </row>
    <row r="462" spans="1:9">
      <c r="A462" s="12" t="s">
        <v>1335</v>
      </c>
      <c r="B462" s="12" t="s">
        <v>1336</v>
      </c>
      <c r="C462" s="12" t="s">
        <v>59</v>
      </c>
      <c r="D462" s="12" t="s">
        <v>1585</v>
      </c>
      <c r="E462" s="12">
        <v>0</v>
      </c>
      <c r="F462" s="12">
        <v>20</v>
      </c>
      <c r="G462" s="12">
        <v>0</v>
      </c>
      <c r="H462" s="12">
        <v>0</v>
      </c>
      <c r="I462" s="12" t="s">
        <v>1586</v>
      </c>
    </row>
    <row r="463" spans="1:9">
      <c r="A463" s="12" t="s">
        <v>1070</v>
      </c>
      <c r="B463" s="12" t="s">
        <v>1071</v>
      </c>
      <c r="C463" s="12" t="s">
        <v>37</v>
      </c>
      <c r="D463" s="12" t="s">
        <v>1585</v>
      </c>
      <c r="E463" s="12">
        <v>18</v>
      </c>
      <c r="F463" s="12">
        <v>0</v>
      </c>
      <c r="G463" s="12">
        <v>2</v>
      </c>
      <c r="H463" s="12">
        <v>0</v>
      </c>
      <c r="I463" s="12" t="s">
        <v>1586</v>
      </c>
    </row>
    <row r="464" spans="1:9">
      <c r="A464" s="12" t="s">
        <v>184</v>
      </c>
      <c r="B464" s="12" t="s">
        <v>185</v>
      </c>
      <c r="C464" s="12" t="s">
        <v>47</v>
      </c>
      <c r="D464" s="12" t="s">
        <v>1585</v>
      </c>
      <c r="E464" s="12">
        <v>20</v>
      </c>
      <c r="F464" s="12">
        <v>0</v>
      </c>
      <c r="G464" s="12">
        <v>0</v>
      </c>
      <c r="H464" s="12">
        <v>0</v>
      </c>
      <c r="I464" s="12" t="s">
        <v>1586</v>
      </c>
    </row>
    <row r="465" spans="1:9">
      <c r="A465" s="12" t="s">
        <v>379</v>
      </c>
      <c r="B465" s="12" t="s">
        <v>380</v>
      </c>
      <c r="C465" s="12" t="s">
        <v>67</v>
      </c>
      <c r="D465" s="12" t="s">
        <v>1585</v>
      </c>
      <c r="E465" s="12">
        <v>16</v>
      </c>
      <c r="F465" s="12">
        <v>0</v>
      </c>
      <c r="G465" s="12">
        <v>4</v>
      </c>
      <c r="H465" s="12">
        <v>0</v>
      </c>
      <c r="I465" s="12" t="s">
        <v>1586</v>
      </c>
    </row>
    <row r="466" spans="1:9">
      <c r="A466" s="12" t="s">
        <v>1049</v>
      </c>
      <c r="B466" s="12" t="s">
        <v>1050</v>
      </c>
      <c r="C466" s="12" t="s">
        <v>44</v>
      </c>
      <c r="D466" s="12" t="s">
        <v>1585</v>
      </c>
      <c r="E466" s="12">
        <v>20</v>
      </c>
      <c r="F466" s="12">
        <v>0</v>
      </c>
      <c r="G466" s="12">
        <v>0</v>
      </c>
      <c r="H466" s="12">
        <v>0</v>
      </c>
      <c r="I466" s="12" t="s">
        <v>1586</v>
      </c>
    </row>
    <row r="467" spans="1:9">
      <c r="A467" s="12" t="s">
        <v>1457</v>
      </c>
      <c r="B467" s="12" t="s">
        <v>1458</v>
      </c>
      <c r="C467" s="12" t="s">
        <v>7</v>
      </c>
      <c r="D467" s="12" t="s">
        <v>1585</v>
      </c>
      <c r="E467" s="12">
        <v>0</v>
      </c>
      <c r="F467" s="12">
        <v>0</v>
      </c>
      <c r="G467" s="12">
        <v>19</v>
      </c>
      <c r="H467" s="12">
        <v>1</v>
      </c>
      <c r="I467" s="12" t="s">
        <v>1586</v>
      </c>
    </row>
    <row r="468" spans="1:9">
      <c r="A468" s="12" t="s">
        <v>1404</v>
      </c>
      <c r="B468" s="12" t="s">
        <v>1405</v>
      </c>
      <c r="C468" s="12" t="s">
        <v>95</v>
      </c>
      <c r="D468" s="12" t="s">
        <v>1585</v>
      </c>
      <c r="E468" s="12">
        <v>15</v>
      </c>
      <c r="F468" s="12">
        <v>0</v>
      </c>
      <c r="G468" s="12">
        <v>5</v>
      </c>
      <c r="H468" s="12">
        <v>0</v>
      </c>
      <c r="I468" s="12" t="s">
        <v>1586</v>
      </c>
    </row>
    <row r="469" spans="1:9">
      <c r="A469" s="12" t="s">
        <v>970</v>
      </c>
      <c r="B469" s="12" t="s">
        <v>971</v>
      </c>
      <c r="C469" s="12" t="s">
        <v>86</v>
      </c>
      <c r="D469" s="12" t="s">
        <v>1585</v>
      </c>
      <c r="E469" s="12">
        <v>18</v>
      </c>
      <c r="F469" s="12">
        <v>0</v>
      </c>
      <c r="G469" s="12">
        <v>0</v>
      </c>
      <c r="H469" s="12">
        <v>2</v>
      </c>
      <c r="I469" s="12" t="s">
        <v>1586</v>
      </c>
    </row>
    <row r="470" spans="1:9">
      <c r="A470" s="12" t="s">
        <v>964</v>
      </c>
      <c r="B470" s="12" t="s">
        <v>965</v>
      </c>
      <c r="C470" s="12" t="s">
        <v>5</v>
      </c>
      <c r="D470" s="12" t="s">
        <v>1585</v>
      </c>
      <c r="E470" s="12">
        <v>16</v>
      </c>
      <c r="F470" s="12">
        <v>0</v>
      </c>
      <c r="G470" s="12">
        <v>4</v>
      </c>
      <c r="H470" s="12">
        <v>0</v>
      </c>
      <c r="I470" s="12" t="s">
        <v>1586</v>
      </c>
    </row>
    <row r="471" spans="1:9">
      <c r="A471" s="12" t="s">
        <v>482</v>
      </c>
      <c r="B471" s="12" t="s">
        <v>483</v>
      </c>
      <c r="C471" s="12" t="s">
        <v>4</v>
      </c>
      <c r="D471" s="12" t="s">
        <v>1585</v>
      </c>
      <c r="E471" s="12">
        <v>17</v>
      </c>
      <c r="F471" s="12">
        <v>0</v>
      </c>
      <c r="G471" s="12">
        <v>2</v>
      </c>
      <c r="H471" s="12">
        <v>1</v>
      </c>
      <c r="I471" s="12" t="s">
        <v>1586</v>
      </c>
    </row>
    <row r="472" spans="1:9">
      <c r="A472" s="12" t="s">
        <v>372</v>
      </c>
      <c r="B472" s="12" t="s">
        <v>373</v>
      </c>
      <c r="C472" s="12" t="s">
        <v>37</v>
      </c>
      <c r="D472" s="12" t="s">
        <v>1585</v>
      </c>
      <c r="E472" s="12">
        <v>12.5</v>
      </c>
      <c r="F472" s="12">
        <v>0</v>
      </c>
      <c r="G472" s="12">
        <v>5</v>
      </c>
      <c r="H472" s="12">
        <v>2.5</v>
      </c>
      <c r="I472" s="12" t="s">
        <v>1586</v>
      </c>
    </row>
    <row r="473" spans="1:9">
      <c r="A473" s="12" t="s">
        <v>1450</v>
      </c>
      <c r="B473" s="12" t="s">
        <v>1451</v>
      </c>
      <c r="C473" s="12" t="s">
        <v>82</v>
      </c>
      <c r="D473" s="12" t="s">
        <v>1585</v>
      </c>
      <c r="E473" s="12">
        <v>12.5</v>
      </c>
      <c r="F473" s="12">
        <v>0</v>
      </c>
      <c r="G473" s="12">
        <v>7.5</v>
      </c>
      <c r="H473" s="12">
        <v>0</v>
      </c>
      <c r="I473" s="12" t="s">
        <v>1586</v>
      </c>
    </row>
    <row r="474" spans="1:9">
      <c r="A474" s="12" t="s">
        <v>514</v>
      </c>
      <c r="B474" s="12" t="s">
        <v>515</v>
      </c>
      <c r="C474" s="12" t="s">
        <v>4</v>
      </c>
      <c r="D474" s="12" t="s">
        <v>1585</v>
      </c>
      <c r="E474" s="12">
        <v>20</v>
      </c>
      <c r="F474" s="12">
        <v>0</v>
      </c>
      <c r="G474" s="12">
        <v>0</v>
      </c>
      <c r="H474" s="12">
        <v>0</v>
      </c>
      <c r="I474" s="12" t="s">
        <v>1586</v>
      </c>
    </row>
    <row r="475" spans="1:9">
      <c r="A475" s="12" t="s">
        <v>518</v>
      </c>
      <c r="B475" s="12" t="s">
        <v>519</v>
      </c>
      <c r="C475" s="12" t="s">
        <v>520</v>
      </c>
      <c r="D475" s="12" t="s">
        <v>1585</v>
      </c>
      <c r="E475" s="12">
        <v>11</v>
      </c>
      <c r="F475" s="12">
        <v>6</v>
      </c>
      <c r="G475" s="12">
        <v>3</v>
      </c>
      <c r="H475" s="12">
        <v>0</v>
      </c>
      <c r="I475" s="12" t="s">
        <v>1586</v>
      </c>
    </row>
    <row r="476" spans="1:9">
      <c r="A476" s="12" t="s">
        <v>401</v>
      </c>
      <c r="B476" s="12" t="s">
        <v>402</v>
      </c>
      <c r="C476" s="12" t="s">
        <v>21</v>
      </c>
      <c r="D476" s="12" t="s">
        <v>1585</v>
      </c>
      <c r="E476" s="12">
        <v>20</v>
      </c>
      <c r="F476" s="12">
        <v>0</v>
      </c>
      <c r="G476" s="12">
        <v>0</v>
      </c>
      <c r="H476" s="12">
        <v>0</v>
      </c>
      <c r="I476" s="12" t="s">
        <v>1586</v>
      </c>
    </row>
    <row r="477" spans="1:9">
      <c r="A477" s="12" t="s">
        <v>474</v>
      </c>
      <c r="B477" s="12" t="s">
        <v>475</v>
      </c>
      <c r="C477" s="12" t="s">
        <v>50</v>
      </c>
      <c r="D477" s="12" t="s">
        <v>1585</v>
      </c>
      <c r="E477" s="12">
        <v>19</v>
      </c>
      <c r="F477" s="12">
        <v>1</v>
      </c>
      <c r="G477" s="12">
        <v>0</v>
      </c>
      <c r="H477" s="12">
        <v>0</v>
      </c>
      <c r="I477" s="12" t="s">
        <v>1586</v>
      </c>
    </row>
    <row r="478" spans="1:9">
      <c r="A478" s="12" t="s">
        <v>1167</v>
      </c>
      <c r="B478" s="12" t="s">
        <v>1168</v>
      </c>
      <c r="C478" s="12" t="s">
        <v>44</v>
      </c>
      <c r="D478" s="12" t="s">
        <v>1585</v>
      </c>
      <c r="E478" s="12">
        <v>20</v>
      </c>
      <c r="F478" s="12">
        <v>0</v>
      </c>
      <c r="G478" s="12">
        <v>0</v>
      </c>
      <c r="H478" s="12">
        <v>0</v>
      </c>
      <c r="I478" s="12" t="s">
        <v>1586</v>
      </c>
    </row>
    <row r="479" spans="1:9">
      <c r="A479" s="12" t="s">
        <v>728</v>
      </c>
      <c r="B479" s="12" t="s">
        <v>729</v>
      </c>
      <c r="C479" s="12" t="s">
        <v>25</v>
      </c>
      <c r="D479" s="12" t="s">
        <v>1585</v>
      </c>
      <c r="E479" s="12">
        <v>20</v>
      </c>
      <c r="F479" s="12">
        <v>0</v>
      </c>
      <c r="G479" s="12">
        <v>0</v>
      </c>
      <c r="H479" s="12">
        <v>0</v>
      </c>
      <c r="I479" s="12" t="s">
        <v>1586</v>
      </c>
    </row>
    <row r="480" spans="1:9">
      <c r="A480" s="12" t="s">
        <v>833</v>
      </c>
      <c r="B480" s="12" t="s">
        <v>834</v>
      </c>
      <c r="C480" s="12" t="s">
        <v>52</v>
      </c>
      <c r="D480" s="12" t="s">
        <v>1585</v>
      </c>
      <c r="E480" s="12">
        <v>20</v>
      </c>
      <c r="F480" s="12">
        <v>0</v>
      </c>
      <c r="G480" s="12">
        <v>0</v>
      </c>
      <c r="H480" s="12">
        <v>0</v>
      </c>
      <c r="I480" s="12" t="s">
        <v>1586</v>
      </c>
    </row>
    <row r="481" spans="1:9">
      <c r="A481" s="12" t="s">
        <v>213</v>
      </c>
      <c r="B481" s="12" t="s">
        <v>214</v>
      </c>
      <c r="C481" s="12" t="s">
        <v>11</v>
      </c>
      <c r="D481" s="12" t="s">
        <v>1585</v>
      </c>
      <c r="E481" s="12">
        <v>18</v>
      </c>
      <c r="F481" s="12">
        <v>0</v>
      </c>
      <c r="G481" s="12">
        <v>2</v>
      </c>
      <c r="H481" s="12">
        <v>0</v>
      </c>
      <c r="I481" s="12" t="s">
        <v>1586</v>
      </c>
    </row>
    <row r="482" spans="1:9">
      <c r="A482" s="12" t="s">
        <v>835</v>
      </c>
      <c r="B482" s="12" t="s">
        <v>836</v>
      </c>
      <c r="C482" s="12" t="s">
        <v>62</v>
      </c>
      <c r="D482" s="12" t="s">
        <v>1585</v>
      </c>
      <c r="E482" s="12">
        <v>10</v>
      </c>
      <c r="F482" s="12">
        <v>10</v>
      </c>
      <c r="G482" s="12">
        <v>0</v>
      </c>
      <c r="H482" s="12">
        <v>0</v>
      </c>
      <c r="I482" s="12" t="s">
        <v>1586</v>
      </c>
    </row>
    <row r="483" spans="1:9">
      <c r="A483" s="12" t="s">
        <v>227</v>
      </c>
      <c r="B483" s="12" t="s">
        <v>228</v>
      </c>
      <c r="C483" s="12" t="s">
        <v>52</v>
      </c>
      <c r="D483" s="12" t="s">
        <v>1585</v>
      </c>
      <c r="E483" s="12">
        <v>20</v>
      </c>
      <c r="F483" s="12">
        <v>0</v>
      </c>
      <c r="G483" s="12">
        <v>0</v>
      </c>
      <c r="H483" s="12">
        <v>0</v>
      </c>
      <c r="I483" s="12" t="s">
        <v>1586</v>
      </c>
    </row>
    <row r="484" spans="1:9">
      <c r="A484" s="12" t="s">
        <v>1333</v>
      </c>
      <c r="B484" s="12" t="s">
        <v>1334</v>
      </c>
      <c r="C484" s="12" t="s">
        <v>59</v>
      </c>
      <c r="D484" s="12" t="s">
        <v>1585</v>
      </c>
      <c r="E484" s="12">
        <v>20</v>
      </c>
      <c r="F484" s="12">
        <v>0</v>
      </c>
      <c r="G484" s="12">
        <v>0</v>
      </c>
      <c r="H484" s="12">
        <v>0</v>
      </c>
      <c r="I484" s="12" t="s">
        <v>1586</v>
      </c>
    </row>
    <row r="485" spans="1:9">
      <c r="A485" s="12" t="s">
        <v>898</v>
      </c>
      <c r="B485" s="12" t="s">
        <v>899</v>
      </c>
      <c r="C485" s="12" t="s">
        <v>18</v>
      </c>
      <c r="D485" s="12" t="s">
        <v>1585</v>
      </c>
      <c r="E485" s="12">
        <v>10</v>
      </c>
      <c r="F485" s="12">
        <v>0</v>
      </c>
      <c r="G485" s="12">
        <v>1</v>
      </c>
      <c r="H485" s="12">
        <v>9</v>
      </c>
      <c r="I485" s="12" t="s">
        <v>1586</v>
      </c>
    </row>
    <row r="486" spans="1:9">
      <c r="A486" s="12" t="s">
        <v>177</v>
      </c>
      <c r="B486" s="12" t="s">
        <v>178</v>
      </c>
      <c r="C486" s="12" t="s">
        <v>47</v>
      </c>
      <c r="D486" s="12" t="s">
        <v>1585</v>
      </c>
      <c r="E486" s="12">
        <v>0</v>
      </c>
      <c r="F486" s="12">
        <v>20</v>
      </c>
      <c r="G486" s="12">
        <v>0</v>
      </c>
      <c r="H486" s="12">
        <v>0</v>
      </c>
      <c r="I486" s="12" t="s">
        <v>1586</v>
      </c>
    </row>
    <row r="487" spans="1:9">
      <c r="A487" s="12" t="s">
        <v>782</v>
      </c>
      <c r="B487" s="12" t="s">
        <v>783</v>
      </c>
      <c r="C487" s="12" t="s">
        <v>50</v>
      </c>
      <c r="D487" s="12" t="s">
        <v>1585</v>
      </c>
      <c r="E487" s="12">
        <v>19</v>
      </c>
      <c r="F487" s="12">
        <v>0</v>
      </c>
      <c r="G487" s="12">
        <v>1</v>
      </c>
      <c r="H487" s="12">
        <v>0</v>
      </c>
      <c r="I487" s="12" t="s">
        <v>1586</v>
      </c>
    </row>
    <row r="488" spans="1:9">
      <c r="A488" s="12" t="s">
        <v>324</v>
      </c>
      <c r="B488" s="12" t="s">
        <v>325</v>
      </c>
      <c r="C488" s="12" t="s">
        <v>64</v>
      </c>
      <c r="D488" s="12" t="s">
        <v>1585</v>
      </c>
      <c r="E488" s="12">
        <v>0</v>
      </c>
      <c r="F488" s="12">
        <v>20</v>
      </c>
      <c r="G488" s="12">
        <v>0</v>
      </c>
      <c r="H488" s="12">
        <v>0</v>
      </c>
      <c r="I488" s="12" t="s">
        <v>1586</v>
      </c>
    </row>
    <row r="489" spans="1:9">
      <c r="A489" s="12" t="s">
        <v>740</v>
      </c>
      <c r="B489" s="12" t="s">
        <v>741</v>
      </c>
      <c r="C489" s="12" t="s">
        <v>91</v>
      </c>
      <c r="D489" s="12" t="s">
        <v>1585</v>
      </c>
      <c r="E489" s="12">
        <v>15.5</v>
      </c>
      <c r="F489" s="12">
        <v>0</v>
      </c>
      <c r="G489" s="12">
        <v>4.5</v>
      </c>
      <c r="H489" s="12">
        <v>0</v>
      </c>
      <c r="I489" s="12" t="s">
        <v>1586</v>
      </c>
    </row>
    <row r="490" spans="1:9">
      <c r="A490" s="12" t="s">
        <v>269</v>
      </c>
      <c r="B490" s="12" t="s">
        <v>270</v>
      </c>
      <c r="C490" s="12" t="s">
        <v>84</v>
      </c>
      <c r="D490" s="12" t="s">
        <v>1585</v>
      </c>
      <c r="E490" s="12">
        <v>14</v>
      </c>
      <c r="F490" s="12">
        <v>0</v>
      </c>
      <c r="G490" s="12">
        <v>6</v>
      </c>
      <c r="H490" s="12">
        <v>0</v>
      </c>
      <c r="I490" s="12" t="s">
        <v>1586</v>
      </c>
    </row>
    <row r="491" spans="1:9">
      <c r="A491" s="12" t="s">
        <v>1272</v>
      </c>
      <c r="B491" s="12" t="s">
        <v>1273</v>
      </c>
      <c r="C491" s="12" t="s">
        <v>27</v>
      </c>
      <c r="D491" s="12" t="s">
        <v>1585</v>
      </c>
      <c r="E491" s="12">
        <v>8</v>
      </c>
      <c r="F491" s="12">
        <v>0</v>
      </c>
      <c r="G491" s="12">
        <v>5</v>
      </c>
      <c r="H491" s="12">
        <v>7</v>
      </c>
      <c r="I491" s="12" t="s">
        <v>1586</v>
      </c>
    </row>
    <row r="492" spans="1:9">
      <c r="A492" s="12" t="s">
        <v>484</v>
      </c>
      <c r="B492" s="12" t="s">
        <v>485</v>
      </c>
      <c r="C492" s="12" t="s">
        <v>33</v>
      </c>
      <c r="D492" s="12" t="s">
        <v>1585</v>
      </c>
      <c r="E492" s="12">
        <v>15</v>
      </c>
      <c r="F492" s="12">
        <v>0</v>
      </c>
      <c r="G492" s="12">
        <v>5</v>
      </c>
      <c r="H492" s="12">
        <v>0</v>
      </c>
      <c r="I492" s="12" t="s">
        <v>1586</v>
      </c>
    </row>
    <row r="493" spans="1:9">
      <c r="A493" s="12" t="s">
        <v>738</v>
      </c>
      <c r="B493" s="12" t="s">
        <v>739</v>
      </c>
      <c r="C493" s="12" t="s">
        <v>72</v>
      </c>
      <c r="D493" s="12" t="s">
        <v>1585</v>
      </c>
      <c r="E493" s="12">
        <v>0</v>
      </c>
      <c r="F493" s="12">
        <v>5</v>
      </c>
      <c r="G493" s="12">
        <v>0</v>
      </c>
      <c r="H493" s="12">
        <v>15</v>
      </c>
      <c r="I493" s="12" t="s">
        <v>1586</v>
      </c>
    </row>
    <row r="494" spans="1:9">
      <c r="A494" s="12" t="s">
        <v>1004</v>
      </c>
      <c r="B494" s="12" t="s">
        <v>1005</v>
      </c>
      <c r="C494" s="12" t="s">
        <v>577</v>
      </c>
      <c r="D494" s="12" t="s">
        <v>1585</v>
      </c>
      <c r="E494" s="12">
        <v>20</v>
      </c>
      <c r="F494" s="12">
        <v>0</v>
      </c>
      <c r="G494" s="12">
        <v>0</v>
      </c>
      <c r="H494" s="12">
        <v>0</v>
      </c>
      <c r="I494" s="12" t="s">
        <v>1586</v>
      </c>
    </row>
    <row r="495" spans="1:9">
      <c r="A495" s="12" t="s">
        <v>486</v>
      </c>
      <c r="B495" s="12" t="s">
        <v>487</v>
      </c>
      <c r="C495" s="12" t="s">
        <v>33</v>
      </c>
      <c r="D495" s="12" t="s">
        <v>1585</v>
      </c>
      <c r="E495" s="12">
        <v>19</v>
      </c>
      <c r="F495" s="12">
        <v>0</v>
      </c>
      <c r="G495" s="12">
        <v>1</v>
      </c>
      <c r="H495" s="12">
        <v>0</v>
      </c>
      <c r="I495" s="12" t="s">
        <v>1586</v>
      </c>
    </row>
    <row r="496" spans="1:9">
      <c r="A496" s="12" t="s">
        <v>271</v>
      </c>
      <c r="B496" s="12" t="s">
        <v>272</v>
      </c>
      <c r="C496" s="12" t="s">
        <v>84</v>
      </c>
      <c r="D496" s="12" t="s">
        <v>1585</v>
      </c>
      <c r="E496" s="12">
        <v>12</v>
      </c>
      <c r="F496" s="12">
        <v>0</v>
      </c>
      <c r="G496" s="12">
        <v>2</v>
      </c>
      <c r="H496" s="12">
        <v>6</v>
      </c>
      <c r="I496" s="12" t="s">
        <v>1586</v>
      </c>
    </row>
    <row r="497" spans="1:9">
      <c r="A497" s="12" t="s">
        <v>1179</v>
      </c>
      <c r="B497" s="12" t="s">
        <v>1180</v>
      </c>
      <c r="C497" s="12" t="s">
        <v>51</v>
      </c>
      <c r="D497" s="12" t="s">
        <v>1585</v>
      </c>
      <c r="E497" s="12">
        <v>16</v>
      </c>
      <c r="F497" s="12">
        <v>0</v>
      </c>
      <c r="G497" s="12">
        <v>0</v>
      </c>
      <c r="H497" s="12">
        <v>4</v>
      </c>
      <c r="I497" s="12" t="s">
        <v>1586</v>
      </c>
    </row>
    <row r="498" spans="1:9">
      <c r="A498" s="12" t="s">
        <v>752</v>
      </c>
      <c r="B498" s="12" t="s">
        <v>753</v>
      </c>
      <c r="C498" s="12" t="s">
        <v>91</v>
      </c>
      <c r="D498" s="12" t="s">
        <v>1585</v>
      </c>
      <c r="E498" s="12">
        <v>6</v>
      </c>
      <c r="F498" s="12">
        <v>13</v>
      </c>
      <c r="G498" s="12">
        <v>1</v>
      </c>
      <c r="H498" s="12">
        <v>0</v>
      </c>
      <c r="I498" s="12" t="s">
        <v>1586</v>
      </c>
    </row>
    <row r="499" spans="1:9">
      <c r="A499" s="12" t="s">
        <v>1503</v>
      </c>
      <c r="B499" s="12" t="s">
        <v>1504</v>
      </c>
      <c r="C499" s="12" t="s">
        <v>7</v>
      </c>
      <c r="D499" s="12" t="s">
        <v>1585</v>
      </c>
      <c r="E499" s="12">
        <v>10</v>
      </c>
      <c r="F499" s="12">
        <v>0</v>
      </c>
      <c r="G499" s="12">
        <v>0</v>
      </c>
      <c r="H499" s="12">
        <v>10</v>
      </c>
      <c r="I499" s="12" t="s">
        <v>1586</v>
      </c>
    </row>
    <row r="500" spans="1:9">
      <c r="A500" s="12" t="s">
        <v>1427</v>
      </c>
      <c r="B500" s="12" t="s">
        <v>1428</v>
      </c>
      <c r="C500" s="12" t="s">
        <v>10</v>
      </c>
      <c r="D500" s="12" t="s">
        <v>1585</v>
      </c>
      <c r="E500" s="12">
        <v>20</v>
      </c>
      <c r="F500" s="12">
        <v>0</v>
      </c>
      <c r="G500" s="12">
        <v>0</v>
      </c>
      <c r="H500" s="12">
        <v>0</v>
      </c>
      <c r="I500" s="12" t="s">
        <v>1586</v>
      </c>
    </row>
    <row r="501" spans="1:9">
      <c r="A501" s="12" t="s">
        <v>1115</v>
      </c>
      <c r="B501" s="12" t="s">
        <v>1116</v>
      </c>
      <c r="C501" s="12" t="s">
        <v>73</v>
      </c>
      <c r="D501" s="12" t="s">
        <v>1585</v>
      </c>
      <c r="E501" s="12">
        <v>1</v>
      </c>
      <c r="F501" s="12">
        <v>17</v>
      </c>
      <c r="G501" s="12">
        <v>2</v>
      </c>
      <c r="H501" s="12">
        <v>0</v>
      </c>
      <c r="I501" s="12" t="s">
        <v>1586</v>
      </c>
    </row>
    <row r="502" spans="1:9">
      <c r="A502" s="12" t="s">
        <v>968</v>
      </c>
      <c r="B502" s="12" t="s">
        <v>969</v>
      </c>
      <c r="C502" s="12" t="s">
        <v>5</v>
      </c>
      <c r="D502" s="12" t="s">
        <v>1585</v>
      </c>
      <c r="E502" s="12">
        <v>20</v>
      </c>
      <c r="F502" s="12">
        <v>0</v>
      </c>
      <c r="G502" s="12">
        <v>0</v>
      </c>
      <c r="H502" s="12">
        <v>0</v>
      </c>
      <c r="I502" s="12" t="s">
        <v>1586</v>
      </c>
    </row>
    <row r="503" spans="1:9">
      <c r="A503" s="12" t="s">
        <v>1398</v>
      </c>
      <c r="B503" s="12" t="s">
        <v>1399</v>
      </c>
      <c r="C503" s="12" t="s">
        <v>95</v>
      </c>
      <c r="D503" s="12" t="s">
        <v>1585</v>
      </c>
      <c r="E503" s="12">
        <v>19</v>
      </c>
      <c r="F503" s="12">
        <v>0</v>
      </c>
      <c r="G503" s="12">
        <v>1</v>
      </c>
      <c r="H503" s="12">
        <v>0</v>
      </c>
      <c r="I503" s="12" t="s">
        <v>1586</v>
      </c>
    </row>
    <row r="504" spans="1:9">
      <c r="A504" s="12" t="s">
        <v>1492</v>
      </c>
      <c r="B504" s="12" t="s">
        <v>1493</v>
      </c>
      <c r="C504" s="12" t="s">
        <v>26</v>
      </c>
      <c r="D504" s="12" t="s">
        <v>1585</v>
      </c>
      <c r="E504" s="12">
        <v>0</v>
      </c>
      <c r="F504" s="12">
        <v>20</v>
      </c>
      <c r="G504" s="12">
        <v>0</v>
      </c>
      <c r="H504" s="12">
        <v>0</v>
      </c>
      <c r="I504" s="12" t="s">
        <v>1586</v>
      </c>
    </row>
    <row r="505" spans="1:9">
      <c r="A505" s="12" t="s">
        <v>1117</v>
      </c>
      <c r="B505" s="12" t="s">
        <v>1118</v>
      </c>
      <c r="C505" s="12" t="s">
        <v>73</v>
      </c>
      <c r="D505" s="12" t="s">
        <v>1585</v>
      </c>
      <c r="E505" s="12">
        <v>0</v>
      </c>
      <c r="F505" s="12">
        <v>19</v>
      </c>
      <c r="G505" s="12">
        <v>1</v>
      </c>
      <c r="H505" s="12">
        <v>0</v>
      </c>
      <c r="I505" s="12" t="s">
        <v>1586</v>
      </c>
    </row>
    <row r="506" spans="1:9">
      <c r="A506" s="12" t="s">
        <v>1520</v>
      </c>
      <c r="B506" s="12" t="s">
        <v>1521</v>
      </c>
      <c r="C506" s="12" t="s">
        <v>8</v>
      </c>
      <c r="D506" s="12" t="s">
        <v>1585</v>
      </c>
      <c r="E506" s="12">
        <v>20</v>
      </c>
      <c r="F506" s="12">
        <v>0</v>
      </c>
      <c r="G506" s="12">
        <v>0</v>
      </c>
      <c r="H506" s="12">
        <v>0</v>
      </c>
      <c r="I506" s="12" t="s">
        <v>1586</v>
      </c>
    </row>
    <row r="507" spans="1:9">
      <c r="A507" s="12" t="s">
        <v>981</v>
      </c>
      <c r="B507" s="12" t="s">
        <v>982</v>
      </c>
      <c r="C507" s="12" t="s">
        <v>5</v>
      </c>
      <c r="D507" s="12" t="s">
        <v>1585</v>
      </c>
      <c r="E507" s="12">
        <v>20</v>
      </c>
      <c r="F507" s="12">
        <v>0</v>
      </c>
      <c r="G507" s="12">
        <v>0</v>
      </c>
      <c r="H507" s="12">
        <v>0</v>
      </c>
      <c r="I507" s="12" t="s">
        <v>1586</v>
      </c>
    </row>
    <row r="508" spans="1:9">
      <c r="A508" s="12" t="s">
        <v>415</v>
      </c>
      <c r="B508" s="12" t="s">
        <v>416</v>
      </c>
      <c r="C508" s="12" t="s">
        <v>21</v>
      </c>
      <c r="D508" s="12" t="s">
        <v>1585</v>
      </c>
      <c r="E508" s="12">
        <v>15</v>
      </c>
      <c r="F508" s="12">
        <v>0</v>
      </c>
      <c r="G508" s="12">
        <v>2</v>
      </c>
      <c r="H508" s="12">
        <v>3</v>
      </c>
      <c r="I508" s="12" t="s">
        <v>1586</v>
      </c>
    </row>
    <row r="509" spans="1:9">
      <c r="A509" s="12" t="s">
        <v>273</v>
      </c>
      <c r="B509" s="12" t="s">
        <v>274</v>
      </c>
      <c r="C509" s="12" t="s">
        <v>3</v>
      </c>
      <c r="D509" s="12" t="s">
        <v>1585</v>
      </c>
      <c r="E509" s="12">
        <v>0</v>
      </c>
      <c r="F509" s="12">
        <v>10</v>
      </c>
      <c r="G509" s="12">
        <v>0</v>
      </c>
      <c r="H509" s="12">
        <v>6</v>
      </c>
      <c r="I509" s="12" t="s">
        <v>1586</v>
      </c>
    </row>
    <row r="510" spans="1:9">
      <c r="A510" s="12" t="s">
        <v>1486</v>
      </c>
      <c r="B510" s="12" t="s">
        <v>1487</v>
      </c>
      <c r="C510" s="12" t="s">
        <v>26</v>
      </c>
      <c r="D510" s="12" t="s">
        <v>1585</v>
      </c>
      <c r="E510" s="12">
        <v>19</v>
      </c>
      <c r="F510" s="12">
        <v>0</v>
      </c>
      <c r="G510" s="12">
        <v>1</v>
      </c>
      <c r="H510" s="12">
        <v>0</v>
      </c>
      <c r="I510" s="12" t="s">
        <v>1586</v>
      </c>
    </row>
    <row r="511" spans="1:9">
      <c r="A511" s="12" t="s">
        <v>734</v>
      </c>
      <c r="B511" s="12" t="s">
        <v>735</v>
      </c>
      <c r="C511" s="12" t="s">
        <v>25</v>
      </c>
      <c r="D511" s="12" t="s">
        <v>1585</v>
      </c>
      <c r="E511" s="12">
        <v>17</v>
      </c>
      <c r="F511" s="12">
        <v>0</v>
      </c>
      <c r="G511" s="12">
        <v>0</v>
      </c>
      <c r="H511" s="12">
        <v>3</v>
      </c>
      <c r="I511" s="12" t="s">
        <v>1586</v>
      </c>
    </row>
    <row r="512" spans="1:9">
      <c r="A512" s="12" t="s">
        <v>1221</v>
      </c>
      <c r="B512" s="12" t="s">
        <v>1222</v>
      </c>
      <c r="C512" s="12" t="s">
        <v>22</v>
      </c>
      <c r="D512" s="12" t="s">
        <v>1585</v>
      </c>
      <c r="E512" s="12">
        <v>20</v>
      </c>
      <c r="F512" s="12">
        <v>0</v>
      </c>
      <c r="G512" s="12">
        <v>0</v>
      </c>
      <c r="H512" s="12">
        <v>0</v>
      </c>
      <c r="I512" s="12" t="s">
        <v>1586</v>
      </c>
    </row>
    <row r="513" spans="1:9">
      <c r="A513" s="12" t="s">
        <v>878</v>
      </c>
      <c r="B513" s="12" t="s">
        <v>879</v>
      </c>
      <c r="C513" s="12" t="s">
        <v>34</v>
      </c>
      <c r="D513" s="12" t="s">
        <v>1585</v>
      </c>
      <c r="E513" s="12">
        <v>10</v>
      </c>
      <c r="F513" s="12">
        <v>0</v>
      </c>
      <c r="G513" s="12">
        <v>4</v>
      </c>
      <c r="H513" s="12">
        <v>6</v>
      </c>
      <c r="I513" s="12" t="s">
        <v>1586</v>
      </c>
    </row>
    <row r="514" spans="1:9">
      <c r="A514" s="12" t="s">
        <v>1204</v>
      </c>
      <c r="B514" s="12" t="s">
        <v>1205</v>
      </c>
      <c r="C514" s="12" t="s">
        <v>8</v>
      </c>
      <c r="D514" s="12" t="s">
        <v>1585</v>
      </c>
      <c r="E514" s="12">
        <v>17</v>
      </c>
      <c r="F514" s="12">
        <v>0</v>
      </c>
      <c r="G514" s="12">
        <v>3</v>
      </c>
      <c r="H514" s="12">
        <v>0</v>
      </c>
      <c r="I514" s="12" t="s">
        <v>1586</v>
      </c>
    </row>
    <row r="515" spans="1:9">
      <c r="A515" s="12" t="s">
        <v>1522</v>
      </c>
      <c r="B515" s="12" t="s">
        <v>1523</v>
      </c>
      <c r="C515" s="12" t="s">
        <v>30</v>
      </c>
      <c r="D515" s="12" t="s">
        <v>1585</v>
      </c>
      <c r="E515" s="12">
        <v>11</v>
      </c>
      <c r="F515" s="12">
        <v>0</v>
      </c>
      <c r="G515" s="12">
        <v>2</v>
      </c>
      <c r="H515" s="12">
        <v>7</v>
      </c>
      <c r="I515" s="12" t="s">
        <v>1586</v>
      </c>
    </row>
    <row r="516" spans="1:9">
      <c r="A516" s="12" t="s">
        <v>387</v>
      </c>
      <c r="B516" s="12" t="s">
        <v>388</v>
      </c>
      <c r="C516" s="12" t="s">
        <v>7</v>
      </c>
      <c r="D516" s="12" t="s">
        <v>1585</v>
      </c>
      <c r="E516" s="12">
        <v>20</v>
      </c>
      <c r="F516" s="12">
        <v>0</v>
      </c>
      <c r="G516" s="12">
        <v>0</v>
      </c>
      <c r="H516" s="12">
        <v>0</v>
      </c>
      <c r="I516" s="12" t="s">
        <v>1586</v>
      </c>
    </row>
    <row r="517" spans="1:9">
      <c r="A517" s="12" t="s">
        <v>393</v>
      </c>
      <c r="B517" s="12" t="s">
        <v>394</v>
      </c>
      <c r="C517" s="12" t="s">
        <v>91</v>
      </c>
      <c r="D517" s="12" t="s">
        <v>1585</v>
      </c>
      <c r="E517" s="12">
        <v>20</v>
      </c>
      <c r="F517" s="12">
        <v>0</v>
      </c>
      <c r="G517" s="12">
        <v>0</v>
      </c>
      <c r="H517" s="12">
        <v>0</v>
      </c>
      <c r="I517" s="12" t="s">
        <v>1586</v>
      </c>
    </row>
    <row r="518" spans="1:9">
      <c r="A518" s="12" t="s">
        <v>1357</v>
      </c>
      <c r="B518" s="12" t="s">
        <v>1358</v>
      </c>
      <c r="C518" s="12" t="s">
        <v>18</v>
      </c>
      <c r="D518" s="12" t="s">
        <v>1585</v>
      </c>
      <c r="E518" s="12">
        <v>0</v>
      </c>
      <c r="F518" s="12">
        <v>0</v>
      </c>
      <c r="G518" s="12">
        <v>4</v>
      </c>
      <c r="H518" s="12">
        <v>16</v>
      </c>
      <c r="I518" s="12" t="s">
        <v>1586</v>
      </c>
    </row>
    <row r="519" spans="1:9">
      <c r="A519" s="12" t="s">
        <v>1480</v>
      </c>
      <c r="B519" s="12" t="s">
        <v>1481</v>
      </c>
      <c r="C519" s="12" t="s">
        <v>26</v>
      </c>
      <c r="D519" s="12" t="s">
        <v>1585</v>
      </c>
      <c r="E519" s="12">
        <v>20</v>
      </c>
      <c r="F519" s="12">
        <v>0</v>
      </c>
      <c r="G519" s="12">
        <v>0</v>
      </c>
      <c r="H519" s="12">
        <v>0</v>
      </c>
      <c r="I519" s="12" t="s">
        <v>1586</v>
      </c>
    </row>
    <row r="520" spans="1:9">
      <c r="A520" s="12" t="s">
        <v>682</v>
      </c>
      <c r="B520" s="12" t="s">
        <v>683</v>
      </c>
      <c r="C520" s="12" t="s">
        <v>72</v>
      </c>
      <c r="D520" s="12" t="s">
        <v>1585</v>
      </c>
      <c r="E520" s="12">
        <v>17</v>
      </c>
      <c r="F520" s="12">
        <v>2</v>
      </c>
      <c r="G520" s="12">
        <v>1</v>
      </c>
      <c r="H520" s="12">
        <v>0</v>
      </c>
      <c r="I520" s="12" t="s">
        <v>1586</v>
      </c>
    </row>
    <row r="521" spans="1:9">
      <c r="A521" s="12" t="s">
        <v>1214</v>
      </c>
      <c r="B521" s="12" t="s">
        <v>1215</v>
      </c>
      <c r="C521" s="12" t="s">
        <v>22</v>
      </c>
      <c r="D521" s="12" t="s">
        <v>1585</v>
      </c>
      <c r="E521" s="12">
        <v>20</v>
      </c>
      <c r="F521" s="12">
        <v>0</v>
      </c>
      <c r="G521" s="12">
        <v>0</v>
      </c>
      <c r="H521" s="12">
        <v>0</v>
      </c>
      <c r="I521" s="12" t="s">
        <v>1586</v>
      </c>
    </row>
    <row r="522" spans="1:9">
      <c r="A522" s="12" t="s">
        <v>1514</v>
      </c>
      <c r="B522" s="12" t="s">
        <v>1515</v>
      </c>
      <c r="C522" s="12" t="s">
        <v>72</v>
      </c>
      <c r="D522" s="12" t="s">
        <v>1585</v>
      </c>
      <c r="E522" s="12">
        <v>5</v>
      </c>
      <c r="F522" s="12">
        <v>15</v>
      </c>
      <c r="G522" s="12">
        <v>0</v>
      </c>
      <c r="H522" s="12">
        <v>0</v>
      </c>
      <c r="I522" s="12" t="s">
        <v>1586</v>
      </c>
    </row>
    <row r="523" spans="1:9">
      <c r="A523" s="12" t="s">
        <v>255</v>
      </c>
      <c r="B523" s="12" t="s">
        <v>256</v>
      </c>
      <c r="C523" s="12" t="s">
        <v>62</v>
      </c>
      <c r="D523" s="12" t="s">
        <v>1585</v>
      </c>
      <c r="E523" s="12">
        <v>0</v>
      </c>
      <c r="F523" s="12">
        <v>20</v>
      </c>
      <c r="G523" s="12">
        <v>0</v>
      </c>
      <c r="H523" s="12">
        <v>0</v>
      </c>
      <c r="I523" s="12" t="s">
        <v>1586</v>
      </c>
    </row>
    <row r="524" spans="1:9">
      <c r="A524" s="12" t="s">
        <v>161</v>
      </c>
      <c r="B524" s="12" t="s">
        <v>162</v>
      </c>
      <c r="C524" s="12" t="s">
        <v>2</v>
      </c>
      <c r="D524" s="12" t="s">
        <v>1585</v>
      </c>
      <c r="E524" s="12">
        <v>0</v>
      </c>
      <c r="F524" s="12">
        <v>10</v>
      </c>
      <c r="G524" s="12">
        <v>5</v>
      </c>
      <c r="H524" s="12">
        <v>5</v>
      </c>
      <c r="I524" s="12" t="s">
        <v>1586</v>
      </c>
    </row>
    <row r="525" spans="1:9">
      <c r="A525" s="12" t="s">
        <v>910</v>
      </c>
      <c r="B525" s="12" t="s">
        <v>911</v>
      </c>
      <c r="C525" s="12" t="s">
        <v>66</v>
      </c>
      <c r="D525" s="12" t="s">
        <v>1585</v>
      </c>
      <c r="E525" s="12">
        <v>20</v>
      </c>
      <c r="F525" s="12">
        <v>0</v>
      </c>
      <c r="G525" s="12">
        <v>0</v>
      </c>
      <c r="H525" s="12">
        <v>0</v>
      </c>
      <c r="I525" s="12" t="s">
        <v>1586</v>
      </c>
    </row>
    <row r="526" spans="1:9">
      <c r="A526" s="12" t="s">
        <v>1261</v>
      </c>
      <c r="B526" s="12" t="s">
        <v>1262</v>
      </c>
      <c r="C526" s="12" t="s">
        <v>2</v>
      </c>
      <c r="D526" s="12" t="s">
        <v>1585</v>
      </c>
      <c r="E526" s="12">
        <v>18</v>
      </c>
      <c r="F526" s="12">
        <v>0.5</v>
      </c>
      <c r="G526" s="12">
        <v>1.5</v>
      </c>
      <c r="H526" s="12">
        <v>0</v>
      </c>
      <c r="I526" s="12" t="s">
        <v>1586</v>
      </c>
    </row>
    <row r="527" spans="1:9">
      <c r="A527" s="12" t="s">
        <v>1542</v>
      </c>
      <c r="B527" s="12" t="s">
        <v>1543</v>
      </c>
      <c r="C527" s="12" t="s">
        <v>85</v>
      </c>
      <c r="D527" s="12" t="s">
        <v>1585</v>
      </c>
      <c r="E527" s="12">
        <v>20</v>
      </c>
      <c r="F527" s="12">
        <v>0</v>
      </c>
      <c r="G527" s="12">
        <v>0</v>
      </c>
      <c r="H527" s="12">
        <v>0</v>
      </c>
      <c r="I527" s="12" t="s">
        <v>1586</v>
      </c>
    </row>
    <row r="528" spans="1:9">
      <c r="A528" s="12" t="s">
        <v>1219</v>
      </c>
      <c r="B528" s="12" t="s">
        <v>1220</v>
      </c>
      <c r="C528" s="12" t="s">
        <v>22</v>
      </c>
      <c r="D528" s="12" t="s">
        <v>1585</v>
      </c>
      <c r="E528" s="12">
        <v>20</v>
      </c>
      <c r="F528" s="12">
        <v>0</v>
      </c>
      <c r="G528" s="12">
        <v>0</v>
      </c>
      <c r="H528" s="12">
        <v>0</v>
      </c>
      <c r="I528" s="12" t="s">
        <v>1586</v>
      </c>
    </row>
    <row r="529" spans="1:9">
      <c r="A529" s="12" t="s">
        <v>1534</v>
      </c>
      <c r="B529" s="12" t="s">
        <v>1535</v>
      </c>
      <c r="C529" s="12" t="s">
        <v>75</v>
      </c>
      <c r="D529" s="12" t="s">
        <v>1585</v>
      </c>
      <c r="E529" s="12">
        <v>0</v>
      </c>
      <c r="F529" s="12">
        <v>0</v>
      </c>
      <c r="G529" s="12">
        <v>1</v>
      </c>
      <c r="H529" s="12">
        <v>19</v>
      </c>
      <c r="I529" s="12" t="s">
        <v>1586</v>
      </c>
    </row>
    <row r="530" spans="1:9">
      <c r="A530" s="12" t="s">
        <v>219</v>
      </c>
      <c r="B530" s="12" t="s">
        <v>220</v>
      </c>
      <c r="C530" s="12" t="s">
        <v>52</v>
      </c>
      <c r="D530" s="12" t="s">
        <v>1585</v>
      </c>
      <c r="E530" s="12">
        <v>20</v>
      </c>
      <c r="F530" s="12">
        <v>0</v>
      </c>
      <c r="G530" s="12">
        <v>0</v>
      </c>
      <c r="H530" s="12">
        <v>0</v>
      </c>
      <c r="I530" s="12" t="s">
        <v>1586</v>
      </c>
    </row>
    <row r="531" spans="1:9">
      <c r="A531" s="12" t="s">
        <v>1033</v>
      </c>
      <c r="B531" s="12" t="s">
        <v>1034</v>
      </c>
      <c r="C531" s="12" t="s">
        <v>44</v>
      </c>
      <c r="D531" s="12" t="s">
        <v>1585</v>
      </c>
      <c r="E531" s="12">
        <v>20</v>
      </c>
      <c r="F531" s="12">
        <v>0</v>
      </c>
      <c r="G531" s="12">
        <v>0</v>
      </c>
      <c r="H531" s="12">
        <v>0</v>
      </c>
      <c r="I531" s="12" t="s">
        <v>1586</v>
      </c>
    </row>
    <row r="532" spans="1:9">
      <c r="A532" s="12" t="s">
        <v>1080</v>
      </c>
      <c r="B532" s="12" t="s">
        <v>1081</v>
      </c>
      <c r="C532" s="12" t="s">
        <v>37</v>
      </c>
      <c r="D532" s="12" t="s">
        <v>1585</v>
      </c>
      <c r="E532" s="12">
        <v>20</v>
      </c>
      <c r="F532" s="12">
        <v>0</v>
      </c>
      <c r="G532" s="12">
        <v>0</v>
      </c>
      <c r="H532" s="12">
        <v>0</v>
      </c>
      <c r="I532" s="12" t="s">
        <v>1586</v>
      </c>
    </row>
    <row r="533" spans="1:9">
      <c r="A533" s="12" t="s">
        <v>705</v>
      </c>
      <c r="B533" s="12" t="s">
        <v>706</v>
      </c>
      <c r="C533" s="12" t="s">
        <v>26</v>
      </c>
      <c r="D533" s="12" t="s">
        <v>1585</v>
      </c>
      <c r="E533" s="12">
        <v>8.5</v>
      </c>
      <c r="F533" s="12">
        <v>2.5</v>
      </c>
      <c r="G533" s="12">
        <v>9</v>
      </c>
      <c r="H533" s="12">
        <v>0</v>
      </c>
      <c r="I533" s="12" t="s">
        <v>1586</v>
      </c>
    </row>
    <row r="534" spans="1:9">
      <c r="A534" s="12" t="s">
        <v>1089</v>
      </c>
      <c r="B534" s="12" t="s">
        <v>1090</v>
      </c>
      <c r="C534" s="12" t="s">
        <v>51</v>
      </c>
      <c r="D534" s="12" t="s">
        <v>1585</v>
      </c>
      <c r="E534" s="12">
        <v>18.5</v>
      </c>
      <c r="F534" s="12">
        <v>0</v>
      </c>
      <c r="G534" s="12">
        <v>1.5</v>
      </c>
      <c r="H534" s="12">
        <v>0</v>
      </c>
      <c r="I534" s="12" t="s">
        <v>1586</v>
      </c>
    </row>
    <row r="535" spans="1:9">
      <c r="A535" s="12" t="s">
        <v>1280</v>
      </c>
      <c r="B535" s="12" t="s">
        <v>1281</v>
      </c>
      <c r="C535" s="12" t="s">
        <v>33</v>
      </c>
      <c r="D535" s="12" t="s">
        <v>1585</v>
      </c>
      <c r="E535" s="12">
        <v>4.5</v>
      </c>
      <c r="F535" s="12">
        <v>15.5</v>
      </c>
      <c r="G535" s="12">
        <v>0</v>
      </c>
      <c r="H535" s="12">
        <v>0</v>
      </c>
      <c r="I535" s="12" t="s">
        <v>1586</v>
      </c>
    </row>
    <row r="536" spans="1:9">
      <c r="A536" s="12" t="s">
        <v>724</v>
      </c>
      <c r="B536" s="12" t="s">
        <v>725</v>
      </c>
      <c r="C536" s="12" t="s">
        <v>25</v>
      </c>
      <c r="D536" s="12" t="s">
        <v>1585</v>
      </c>
      <c r="E536" s="12">
        <v>5</v>
      </c>
      <c r="F536" s="12">
        <v>0</v>
      </c>
      <c r="G536" s="12">
        <v>0</v>
      </c>
      <c r="H536" s="12">
        <v>14</v>
      </c>
      <c r="I536" s="12" t="s">
        <v>1586</v>
      </c>
    </row>
    <row r="537" spans="1:9">
      <c r="A537" s="12" t="s">
        <v>1140</v>
      </c>
      <c r="B537" s="12" t="s">
        <v>1141</v>
      </c>
      <c r="C537" s="12" t="s">
        <v>19</v>
      </c>
      <c r="D537" s="12" t="s">
        <v>1585</v>
      </c>
      <c r="E537" s="12">
        <v>20</v>
      </c>
      <c r="F537" s="12">
        <v>0</v>
      </c>
      <c r="G537" s="12">
        <v>0</v>
      </c>
      <c r="H537" s="12">
        <v>0</v>
      </c>
      <c r="I537" s="12" t="s">
        <v>1586</v>
      </c>
    </row>
    <row r="538" spans="1:9">
      <c r="A538" s="12" t="s">
        <v>950</v>
      </c>
      <c r="B538" s="12" t="s">
        <v>951</v>
      </c>
      <c r="C538" s="12" t="s">
        <v>45</v>
      </c>
      <c r="D538" s="12" t="s">
        <v>1585</v>
      </c>
      <c r="E538" s="12">
        <v>20</v>
      </c>
      <c r="F538" s="12">
        <v>0</v>
      </c>
      <c r="G538" s="12">
        <v>0</v>
      </c>
      <c r="H538" s="12">
        <v>0</v>
      </c>
      <c r="I538" s="12" t="s">
        <v>1586</v>
      </c>
    </row>
    <row r="539" spans="1:9">
      <c r="A539" s="12" t="s">
        <v>1086</v>
      </c>
      <c r="B539" s="12" t="s">
        <v>1087</v>
      </c>
      <c r="C539" s="12" t="s">
        <v>51</v>
      </c>
      <c r="D539" s="12" t="s">
        <v>1585</v>
      </c>
      <c r="E539" s="12">
        <v>20</v>
      </c>
      <c r="F539" s="12">
        <v>0</v>
      </c>
      <c r="G539" s="12">
        <v>0</v>
      </c>
      <c r="H539" s="12">
        <v>0</v>
      </c>
      <c r="I539" s="12" t="s">
        <v>1586</v>
      </c>
    </row>
    <row r="540" spans="1:9">
      <c r="A540" s="12" t="s">
        <v>1031</v>
      </c>
      <c r="B540" s="12" t="s">
        <v>1032</v>
      </c>
      <c r="C540" s="12" t="s">
        <v>44</v>
      </c>
      <c r="D540" s="12" t="s">
        <v>1585</v>
      </c>
      <c r="E540" s="12">
        <v>20</v>
      </c>
      <c r="F540" s="12">
        <v>0</v>
      </c>
      <c r="G540" s="12">
        <v>0</v>
      </c>
      <c r="H540" s="12">
        <v>0</v>
      </c>
      <c r="I540" s="12" t="s">
        <v>1586</v>
      </c>
    </row>
    <row r="541" spans="1:9">
      <c r="A541" s="12" t="s">
        <v>1394</v>
      </c>
      <c r="B541" s="12" t="s">
        <v>1395</v>
      </c>
      <c r="C541" s="12" t="s">
        <v>95</v>
      </c>
      <c r="D541" s="12" t="s">
        <v>1585</v>
      </c>
      <c r="E541" s="12">
        <v>19</v>
      </c>
      <c r="F541" s="12">
        <v>0</v>
      </c>
      <c r="G541" s="12">
        <v>1</v>
      </c>
      <c r="H541" s="12">
        <v>0</v>
      </c>
      <c r="I541" s="12" t="s">
        <v>1586</v>
      </c>
    </row>
    <row r="542" spans="1:9">
      <c r="A542" s="12" t="s">
        <v>628</v>
      </c>
      <c r="B542" s="12" t="s">
        <v>629</v>
      </c>
      <c r="C542" s="12" t="s">
        <v>7</v>
      </c>
      <c r="D542" s="12" t="s">
        <v>1585</v>
      </c>
      <c r="E542" s="12">
        <v>13</v>
      </c>
      <c r="F542" s="12">
        <v>3</v>
      </c>
      <c r="G542" s="12">
        <v>4</v>
      </c>
      <c r="H542" s="12">
        <v>0</v>
      </c>
      <c r="I542" s="12" t="s">
        <v>1586</v>
      </c>
    </row>
    <row r="543" spans="1:9">
      <c r="A543" s="12" t="s">
        <v>421</v>
      </c>
      <c r="B543" s="12" t="s">
        <v>422</v>
      </c>
      <c r="C543" s="12" t="s">
        <v>21</v>
      </c>
      <c r="D543" s="12" t="s">
        <v>1585</v>
      </c>
      <c r="E543" s="12">
        <v>0</v>
      </c>
      <c r="F543" s="12">
        <v>0</v>
      </c>
      <c r="G543" s="12">
        <v>2</v>
      </c>
      <c r="H543" s="12">
        <v>18</v>
      </c>
      <c r="I543" s="12" t="s">
        <v>1586</v>
      </c>
    </row>
    <row r="544" spans="1:9">
      <c r="A544" s="12" t="s">
        <v>159</v>
      </c>
      <c r="B544" s="12" t="s">
        <v>160</v>
      </c>
      <c r="C544" s="12" t="s">
        <v>2</v>
      </c>
      <c r="D544" s="12" t="s">
        <v>1585</v>
      </c>
      <c r="E544" s="12">
        <v>19</v>
      </c>
      <c r="F544" s="12">
        <v>1</v>
      </c>
      <c r="G544" s="12">
        <v>0</v>
      </c>
      <c r="H544" s="12">
        <v>0</v>
      </c>
      <c r="I544" s="12" t="s">
        <v>1586</v>
      </c>
    </row>
    <row r="545" spans="1:9">
      <c r="A545" s="12" t="s">
        <v>827</v>
      </c>
      <c r="B545" s="12" t="s">
        <v>828</v>
      </c>
      <c r="C545" s="12" t="s">
        <v>19</v>
      </c>
      <c r="D545" s="12" t="s">
        <v>1585</v>
      </c>
      <c r="E545" s="12">
        <v>19</v>
      </c>
      <c r="F545" s="12">
        <v>0</v>
      </c>
      <c r="G545" s="12">
        <v>1</v>
      </c>
      <c r="H545" s="12">
        <v>0</v>
      </c>
      <c r="I545" s="12" t="s">
        <v>1586</v>
      </c>
    </row>
    <row r="546" spans="1:9">
      <c r="A546" s="12" t="s">
        <v>188</v>
      </c>
      <c r="B546" s="12" t="s">
        <v>189</v>
      </c>
      <c r="C546" s="12" t="s">
        <v>47</v>
      </c>
      <c r="D546" s="12" t="s">
        <v>1585</v>
      </c>
      <c r="E546" s="12">
        <v>8</v>
      </c>
      <c r="F546" s="12">
        <v>0</v>
      </c>
      <c r="G546" s="12">
        <v>12</v>
      </c>
      <c r="H546" s="12">
        <v>0</v>
      </c>
      <c r="I546" s="12" t="s">
        <v>1586</v>
      </c>
    </row>
    <row r="547" spans="1:9">
      <c r="A547" s="12" t="s">
        <v>1043</v>
      </c>
      <c r="B547" s="12" t="s">
        <v>1044</v>
      </c>
      <c r="C547" s="12" t="s">
        <v>61</v>
      </c>
      <c r="D547" s="12" t="s">
        <v>1585</v>
      </c>
      <c r="E547" s="12">
        <v>20</v>
      </c>
      <c r="F547" s="12">
        <v>0</v>
      </c>
      <c r="G547" s="12">
        <v>0</v>
      </c>
      <c r="H547" s="12">
        <v>0</v>
      </c>
      <c r="I547" s="12" t="s">
        <v>1586</v>
      </c>
    </row>
    <row r="548" spans="1:9">
      <c r="A548" s="12" t="s">
        <v>674</v>
      </c>
      <c r="B548" s="12" t="s">
        <v>675</v>
      </c>
      <c r="C548" s="12" t="s">
        <v>41</v>
      </c>
      <c r="D548" s="12" t="s">
        <v>1585</v>
      </c>
      <c r="E548" s="12">
        <v>20</v>
      </c>
      <c r="F548" s="12">
        <v>0</v>
      </c>
      <c r="G548" s="12">
        <v>0</v>
      </c>
      <c r="H548" s="12">
        <v>0</v>
      </c>
      <c r="I548" s="12" t="s">
        <v>1586</v>
      </c>
    </row>
    <row r="549" spans="1:9">
      <c r="A549" s="12" t="s">
        <v>1103</v>
      </c>
      <c r="B549" s="12" t="s">
        <v>1104</v>
      </c>
      <c r="C549" s="12" t="s">
        <v>18</v>
      </c>
      <c r="D549" s="12" t="s">
        <v>1585</v>
      </c>
      <c r="E549" s="12">
        <v>9</v>
      </c>
      <c r="F549" s="12">
        <v>0</v>
      </c>
      <c r="G549" s="12">
        <v>11</v>
      </c>
      <c r="H549" s="12">
        <v>0</v>
      </c>
      <c r="I549" s="12" t="s">
        <v>1586</v>
      </c>
    </row>
    <row r="550" spans="1:9">
      <c r="A550" s="12" t="s">
        <v>1551</v>
      </c>
      <c r="B550" s="12" t="s">
        <v>1552</v>
      </c>
      <c r="C550" s="12" t="s">
        <v>85</v>
      </c>
      <c r="D550" s="12" t="s">
        <v>1585</v>
      </c>
      <c r="E550" s="12">
        <v>20</v>
      </c>
      <c r="F550" s="12">
        <v>0</v>
      </c>
      <c r="G550" s="12">
        <v>0</v>
      </c>
      <c r="H550" s="12">
        <v>0</v>
      </c>
      <c r="I550" s="12" t="s">
        <v>1586</v>
      </c>
    </row>
    <row r="551" spans="1:9">
      <c r="A551" s="12" t="s">
        <v>144</v>
      </c>
      <c r="B551" s="12" t="s">
        <v>145</v>
      </c>
      <c r="C551" s="12" t="s">
        <v>60</v>
      </c>
      <c r="D551" s="12" t="s">
        <v>1585</v>
      </c>
      <c r="E551" s="12">
        <v>20</v>
      </c>
      <c r="F551" s="12">
        <v>0</v>
      </c>
      <c r="G551" s="12">
        <v>0</v>
      </c>
      <c r="H551" s="12">
        <v>0</v>
      </c>
      <c r="I551" s="12" t="s">
        <v>1586</v>
      </c>
    </row>
    <row r="552" spans="1:9">
      <c r="A552" s="12" t="s">
        <v>560</v>
      </c>
      <c r="B552" s="12" t="s">
        <v>561</v>
      </c>
      <c r="C552" s="12" t="s">
        <v>30</v>
      </c>
      <c r="D552" s="12" t="s">
        <v>1585</v>
      </c>
      <c r="E552" s="12">
        <v>18</v>
      </c>
      <c r="F552" s="12">
        <v>2</v>
      </c>
      <c r="G552" s="12">
        <v>0</v>
      </c>
      <c r="H552" s="12">
        <v>0</v>
      </c>
      <c r="I552" s="12" t="s">
        <v>1586</v>
      </c>
    </row>
    <row r="553" spans="1:9">
      <c r="A553" s="12" t="s">
        <v>1587</v>
      </c>
      <c r="B553" s="12" t="s">
        <v>1588</v>
      </c>
      <c r="C553" s="12" t="s">
        <v>62</v>
      </c>
      <c r="D553" s="12" t="s">
        <v>1585</v>
      </c>
      <c r="E553" s="12">
        <v>0</v>
      </c>
      <c r="F553" s="12">
        <v>20</v>
      </c>
      <c r="G553" s="12">
        <v>0</v>
      </c>
      <c r="H553" s="12">
        <v>0</v>
      </c>
      <c r="I553" s="12" t="s">
        <v>1589</v>
      </c>
    </row>
    <row r="554" spans="1:9">
      <c r="A554" s="12" t="s">
        <v>1590</v>
      </c>
      <c r="B554" s="12" t="s">
        <v>1591</v>
      </c>
      <c r="C554" s="12" t="s">
        <v>2</v>
      </c>
      <c r="D554" s="12" t="s">
        <v>1585</v>
      </c>
      <c r="E554" s="12">
        <v>0</v>
      </c>
      <c r="F554" s="12">
        <v>15</v>
      </c>
      <c r="G554" s="12">
        <v>5</v>
      </c>
      <c r="H554" s="12">
        <v>0</v>
      </c>
      <c r="I554" s="12" t="s">
        <v>1592</v>
      </c>
    </row>
    <row r="555" spans="1:9">
      <c r="A555" s="12" t="s">
        <v>1351</v>
      </c>
      <c r="B555" s="12" t="s">
        <v>1352</v>
      </c>
      <c r="C555" s="12" t="s">
        <v>5</v>
      </c>
      <c r="D555" s="12" t="s">
        <v>1585</v>
      </c>
      <c r="E555" s="12">
        <v>0</v>
      </c>
      <c r="F555" s="12">
        <v>20</v>
      </c>
      <c r="G555" s="12">
        <v>0</v>
      </c>
      <c r="H555" s="12">
        <v>0</v>
      </c>
      <c r="I555" s="12" t="s">
        <v>1586</v>
      </c>
    </row>
    <row r="556" spans="1:9">
      <c r="A556" s="12" t="s">
        <v>1429</v>
      </c>
      <c r="B556" s="12" t="s">
        <v>1430</v>
      </c>
      <c r="C556" s="12" t="s">
        <v>10</v>
      </c>
      <c r="D556" s="12" t="s">
        <v>1585</v>
      </c>
      <c r="E556" s="12">
        <v>18</v>
      </c>
      <c r="F556" s="12">
        <v>0</v>
      </c>
      <c r="G556" s="12">
        <v>2</v>
      </c>
      <c r="H556" s="12">
        <v>0</v>
      </c>
      <c r="I556" s="12" t="s">
        <v>1586</v>
      </c>
    </row>
    <row r="557" spans="1:9">
      <c r="A557" s="12" t="s">
        <v>1452</v>
      </c>
      <c r="B557" s="12" t="s">
        <v>1453</v>
      </c>
      <c r="C557" s="12" t="s">
        <v>72</v>
      </c>
      <c r="D557" s="12" t="s">
        <v>1585</v>
      </c>
      <c r="E557" s="12">
        <v>3</v>
      </c>
      <c r="F557" s="12">
        <v>2</v>
      </c>
      <c r="G557" s="12">
        <v>0</v>
      </c>
      <c r="H557" s="12">
        <v>15</v>
      </c>
      <c r="I557" s="12" t="s">
        <v>1586</v>
      </c>
    </row>
    <row r="558" spans="1:9">
      <c r="A558" s="12" t="s">
        <v>748</v>
      </c>
      <c r="B558" s="12" t="s">
        <v>749</v>
      </c>
      <c r="C558" s="12" t="s">
        <v>91</v>
      </c>
      <c r="D558" s="12" t="s">
        <v>1585</v>
      </c>
      <c r="E558" s="12">
        <v>18</v>
      </c>
      <c r="F558" s="12">
        <v>2</v>
      </c>
      <c r="G558" s="12">
        <v>0</v>
      </c>
      <c r="H558" s="12">
        <v>0</v>
      </c>
      <c r="I558" s="12" t="s">
        <v>1586</v>
      </c>
    </row>
    <row r="559" spans="1:9">
      <c r="A559" s="12" t="s">
        <v>1387</v>
      </c>
      <c r="B559" s="12" t="s">
        <v>1388</v>
      </c>
      <c r="C559" s="12" t="s">
        <v>78</v>
      </c>
      <c r="D559" s="12" t="s">
        <v>1585</v>
      </c>
      <c r="E559" s="12">
        <v>14</v>
      </c>
      <c r="F559" s="12">
        <v>0</v>
      </c>
      <c r="G559" s="12">
        <v>6</v>
      </c>
      <c r="H559" s="12">
        <v>0</v>
      </c>
      <c r="I559" s="12" t="s">
        <v>1586</v>
      </c>
    </row>
    <row r="560" spans="1:9">
      <c r="A560" s="12" t="s">
        <v>1392</v>
      </c>
      <c r="B560" s="12" t="s">
        <v>1393</v>
      </c>
      <c r="C560" s="12" t="s">
        <v>95</v>
      </c>
      <c r="D560" s="12" t="s">
        <v>1585</v>
      </c>
      <c r="E560" s="12">
        <v>11</v>
      </c>
      <c r="F560" s="12">
        <v>0</v>
      </c>
      <c r="G560" s="12">
        <v>9</v>
      </c>
      <c r="H560" s="12">
        <v>0</v>
      </c>
      <c r="I560" s="12" t="s">
        <v>1586</v>
      </c>
    </row>
    <row r="561" spans="1:9">
      <c r="A561" s="12" t="s">
        <v>992</v>
      </c>
      <c r="B561" s="12" t="s">
        <v>993</v>
      </c>
      <c r="C561" s="12" t="s">
        <v>96</v>
      </c>
      <c r="D561" s="12" t="s">
        <v>1585</v>
      </c>
      <c r="E561" s="12">
        <v>20</v>
      </c>
      <c r="F561" s="12">
        <v>0</v>
      </c>
      <c r="G561" s="12">
        <v>0</v>
      </c>
      <c r="H561" s="12">
        <v>0</v>
      </c>
      <c r="I561" s="12" t="s">
        <v>1586</v>
      </c>
    </row>
    <row r="562" spans="1:9">
      <c r="A562" s="12" t="s">
        <v>975</v>
      </c>
      <c r="B562" s="12" t="s">
        <v>976</v>
      </c>
      <c r="C562" s="12" t="s">
        <v>5</v>
      </c>
      <c r="D562" s="12" t="s">
        <v>1585</v>
      </c>
      <c r="E562" s="12">
        <v>0</v>
      </c>
      <c r="F562" s="12">
        <v>20</v>
      </c>
      <c r="G562" s="12">
        <v>0</v>
      </c>
      <c r="H562" s="12">
        <v>0</v>
      </c>
      <c r="I562" s="12" t="s">
        <v>1586</v>
      </c>
    </row>
    <row r="563" spans="1:9">
      <c r="A563" s="12" t="s">
        <v>1319</v>
      </c>
      <c r="B563" s="12" t="s">
        <v>1320</v>
      </c>
      <c r="C563" s="12" t="s">
        <v>59</v>
      </c>
      <c r="D563" s="12" t="s">
        <v>1585</v>
      </c>
      <c r="E563" s="12">
        <v>20</v>
      </c>
      <c r="F563" s="12">
        <v>0</v>
      </c>
      <c r="G563" s="12">
        <v>0.5</v>
      </c>
      <c r="H563" s="12">
        <v>-0.5</v>
      </c>
      <c r="I563" s="12" t="s">
        <v>1586</v>
      </c>
    </row>
    <row r="564" spans="1:9">
      <c r="A564" s="12" t="s">
        <v>1417</v>
      </c>
      <c r="B564" s="12" t="s">
        <v>1418</v>
      </c>
      <c r="C564" s="12" t="s">
        <v>32</v>
      </c>
      <c r="D564" s="12" t="s">
        <v>1585</v>
      </c>
      <c r="E564" s="12">
        <v>20</v>
      </c>
      <c r="F564" s="12">
        <v>0</v>
      </c>
      <c r="G564" s="12">
        <v>0</v>
      </c>
      <c r="H564" s="12">
        <v>0</v>
      </c>
      <c r="I564" s="12" t="s">
        <v>1586</v>
      </c>
    </row>
    <row r="565" spans="1:9">
      <c r="A565" s="12" t="s">
        <v>641</v>
      </c>
      <c r="B565" s="12" t="s">
        <v>642</v>
      </c>
      <c r="C565" s="12" t="s">
        <v>640</v>
      </c>
      <c r="D565" s="12" t="s">
        <v>1585</v>
      </c>
      <c r="E565" s="12">
        <v>0</v>
      </c>
      <c r="F565" s="12">
        <v>0</v>
      </c>
      <c r="G565" s="12">
        <v>4</v>
      </c>
      <c r="H565" s="12">
        <v>16</v>
      </c>
      <c r="I565" s="12" t="s">
        <v>1586</v>
      </c>
    </row>
    <row r="566" spans="1:9">
      <c r="A566" s="12" t="s">
        <v>430</v>
      </c>
      <c r="B566" s="12" t="s">
        <v>431</v>
      </c>
      <c r="C566" s="12" t="s">
        <v>24</v>
      </c>
      <c r="D566" s="12" t="s">
        <v>1585</v>
      </c>
      <c r="E566" s="12">
        <v>20</v>
      </c>
      <c r="F566" s="12">
        <v>0</v>
      </c>
      <c r="G566" s="12">
        <v>0</v>
      </c>
      <c r="H566" s="12">
        <v>0</v>
      </c>
      <c r="I566" s="12" t="s">
        <v>1586</v>
      </c>
    </row>
    <row r="567" spans="1:9">
      <c r="A567" s="12" t="s">
        <v>815</v>
      </c>
      <c r="B567" s="12" t="s">
        <v>816</v>
      </c>
      <c r="C567" s="12" t="s">
        <v>19</v>
      </c>
      <c r="D567" s="12" t="s">
        <v>1585</v>
      </c>
      <c r="E567" s="12">
        <v>20</v>
      </c>
      <c r="F567" s="12">
        <v>0</v>
      </c>
      <c r="G567" s="12">
        <v>0</v>
      </c>
      <c r="H567" s="12">
        <v>0</v>
      </c>
      <c r="I567" s="12" t="s">
        <v>1586</v>
      </c>
    </row>
    <row r="568" spans="1:9">
      <c r="A568" s="12" t="s">
        <v>742</v>
      </c>
      <c r="B568" s="12" t="s">
        <v>743</v>
      </c>
      <c r="C568" s="12" t="s">
        <v>91</v>
      </c>
      <c r="D568" s="12" t="s">
        <v>1585</v>
      </c>
      <c r="E568" s="12">
        <v>20</v>
      </c>
      <c r="F568" s="12">
        <v>0</v>
      </c>
      <c r="G568" s="12">
        <v>0</v>
      </c>
      <c r="H568" s="12">
        <v>0</v>
      </c>
      <c r="I568" s="12" t="s">
        <v>1586</v>
      </c>
    </row>
    <row r="569" spans="1:9">
      <c r="A569" s="12" t="s">
        <v>703</v>
      </c>
      <c r="B569" s="12" t="s">
        <v>704</v>
      </c>
      <c r="C569" s="12" t="s">
        <v>75</v>
      </c>
      <c r="D569" s="12" t="s">
        <v>1585</v>
      </c>
      <c r="E569" s="12">
        <v>20</v>
      </c>
      <c r="F569" s="12">
        <v>0</v>
      </c>
      <c r="G569" s="12">
        <v>0</v>
      </c>
      <c r="H569" s="12">
        <v>0</v>
      </c>
      <c r="I569" s="12" t="s">
        <v>1586</v>
      </c>
    </row>
    <row r="570" spans="1:9">
      <c r="A570" s="12" t="s">
        <v>1303</v>
      </c>
      <c r="B570" s="12" t="s">
        <v>1304</v>
      </c>
      <c r="C570" s="12" t="s">
        <v>41</v>
      </c>
      <c r="D570" s="12" t="s">
        <v>1585</v>
      </c>
      <c r="E570" s="12">
        <v>20</v>
      </c>
      <c r="F570" s="12">
        <v>0</v>
      </c>
      <c r="G570" s="12">
        <v>0</v>
      </c>
      <c r="H570" s="12">
        <v>0</v>
      </c>
      <c r="I570" s="12" t="s">
        <v>1586</v>
      </c>
    </row>
    <row r="571" spans="1:9">
      <c r="A571" s="12" t="s">
        <v>1455</v>
      </c>
      <c r="B571" s="12" t="s">
        <v>1456</v>
      </c>
      <c r="C571" s="12" t="s">
        <v>82</v>
      </c>
      <c r="D571" s="12" t="s">
        <v>1585</v>
      </c>
      <c r="E571" s="12">
        <v>16</v>
      </c>
      <c r="F571" s="12">
        <v>0</v>
      </c>
      <c r="G571" s="12">
        <v>0</v>
      </c>
      <c r="H571" s="12">
        <v>4</v>
      </c>
      <c r="I571" s="12" t="s">
        <v>1586</v>
      </c>
    </row>
    <row r="572" spans="1:9">
      <c r="A572" s="12" t="s">
        <v>207</v>
      </c>
      <c r="B572" s="12" t="s">
        <v>208</v>
      </c>
      <c r="C572" s="12" t="s">
        <v>11</v>
      </c>
      <c r="D572" s="12" t="s">
        <v>1585</v>
      </c>
      <c r="E572" s="12">
        <v>18</v>
      </c>
      <c r="F572" s="12">
        <v>0</v>
      </c>
      <c r="G572" s="12">
        <v>2</v>
      </c>
      <c r="H572" s="12">
        <v>0</v>
      </c>
      <c r="I572" s="12" t="s">
        <v>1586</v>
      </c>
    </row>
    <row r="573" spans="1:9">
      <c r="A573" s="12" t="s">
        <v>1307</v>
      </c>
      <c r="B573" s="12" t="s">
        <v>1308</v>
      </c>
      <c r="C573" s="12" t="s">
        <v>4</v>
      </c>
      <c r="D573" s="12" t="s">
        <v>1585</v>
      </c>
      <c r="E573" s="12">
        <v>0</v>
      </c>
      <c r="F573" s="12">
        <v>20</v>
      </c>
      <c r="G573" s="12">
        <v>0</v>
      </c>
      <c r="H573" s="12">
        <v>0</v>
      </c>
      <c r="I573" s="12" t="s">
        <v>1586</v>
      </c>
    </row>
    <row r="574" spans="1:9">
      <c r="A574" s="12" t="s">
        <v>1425</v>
      </c>
      <c r="B574" s="12" t="s">
        <v>1426</v>
      </c>
      <c r="C574" s="12" t="s">
        <v>10</v>
      </c>
      <c r="D574" s="12" t="s">
        <v>1585</v>
      </c>
      <c r="E574" s="12">
        <v>20</v>
      </c>
      <c r="F574" s="12">
        <v>0</v>
      </c>
      <c r="G574" s="12">
        <v>0</v>
      </c>
      <c r="H574" s="12">
        <v>0</v>
      </c>
      <c r="I574" s="12" t="s">
        <v>1586</v>
      </c>
    </row>
    <row r="575" spans="1:9">
      <c r="A575" s="12" t="s">
        <v>698</v>
      </c>
      <c r="B575" s="12" t="s">
        <v>699</v>
      </c>
      <c r="C575" s="12" t="s">
        <v>26</v>
      </c>
      <c r="D575" s="12" t="s">
        <v>1585</v>
      </c>
      <c r="E575" s="12">
        <v>3</v>
      </c>
      <c r="F575" s="12">
        <v>15</v>
      </c>
      <c r="G575" s="12">
        <v>2</v>
      </c>
      <c r="H575" s="12">
        <v>0</v>
      </c>
      <c r="I575" s="12" t="s">
        <v>1586</v>
      </c>
    </row>
    <row r="576" spans="1:9">
      <c r="A576" s="12" t="s">
        <v>944</v>
      </c>
      <c r="B576" s="12" t="s">
        <v>945</v>
      </c>
      <c r="C576" s="12" t="s">
        <v>45</v>
      </c>
      <c r="D576" s="12" t="s">
        <v>1585</v>
      </c>
      <c r="E576" s="12">
        <v>15</v>
      </c>
      <c r="F576" s="12">
        <v>0</v>
      </c>
      <c r="G576" s="12">
        <v>5</v>
      </c>
      <c r="H576" s="12">
        <v>0</v>
      </c>
      <c r="I576" s="12" t="s">
        <v>1586</v>
      </c>
    </row>
    <row r="577" spans="1:9">
      <c r="A577" s="12" t="s">
        <v>1355</v>
      </c>
      <c r="B577" s="12" t="s">
        <v>1356</v>
      </c>
      <c r="C577" s="12" t="s">
        <v>77</v>
      </c>
      <c r="D577" s="12" t="s">
        <v>1585</v>
      </c>
      <c r="E577" s="12">
        <v>4</v>
      </c>
      <c r="F577" s="12">
        <v>10</v>
      </c>
      <c r="G577" s="12">
        <v>1</v>
      </c>
      <c r="H577" s="12">
        <v>5</v>
      </c>
      <c r="I577" s="12" t="s">
        <v>1586</v>
      </c>
    </row>
    <row r="578" spans="1:9">
      <c r="A578" s="12" t="s">
        <v>962</v>
      </c>
      <c r="B578" s="12" t="s">
        <v>963</v>
      </c>
      <c r="C578" s="12" t="s">
        <v>49</v>
      </c>
      <c r="D578" s="12" t="s">
        <v>1585</v>
      </c>
      <c r="E578" s="12">
        <v>20</v>
      </c>
      <c r="F578" s="12">
        <v>0</v>
      </c>
      <c r="G578" s="12">
        <v>0</v>
      </c>
      <c r="H578" s="12">
        <v>0</v>
      </c>
      <c r="I578" s="12" t="s">
        <v>1586</v>
      </c>
    </row>
    <row r="579" spans="1:9">
      <c r="A579" s="12" t="s">
        <v>900</v>
      </c>
      <c r="B579" s="12" t="s">
        <v>901</v>
      </c>
      <c r="C579" s="12" t="s">
        <v>14</v>
      </c>
      <c r="D579" s="12" t="s">
        <v>1585</v>
      </c>
      <c r="E579" s="12">
        <v>20</v>
      </c>
      <c r="F579" s="12">
        <v>0</v>
      </c>
      <c r="G579" s="12">
        <v>0</v>
      </c>
      <c r="H579" s="12">
        <v>0</v>
      </c>
      <c r="I579" s="12" t="s">
        <v>1586</v>
      </c>
    </row>
    <row r="580" spans="1:9">
      <c r="A580" s="12" t="s">
        <v>684</v>
      </c>
      <c r="B580" s="12" t="s">
        <v>685</v>
      </c>
      <c r="C580" s="12" t="s">
        <v>72</v>
      </c>
      <c r="D580" s="12" t="s">
        <v>1585</v>
      </c>
      <c r="E580" s="12">
        <v>0</v>
      </c>
      <c r="F580" s="12">
        <v>5</v>
      </c>
      <c r="G580" s="12">
        <v>0</v>
      </c>
      <c r="H580" s="12">
        <v>15</v>
      </c>
      <c r="I580" s="12" t="s">
        <v>1586</v>
      </c>
    </row>
    <row r="581" spans="1:9">
      <c r="A581" s="12" t="s">
        <v>1593</v>
      </c>
      <c r="B581" s="12" t="s">
        <v>1594</v>
      </c>
      <c r="C581" s="12" t="s">
        <v>26</v>
      </c>
      <c r="D581" s="12" t="s">
        <v>1585</v>
      </c>
      <c r="E581" s="12">
        <v>0</v>
      </c>
      <c r="F581" s="12">
        <v>15</v>
      </c>
      <c r="G581" s="12">
        <v>5</v>
      </c>
      <c r="H581" s="12">
        <v>0</v>
      </c>
      <c r="I581" s="12" t="s">
        <v>1592</v>
      </c>
    </row>
    <row r="582" spans="1:9">
      <c r="A582" s="12" t="s">
        <v>259</v>
      </c>
      <c r="B582" s="12" t="s">
        <v>260</v>
      </c>
      <c r="C582" s="12" t="s">
        <v>84</v>
      </c>
      <c r="D582" s="12" t="s">
        <v>1585</v>
      </c>
      <c r="E582" s="12">
        <v>0</v>
      </c>
      <c r="F582" s="12">
        <v>2</v>
      </c>
      <c r="G582" s="12">
        <v>0</v>
      </c>
      <c r="H582" s="12">
        <v>18</v>
      </c>
      <c r="I582" s="12" t="s">
        <v>1586</v>
      </c>
    </row>
    <row r="583" spans="1:9">
      <c r="A583" s="12" t="s">
        <v>267</v>
      </c>
      <c r="B583" s="12" t="s">
        <v>268</v>
      </c>
      <c r="C583" s="12" t="s">
        <v>84</v>
      </c>
      <c r="D583" s="12" t="s">
        <v>1585</v>
      </c>
      <c r="E583" s="12">
        <v>12</v>
      </c>
      <c r="F583" s="12">
        <v>0</v>
      </c>
      <c r="G583" s="12">
        <v>2</v>
      </c>
      <c r="H583" s="12">
        <v>6</v>
      </c>
      <c r="I583" s="12" t="s">
        <v>1586</v>
      </c>
    </row>
    <row r="584" spans="1:9">
      <c r="A584" s="12" t="s">
        <v>1383</v>
      </c>
      <c r="B584" s="12" t="s">
        <v>1384</v>
      </c>
      <c r="C584" s="12" t="s">
        <v>78</v>
      </c>
      <c r="D584" s="12" t="s">
        <v>1585</v>
      </c>
      <c r="E584" s="12">
        <v>0</v>
      </c>
      <c r="F584" s="12">
        <v>0</v>
      </c>
      <c r="G584" s="12">
        <v>0</v>
      </c>
      <c r="H584" s="12">
        <v>20</v>
      </c>
      <c r="I584" s="12" t="s">
        <v>1586</v>
      </c>
    </row>
    <row r="585" spans="1:9">
      <c r="A585" s="12" t="s">
        <v>1074</v>
      </c>
      <c r="B585" s="12" t="s">
        <v>1075</v>
      </c>
      <c r="C585" s="12" t="s">
        <v>37</v>
      </c>
      <c r="D585" s="12" t="s">
        <v>1585</v>
      </c>
      <c r="E585" s="12">
        <v>20</v>
      </c>
      <c r="F585" s="12">
        <v>0</v>
      </c>
      <c r="G585" s="12">
        <v>0</v>
      </c>
      <c r="H585" s="12">
        <v>0</v>
      </c>
      <c r="I585" s="12" t="s">
        <v>1586</v>
      </c>
    </row>
    <row r="586" spans="1:9">
      <c r="A586" s="12" t="s">
        <v>263</v>
      </c>
      <c r="B586" s="12" t="s">
        <v>264</v>
      </c>
      <c r="C586" s="12" t="s">
        <v>84</v>
      </c>
      <c r="D586" s="12" t="s">
        <v>1585</v>
      </c>
      <c r="E586" s="12">
        <v>20</v>
      </c>
      <c r="F586" s="12">
        <v>0</v>
      </c>
      <c r="G586" s="12">
        <v>0</v>
      </c>
      <c r="H586" s="12">
        <v>0</v>
      </c>
      <c r="I586" s="12" t="s">
        <v>1586</v>
      </c>
    </row>
    <row r="587" spans="1:9">
      <c r="A587" s="12" t="s">
        <v>1288</v>
      </c>
      <c r="B587" s="12" t="s">
        <v>1289</v>
      </c>
      <c r="C587" s="12" t="s">
        <v>27</v>
      </c>
      <c r="D587" s="12" t="s">
        <v>1585</v>
      </c>
      <c r="E587" s="12">
        <v>20</v>
      </c>
      <c r="F587" s="12">
        <v>0</v>
      </c>
      <c r="G587" s="12">
        <v>0</v>
      </c>
      <c r="H587" s="12">
        <v>0</v>
      </c>
      <c r="I587" s="12" t="s">
        <v>1586</v>
      </c>
    </row>
    <row r="588" spans="1:9">
      <c r="A588" s="12" t="s">
        <v>646</v>
      </c>
      <c r="B588" s="12" t="s">
        <v>647</v>
      </c>
      <c r="C588" s="12" t="s">
        <v>31</v>
      </c>
      <c r="D588" s="12" t="s">
        <v>1585</v>
      </c>
      <c r="E588" s="12">
        <v>16.5</v>
      </c>
      <c r="F588" s="12">
        <v>0</v>
      </c>
      <c r="G588" s="12">
        <v>1.5</v>
      </c>
      <c r="H588" s="12">
        <v>2</v>
      </c>
      <c r="I588" s="12" t="s">
        <v>1586</v>
      </c>
    </row>
    <row r="589" spans="1:9">
      <c r="A589" s="12" t="s">
        <v>334</v>
      </c>
      <c r="B589" s="12" t="s">
        <v>335</v>
      </c>
      <c r="C589" s="12" t="s">
        <v>64</v>
      </c>
      <c r="D589" s="12" t="s">
        <v>1585</v>
      </c>
      <c r="E589" s="12">
        <v>20</v>
      </c>
      <c r="F589" s="12">
        <v>0</v>
      </c>
      <c r="G589" s="12">
        <v>0</v>
      </c>
      <c r="H589" s="12">
        <v>0</v>
      </c>
      <c r="I589" s="12" t="s">
        <v>1586</v>
      </c>
    </row>
    <row r="590" spans="1:9">
      <c r="A590" s="12" t="s">
        <v>180</v>
      </c>
      <c r="B590" s="12" t="s">
        <v>181</v>
      </c>
      <c r="C590" s="12" t="s">
        <v>47</v>
      </c>
      <c r="D590" s="12" t="s">
        <v>1585</v>
      </c>
      <c r="E590" s="12">
        <v>20</v>
      </c>
      <c r="F590" s="12">
        <v>0</v>
      </c>
      <c r="G590" s="12">
        <v>0</v>
      </c>
      <c r="H590" s="12">
        <v>0</v>
      </c>
      <c r="I590" s="12" t="s">
        <v>1586</v>
      </c>
    </row>
    <row r="591" spans="1:9">
      <c r="A591" s="12" t="s">
        <v>217</v>
      </c>
      <c r="B591" s="12" t="s">
        <v>218</v>
      </c>
      <c r="C591" s="12" t="s">
        <v>52</v>
      </c>
      <c r="D591" s="12" t="s">
        <v>1585</v>
      </c>
      <c r="E591" s="12">
        <v>0</v>
      </c>
      <c r="F591" s="12">
        <v>20</v>
      </c>
      <c r="G591" s="12">
        <v>0</v>
      </c>
      <c r="H591" s="12">
        <v>0</v>
      </c>
      <c r="I591" s="12" t="s">
        <v>1586</v>
      </c>
    </row>
    <row r="592" spans="1:9">
      <c r="A592" s="12" t="s">
        <v>1488</v>
      </c>
      <c r="B592" s="12" t="s">
        <v>1489</v>
      </c>
      <c r="C592" s="12" t="s">
        <v>26</v>
      </c>
      <c r="D592" s="12" t="s">
        <v>1585</v>
      </c>
      <c r="E592" s="12">
        <v>20</v>
      </c>
      <c r="F592" s="12">
        <v>0</v>
      </c>
      <c r="G592" s="12">
        <v>0</v>
      </c>
      <c r="H592" s="12">
        <v>0</v>
      </c>
      <c r="I592" s="12" t="s">
        <v>1586</v>
      </c>
    </row>
    <row r="593" spans="1:9">
      <c r="A593" s="12" t="s">
        <v>1093</v>
      </c>
      <c r="B593" s="12" t="s">
        <v>1094</v>
      </c>
      <c r="C593" s="12" t="s">
        <v>51</v>
      </c>
      <c r="D593" s="12" t="s">
        <v>1585</v>
      </c>
      <c r="E593" s="12">
        <v>0</v>
      </c>
      <c r="F593" s="12">
        <v>20</v>
      </c>
      <c r="G593" s="12">
        <v>0</v>
      </c>
      <c r="H593" s="12">
        <v>0</v>
      </c>
      <c r="I593" s="12" t="s">
        <v>1586</v>
      </c>
    </row>
    <row r="594" spans="1:9">
      <c r="A594" s="12" t="s">
        <v>1066</v>
      </c>
      <c r="B594" s="12" t="s">
        <v>1067</v>
      </c>
      <c r="C594" s="12" t="s">
        <v>37</v>
      </c>
      <c r="D594" s="12" t="s">
        <v>1585</v>
      </c>
      <c r="E594" s="12">
        <v>18</v>
      </c>
      <c r="F594" s="12">
        <v>0</v>
      </c>
      <c r="G594" s="12">
        <v>2</v>
      </c>
      <c r="H594" s="12">
        <v>0</v>
      </c>
      <c r="I594" s="12" t="s">
        <v>1586</v>
      </c>
    </row>
    <row r="595" spans="1:9">
      <c r="A595" s="12" t="s">
        <v>492</v>
      </c>
      <c r="B595" s="12" t="s">
        <v>493</v>
      </c>
      <c r="C595" s="12" t="s">
        <v>33</v>
      </c>
      <c r="D595" s="12" t="s">
        <v>1585</v>
      </c>
      <c r="E595" s="12">
        <v>20</v>
      </c>
      <c r="F595" s="12">
        <v>0</v>
      </c>
      <c r="G595" s="12">
        <v>0</v>
      </c>
      <c r="H595" s="12">
        <v>0</v>
      </c>
      <c r="I595" s="12" t="s">
        <v>1586</v>
      </c>
    </row>
    <row r="596" spans="1:9">
      <c r="A596" s="12" t="s">
        <v>1595</v>
      </c>
      <c r="B596" s="12" t="s">
        <v>1596</v>
      </c>
      <c r="C596" s="12" t="s">
        <v>82</v>
      </c>
      <c r="D596" s="12" t="s">
        <v>1585</v>
      </c>
      <c r="E596" s="12">
        <v>0</v>
      </c>
      <c r="F596" s="12">
        <v>19</v>
      </c>
      <c r="G596" s="12">
        <v>1</v>
      </c>
      <c r="H596" s="12">
        <v>0</v>
      </c>
      <c r="I596" s="12" t="s">
        <v>1592</v>
      </c>
    </row>
    <row r="597" spans="1:9">
      <c r="A597" s="12" t="s">
        <v>516</v>
      </c>
      <c r="B597" s="12" t="s">
        <v>517</v>
      </c>
      <c r="C597" s="12" t="s">
        <v>57</v>
      </c>
      <c r="D597" s="12" t="s">
        <v>1585</v>
      </c>
      <c r="E597" s="12">
        <v>20</v>
      </c>
      <c r="F597" s="12">
        <v>0</v>
      </c>
      <c r="G597" s="12">
        <v>0</v>
      </c>
      <c r="H597" s="12">
        <v>0</v>
      </c>
      <c r="I597" s="12" t="s">
        <v>1586</v>
      </c>
    </row>
    <row r="598" spans="1:9">
      <c r="A598" s="12" t="s">
        <v>1553</v>
      </c>
      <c r="B598" s="12" t="s">
        <v>1554</v>
      </c>
      <c r="C598" s="12" t="s">
        <v>85</v>
      </c>
      <c r="D598" s="12" t="s">
        <v>1585</v>
      </c>
      <c r="E598" s="12">
        <v>20</v>
      </c>
      <c r="F598" s="12">
        <v>0</v>
      </c>
      <c r="G598" s="12">
        <v>0</v>
      </c>
      <c r="H598" s="12">
        <v>0</v>
      </c>
      <c r="I598" s="12" t="s">
        <v>1586</v>
      </c>
    </row>
    <row r="599" spans="1:9">
      <c r="A599" s="12" t="s">
        <v>750</v>
      </c>
      <c r="B599" s="12" t="s">
        <v>751</v>
      </c>
      <c r="C599" s="12" t="s">
        <v>91</v>
      </c>
      <c r="D599" s="12" t="s">
        <v>1585</v>
      </c>
      <c r="E599" s="12">
        <v>20</v>
      </c>
      <c r="F599" s="12">
        <v>0</v>
      </c>
      <c r="G599" s="12">
        <v>0</v>
      </c>
      <c r="H599" s="12">
        <v>0</v>
      </c>
      <c r="I599" s="12" t="s">
        <v>1586</v>
      </c>
    </row>
    <row r="600" spans="1:9">
      <c r="A600" s="12" t="s">
        <v>746</v>
      </c>
      <c r="B600" s="12" t="s">
        <v>747</v>
      </c>
      <c r="C600" s="12" t="s">
        <v>91</v>
      </c>
      <c r="D600" s="12" t="s">
        <v>1585</v>
      </c>
      <c r="E600" s="12">
        <v>0</v>
      </c>
      <c r="F600" s="12">
        <v>18</v>
      </c>
      <c r="G600" s="12">
        <v>1</v>
      </c>
      <c r="H600" s="12">
        <v>0</v>
      </c>
      <c r="I600" s="12" t="s">
        <v>1586</v>
      </c>
    </row>
    <row r="601" spans="1:9">
      <c r="A601" s="12" t="s">
        <v>1329</v>
      </c>
      <c r="B601" s="12" t="s">
        <v>1330</v>
      </c>
      <c r="C601" s="12" t="s">
        <v>59</v>
      </c>
      <c r="D601" s="12" t="s">
        <v>1585</v>
      </c>
      <c r="E601" s="12">
        <v>10</v>
      </c>
      <c r="F601" s="12">
        <v>0</v>
      </c>
      <c r="G601" s="12">
        <v>0</v>
      </c>
      <c r="H601" s="12">
        <v>10</v>
      </c>
      <c r="I601" s="12" t="s">
        <v>1586</v>
      </c>
    </row>
    <row r="602" spans="1:9">
      <c r="A602" s="12" t="s">
        <v>265</v>
      </c>
      <c r="B602" s="12" t="s">
        <v>266</v>
      </c>
      <c r="C602" s="12" t="s">
        <v>84</v>
      </c>
      <c r="D602" s="12" t="s">
        <v>1585</v>
      </c>
      <c r="E602" s="12">
        <v>19.5</v>
      </c>
      <c r="F602" s="12">
        <v>0.5</v>
      </c>
      <c r="G602" s="12">
        <v>0</v>
      </c>
      <c r="H602" s="12">
        <v>0</v>
      </c>
      <c r="I602" s="12" t="s">
        <v>1586</v>
      </c>
    </row>
    <row r="603" spans="1:9">
      <c r="A603" s="12" t="s">
        <v>425</v>
      </c>
      <c r="B603" s="12" t="s">
        <v>426</v>
      </c>
      <c r="C603" s="12" t="s">
        <v>69</v>
      </c>
      <c r="D603" s="12" t="s">
        <v>1585</v>
      </c>
      <c r="E603" s="12">
        <v>19</v>
      </c>
      <c r="F603" s="12">
        <v>0</v>
      </c>
      <c r="G603" s="12">
        <v>0</v>
      </c>
      <c r="H603" s="12">
        <v>1</v>
      </c>
      <c r="I603" s="12" t="s">
        <v>1586</v>
      </c>
    </row>
    <row r="604" spans="1:9">
      <c r="A604" s="12" t="s">
        <v>1597</v>
      </c>
      <c r="B604" s="12" t="s">
        <v>1598</v>
      </c>
      <c r="C604" s="12" t="s">
        <v>357</v>
      </c>
      <c r="D604" s="12" t="s">
        <v>1585</v>
      </c>
      <c r="E604" s="12">
        <v>0</v>
      </c>
      <c r="F604" s="12">
        <v>12</v>
      </c>
      <c r="G604" s="12">
        <v>8</v>
      </c>
      <c r="H604" s="12">
        <v>0</v>
      </c>
      <c r="I604" s="12" t="s">
        <v>1589</v>
      </c>
    </row>
    <row r="605" spans="1:9">
      <c r="A605" s="12" t="s">
        <v>1599</v>
      </c>
      <c r="B605" s="12" t="s">
        <v>1600</v>
      </c>
      <c r="C605" s="12" t="s">
        <v>91</v>
      </c>
      <c r="D605" s="12" t="s">
        <v>1585</v>
      </c>
      <c r="E605" s="12">
        <v>0</v>
      </c>
      <c r="F605" s="12">
        <v>20</v>
      </c>
      <c r="G605" s="12">
        <v>0</v>
      </c>
      <c r="H605" s="12">
        <v>0</v>
      </c>
      <c r="I605" s="12" t="s">
        <v>1589</v>
      </c>
    </row>
    <row r="606" spans="1:9">
      <c r="A606" s="12" t="s">
        <v>469</v>
      </c>
      <c r="B606" s="12" t="s">
        <v>470</v>
      </c>
      <c r="C606" s="12" t="s">
        <v>50</v>
      </c>
      <c r="D606" s="12" t="s">
        <v>1585</v>
      </c>
      <c r="E606" s="12">
        <v>20</v>
      </c>
      <c r="F606" s="12">
        <v>0</v>
      </c>
      <c r="G606" s="12">
        <v>0</v>
      </c>
      <c r="H606" s="12">
        <v>0</v>
      </c>
      <c r="I606" s="12" t="s">
        <v>1586</v>
      </c>
    </row>
    <row r="607" spans="1:9">
      <c r="A607" s="12" t="s">
        <v>1233</v>
      </c>
      <c r="B607" s="12" t="s">
        <v>1234</v>
      </c>
      <c r="C607" s="12" t="s">
        <v>85</v>
      </c>
      <c r="D607" s="12" t="s">
        <v>1585</v>
      </c>
      <c r="E607" s="12">
        <v>20</v>
      </c>
      <c r="F607" s="12">
        <v>0</v>
      </c>
      <c r="G607" s="12">
        <v>0</v>
      </c>
      <c r="H607" s="12">
        <v>0</v>
      </c>
      <c r="I607" s="12" t="s">
        <v>1586</v>
      </c>
    </row>
    <row r="608" spans="1:9">
      <c r="A608" s="12" t="s">
        <v>821</v>
      </c>
      <c r="B608" s="12" t="s">
        <v>822</v>
      </c>
      <c r="C608" s="12" t="s">
        <v>10</v>
      </c>
      <c r="D608" s="12" t="s">
        <v>1585</v>
      </c>
      <c r="E608" s="12">
        <v>19</v>
      </c>
      <c r="F608" s="12">
        <v>0</v>
      </c>
      <c r="G608" s="12">
        <v>1</v>
      </c>
      <c r="H608" s="12">
        <v>0</v>
      </c>
      <c r="I608" s="12" t="s">
        <v>1586</v>
      </c>
    </row>
    <row r="609" spans="1:9">
      <c r="A609" s="12" t="s">
        <v>236</v>
      </c>
      <c r="B609" s="12" t="s">
        <v>237</v>
      </c>
      <c r="C609" s="12" t="s">
        <v>62</v>
      </c>
      <c r="D609" s="12" t="s">
        <v>1585</v>
      </c>
      <c r="E609" s="12">
        <v>20</v>
      </c>
      <c r="F609" s="12">
        <v>0</v>
      </c>
      <c r="G609" s="12">
        <v>0</v>
      </c>
      <c r="H609" s="12">
        <v>0</v>
      </c>
      <c r="I609" s="12" t="s">
        <v>1586</v>
      </c>
    </row>
    <row r="610" spans="1:9">
      <c r="A610" s="12" t="s">
        <v>720</v>
      </c>
      <c r="B610" s="12" t="s">
        <v>721</v>
      </c>
      <c r="C610" s="12" t="s">
        <v>25</v>
      </c>
      <c r="D610" s="12" t="s">
        <v>1585</v>
      </c>
      <c r="E610" s="12">
        <v>20</v>
      </c>
      <c r="F610" s="12">
        <v>0</v>
      </c>
      <c r="G610" s="12">
        <v>0</v>
      </c>
      <c r="H610" s="12">
        <v>0</v>
      </c>
      <c r="I610" s="12" t="s">
        <v>1586</v>
      </c>
    </row>
    <row r="611" spans="1:9">
      <c r="A611" s="12" t="s">
        <v>775</v>
      </c>
      <c r="B611" s="12" t="s">
        <v>776</v>
      </c>
      <c r="C611" s="12" t="s">
        <v>69</v>
      </c>
      <c r="D611" s="12" t="s">
        <v>1585</v>
      </c>
      <c r="E611" s="12">
        <v>18.5</v>
      </c>
      <c r="F611" s="12">
        <v>0</v>
      </c>
      <c r="G611" s="12">
        <v>0.5</v>
      </c>
      <c r="H611" s="12">
        <v>1</v>
      </c>
      <c r="I611" s="12" t="s">
        <v>1586</v>
      </c>
    </row>
    <row r="612" spans="1:9">
      <c r="A612" s="12" t="s">
        <v>952</v>
      </c>
      <c r="B612" s="12" t="s">
        <v>953</v>
      </c>
      <c r="C612" s="12" t="s">
        <v>45</v>
      </c>
      <c r="D612" s="12" t="s">
        <v>1585</v>
      </c>
      <c r="E612" s="12">
        <v>17</v>
      </c>
      <c r="F612" s="12">
        <v>0</v>
      </c>
      <c r="G612" s="12">
        <v>3</v>
      </c>
      <c r="H612" s="12">
        <v>0</v>
      </c>
      <c r="I612" s="12" t="s">
        <v>1586</v>
      </c>
    </row>
    <row r="613" spans="1:9">
      <c r="A613" s="12" t="s">
        <v>1047</v>
      </c>
      <c r="B613" s="12" t="s">
        <v>1048</v>
      </c>
      <c r="C613" s="12" t="s">
        <v>44</v>
      </c>
      <c r="D613" s="12" t="s">
        <v>1585</v>
      </c>
      <c r="E613" s="12">
        <v>20</v>
      </c>
      <c r="F613" s="12">
        <v>0</v>
      </c>
      <c r="G613" s="12">
        <v>0</v>
      </c>
      <c r="H613" s="12">
        <v>0</v>
      </c>
      <c r="I613" s="12" t="s">
        <v>1586</v>
      </c>
    </row>
    <row r="614" spans="1:9">
      <c r="A614" s="12" t="s">
        <v>1381</v>
      </c>
      <c r="B614" s="12" t="s">
        <v>1382</v>
      </c>
      <c r="C614" s="12" t="s">
        <v>78</v>
      </c>
      <c r="D614" s="12" t="s">
        <v>1585</v>
      </c>
      <c r="E614" s="12">
        <v>10</v>
      </c>
      <c r="F614" s="12">
        <v>0</v>
      </c>
      <c r="G614" s="12">
        <v>0.5</v>
      </c>
      <c r="H614" s="12">
        <v>9.5</v>
      </c>
      <c r="I614" s="12" t="s">
        <v>1586</v>
      </c>
    </row>
    <row r="615" spans="1:9">
      <c r="A615" s="12" t="s">
        <v>994</v>
      </c>
      <c r="B615" s="12" t="s">
        <v>995</v>
      </c>
      <c r="C615" s="12" t="s">
        <v>96</v>
      </c>
      <c r="D615" s="12" t="s">
        <v>1585</v>
      </c>
      <c r="E615" s="12">
        <v>0</v>
      </c>
      <c r="F615" s="12">
        <v>20</v>
      </c>
      <c r="G615" s="12">
        <v>0</v>
      </c>
      <c r="H615" s="12">
        <v>0</v>
      </c>
      <c r="I615" s="12" t="s">
        <v>1586</v>
      </c>
    </row>
    <row r="616" spans="1:9">
      <c r="A616" s="12" t="s">
        <v>166</v>
      </c>
      <c r="B616" s="12" t="s">
        <v>167</v>
      </c>
      <c r="C616" s="12" t="s">
        <v>7</v>
      </c>
      <c r="D616" s="12" t="s">
        <v>1585</v>
      </c>
      <c r="E616" s="12">
        <v>16</v>
      </c>
      <c r="F616" s="12">
        <v>0</v>
      </c>
      <c r="G616" s="12">
        <v>0</v>
      </c>
      <c r="H616" s="12">
        <v>4</v>
      </c>
      <c r="I616" s="12" t="s">
        <v>1586</v>
      </c>
    </row>
    <row r="617" spans="1:9">
      <c r="A617" s="12" t="s">
        <v>1078</v>
      </c>
      <c r="B617" s="12" t="s">
        <v>1079</v>
      </c>
      <c r="C617" s="12" t="s">
        <v>37</v>
      </c>
      <c r="D617" s="12" t="s">
        <v>1585</v>
      </c>
      <c r="E617" s="12">
        <v>0</v>
      </c>
      <c r="F617" s="12">
        <v>17.5</v>
      </c>
      <c r="G617" s="12">
        <v>2.5</v>
      </c>
      <c r="H617" s="12">
        <v>0</v>
      </c>
      <c r="I617" s="12" t="s">
        <v>1586</v>
      </c>
    </row>
    <row r="618" spans="1:9">
      <c r="A618" s="12" t="s">
        <v>1391</v>
      </c>
      <c r="B618" s="12" t="s">
        <v>93</v>
      </c>
      <c r="C618" s="12" t="s">
        <v>38</v>
      </c>
      <c r="D618" s="12" t="s">
        <v>1585</v>
      </c>
      <c r="E618" s="12">
        <v>0</v>
      </c>
      <c r="F618" s="12">
        <v>19</v>
      </c>
      <c r="G618" s="12">
        <v>1</v>
      </c>
      <c r="H618" s="12">
        <v>0</v>
      </c>
      <c r="I618" s="12" t="s">
        <v>1586</v>
      </c>
    </row>
    <row r="619" spans="1:9">
      <c r="A619" s="12" t="s">
        <v>476</v>
      </c>
      <c r="B619" s="12" t="s">
        <v>477</v>
      </c>
      <c r="C619" s="12" t="s">
        <v>50</v>
      </c>
      <c r="D619" s="12" t="s">
        <v>1585</v>
      </c>
      <c r="E619" s="12">
        <v>11</v>
      </c>
      <c r="F619" s="12">
        <v>0</v>
      </c>
      <c r="G619" s="12">
        <v>9</v>
      </c>
      <c r="H619" s="12">
        <v>0</v>
      </c>
      <c r="I619" s="12" t="s">
        <v>1586</v>
      </c>
    </row>
    <row r="620" spans="1:9">
      <c r="A620" s="12" t="s">
        <v>1239</v>
      </c>
      <c r="B620" s="12" t="s">
        <v>1240</v>
      </c>
      <c r="C620" s="12" t="s">
        <v>80</v>
      </c>
      <c r="D620" s="12" t="s">
        <v>1585</v>
      </c>
      <c r="E620" s="12">
        <v>19</v>
      </c>
      <c r="F620" s="12">
        <v>0</v>
      </c>
      <c r="G620" s="12">
        <v>1</v>
      </c>
      <c r="H620" s="12">
        <v>0</v>
      </c>
      <c r="I620" s="12" t="s">
        <v>1586</v>
      </c>
    </row>
    <row r="621" spans="1:9">
      <c r="A621" s="12" t="s">
        <v>246</v>
      </c>
      <c r="B621" s="12" t="s">
        <v>247</v>
      </c>
      <c r="C621" s="12" t="s">
        <v>62</v>
      </c>
      <c r="D621" s="12" t="s">
        <v>1585</v>
      </c>
      <c r="E621" s="12">
        <v>0</v>
      </c>
      <c r="F621" s="12">
        <v>0</v>
      </c>
      <c r="G621" s="12">
        <v>0</v>
      </c>
      <c r="H621" s="12">
        <v>11</v>
      </c>
      <c r="I621" s="12" t="s">
        <v>1586</v>
      </c>
    </row>
    <row r="622" spans="1:9">
      <c r="A622" s="12" t="s">
        <v>215</v>
      </c>
      <c r="B622" s="12" t="s">
        <v>216</v>
      </c>
      <c r="C622" s="12" t="s">
        <v>52</v>
      </c>
      <c r="D622" s="12" t="s">
        <v>1585</v>
      </c>
      <c r="E622" s="12">
        <v>20</v>
      </c>
      <c r="F622" s="12">
        <v>0</v>
      </c>
      <c r="G622" s="12">
        <v>0</v>
      </c>
      <c r="H622" s="12">
        <v>0</v>
      </c>
      <c r="I622" s="12" t="s">
        <v>1586</v>
      </c>
    </row>
    <row r="623" spans="1:9">
      <c r="A623" s="12" t="s">
        <v>630</v>
      </c>
      <c r="B623" s="12" t="s">
        <v>631</v>
      </c>
      <c r="C623" s="12" t="s">
        <v>7</v>
      </c>
      <c r="D623" s="12" t="s">
        <v>1585</v>
      </c>
      <c r="E623" s="12">
        <v>20</v>
      </c>
      <c r="F623" s="12">
        <v>0</v>
      </c>
      <c r="G623" s="12">
        <v>0</v>
      </c>
      <c r="H623" s="12">
        <v>0</v>
      </c>
      <c r="I623" s="12" t="s">
        <v>1586</v>
      </c>
    </row>
    <row r="624" spans="1:9">
      <c r="A624" s="12" t="s">
        <v>1544</v>
      </c>
      <c r="B624" s="12" t="s">
        <v>1545</v>
      </c>
      <c r="C624" s="12" t="s">
        <v>85</v>
      </c>
      <c r="D624" s="12" t="s">
        <v>1585</v>
      </c>
      <c r="E624" s="12">
        <v>18</v>
      </c>
      <c r="F624" s="12">
        <v>2</v>
      </c>
      <c r="G624" s="12">
        <v>0</v>
      </c>
      <c r="H624" s="12">
        <v>0</v>
      </c>
      <c r="I624" s="12" t="s">
        <v>1586</v>
      </c>
    </row>
    <row r="625" spans="1:9">
      <c r="A625" s="12" t="s">
        <v>1431</v>
      </c>
      <c r="B625" s="12" t="s">
        <v>1432</v>
      </c>
      <c r="C625" s="12" t="s">
        <v>10</v>
      </c>
      <c r="D625" s="12" t="s">
        <v>1585</v>
      </c>
      <c r="E625" s="12">
        <v>0</v>
      </c>
      <c r="F625" s="12">
        <v>0</v>
      </c>
      <c r="G625" s="12">
        <v>0</v>
      </c>
      <c r="H625" s="12">
        <v>20</v>
      </c>
      <c r="I625" s="12" t="s">
        <v>1586</v>
      </c>
    </row>
    <row r="626" spans="1:9">
      <c r="A626" s="12" t="s">
        <v>209</v>
      </c>
      <c r="B626" s="12" t="s">
        <v>210</v>
      </c>
      <c r="C626" s="12" t="s">
        <v>11</v>
      </c>
      <c r="D626" s="12" t="s">
        <v>1585</v>
      </c>
      <c r="E626" s="12">
        <v>0</v>
      </c>
      <c r="F626" s="12">
        <v>15</v>
      </c>
      <c r="G626" s="12">
        <v>5</v>
      </c>
      <c r="H626" s="12">
        <v>0</v>
      </c>
      <c r="I626" s="12" t="s">
        <v>1586</v>
      </c>
    </row>
    <row r="627" spans="1:9">
      <c r="A627" s="12" t="s">
        <v>170</v>
      </c>
      <c r="B627" s="12" t="s">
        <v>171</v>
      </c>
      <c r="C627" s="12" t="s">
        <v>72</v>
      </c>
      <c r="D627" s="12" t="s">
        <v>1585</v>
      </c>
      <c r="E627" s="12">
        <v>20</v>
      </c>
      <c r="F627" s="12">
        <v>0</v>
      </c>
      <c r="G627" s="12">
        <v>0</v>
      </c>
      <c r="H627" s="12">
        <v>0</v>
      </c>
      <c r="I627" s="12" t="s">
        <v>1586</v>
      </c>
    </row>
    <row r="628" spans="1:9">
      <c r="A628" s="12" t="s">
        <v>1601</v>
      </c>
      <c r="B628" s="12" t="s">
        <v>1602</v>
      </c>
      <c r="C628" s="12" t="s">
        <v>82</v>
      </c>
      <c r="D628" s="12" t="s">
        <v>1585</v>
      </c>
      <c r="E628" s="12">
        <v>0</v>
      </c>
      <c r="F628" s="12">
        <v>19</v>
      </c>
      <c r="G628" s="12">
        <v>0</v>
      </c>
      <c r="H628" s="12">
        <v>0</v>
      </c>
      <c r="I628" s="12" t="s">
        <v>1603</v>
      </c>
    </row>
    <row r="629" spans="1:9">
      <c r="A629" s="12" t="s">
        <v>1227</v>
      </c>
      <c r="B629" s="12" t="s">
        <v>1228</v>
      </c>
      <c r="C629" s="12" t="s">
        <v>22</v>
      </c>
      <c r="D629" s="12" t="s">
        <v>1585</v>
      </c>
      <c r="E629" s="12">
        <v>7</v>
      </c>
      <c r="F629" s="12">
        <v>0</v>
      </c>
      <c r="G629" s="12">
        <v>5</v>
      </c>
      <c r="H629" s="12">
        <v>8</v>
      </c>
      <c r="I629" s="12" t="s">
        <v>1586</v>
      </c>
    </row>
    <row r="630" spans="1:9">
      <c r="A630" s="12" t="s">
        <v>938</v>
      </c>
      <c r="B630" s="12" t="s">
        <v>939</v>
      </c>
      <c r="C630" s="12" t="s">
        <v>98</v>
      </c>
      <c r="D630" s="12" t="s">
        <v>1585</v>
      </c>
      <c r="E630" s="12">
        <v>0</v>
      </c>
      <c r="F630" s="12">
        <v>0</v>
      </c>
      <c r="G630" s="12">
        <v>0</v>
      </c>
      <c r="H630" s="12">
        <v>20</v>
      </c>
      <c r="I630" s="12" t="s">
        <v>1586</v>
      </c>
    </row>
    <row r="631" spans="1:9">
      <c r="A631" s="12" t="s">
        <v>744</v>
      </c>
      <c r="B631" s="12" t="s">
        <v>745</v>
      </c>
      <c r="C631" s="12" t="s">
        <v>91</v>
      </c>
      <c r="D631" s="12" t="s">
        <v>1585</v>
      </c>
      <c r="E631" s="12">
        <v>20</v>
      </c>
      <c r="F631" s="12">
        <v>0</v>
      </c>
      <c r="G631" s="12">
        <v>0</v>
      </c>
      <c r="H631" s="12">
        <v>0</v>
      </c>
      <c r="I631" s="12" t="s">
        <v>1586</v>
      </c>
    </row>
    <row r="632" spans="1:9">
      <c r="A632" s="12" t="s">
        <v>194</v>
      </c>
      <c r="B632" s="12" t="s">
        <v>195</v>
      </c>
      <c r="C632" s="12" t="s">
        <v>47</v>
      </c>
      <c r="D632" s="12" t="s">
        <v>1585</v>
      </c>
      <c r="E632" s="12">
        <v>17</v>
      </c>
      <c r="F632" s="12">
        <v>0</v>
      </c>
      <c r="G632" s="12">
        <v>3</v>
      </c>
      <c r="H632" s="12">
        <v>0</v>
      </c>
      <c r="I632" s="12" t="s">
        <v>1586</v>
      </c>
    </row>
    <row r="633" spans="1:9">
      <c r="A633" s="12" t="s">
        <v>253</v>
      </c>
      <c r="B633" s="12" t="s">
        <v>254</v>
      </c>
      <c r="C633" s="12" t="s">
        <v>62</v>
      </c>
      <c r="D633" s="12" t="s">
        <v>1585</v>
      </c>
      <c r="E633" s="12">
        <v>14</v>
      </c>
      <c r="F633" s="12">
        <v>0</v>
      </c>
      <c r="G633" s="12">
        <v>5</v>
      </c>
      <c r="H633" s="12">
        <v>1</v>
      </c>
      <c r="I633" s="12" t="s">
        <v>1586</v>
      </c>
    </row>
    <row r="634" spans="1:9">
      <c r="A634" s="12" t="s">
        <v>1538</v>
      </c>
      <c r="B634" s="12" t="s">
        <v>1539</v>
      </c>
      <c r="C634" s="12" t="s">
        <v>85</v>
      </c>
      <c r="D634" s="12" t="s">
        <v>1585</v>
      </c>
      <c r="E634" s="12">
        <v>10</v>
      </c>
      <c r="F634" s="12">
        <v>5</v>
      </c>
      <c r="G634" s="12">
        <v>5</v>
      </c>
      <c r="H634" s="12">
        <v>0</v>
      </c>
      <c r="I634" s="12" t="s">
        <v>1586</v>
      </c>
    </row>
    <row r="635" spans="1:9">
      <c r="A635" s="12" t="s">
        <v>223</v>
      </c>
      <c r="B635" s="12" t="s">
        <v>224</v>
      </c>
      <c r="C635" s="12" t="s">
        <v>52</v>
      </c>
      <c r="D635" s="12" t="s">
        <v>1585</v>
      </c>
      <c r="E635" s="12">
        <v>0</v>
      </c>
      <c r="F635" s="12">
        <v>20</v>
      </c>
      <c r="G635" s="12">
        <v>0</v>
      </c>
      <c r="H635" s="12">
        <v>0</v>
      </c>
      <c r="I635" s="12" t="s">
        <v>1586</v>
      </c>
    </row>
    <row r="636" spans="1:9">
      <c r="A636" s="12" t="s">
        <v>1107</v>
      </c>
      <c r="B636" s="12" t="s">
        <v>1108</v>
      </c>
      <c r="C636" s="12" t="s">
        <v>18</v>
      </c>
      <c r="D636" s="12" t="s">
        <v>1585</v>
      </c>
      <c r="E636" s="12">
        <v>20</v>
      </c>
      <c r="F636" s="12">
        <v>0</v>
      </c>
      <c r="G636" s="12">
        <v>0</v>
      </c>
      <c r="H636" s="12">
        <v>0</v>
      </c>
      <c r="I636" s="12" t="s">
        <v>1586</v>
      </c>
    </row>
    <row r="637" spans="1:9">
      <c r="A637" s="12" t="s">
        <v>338</v>
      </c>
      <c r="B637" s="12" t="s">
        <v>339</v>
      </c>
      <c r="C637" s="12" t="s">
        <v>64</v>
      </c>
      <c r="D637" s="12" t="s">
        <v>1585</v>
      </c>
      <c r="E637" s="12">
        <v>10</v>
      </c>
      <c r="F637" s="12">
        <v>0</v>
      </c>
      <c r="G637" s="12">
        <v>0</v>
      </c>
      <c r="H637" s="12">
        <v>10</v>
      </c>
      <c r="I637" s="12" t="s">
        <v>1586</v>
      </c>
    </row>
    <row r="638" spans="1:9">
      <c r="A638" s="12" t="s">
        <v>275</v>
      </c>
      <c r="B638" s="12" t="s">
        <v>276</v>
      </c>
      <c r="C638" s="12" t="s">
        <v>49</v>
      </c>
      <c r="D638" s="12" t="s">
        <v>1585</v>
      </c>
      <c r="E638" s="12">
        <v>17</v>
      </c>
      <c r="F638" s="12">
        <v>0</v>
      </c>
      <c r="G638" s="12">
        <v>3</v>
      </c>
      <c r="H638" s="12">
        <v>0</v>
      </c>
      <c r="I638" s="12" t="s">
        <v>1586</v>
      </c>
    </row>
    <row r="639" spans="1:9">
      <c r="A639" s="12" t="s">
        <v>205</v>
      </c>
      <c r="B639" s="12" t="s">
        <v>206</v>
      </c>
      <c r="C639" s="12" t="s">
        <v>11</v>
      </c>
      <c r="D639" s="12" t="s">
        <v>1585</v>
      </c>
      <c r="E639" s="12">
        <v>19</v>
      </c>
      <c r="F639" s="12">
        <v>0</v>
      </c>
      <c r="G639" s="12">
        <v>1</v>
      </c>
      <c r="H639" s="12">
        <v>0</v>
      </c>
      <c r="I639" s="12" t="s">
        <v>1586</v>
      </c>
    </row>
    <row r="640" spans="1:9">
      <c r="A640" s="12" t="s">
        <v>1604</v>
      </c>
      <c r="B640" s="12" t="s">
        <v>1605</v>
      </c>
      <c r="C640" s="12" t="s">
        <v>50</v>
      </c>
      <c r="D640" s="12" t="s">
        <v>1585</v>
      </c>
      <c r="E640" s="12">
        <v>0</v>
      </c>
      <c r="F640" s="12">
        <v>19</v>
      </c>
      <c r="G640" s="12">
        <v>0</v>
      </c>
      <c r="H640" s="12">
        <v>0</v>
      </c>
      <c r="I640" s="12" t="s">
        <v>1603</v>
      </c>
    </row>
    <row r="641" spans="1:9">
      <c r="A641" s="12" t="s">
        <v>423</v>
      </c>
      <c r="B641" s="12" t="s">
        <v>424</v>
      </c>
      <c r="C641" s="12" t="s">
        <v>69</v>
      </c>
      <c r="D641" s="12" t="s">
        <v>1585</v>
      </c>
      <c r="E641" s="12">
        <v>20</v>
      </c>
      <c r="F641" s="12">
        <v>0</v>
      </c>
      <c r="G641" s="12">
        <v>0</v>
      </c>
      <c r="H641" s="12">
        <v>0</v>
      </c>
      <c r="I641" s="12" t="s">
        <v>1586</v>
      </c>
    </row>
    <row r="642" spans="1:9">
      <c r="A642" s="12" t="s">
        <v>1606</v>
      </c>
      <c r="B642" s="12" t="s">
        <v>1607</v>
      </c>
      <c r="C642" s="12" t="s">
        <v>84</v>
      </c>
      <c r="D642" s="12" t="s">
        <v>1585</v>
      </c>
      <c r="E642" s="12">
        <v>0</v>
      </c>
      <c r="F642" s="12">
        <v>20</v>
      </c>
      <c r="G642" s="12">
        <v>0</v>
      </c>
      <c r="H642" s="12">
        <v>0</v>
      </c>
      <c r="I642" s="12" t="s">
        <v>1603</v>
      </c>
    </row>
    <row r="643" spans="1:9">
      <c r="A643" s="12" t="s">
        <v>1608</v>
      </c>
      <c r="B643" s="12" t="s">
        <v>1609</v>
      </c>
      <c r="C643" s="12" t="s">
        <v>25</v>
      </c>
      <c r="D643" s="12" t="s">
        <v>1585</v>
      </c>
      <c r="E643" s="12">
        <v>0</v>
      </c>
      <c r="F643" s="12">
        <v>19</v>
      </c>
      <c r="G643" s="12">
        <v>1</v>
      </c>
      <c r="H643" s="12">
        <v>0</v>
      </c>
      <c r="I643" s="12" t="s">
        <v>1603</v>
      </c>
    </row>
    <row r="644" spans="1:9">
      <c r="A644" s="12" t="s">
        <v>1610</v>
      </c>
      <c r="B644" s="12" t="s">
        <v>1611</v>
      </c>
      <c r="C644" s="12" t="s">
        <v>14</v>
      </c>
      <c r="D644" s="12" t="s">
        <v>1585</v>
      </c>
      <c r="E644" s="12">
        <v>0</v>
      </c>
      <c r="F644" s="12">
        <v>20</v>
      </c>
      <c r="G644" s="12">
        <v>0</v>
      </c>
      <c r="H644" s="12">
        <v>0</v>
      </c>
      <c r="I644" s="12" t="s">
        <v>1603</v>
      </c>
    </row>
    <row r="645" spans="1:9">
      <c r="A645" s="12" t="s">
        <v>1064</v>
      </c>
      <c r="B645" s="12" t="s">
        <v>1065</v>
      </c>
      <c r="C645" s="12" t="s">
        <v>37</v>
      </c>
      <c r="D645" s="12" t="s">
        <v>1585</v>
      </c>
      <c r="E645" s="12">
        <v>20</v>
      </c>
      <c r="F645" s="12">
        <v>0</v>
      </c>
      <c r="G645" s="12">
        <v>0</v>
      </c>
      <c r="H645" s="12">
        <v>0</v>
      </c>
      <c r="I645" s="12" t="s">
        <v>1586</v>
      </c>
    </row>
    <row r="646" spans="1:9">
      <c r="A646" s="12" t="s">
        <v>1612</v>
      </c>
      <c r="B646" s="12" t="s">
        <v>1613</v>
      </c>
      <c r="C646" s="12" t="s">
        <v>874</v>
      </c>
      <c r="D646" s="12" t="s">
        <v>1585</v>
      </c>
      <c r="E646" s="12">
        <v>0</v>
      </c>
      <c r="F646" s="12">
        <v>20</v>
      </c>
      <c r="G646" s="12">
        <v>0</v>
      </c>
      <c r="H646" s="12">
        <v>0</v>
      </c>
      <c r="I646" s="12" t="s">
        <v>1603</v>
      </c>
    </row>
    <row r="647" spans="1:9">
      <c r="A647" s="12" t="s">
        <v>1614</v>
      </c>
      <c r="B647" s="12" t="s">
        <v>1615</v>
      </c>
      <c r="C647" s="12" t="s">
        <v>68</v>
      </c>
      <c r="D647" s="12" t="s">
        <v>1585</v>
      </c>
      <c r="E647" s="12">
        <v>0</v>
      </c>
      <c r="F647" s="12">
        <v>20</v>
      </c>
      <c r="G647" s="12">
        <v>0</v>
      </c>
      <c r="H647" s="12">
        <v>0</v>
      </c>
      <c r="I647" s="12" t="s">
        <v>1603</v>
      </c>
    </row>
    <row r="648" spans="1:9">
      <c r="A648" s="12" t="s">
        <v>1616</v>
      </c>
      <c r="B648" s="12" t="s">
        <v>1617</v>
      </c>
      <c r="C648" s="12" t="s">
        <v>96</v>
      </c>
      <c r="D648" s="12" t="s">
        <v>1585</v>
      </c>
      <c r="E648" s="12">
        <v>0</v>
      </c>
      <c r="F648" s="12">
        <v>20</v>
      </c>
      <c r="G648" s="12">
        <v>0</v>
      </c>
      <c r="H648" s="12">
        <v>0</v>
      </c>
      <c r="I648" s="12" t="s">
        <v>1603</v>
      </c>
    </row>
    <row r="649" spans="1:9">
      <c r="A649" s="12" t="s">
        <v>248</v>
      </c>
      <c r="B649" s="12" t="s">
        <v>249</v>
      </c>
      <c r="C649" s="12" t="s">
        <v>84</v>
      </c>
      <c r="D649" s="12" t="s">
        <v>1585</v>
      </c>
      <c r="E649" s="12">
        <v>20</v>
      </c>
      <c r="F649" s="12">
        <v>0</v>
      </c>
      <c r="G649" s="12">
        <v>0</v>
      </c>
      <c r="H649" s="12">
        <v>0</v>
      </c>
      <c r="I649" s="12" t="s">
        <v>1586</v>
      </c>
    </row>
    <row r="650" spans="1:9">
      <c r="A650" s="12" t="s">
        <v>1095</v>
      </c>
      <c r="B650" s="12" t="s">
        <v>1096</v>
      </c>
      <c r="C650" s="12" t="s">
        <v>51</v>
      </c>
      <c r="D650" s="12" t="s">
        <v>1585</v>
      </c>
      <c r="E650" s="12">
        <v>15</v>
      </c>
      <c r="F650" s="12">
        <v>0</v>
      </c>
      <c r="G650" s="12">
        <v>5</v>
      </c>
      <c r="H650" s="12">
        <v>0</v>
      </c>
      <c r="I650" s="12" t="s">
        <v>1586</v>
      </c>
    </row>
    <row r="651" spans="1:9">
      <c r="A651" s="12" t="s">
        <v>427</v>
      </c>
      <c r="B651" s="12" t="s">
        <v>428</v>
      </c>
      <c r="C651" s="12" t="s">
        <v>64</v>
      </c>
      <c r="D651" s="12" t="s">
        <v>1585</v>
      </c>
      <c r="E651" s="12">
        <v>7</v>
      </c>
      <c r="F651" s="12">
        <v>0</v>
      </c>
      <c r="G651" s="12">
        <v>0</v>
      </c>
      <c r="H651" s="12">
        <v>13</v>
      </c>
      <c r="I651" s="12" t="s">
        <v>1586</v>
      </c>
    </row>
    <row r="652" spans="1:9">
      <c r="A652" s="12" t="s">
        <v>150</v>
      </c>
      <c r="B652" s="12" t="s">
        <v>151</v>
      </c>
      <c r="C652" s="12" t="s">
        <v>2</v>
      </c>
      <c r="D652" s="12" t="s">
        <v>1585</v>
      </c>
      <c r="E652" s="12">
        <v>20</v>
      </c>
      <c r="F652" s="12">
        <v>0</v>
      </c>
      <c r="G652" s="12">
        <v>0</v>
      </c>
      <c r="H652" s="12">
        <v>0</v>
      </c>
      <c r="I652" s="12" t="s">
        <v>1586</v>
      </c>
    </row>
    <row r="653" spans="1:9">
      <c r="A653" s="12" t="s">
        <v>1396</v>
      </c>
      <c r="B653" s="12" t="s">
        <v>1397</v>
      </c>
      <c r="C653" s="12" t="s">
        <v>95</v>
      </c>
      <c r="D653" s="12" t="s">
        <v>1585</v>
      </c>
      <c r="E653" s="12">
        <v>15</v>
      </c>
      <c r="F653" s="12">
        <v>5</v>
      </c>
      <c r="G653" s="12">
        <v>0</v>
      </c>
      <c r="H653" s="12">
        <v>0</v>
      </c>
      <c r="I653" s="12" t="s">
        <v>1586</v>
      </c>
    </row>
    <row r="654" spans="1:9">
      <c r="A654" s="12" t="s">
        <v>1618</v>
      </c>
      <c r="B654" s="12" t="s">
        <v>1619</v>
      </c>
      <c r="C654" s="12" t="s">
        <v>96</v>
      </c>
      <c r="D654" s="12" t="s">
        <v>1585</v>
      </c>
      <c r="E654" s="12">
        <v>0</v>
      </c>
      <c r="F654" s="12">
        <v>20</v>
      </c>
      <c r="G654" s="12">
        <v>0</v>
      </c>
      <c r="H654" s="12">
        <v>0</v>
      </c>
      <c r="I654" s="12" t="s">
        <v>1603</v>
      </c>
    </row>
    <row r="655" spans="1:9">
      <c r="A655" s="12" t="s">
        <v>1041</v>
      </c>
      <c r="B655" s="12" t="s">
        <v>1042</v>
      </c>
      <c r="C655" s="12" t="s">
        <v>44</v>
      </c>
      <c r="D655" s="12" t="s">
        <v>1585</v>
      </c>
      <c r="E655" s="12">
        <v>0</v>
      </c>
      <c r="F655" s="12">
        <v>0</v>
      </c>
      <c r="G655" s="12">
        <v>0</v>
      </c>
      <c r="H655" s="12">
        <v>20</v>
      </c>
      <c r="I655" s="12" t="s">
        <v>1586</v>
      </c>
    </row>
    <row r="656" spans="1:9">
      <c r="A656" s="12" t="s">
        <v>1620</v>
      </c>
      <c r="B656" s="12" t="s">
        <v>1621</v>
      </c>
      <c r="C656" s="12" t="s">
        <v>57</v>
      </c>
      <c r="D656" s="12" t="s">
        <v>1585</v>
      </c>
      <c r="E656" s="12">
        <v>0</v>
      </c>
      <c r="F656" s="12">
        <v>19</v>
      </c>
      <c r="G656" s="12">
        <v>0</v>
      </c>
      <c r="H656" s="12">
        <v>1</v>
      </c>
      <c r="I656" s="12" t="s">
        <v>1603</v>
      </c>
    </row>
    <row r="657" spans="1:9">
      <c r="A657" s="12" t="s">
        <v>1029</v>
      </c>
      <c r="B657" s="12" t="s">
        <v>1030</v>
      </c>
      <c r="C657" s="12" t="s">
        <v>24</v>
      </c>
      <c r="D657" s="12" t="s">
        <v>1585</v>
      </c>
      <c r="E657" s="12">
        <v>16</v>
      </c>
      <c r="F657" s="12">
        <v>0</v>
      </c>
      <c r="G657" s="12">
        <v>4</v>
      </c>
      <c r="H657" s="12">
        <v>0</v>
      </c>
      <c r="I657" s="12" t="s">
        <v>1586</v>
      </c>
    </row>
    <row r="658" spans="1:9">
      <c r="A658" s="12" t="s">
        <v>499</v>
      </c>
      <c r="B658" s="12" t="s">
        <v>500</v>
      </c>
      <c r="C658" s="12" t="s">
        <v>143</v>
      </c>
      <c r="D658" s="12" t="s">
        <v>1585</v>
      </c>
      <c r="E658" s="12">
        <v>20</v>
      </c>
      <c r="F658" s="12">
        <v>0</v>
      </c>
      <c r="G658" s="12">
        <v>0</v>
      </c>
      <c r="H658" s="12">
        <v>0</v>
      </c>
      <c r="I658" s="12" t="s">
        <v>1586</v>
      </c>
    </row>
    <row r="659" spans="1:9">
      <c r="A659" s="12" t="s">
        <v>1622</v>
      </c>
      <c r="B659" s="12" t="s">
        <v>1623</v>
      </c>
      <c r="C659" s="12" t="s">
        <v>8</v>
      </c>
      <c r="D659" s="12" t="s">
        <v>1585</v>
      </c>
      <c r="E659" s="12">
        <v>0</v>
      </c>
      <c r="F659" s="12">
        <v>19</v>
      </c>
      <c r="G659" s="12">
        <v>1</v>
      </c>
      <c r="H659" s="12">
        <v>0</v>
      </c>
      <c r="I659" s="12" t="s">
        <v>1603</v>
      </c>
    </row>
    <row r="660" spans="1:9">
      <c r="A660" s="12" t="s">
        <v>1624</v>
      </c>
      <c r="B660" s="12" t="s">
        <v>1625</v>
      </c>
      <c r="C660" s="12" t="s">
        <v>78</v>
      </c>
      <c r="D660" s="12" t="s">
        <v>1585</v>
      </c>
      <c r="E660" s="12">
        <v>0</v>
      </c>
      <c r="F660" s="12">
        <v>19</v>
      </c>
      <c r="G660" s="12">
        <v>1</v>
      </c>
      <c r="H660" s="12">
        <v>0</v>
      </c>
      <c r="I660" s="12" t="s">
        <v>1603</v>
      </c>
    </row>
    <row r="661" spans="1:9">
      <c r="A661" s="12" t="s">
        <v>1379</v>
      </c>
      <c r="B661" s="12" t="s">
        <v>1380</v>
      </c>
      <c r="C661" s="12" t="s">
        <v>78</v>
      </c>
      <c r="D661" s="12" t="s">
        <v>1585</v>
      </c>
      <c r="E661" s="12">
        <v>19</v>
      </c>
      <c r="F661" s="12">
        <v>0</v>
      </c>
      <c r="G661" s="12">
        <v>1</v>
      </c>
      <c r="H661" s="12">
        <v>0</v>
      </c>
      <c r="I661" s="12" t="s">
        <v>1586</v>
      </c>
    </row>
    <row r="662" spans="1:9">
      <c r="A662" s="12" t="s">
        <v>1626</v>
      </c>
      <c r="B662" s="12" t="s">
        <v>1627</v>
      </c>
      <c r="C662" s="12" t="s">
        <v>84</v>
      </c>
      <c r="D662" s="12" t="s">
        <v>1585</v>
      </c>
      <c r="E662" s="12">
        <v>0</v>
      </c>
      <c r="F662" s="12">
        <v>0</v>
      </c>
      <c r="G662" s="12">
        <v>0</v>
      </c>
      <c r="H662" s="12">
        <v>20</v>
      </c>
      <c r="I662" s="12" t="s">
        <v>1603</v>
      </c>
    </row>
    <row r="663" spans="1:9">
      <c r="A663" s="12" t="s">
        <v>1628</v>
      </c>
      <c r="B663" s="12" t="s">
        <v>1629</v>
      </c>
      <c r="C663" s="12" t="s">
        <v>44</v>
      </c>
      <c r="D663" s="12" t="s">
        <v>1585</v>
      </c>
      <c r="E663" s="12">
        <v>0</v>
      </c>
      <c r="F663" s="12">
        <v>20</v>
      </c>
      <c r="G663" s="12">
        <v>0</v>
      </c>
      <c r="H663" s="12">
        <v>0</v>
      </c>
      <c r="I663" s="12" t="s">
        <v>1603</v>
      </c>
    </row>
    <row r="664" spans="1:9">
      <c r="A664" s="12" t="s">
        <v>1630</v>
      </c>
      <c r="B664" s="12" t="s">
        <v>1631</v>
      </c>
      <c r="C664" s="12" t="s">
        <v>874</v>
      </c>
      <c r="D664" s="12" t="s">
        <v>1585</v>
      </c>
      <c r="E664" s="12">
        <v>0</v>
      </c>
      <c r="F664" s="12">
        <v>19</v>
      </c>
      <c r="G664" s="12">
        <v>1</v>
      </c>
      <c r="H664" s="12">
        <v>0</v>
      </c>
      <c r="I664" s="12" t="s">
        <v>1603</v>
      </c>
    </row>
    <row r="665" spans="1:9">
      <c r="A665" s="12" t="s">
        <v>936</v>
      </c>
      <c r="B665" s="12" t="s">
        <v>937</v>
      </c>
      <c r="C665" s="12" t="s">
        <v>48</v>
      </c>
      <c r="D665" s="12" t="s">
        <v>1585</v>
      </c>
      <c r="E665" s="12">
        <v>19</v>
      </c>
      <c r="F665" s="12">
        <v>0</v>
      </c>
      <c r="G665" s="12">
        <v>1</v>
      </c>
      <c r="H665" s="12">
        <v>0</v>
      </c>
      <c r="I665" s="12" t="s">
        <v>1586</v>
      </c>
    </row>
    <row r="666" spans="1:9">
      <c r="A666" s="12" t="s">
        <v>320</v>
      </c>
      <c r="B666" s="12" t="s">
        <v>321</v>
      </c>
      <c r="C666" s="12" t="s">
        <v>64</v>
      </c>
      <c r="D666" s="12" t="s">
        <v>1585</v>
      </c>
      <c r="E666" s="12">
        <v>0</v>
      </c>
      <c r="F666" s="12">
        <v>20</v>
      </c>
      <c r="G666" s="12">
        <v>0</v>
      </c>
      <c r="H666" s="12">
        <v>0</v>
      </c>
      <c r="I666" s="12" t="s">
        <v>1586</v>
      </c>
    </row>
    <row r="667" spans="1:9">
      <c r="A667" s="12" t="s">
        <v>1632</v>
      </c>
      <c r="B667" s="12" t="s">
        <v>1633</v>
      </c>
      <c r="C667" s="12" t="s">
        <v>72</v>
      </c>
      <c r="D667" s="12" t="s">
        <v>1585</v>
      </c>
      <c r="E667" s="12">
        <v>0</v>
      </c>
      <c r="F667" s="12">
        <v>17</v>
      </c>
      <c r="G667" s="12">
        <v>3</v>
      </c>
      <c r="H667" s="12">
        <v>0</v>
      </c>
      <c r="I667" s="12" t="s">
        <v>1603</v>
      </c>
    </row>
    <row r="668" spans="1:9">
      <c r="A668" s="12" t="s">
        <v>622</v>
      </c>
      <c r="B668" s="12" t="s">
        <v>623</v>
      </c>
      <c r="C668" s="12" t="s">
        <v>82</v>
      </c>
      <c r="D668" s="12" t="s">
        <v>1585</v>
      </c>
      <c r="E668" s="12">
        <v>20</v>
      </c>
      <c r="F668" s="12">
        <v>0</v>
      </c>
      <c r="G668" s="12">
        <v>0</v>
      </c>
      <c r="H668" s="12">
        <v>0</v>
      </c>
      <c r="I668" s="12" t="s">
        <v>1586</v>
      </c>
    </row>
    <row r="669" spans="1:9">
      <c r="A669" s="12" t="s">
        <v>1359</v>
      </c>
      <c r="B669" s="12" t="s">
        <v>1360</v>
      </c>
      <c r="C669" s="12" t="s">
        <v>15</v>
      </c>
      <c r="D669" s="12" t="s">
        <v>1585</v>
      </c>
      <c r="E669" s="12">
        <v>0</v>
      </c>
      <c r="F669" s="12">
        <v>20</v>
      </c>
      <c r="G669" s="12">
        <v>0</v>
      </c>
      <c r="H669" s="12">
        <v>0</v>
      </c>
      <c r="I669" s="12" t="s">
        <v>1586</v>
      </c>
    </row>
    <row r="670" spans="1:9">
      <c r="A670" s="12" t="s">
        <v>983</v>
      </c>
      <c r="B670" s="12" t="s">
        <v>984</v>
      </c>
      <c r="C670" s="12" t="s">
        <v>57</v>
      </c>
      <c r="D670" s="12" t="s">
        <v>1585</v>
      </c>
      <c r="E670" s="12">
        <v>0</v>
      </c>
      <c r="F670" s="12">
        <v>0</v>
      </c>
      <c r="G670" s="12">
        <v>0</v>
      </c>
      <c r="H670" s="12">
        <v>20</v>
      </c>
      <c r="I670" s="12" t="s">
        <v>1586</v>
      </c>
    </row>
    <row r="671" spans="1:9">
      <c r="A671" s="12" t="s">
        <v>1400</v>
      </c>
      <c r="B671" s="12" t="s">
        <v>1401</v>
      </c>
      <c r="C671" s="12" t="s">
        <v>95</v>
      </c>
      <c r="D671" s="12" t="s">
        <v>1585</v>
      </c>
      <c r="E671" s="12">
        <v>20</v>
      </c>
      <c r="F671" s="12">
        <v>0</v>
      </c>
      <c r="G671" s="12">
        <v>0</v>
      </c>
      <c r="H671" s="12">
        <v>0</v>
      </c>
      <c r="I671" s="12" t="s">
        <v>1586</v>
      </c>
    </row>
    <row r="672" spans="1:9">
      <c r="A672" s="12" t="s">
        <v>985</v>
      </c>
      <c r="B672" s="12" t="s">
        <v>986</v>
      </c>
      <c r="C672" s="12" t="s">
        <v>55</v>
      </c>
      <c r="D672" s="12" t="s">
        <v>1585</v>
      </c>
      <c r="E672" s="12">
        <v>18</v>
      </c>
      <c r="F672" s="12">
        <v>0</v>
      </c>
      <c r="G672" s="12">
        <v>2</v>
      </c>
      <c r="H672" s="12">
        <v>0</v>
      </c>
      <c r="I672" s="12" t="s">
        <v>1586</v>
      </c>
    </row>
    <row r="673" spans="1:9">
      <c r="A673" s="12" t="s">
        <v>788</v>
      </c>
      <c r="B673" s="12" t="s">
        <v>789</v>
      </c>
      <c r="C673" s="12" t="s">
        <v>24</v>
      </c>
      <c r="D673" s="12" t="s">
        <v>1585</v>
      </c>
      <c r="E673" s="12">
        <v>16</v>
      </c>
      <c r="F673" s="12">
        <v>0</v>
      </c>
      <c r="G673" s="12">
        <v>4</v>
      </c>
      <c r="H673" s="12">
        <v>0</v>
      </c>
      <c r="I673" s="12" t="s">
        <v>1586</v>
      </c>
    </row>
    <row r="674" spans="1:9">
      <c r="A674" s="12" t="s">
        <v>403</v>
      </c>
      <c r="B674" s="12" t="s">
        <v>404</v>
      </c>
      <c r="C674" s="12" t="s">
        <v>21</v>
      </c>
      <c r="D674" s="12" t="s">
        <v>1585</v>
      </c>
      <c r="E674" s="12">
        <v>17</v>
      </c>
      <c r="F674" s="12">
        <v>3</v>
      </c>
      <c r="G674" s="12">
        <v>0</v>
      </c>
      <c r="H674" s="12">
        <v>0</v>
      </c>
      <c r="I674" s="12" t="s">
        <v>1586</v>
      </c>
    </row>
    <row r="675" spans="1:9">
      <c r="A675" s="12" t="s">
        <v>1634</v>
      </c>
      <c r="B675" s="12" t="s">
        <v>1635</v>
      </c>
      <c r="C675" s="12" t="s">
        <v>91</v>
      </c>
      <c r="D675" s="12" t="s">
        <v>1585</v>
      </c>
      <c r="E675" s="12">
        <v>0</v>
      </c>
      <c r="F675" s="12">
        <v>14</v>
      </c>
      <c r="G675" s="12">
        <v>5</v>
      </c>
      <c r="H675" s="12">
        <v>0</v>
      </c>
      <c r="I675" s="12" t="s">
        <v>1603</v>
      </c>
    </row>
    <row r="676" spans="1:9">
      <c r="A676" s="12" t="s">
        <v>1636</v>
      </c>
      <c r="B676" s="12" t="s">
        <v>1637</v>
      </c>
      <c r="C676" s="12" t="s">
        <v>24</v>
      </c>
      <c r="D676" s="12" t="s">
        <v>1585</v>
      </c>
      <c r="E676" s="12">
        <v>0</v>
      </c>
      <c r="F676" s="12">
        <v>20</v>
      </c>
      <c r="G676" s="12">
        <v>0</v>
      </c>
      <c r="H676" s="12">
        <v>0</v>
      </c>
      <c r="I676" s="12" t="s">
        <v>1603</v>
      </c>
    </row>
    <row r="677" spans="1:9">
      <c r="A677" s="12" t="s">
        <v>1091</v>
      </c>
      <c r="B677" s="12" t="s">
        <v>1092</v>
      </c>
      <c r="C677" s="12" t="s">
        <v>51</v>
      </c>
      <c r="D677" s="12" t="s">
        <v>1585</v>
      </c>
      <c r="E677" s="12">
        <v>20</v>
      </c>
      <c r="F677" s="12">
        <v>0</v>
      </c>
      <c r="G677" s="12">
        <v>0</v>
      </c>
      <c r="H677" s="12">
        <v>0</v>
      </c>
      <c r="I677" s="12" t="s">
        <v>1586</v>
      </c>
    </row>
    <row r="678" spans="1:9">
      <c r="A678" s="12" t="s">
        <v>1638</v>
      </c>
      <c r="B678" s="12" t="s">
        <v>1639</v>
      </c>
      <c r="C678" s="12" t="s">
        <v>73</v>
      </c>
      <c r="D678" s="12" t="s">
        <v>1585</v>
      </c>
      <c r="E678" s="12">
        <v>0</v>
      </c>
      <c r="F678" s="12">
        <v>14</v>
      </c>
      <c r="G678" s="12">
        <v>5</v>
      </c>
      <c r="H678" s="12">
        <v>0</v>
      </c>
      <c r="I678" s="12" t="s">
        <v>1603</v>
      </c>
    </row>
    <row r="679" spans="1:9">
      <c r="A679" s="12" t="s">
        <v>1640</v>
      </c>
      <c r="B679" s="12" t="s">
        <v>1641</v>
      </c>
      <c r="C679" s="12" t="s">
        <v>8</v>
      </c>
      <c r="D679" s="12" t="s">
        <v>1585</v>
      </c>
      <c r="E679" s="12">
        <v>0</v>
      </c>
      <c r="F679" s="12">
        <v>20</v>
      </c>
      <c r="G679" s="12">
        <v>0</v>
      </c>
      <c r="H679" s="12">
        <v>0</v>
      </c>
      <c r="I679" s="12" t="s">
        <v>1603</v>
      </c>
    </row>
    <row r="680" spans="1:9">
      <c r="A680" s="12" t="s">
        <v>1389</v>
      </c>
      <c r="B680" s="12" t="s">
        <v>1390</v>
      </c>
      <c r="C680" s="12" t="s">
        <v>78</v>
      </c>
      <c r="D680" s="12" t="s">
        <v>1585</v>
      </c>
      <c r="E680" s="12">
        <v>19</v>
      </c>
      <c r="F680" s="12">
        <v>0</v>
      </c>
      <c r="G680" s="12">
        <v>1</v>
      </c>
      <c r="H680" s="12">
        <v>0</v>
      </c>
      <c r="I680" s="12" t="s">
        <v>1586</v>
      </c>
    </row>
    <row r="681" spans="1:9">
      <c r="A681" s="12" t="s">
        <v>650</v>
      </c>
      <c r="B681" s="12" t="s">
        <v>651</v>
      </c>
      <c r="C681" s="12" t="s">
        <v>51</v>
      </c>
      <c r="D681" s="12" t="s">
        <v>1585</v>
      </c>
      <c r="E681" s="12">
        <v>20</v>
      </c>
      <c r="F681" s="12">
        <v>0</v>
      </c>
      <c r="G681" s="12">
        <v>0</v>
      </c>
      <c r="H681" s="12">
        <v>0</v>
      </c>
      <c r="I681" s="12" t="s">
        <v>1586</v>
      </c>
    </row>
    <row r="682" spans="1:9">
      <c r="A682" s="12" t="s">
        <v>1035</v>
      </c>
      <c r="B682" s="12" t="s">
        <v>1036</v>
      </c>
      <c r="C682" s="12" t="s">
        <v>44</v>
      </c>
      <c r="D682" s="12" t="s">
        <v>1585</v>
      </c>
      <c r="E682" s="12">
        <v>19</v>
      </c>
      <c r="F682" s="12">
        <v>0</v>
      </c>
      <c r="G682" s="12">
        <v>1</v>
      </c>
      <c r="H682" s="12">
        <v>0</v>
      </c>
      <c r="I682" s="12" t="s">
        <v>1586</v>
      </c>
    </row>
    <row r="683" spans="1:9">
      <c r="A683" s="12" t="s">
        <v>736</v>
      </c>
      <c r="B683" s="12" t="s">
        <v>737</v>
      </c>
      <c r="C683" s="12" t="s">
        <v>72</v>
      </c>
      <c r="D683" s="12" t="s">
        <v>1585</v>
      </c>
      <c r="E683" s="12">
        <v>18</v>
      </c>
      <c r="F683" s="12">
        <v>0</v>
      </c>
      <c r="G683" s="12">
        <v>2</v>
      </c>
      <c r="H683" s="12">
        <v>0</v>
      </c>
      <c r="I683" s="12" t="s">
        <v>1586</v>
      </c>
    </row>
    <row r="684" spans="1:9">
      <c r="A684" s="12" t="s">
        <v>156</v>
      </c>
      <c r="B684" s="12" t="s">
        <v>157</v>
      </c>
      <c r="C684" s="12" t="s">
        <v>57</v>
      </c>
      <c r="D684" s="12" t="s">
        <v>1585</v>
      </c>
      <c r="E684" s="12">
        <v>20</v>
      </c>
      <c r="F684" s="12">
        <v>0</v>
      </c>
      <c r="G684" s="12">
        <v>0</v>
      </c>
      <c r="H684" s="12">
        <v>0</v>
      </c>
      <c r="I684" s="12" t="s">
        <v>1586</v>
      </c>
    </row>
    <row r="685" spans="1:9">
      <c r="A685" s="12" t="s">
        <v>1642</v>
      </c>
      <c r="B685" s="12" t="s">
        <v>1643</v>
      </c>
      <c r="C685" s="12" t="s">
        <v>95</v>
      </c>
      <c r="D685" s="12" t="s">
        <v>1585</v>
      </c>
      <c r="E685" s="12">
        <v>0</v>
      </c>
      <c r="F685" s="12">
        <v>19</v>
      </c>
      <c r="G685" s="12">
        <v>1</v>
      </c>
      <c r="H685" s="12">
        <v>0</v>
      </c>
      <c r="I685" s="12" t="s">
        <v>1603</v>
      </c>
    </row>
    <row r="686" spans="1:9">
      <c r="A686" s="12" t="s">
        <v>1644</v>
      </c>
      <c r="B686" s="12" t="s">
        <v>1645</v>
      </c>
      <c r="C686" s="12" t="s">
        <v>51</v>
      </c>
      <c r="D686" s="12" t="s">
        <v>1585</v>
      </c>
      <c r="E686" s="12">
        <v>0</v>
      </c>
      <c r="F686" s="12">
        <v>20</v>
      </c>
      <c r="G686" s="12">
        <v>0</v>
      </c>
      <c r="H686" s="12">
        <v>0</v>
      </c>
      <c r="I686" s="12" t="s">
        <v>1603</v>
      </c>
    </row>
    <row r="687" spans="1:9">
      <c r="A687" s="12" t="s">
        <v>1646</v>
      </c>
      <c r="B687" s="12" t="s">
        <v>1647</v>
      </c>
      <c r="C687" s="12" t="s">
        <v>75</v>
      </c>
      <c r="D687" s="12" t="s">
        <v>1585</v>
      </c>
      <c r="E687" s="12">
        <v>0</v>
      </c>
      <c r="F687" s="12">
        <v>20</v>
      </c>
      <c r="G687" s="12">
        <v>0</v>
      </c>
      <c r="H687" s="12">
        <v>0</v>
      </c>
      <c r="I687" s="12" t="s">
        <v>1603</v>
      </c>
    </row>
    <row r="688" spans="1:9">
      <c r="A688" s="12" t="s">
        <v>624</v>
      </c>
      <c r="B688" s="12" t="s">
        <v>625</v>
      </c>
      <c r="C688" s="12" t="s">
        <v>82</v>
      </c>
      <c r="D688" s="12" t="s">
        <v>1585</v>
      </c>
      <c r="E688" s="12">
        <v>14</v>
      </c>
      <c r="F688" s="12">
        <v>0</v>
      </c>
      <c r="G688" s="12">
        <v>0</v>
      </c>
      <c r="H688" s="12">
        <v>6</v>
      </c>
      <c r="I688" s="12" t="s">
        <v>1586</v>
      </c>
    </row>
    <row r="689" spans="1:9">
      <c r="A689" s="12" t="s">
        <v>996</v>
      </c>
      <c r="B689" s="12" t="s">
        <v>997</v>
      </c>
      <c r="C689" s="12" t="s">
        <v>96</v>
      </c>
      <c r="D689" s="12" t="s">
        <v>1585</v>
      </c>
      <c r="E689" s="12">
        <v>6</v>
      </c>
      <c r="F689" s="12">
        <v>14</v>
      </c>
      <c r="G689" s="12">
        <v>0</v>
      </c>
      <c r="H689" s="12">
        <v>0</v>
      </c>
      <c r="I689" s="12" t="s">
        <v>1586</v>
      </c>
    </row>
    <row r="690" spans="1:9">
      <c r="A690" s="12" t="s">
        <v>135</v>
      </c>
      <c r="B690" s="12" t="s">
        <v>136</v>
      </c>
      <c r="C690" s="12" t="s">
        <v>60</v>
      </c>
      <c r="D690" s="12" t="s">
        <v>1585</v>
      </c>
      <c r="E690" s="12">
        <v>19</v>
      </c>
      <c r="F690" s="12">
        <v>0</v>
      </c>
      <c r="G690" s="12">
        <v>1</v>
      </c>
      <c r="H690" s="12">
        <v>0</v>
      </c>
      <c r="I690" s="12" t="s">
        <v>1586</v>
      </c>
    </row>
    <row r="691" spans="1:9">
      <c r="A691" s="12" t="s">
        <v>1648</v>
      </c>
      <c r="B691" s="12" t="s">
        <v>1649</v>
      </c>
      <c r="C691" s="12" t="s">
        <v>11</v>
      </c>
      <c r="D691" s="12" t="s">
        <v>1585</v>
      </c>
      <c r="E691" s="12">
        <v>0</v>
      </c>
      <c r="F691" s="12">
        <v>20</v>
      </c>
      <c r="G691" s="12">
        <v>0</v>
      </c>
      <c r="H691" s="12">
        <v>0</v>
      </c>
      <c r="I691" s="12" t="s">
        <v>1603</v>
      </c>
    </row>
    <row r="692" spans="1:9">
      <c r="A692" s="12" t="s">
        <v>1650</v>
      </c>
      <c r="B692" s="12" t="s">
        <v>1651</v>
      </c>
      <c r="C692" s="12" t="s">
        <v>82</v>
      </c>
      <c r="D692" s="12" t="s">
        <v>1585</v>
      </c>
      <c r="E692" s="12">
        <v>0</v>
      </c>
      <c r="F692" s="12">
        <v>19</v>
      </c>
      <c r="G692" s="12">
        <v>1</v>
      </c>
      <c r="H692" s="12">
        <v>0</v>
      </c>
      <c r="I692" s="12" t="s">
        <v>1603</v>
      </c>
    </row>
    <row r="693" spans="1:9">
      <c r="A693" s="12" t="s">
        <v>1652</v>
      </c>
      <c r="B693" s="12" t="s">
        <v>1653</v>
      </c>
      <c r="C693" s="12" t="s">
        <v>357</v>
      </c>
      <c r="D693" s="12" t="s">
        <v>1585</v>
      </c>
      <c r="E693" s="12">
        <v>0</v>
      </c>
      <c r="F693" s="12">
        <v>20</v>
      </c>
      <c r="G693" s="12">
        <v>0</v>
      </c>
      <c r="H693" s="12">
        <v>0</v>
      </c>
      <c r="I693" s="12" t="s">
        <v>1603</v>
      </c>
    </row>
    <row r="694" spans="1:9">
      <c r="A694" s="12" t="s">
        <v>501</v>
      </c>
      <c r="B694" s="12" t="s">
        <v>502</v>
      </c>
      <c r="C694" s="12" t="s">
        <v>143</v>
      </c>
      <c r="D694" s="12" t="s">
        <v>1585</v>
      </c>
      <c r="E694" s="12">
        <v>0</v>
      </c>
      <c r="F694" s="12">
        <v>19</v>
      </c>
      <c r="G694" s="12">
        <v>1</v>
      </c>
      <c r="H694" s="12">
        <v>0</v>
      </c>
      <c r="I694" s="12" t="s">
        <v>1586</v>
      </c>
    </row>
    <row r="695" spans="1:9">
      <c r="A695" s="12" t="s">
        <v>1654</v>
      </c>
      <c r="B695" s="12" t="s">
        <v>1655</v>
      </c>
      <c r="C695" s="12" t="s">
        <v>874</v>
      </c>
      <c r="D695" s="12" t="s">
        <v>1585</v>
      </c>
      <c r="E695" s="12">
        <v>0</v>
      </c>
      <c r="F695" s="12">
        <v>20</v>
      </c>
      <c r="G695" s="12">
        <v>0</v>
      </c>
      <c r="H695" s="12">
        <v>0</v>
      </c>
      <c r="I695" s="12" t="s">
        <v>1603</v>
      </c>
    </row>
    <row r="696" spans="1:9">
      <c r="A696" s="12" t="s">
        <v>1656</v>
      </c>
      <c r="B696" s="12" t="s">
        <v>1657</v>
      </c>
      <c r="C696" s="12" t="s">
        <v>72</v>
      </c>
      <c r="D696" s="12" t="s">
        <v>1585</v>
      </c>
      <c r="E696" s="12">
        <v>0</v>
      </c>
      <c r="F696" s="12">
        <v>20</v>
      </c>
      <c r="G696" s="12">
        <v>0</v>
      </c>
      <c r="H696" s="12">
        <v>0</v>
      </c>
      <c r="I696" s="12" t="s">
        <v>1603</v>
      </c>
    </row>
    <row r="697" spans="1:9">
      <c r="A697" s="12" t="s">
        <v>1658</v>
      </c>
      <c r="B697" s="12" t="s">
        <v>1659</v>
      </c>
      <c r="C697" s="12" t="s">
        <v>637</v>
      </c>
      <c r="D697" s="12" t="s">
        <v>1585</v>
      </c>
      <c r="E697" s="12">
        <v>0</v>
      </c>
      <c r="F697" s="12">
        <v>20</v>
      </c>
      <c r="G697" s="12">
        <v>0</v>
      </c>
      <c r="H697" s="12">
        <v>0</v>
      </c>
      <c r="I697" s="12" t="s">
        <v>1603</v>
      </c>
    </row>
    <row r="698" spans="1:9">
      <c r="A698" s="12" t="s">
        <v>410</v>
      </c>
      <c r="B698" s="12" t="s">
        <v>411</v>
      </c>
      <c r="C698" s="12" t="s">
        <v>62</v>
      </c>
      <c r="D698" s="12" t="s">
        <v>1585</v>
      </c>
      <c r="E698" s="12">
        <v>15</v>
      </c>
      <c r="F698" s="12">
        <v>0</v>
      </c>
      <c r="G698" s="12">
        <v>0</v>
      </c>
      <c r="H698" s="12">
        <v>5</v>
      </c>
      <c r="I698" s="12" t="s">
        <v>1586</v>
      </c>
    </row>
    <row r="699" spans="1:9">
      <c r="A699" s="12" t="s">
        <v>1660</v>
      </c>
      <c r="B699" s="12" t="s">
        <v>1661</v>
      </c>
      <c r="C699" s="12" t="s">
        <v>2</v>
      </c>
      <c r="D699" s="12" t="s">
        <v>1585</v>
      </c>
      <c r="E699" s="12">
        <v>0</v>
      </c>
      <c r="F699" s="12">
        <v>19</v>
      </c>
      <c r="G699" s="12">
        <v>1</v>
      </c>
      <c r="H699" s="12">
        <v>0</v>
      </c>
      <c r="I699" s="12" t="s">
        <v>1603</v>
      </c>
    </row>
    <row r="700" spans="1:9">
      <c r="A700" s="12" t="s">
        <v>1662</v>
      </c>
      <c r="B700" s="12" t="s">
        <v>1663</v>
      </c>
      <c r="C700" s="12" t="s">
        <v>1316</v>
      </c>
      <c r="D700" s="12" t="s">
        <v>1585</v>
      </c>
      <c r="E700" s="12">
        <v>0</v>
      </c>
      <c r="F700" s="12">
        <v>19</v>
      </c>
      <c r="G700" s="12">
        <v>1</v>
      </c>
      <c r="H700" s="12">
        <v>0</v>
      </c>
      <c r="I700" s="12" t="s">
        <v>1603</v>
      </c>
    </row>
    <row r="701" spans="1:9">
      <c r="A701" s="12" t="s">
        <v>869</v>
      </c>
      <c r="B701" s="12" t="s">
        <v>870</v>
      </c>
      <c r="C701" s="12" t="s">
        <v>34</v>
      </c>
      <c r="D701" s="12" t="s">
        <v>1585</v>
      </c>
      <c r="E701" s="12">
        <v>20</v>
      </c>
      <c r="F701" s="12">
        <v>0</v>
      </c>
      <c r="G701" s="12">
        <v>0</v>
      </c>
      <c r="H701" s="12">
        <v>0</v>
      </c>
      <c r="I701" s="12" t="s">
        <v>1586</v>
      </c>
    </row>
    <row r="702" spans="1:9">
      <c r="A702" s="12" t="s">
        <v>847</v>
      </c>
      <c r="B702" s="12" t="s">
        <v>848</v>
      </c>
      <c r="C702" s="12" t="s">
        <v>36</v>
      </c>
      <c r="D702" s="12" t="s">
        <v>1585</v>
      </c>
      <c r="E702" s="12">
        <v>20</v>
      </c>
      <c r="F702" s="12">
        <v>0</v>
      </c>
      <c r="G702" s="12">
        <v>0</v>
      </c>
      <c r="H702" s="12">
        <v>0</v>
      </c>
      <c r="I702" s="12" t="s">
        <v>1586</v>
      </c>
    </row>
    <row r="703" spans="1:9">
      <c r="A703" s="12" t="s">
        <v>1664</v>
      </c>
      <c r="B703" s="12" t="s">
        <v>1665</v>
      </c>
      <c r="C703" s="12" t="s">
        <v>75</v>
      </c>
      <c r="D703" s="12" t="s">
        <v>1585</v>
      </c>
      <c r="E703" s="12">
        <v>0</v>
      </c>
      <c r="F703" s="12">
        <v>20</v>
      </c>
      <c r="G703" s="12">
        <v>0</v>
      </c>
      <c r="H703" s="12">
        <v>0</v>
      </c>
      <c r="I703" s="12" t="s">
        <v>1603</v>
      </c>
    </row>
    <row r="704" spans="1:9">
      <c r="A704" s="12" t="s">
        <v>1666</v>
      </c>
      <c r="B704" s="12" t="s">
        <v>1667</v>
      </c>
      <c r="C704" s="12" t="s">
        <v>69</v>
      </c>
      <c r="D704" s="12" t="s">
        <v>1585</v>
      </c>
      <c r="E704" s="12">
        <v>0</v>
      </c>
      <c r="F704" s="12">
        <v>19.5</v>
      </c>
      <c r="G704" s="12">
        <v>0.5</v>
      </c>
      <c r="H704" s="12">
        <v>0</v>
      </c>
      <c r="I704" s="12" t="s">
        <v>1603</v>
      </c>
    </row>
    <row r="705" spans="1:9">
      <c r="A705" s="12" t="s">
        <v>419</v>
      </c>
      <c r="B705" s="12" t="s">
        <v>420</v>
      </c>
      <c r="C705" s="12" t="s">
        <v>21</v>
      </c>
      <c r="D705" s="12" t="s">
        <v>1585</v>
      </c>
      <c r="E705" s="12">
        <v>20</v>
      </c>
      <c r="F705" s="12">
        <v>0</v>
      </c>
      <c r="G705" s="12">
        <v>0</v>
      </c>
      <c r="H705" s="12">
        <v>0</v>
      </c>
      <c r="I705" s="12" t="s">
        <v>1586</v>
      </c>
    </row>
    <row r="706" spans="1:9">
      <c r="A706" s="12" t="s">
        <v>1668</v>
      </c>
      <c r="B706" s="12" t="s">
        <v>1669</v>
      </c>
      <c r="C706" s="12" t="s">
        <v>81</v>
      </c>
      <c r="D706" s="12" t="s">
        <v>1585</v>
      </c>
      <c r="E706" s="12">
        <v>0</v>
      </c>
      <c r="F706" s="12">
        <v>19</v>
      </c>
      <c r="G706" s="12">
        <v>1</v>
      </c>
      <c r="H706" s="12">
        <v>0</v>
      </c>
      <c r="I706" s="12" t="s">
        <v>1603</v>
      </c>
    </row>
    <row r="707" spans="1:9">
      <c r="A707" s="12" t="s">
        <v>1670</v>
      </c>
      <c r="B707" s="12" t="s">
        <v>1671</v>
      </c>
      <c r="C707" s="12" t="s">
        <v>64</v>
      </c>
      <c r="D707" s="12" t="s">
        <v>1585</v>
      </c>
      <c r="E707" s="12">
        <v>0</v>
      </c>
      <c r="F707" s="12">
        <v>20</v>
      </c>
      <c r="G707" s="12">
        <v>0</v>
      </c>
      <c r="H707" s="12">
        <v>0</v>
      </c>
      <c r="I707" s="12" t="s">
        <v>1603</v>
      </c>
    </row>
    <row r="708" spans="1:9">
      <c r="A708" s="12" t="s">
        <v>1672</v>
      </c>
      <c r="B708" s="12" t="s">
        <v>1673</v>
      </c>
      <c r="C708" s="12" t="s">
        <v>68</v>
      </c>
      <c r="D708" s="12" t="s">
        <v>1585</v>
      </c>
      <c r="E708" s="12">
        <v>0</v>
      </c>
      <c r="F708" s="12">
        <v>20</v>
      </c>
      <c r="G708" s="12">
        <v>0</v>
      </c>
      <c r="H708" s="12">
        <v>0</v>
      </c>
      <c r="I708" s="12" t="s">
        <v>1603</v>
      </c>
    </row>
    <row r="709" spans="1:9">
      <c r="A709" s="12" t="s">
        <v>1674</v>
      </c>
      <c r="B709" s="12" t="s">
        <v>1675</v>
      </c>
      <c r="C709" s="12" t="s">
        <v>140</v>
      </c>
      <c r="D709" s="12" t="s">
        <v>1585</v>
      </c>
      <c r="E709" s="12">
        <v>0</v>
      </c>
      <c r="F709" s="12">
        <v>20</v>
      </c>
      <c r="G709" s="12">
        <v>0</v>
      </c>
      <c r="H709" s="12">
        <v>0</v>
      </c>
      <c r="I709" s="12" t="s">
        <v>1603</v>
      </c>
    </row>
    <row r="710" spans="1:9">
      <c r="A710" s="12" t="s">
        <v>1676</v>
      </c>
      <c r="B710" s="12" t="s">
        <v>1677</v>
      </c>
      <c r="C710" s="12" t="s">
        <v>640</v>
      </c>
      <c r="D710" s="12" t="s">
        <v>1585</v>
      </c>
      <c r="E710" s="12">
        <v>0</v>
      </c>
      <c r="F710" s="12">
        <v>20</v>
      </c>
      <c r="G710" s="12">
        <v>0</v>
      </c>
      <c r="H710" s="12">
        <v>0</v>
      </c>
      <c r="I710" s="12" t="s">
        <v>1603</v>
      </c>
    </row>
    <row r="711" spans="1:9">
      <c r="A711" s="12" t="s">
        <v>632</v>
      </c>
      <c r="B711" s="12" t="s">
        <v>633</v>
      </c>
      <c r="C711" s="12" t="s">
        <v>7</v>
      </c>
      <c r="D711" s="12" t="s">
        <v>1585</v>
      </c>
      <c r="E711" s="12">
        <v>0</v>
      </c>
      <c r="F711" s="12">
        <v>0</v>
      </c>
      <c r="G711" s="12">
        <v>0</v>
      </c>
      <c r="H711" s="12">
        <v>9</v>
      </c>
      <c r="I711" s="12" t="s">
        <v>1586</v>
      </c>
    </row>
    <row r="712" spans="1:9">
      <c r="A712" s="12" t="s">
        <v>1068</v>
      </c>
      <c r="B712" s="12" t="s">
        <v>1069</v>
      </c>
      <c r="C712" s="12" t="s">
        <v>37</v>
      </c>
      <c r="D712" s="12" t="s">
        <v>1585</v>
      </c>
      <c r="E712" s="12">
        <v>20</v>
      </c>
      <c r="F712" s="12">
        <v>0</v>
      </c>
      <c r="G712" s="12">
        <v>0</v>
      </c>
      <c r="H712" s="12">
        <v>0</v>
      </c>
      <c r="I712" s="12" t="s">
        <v>1586</v>
      </c>
    </row>
    <row r="713" spans="1:9">
      <c r="A713" s="12" t="s">
        <v>1678</v>
      </c>
      <c r="B713" s="12" t="s">
        <v>1679</v>
      </c>
      <c r="C713" s="12" t="s">
        <v>47</v>
      </c>
      <c r="D713" s="12" t="s">
        <v>1585</v>
      </c>
      <c r="E713" s="12">
        <v>0</v>
      </c>
      <c r="F713" s="12">
        <v>18</v>
      </c>
      <c r="G713" s="12">
        <v>2</v>
      </c>
      <c r="H713" s="12">
        <v>0</v>
      </c>
      <c r="I713" s="12" t="s">
        <v>1603</v>
      </c>
    </row>
    <row r="714" spans="1:9">
      <c r="A714" s="12" t="s">
        <v>1121</v>
      </c>
      <c r="B714" s="12" t="s">
        <v>1122</v>
      </c>
      <c r="C714" s="12" t="s">
        <v>73</v>
      </c>
      <c r="D714" s="12" t="s">
        <v>1585</v>
      </c>
      <c r="E714" s="12">
        <v>9</v>
      </c>
      <c r="F714" s="12">
        <v>11</v>
      </c>
      <c r="G714" s="12">
        <v>0</v>
      </c>
      <c r="H714" s="12">
        <v>0</v>
      </c>
      <c r="I714" s="12" t="s">
        <v>1586</v>
      </c>
    </row>
    <row r="715" spans="1:9">
      <c r="A715" s="12" t="s">
        <v>1062</v>
      </c>
      <c r="B715" s="12" t="s">
        <v>1063</v>
      </c>
      <c r="C715" s="12" t="s">
        <v>21</v>
      </c>
      <c r="D715" s="12" t="s">
        <v>1585</v>
      </c>
      <c r="E715" s="12">
        <v>10</v>
      </c>
      <c r="F715" s="12">
        <v>0</v>
      </c>
      <c r="G715" s="12">
        <v>0</v>
      </c>
      <c r="H715" s="12">
        <v>10</v>
      </c>
      <c r="I715" s="12" t="s">
        <v>1586</v>
      </c>
    </row>
    <row r="716" spans="1:9">
      <c r="A716" s="12" t="s">
        <v>168</v>
      </c>
      <c r="B716" s="12" t="s">
        <v>169</v>
      </c>
      <c r="C716" s="12" t="s">
        <v>37</v>
      </c>
      <c r="D716" s="12" t="s">
        <v>1585</v>
      </c>
      <c r="E716" s="12">
        <v>15</v>
      </c>
      <c r="F716" s="12">
        <v>0</v>
      </c>
      <c r="G716" s="12">
        <v>2</v>
      </c>
      <c r="H716" s="12">
        <v>3</v>
      </c>
      <c r="I716" s="12" t="s">
        <v>1586</v>
      </c>
    </row>
    <row r="717" spans="1:9">
      <c r="A717" s="12" t="s">
        <v>722</v>
      </c>
      <c r="B717" s="12" t="s">
        <v>723</v>
      </c>
      <c r="C717" s="12" t="s">
        <v>25</v>
      </c>
      <c r="D717" s="12" t="s">
        <v>1585</v>
      </c>
      <c r="E717" s="12">
        <v>20</v>
      </c>
      <c r="F717" s="12">
        <v>0</v>
      </c>
      <c r="G717" s="12">
        <v>0</v>
      </c>
      <c r="H717" s="12">
        <v>0</v>
      </c>
      <c r="I717" s="12" t="s">
        <v>1586</v>
      </c>
    </row>
    <row r="718" spans="1:9">
      <c r="A718" s="12" t="s">
        <v>904</v>
      </c>
      <c r="B718" s="12" t="s">
        <v>905</v>
      </c>
      <c r="C718" s="12" t="s">
        <v>68</v>
      </c>
      <c r="D718" s="12" t="s">
        <v>1585</v>
      </c>
      <c r="E718" s="12">
        <v>20</v>
      </c>
      <c r="F718" s="12">
        <v>0</v>
      </c>
      <c r="G718" s="12">
        <v>0</v>
      </c>
      <c r="H718" s="12">
        <v>0</v>
      </c>
      <c r="I718" s="12" t="s">
        <v>1586</v>
      </c>
    </row>
    <row r="719" spans="1:9">
      <c r="A719" s="12" t="s">
        <v>1680</v>
      </c>
      <c r="B719" s="12" t="s">
        <v>1681</v>
      </c>
      <c r="C719" s="12" t="s">
        <v>25</v>
      </c>
      <c r="D719" s="12" t="s">
        <v>1585</v>
      </c>
      <c r="E719" s="12">
        <v>0</v>
      </c>
      <c r="F719" s="12">
        <v>20</v>
      </c>
      <c r="G719" s="12">
        <v>0</v>
      </c>
      <c r="H719" s="12">
        <v>0</v>
      </c>
      <c r="I719" s="12" t="s">
        <v>1603</v>
      </c>
    </row>
    <row r="720" spans="1:9">
      <c r="A720" s="12" t="s">
        <v>891</v>
      </c>
      <c r="B720" s="12" t="s">
        <v>892</v>
      </c>
      <c r="C720" s="12" t="s">
        <v>34</v>
      </c>
      <c r="D720" s="12" t="s">
        <v>1585</v>
      </c>
      <c r="E720" s="12">
        <v>20</v>
      </c>
      <c r="F720" s="12">
        <v>0</v>
      </c>
      <c r="G720" s="12">
        <v>0</v>
      </c>
      <c r="H720" s="12">
        <v>0</v>
      </c>
      <c r="I720" s="12" t="s">
        <v>1586</v>
      </c>
    </row>
    <row r="721" spans="1:9">
      <c r="A721" s="12" t="s">
        <v>958</v>
      </c>
      <c r="B721" s="12" t="s">
        <v>959</v>
      </c>
      <c r="C721" s="12" t="s">
        <v>45</v>
      </c>
      <c r="D721" s="12" t="s">
        <v>1585</v>
      </c>
      <c r="E721" s="12">
        <v>0</v>
      </c>
      <c r="F721" s="12">
        <v>20</v>
      </c>
      <c r="G721" s="12">
        <v>0</v>
      </c>
      <c r="H721" s="12">
        <v>0</v>
      </c>
      <c r="I721" s="12" t="s">
        <v>1586</v>
      </c>
    </row>
    <row r="722" spans="1:9">
      <c r="A722" s="12" t="s">
        <v>390</v>
      </c>
      <c r="B722" s="12" t="s">
        <v>391</v>
      </c>
      <c r="C722" s="12" t="s">
        <v>91</v>
      </c>
      <c r="D722" s="12" t="s">
        <v>1585</v>
      </c>
      <c r="E722" s="12">
        <v>20</v>
      </c>
      <c r="F722" s="12">
        <v>0</v>
      </c>
      <c r="G722" s="12">
        <v>0</v>
      </c>
      <c r="H722" s="12">
        <v>0</v>
      </c>
      <c r="I722" s="12" t="s">
        <v>1586</v>
      </c>
    </row>
    <row r="723" spans="1:9">
      <c r="A723" s="12" t="s">
        <v>1682</v>
      </c>
      <c r="B723" s="12" t="s">
        <v>1683</v>
      </c>
      <c r="C723" s="12" t="s">
        <v>77</v>
      </c>
      <c r="D723" s="12" t="s">
        <v>1585</v>
      </c>
      <c r="E723" s="12">
        <v>0</v>
      </c>
      <c r="F723" s="12">
        <v>20</v>
      </c>
      <c r="G723" s="12">
        <v>0</v>
      </c>
      <c r="H723" s="12">
        <v>0</v>
      </c>
      <c r="I723" s="12" t="s">
        <v>1603</v>
      </c>
    </row>
    <row r="724" spans="1:9">
      <c r="A724" s="12" t="s">
        <v>1684</v>
      </c>
      <c r="B724" s="12" t="s">
        <v>1685</v>
      </c>
      <c r="C724" s="12" t="s">
        <v>637</v>
      </c>
      <c r="D724" s="12" t="s">
        <v>1585</v>
      </c>
      <c r="E724" s="12">
        <v>0</v>
      </c>
      <c r="F724" s="12">
        <v>20</v>
      </c>
      <c r="G724" s="12">
        <v>0</v>
      </c>
      <c r="H724" s="12">
        <v>0</v>
      </c>
      <c r="I724" s="12" t="s">
        <v>1603</v>
      </c>
    </row>
    <row r="725" spans="1:9">
      <c r="A725" s="12" t="s">
        <v>478</v>
      </c>
      <c r="B725" s="12" t="s">
        <v>479</v>
      </c>
      <c r="C725" s="12" t="s">
        <v>50</v>
      </c>
      <c r="D725" s="12" t="s">
        <v>1585</v>
      </c>
      <c r="E725" s="12">
        <v>0</v>
      </c>
      <c r="F725" s="12">
        <v>0</v>
      </c>
      <c r="G725" s="12">
        <v>0</v>
      </c>
      <c r="H725" s="12">
        <v>20</v>
      </c>
      <c r="I725" s="12" t="s">
        <v>1586</v>
      </c>
    </row>
    <row r="726" spans="1:9">
      <c r="A726" s="12" t="s">
        <v>1546</v>
      </c>
      <c r="B726" s="12" t="s">
        <v>1547</v>
      </c>
      <c r="C726" s="12" t="s">
        <v>85</v>
      </c>
      <c r="D726" s="12" t="s">
        <v>1585</v>
      </c>
      <c r="E726" s="12">
        <v>0</v>
      </c>
      <c r="F726" s="12">
        <v>11</v>
      </c>
      <c r="G726" s="12">
        <v>0</v>
      </c>
      <c r="H726" s="12">
        <v>9</v>
      </c>
      <c r="I726" s="12" t="s">
        <v>1586</v>
      </c>
    </row>
    <row r="727" spans="1:9">
      <c r="A727" s="12" t="s">
        <v>480</v>
      </c>
      <c r="B727" s="12" t="s">
        <v>481</v>
      </c>
      <c r="C727" s="12" t="s">
        <v>33</v>
      </c>
      <c r="D727" s="12" t="s">
        <v>1585</v>
      </c>
      <c r="E727" s="12">
        <v>0</v>
      </c>
      <c r="F727" s="12">
        <v>20</v>
      </c>
      <c r="G727" s="12">
        <v>0</v>
      </c>
      <c r="H727" s="12">
        <v>0</v>
      </c>
      <c r="I727" s="12" t="s">
        <v>1586</v>
      </c>
    </row>
    <row r="728" spans="1:9">
      <c r="A728" s="12" t="s">
        <v>1686</v>
      </c>
      <c r="B728" s="12" t="s">
        <v>1687</v>
      </c>
      <c r="C728" s="12" t="s">
        <v>637</v>
      </c>
      <c r="D728" s="12" t="s">
        <v>1585</v>
      </c>
      <c r="E728" s="12">
        <v>0</v>
      </c>
      <c r="F728" s="12">
        <v>12</v>
      </c>
      <c r="G728" s="12">
        <v>0</v>
      </c>
      <c r="H728" s="12">
        <v>8</v>
      </c>
      <c r="I728" s="12" t="s">
        <v>1603</v>
      </c>
    </row>
    <row r="729" spans="1:9">
      <c r="A729" s="12" t="s">
        <v>1688</v>
      </c>
      <c r="B729" s="12" t="s">
        <v>1689</v>
      </c>
      <c r="C729" s="12" t="s">
        <v>85</v>
      </c>
      <c r="D729" s="12" t="s">
        <v>1585</v>
      </c>
      <c r="E729" s="12">
        <v>0</v>
      </c>
      <c r="F729" s="12">
        <v>20</v>
      </c>
      <c r="G729" s="12">
        <v>0</v>
      </c>
      <c r="H729" s="12">
        <v>0</v>
      </c>
      <c r="I729" s="12" t="s">
        <v>1603</v>
      </c>
    </row>
    <row r="730" spans="1:9">
      <c r="A730" s="12" t="s">
        <v>680</v>
      </c>
      <c r="B730" s="12" t="s">
        <v>681</v>
      </c>
      <c r="C730" s="12" t="s">
        <v>72</v>
      </c>
      <c r="D730" s="12" t="s">
        <v>1585</v>
      </c>
      <c r="E730" s="12">
        <v>0</v>
      </c>
      <c r="F730" s="12">
        <v>5</v>
      </c>
      <c r="G730" s="12">
        <v>0</v>
      </c>
      <c r="H730" s="12">
        <v>15</v>
      </c>
      <c r="I730" s="12" t="s">
        <v>1586</v>
      </c>
    </row>
    <row r="731" spans="1:9">
      <c r="A731" s="12" t="s">
        <v>1690</v>
      </c>
      <c r="B731" s="12" t="s">
        <v>1691</v>
      </c>
      <c r="C731" s="12" t="s">
        <v>51</v>
      </c>
      <c r="D731" s="12" t="s">
        <v>1585</v>
      </c>
      <c r="E731" s="12">
        <v>0</v>
      </c>
      <c r="F731" s="12">
        <v>20</v>
      </c>
      <c r="G731" s="12">
        <v>0</v>
      </c>
      <c r="H731" s="12">
        <v>0</v>
      </c>
      <c r="I731" s="12" t="s">
        <v>1603</v>
      </c>
    </row>
    <row r="732" spans="1:9">
      <c r="A732" s="12" t="s">
        <v>1692</v>
      </c>
      <c r="B732" s="12" t="s">
        <v>1693</v>
      </c>
      <c r="C732" s="12" t="s">
        <v>609</v>
      </c>
      <c r="D732" s="12" t="s">
        <v>1585</v>
      </c>
      <c r="E732" s="12">
        <v>0</v>
      </c>
      <c r="F732" s="12">
        <v>17</v>
      </c>
      <c r="G732" s="12">
        <v>3</v>
      </c>
      <c r="H732" s="12">
        <v>0</v>
      </c>
      <c r="I732" s="12" t="s">
        <v>1603</v>
      </c>
    </row>
    <row r="733" spans="1:9">
      <c r="A733" s="12" t="s">
        <v>906</v>
      </c>
      <c r="B733" s="12" t="s">
        <v>907</v>
      </c>
      <c r="C733" s="12" t="s">
        <v>68</v>
      </c>
      <c r="D733" s="12" t="s">
        <v>1585</v>
      </c>
      <c r="E733" s="12">
        <v>16</v>
      </c>
      <c r="F733" s="12">
        <v>4</v>
      </c>
      <c r="G733" s="12">
        <v>0</v>
      </c>
      <c r="H733" s="12">
        <v>0</v>
      </c>
      <c r="I733" s="12" t="s">
        <v>1586</v>
      </c>
    </row>
    <row r="734" spans="1:9">
      <c r="A734" s="12" t="s">
        <v>548</v>
      </c>
      <c r="B734" s="12" t="s">
        <v>549</v>
      </c>
      <c r="C734" s="12" t="s">
        <v>6</v>
      </c>
      <c r="D734" s="12" t="s">
        <v>1585</v>
      </c>
      <c r="E734" s="12">
        <v>20</v>
      </c>
      <c r="F734" s="12">
        <v>0</v>
      </c>
      <c r="G734" s="12">
        <v>0</v>
      </c>
      <c r="H734" s="12">
        <v>0</v>
      </c>
      <c r="I734" s="12" t="s">
        <v>1586</v>
      </c>
    </row>
    <row r="735" spans="1:9">
      <c r="A735" s="12" t="s">
        <v>1337</v>
      </c>
      <c r="B735" s="12" t="s">
        <v>1338</v>
      </c>
      <c r="C735" s="12" t="s">
        <v>5</v>
      </c>
      <c r="D735" s="12" t="s">
        <v>1585</v>
      </c>
      <c r="E735" s="12">
        <v>0</v>
      </c>
      <c r="F735" s="12">
        <v>0</v>
      </c>
      <c r="G735" s="12">
        <v>1</v>
      </c>
      <c r="H735" s="12">
        <v>19</v>
      </c>
      <c r="I735" s="12" t="s">
        <v>1586</v>
      </c>
    </row>
    <row r="736" spans="1:9">
      <c r="A736" s="12" t="s">
        <v>1694</v>
      </c>
      <c r="B736" s="12" t="s">
        <v>1695</v>
      </c>
      <c r="C736" s="12" t="s">
        <v>81</v>
      </c>
      <c r="D736" s="12" t="s">
        <v>1585</v>
      </c>
      <c r="E736" s="12">
        <v>0</v>
      </c>
      <c r="F736" s="12">
        <v>20</v>
      </c>
      <c r="G736" s="12">
        <v>0</v>
      </c>
      <c r="H736" s="12">
        <v>0</v>
      </c>
      <c r="I736" s="12" t="s">
        <v>1603</v>
      </c>
    </row>
    <row r="737" spans="1:9">
      <c r="A737" s="12" t="s">
        <v>1696</v>
      </c>
      <c r="B737" s="12" t="s">
        <v>1697</v>
      </c>
      <c r="C737" s="12" t="s">
        <v>863</v>
      </c>
      <c r="D737" s="12" t="s">
        <v>1585</v>
      </c>
      <c r="E737" s="12">
        <v>0</v>
      </c>
      <c r="F737" s="12">
        <v>10</v>
      </c>
      <c r="G737" s="12">
        <v>0</v>
      </c>
      <c r="H737" s="12">
        <v>10</v>
      </c>
      <c r="I737" s="12" t="s">
        <v>1603</v>
      </c>
    </row>
    <row r="738" spans="1:9">
      <c r="A738" s="12" t="s">
        <v>1698</v>
      </c>
      <c r="B738" s="12" t="s">
        <v>1699</v>
      </c>
      <c r="C738" s="12" t="s">
        <v>84</v>
      </c>
      <c r="D738" s="12" t="s">
        <v>1585</v>
      </c>
      <c r="E738" s="12">
        <v>0</v>
      </c>
      <c r="F738" s="12">
        <v>0</v>
      </c>
      <c r="G738" s="12">
        <v>0.5</v>
      </c>
      <c r="H738" s="12">
        <v>19.5</v>
      </c>
      <c r="I738" s="12" t="s">
        <v>1603</v>
      </c>
    </row>
    <row r="739" spans="1:9">
      <c r="A739" s="12" t="s">
        <v>496</v>
      </c>
      <c r="B739" s="12" t="s">
        <v>497</v>
      </c>
      <c r="C739" s="12" t="s">
        <v>33</v>
      </c>
      <c r="D739" s="12" t="s">
        <v>1585</v>
      </c>
      <c r="E739" s="12">
        <v>18</v>
      </c>
      <c r="F739" s="12">
        <v>0</v>
      </c>
      <c r="G739" s="12">
        <v>2</v>
      </c>
      <c r="H739" s="12">
        <v>0</v>
      </c>
      <c r="I739" s="12" t="s">
        <v>1586</v>
      </c>
    </row>
    <row r="740" spans="1:9">
      <c r="A740" s="12" t="s">
        <v>1700</v>
      </c>
      <c r="B740" s="12" t="s">
        <v>1701</v>
      </c>
      <c r="C740" s="12" t="s">
        <v>59</v>
      </c>
      <c r="D740" s="12" t="s">
        <v>1585</v>
      </c>
      <c r="E740" s="12">
        <v>0</v>
      </c>
      <c r="F740" s="12">
        <v>20</v>
      </c>
      <c r="G740" s="12">
        <v>0</v>
      </c>
      <c r="H740" s="12">
        <v>0</v>
      </c>
      <c r="I740" s="12" t="s">
        <v>1603</v>
      </c>
    </row>
    <row r="741" spans="1:9">
      <c r="A741" s="12" t="s">
        <v>1702</v>
      </c>
      <c r="B741" s="12" t="s">
        <v>1703</v>
      </c>
      <c r="C741" s="12" t="s">
        <v>863</v>
      </c>
      <c r="D741" s="12" t="s">
        <v>1585</v>
      </c>
      <c r="E741" s="12">
        <v>0</v>
      </c>
      <c r="F741" s="12">
        <v>20</v>
      </c>
      <c r="G741" s="12">
        <v>0</v>
      </c>
      <c r="H741" s="12">
        <v>0</v>
      </c>
      <c r="I741" s="12" t="s">
        <v>1603</v>
      </c>
    </row>
    <row r="742" spans="1:9">
      <c r="A742" s="12" t="s">
        <v>1212</v>
      </c>
      <c r="B742" s="12" t="s">
        <v>1213</v>
      </c>
      <c r="C742" s="12" t="s">
        <v>81</v>
      </c>
      <c r="D742" s="12" t="s">
        <v>1585</v>
      </c>
      <c r="E742" s="12">
        <v>0</v>
      </c>
      <c r="F742" s="12">
        <v>0</v>
      </c>
      <c r="G742" s="12">
        <v>0</v>
      </c>
      <c r="H742" s="12">
        <v>20</v>
      </c>
      <c r="I742" s="12" t="s">
        <v>1586</v>
      </c>
    </row>
    <row r="743" spans="1:9">
      <c r="A743" s="12" t="s">
        <v>1058</v>
      </c>
      <c r="B743" s="12" t="s">
        <v>1059</v>
      </c>
      <c r="C743" s="12" t="s">
        <v>77</v>
      </c>
      <c r="D743" s="12" t="s">
        <v>1585</v>
      </c>
      <c r="E743" s="12">
        <v>0</v>
      </c>
      <c r="F743" s="12">
        <v>20</v>
      </c>
      <c r="G743" s="12">
        <v>0</v>
      </c>
      <c r="H743" s="12">
        <v>0</v>
      </c>
      <c r="I743" s="12" t="s">
        <v>1586</v>
      </c>
    </row>
    <row r="744" spans="1:9">
      <c r="A744" s="12" t="s">
        <v>1278</v>
      </c>
      <c r="B744" s="12" t="s">
        <v>1279</v>
      </c>
      <c r="C744" s="12" t="s">
        <v>69</v>
      </c>
      <c r="D744" s="12" t="s">
        <v>1585</v>
      </c>
      <c r="E744" s="12">
        <v>0</v>
      </c>
      <c r="F744" s="12">
        <v>20</v>
      </c>
      <c r="G744" s="12">
        <v>0</v>
      </c>
      <c r="H744" s="12">
        <v>0</v>
      </c>
      <c r="I744" s="12" t="s">
        <v>1586</v>
      </c>
    </row>
    <row r="745" spans="1:9">
      <c r="A745" s="12" t="s">
        <v>1704</v>
      </c>
      <c r="B745" s="12" t="s">
        <v>1705</v>
      </c>
      <c r="C745" s="12" t="s">
        <v>640</v>
      </c>
      <c r="D745" s="12" t="s">
        <v>1585</v>
      </c>
      <c r="E745" s="12">
        <v>0</v>
      </c>
      <c r="F745" s="12">
        <v>20</v>
      </c>
      <c r="G745" s="12">
        <v>0</v>
      </c>
      <c r="H745" s="12">
        <v>0</v>
      </c>
      <c r="I745" s="12" t="s">
        <v>1603</v>
      </c>
    </row>
    <row r="746" spans="1:9">
      <c r="A746" s="12" t="s">
        <v>1706</v>
      </c>
      <c r="B746" s="12" t="s">
        <v>1707</v>
      </c>
      <c r="C746" s="12" t="s">
        <v>57</v>
      </c>
      <c r="D746" s="12" t="s">
        <v>1585</v>
      </c>
      <c r="E746" s="12">
        <v>0</v>
      </c>
      <c r="F746" s="12">
        <v>10</v>
      </c>
      <c r="G746" s="12">
        <v>0</v>
      </c>
      <c r="H746" s="12">
        <v>10</v>
      </c>
      <c r="I746" s="12" t="s">
        <v>1603</v>
      </c>
    </row>
    <row r="747" spans="1:9">
      <c r="A747" s="12" t="s">
        <v>1549</v>
      </c>
      <c r="B747" s="12" t="s">
        <v>1550</v>
      </c>
      <c r="C747" s="12" t="s">
        <v>85</v>
      </c>
      <c r="D747" s="12" t="s">
        <v>1585</v>
      </c>
      <c r="E747" s="12">
        <v>20</v>
      </c>
      <c r="F747" s="12">
        <v>0</v>
      </c>
      <c r="G747" s="12">
        <v>0</v>
      </c>
      <c r="H747" s="12">
        <v>0</v>
      </c>
      <c r="I747" s="12" t="s">
        <v>1586</v>
      </c>
    </row>
    <row r="748" spans="1:9">
      <c r="A748" s="12" t="s">
        <v>488</v>
      </c>
      <c r="B748" s="12" t="s">
        <v>489</v>
      </c>
      <c r="C748" s="12" t="s">
        <v>33</v>
      </c>
      <c r="D748" s="12" t="s">
        <v>1585</v>
      </c>
      <c r="E748" s="12">
        <v>0</v>
      </c>
      <c r="F748" s="12">
        <v>14</v>
      </c>
      <c r="G748" s="12">
        <v>6</v>
      </c>
      <c r="H748" s="12">
        <v>0</v>
      </c>
      <c r="I748" s="12" t="s">
        <v>1586</v>
      </c>
    </row>
    <row r="749" spans="1:9">
      <c r="A749" s="12" t="s">
        <v>257</v>
      </c>
      <c r="B749" s="12" t="s">
        <v>258</v>
      </c>
      <c r="C749" s="12" t="s">
        <v>84</v>
      </c>
      <c r="D749" s="12" t="s">
        <v>1585</v>
      </c>
      <c r="E749" s="12">
        <v>0</v>
      </c>
      <c r="F749" s="12">
        <v>0</v>
      </c>
      <c r="G749" s="12">
        <v>2</v>
      </c>
      <c r="H749" s="12">
        <v>18</v>
      </c>
      <c r="I749" s="12" t="s">
        <v>1586</v>
      </c>
    </row>
    <row r="750" spans="1:9">
      <c r="A750" s="12" t="s">
        <v>620</v>
      </c>
      <c r="B750" s="12" t="s">
        <v>621</v>
      </c>
      <c r="C750" s="12" t="s">
        <v>82</v>
      </c>
      <c r="D750" s="12" t="s">
        <v>1585</v>
      </c>
      <c r="E750" s="12">
        <v>18.5</v>
      </c>
      <c r="F750" s="12">
        <v>0</v>
      </c>
      <c r="G750" s="12">
        <v>1.5</v>
      </c>
      <c r="H750" s="12">
        <v>0</v>
      </c>
      <c r="I750" s="12" t="s">
        <v>1586</v>
      </c>
    </row>
    <row r="751" spans="1:9">
      <c r="A751" s="12" t="s">
        <v>754</v>
      </c>
      <c r="B751" s="12" t="s">
        <v>755</v>
      </c>
      <c r="C751" s="12" t="s">
        <v>91</v>
      </c>
      <c r="D751" s="12" t="s">
        <v>1585</v>
      </c>
      <c r="E751" s="12">
        <v>11</v>
      </c>
      <c r="F751" s="12">
        <v>9</v>
      </c>
      <c r="G751" s="12">
        <v>0</v>
      </c>
      <c r="H751" s="12">
        <v>0</v>
      </c>
      <c r="I751" s="12" t="s">
        <v>1586</v>
      </c>
    </row>
    <row r="752" spans="1:9">
      <c r="A752" s="12" t="s">
        <v>172</v>
      </c>
      <c r="B752" s="12" t="s">
        <v>173</v>
      </c>
      <c r="C752" s="12" t="s">
        <v>44</v>
      </c>
      <c r="D752" s="12" t="s">
        <v>1585</v>
      </c>
      <c r="E752" s="12">
        <v>10</v>
      </c>
      <c r="F752" s="12">
        <v>10</v>
      </c>
      <c r="G752" s="12">
        <v>0</v>
      </c>
      <c r="H752" s="12">
        <v>0</v>
      </c>
      <c r="I752" s="12" t="s">
        <v>1586</v>
      </c>
    </row>
    <row r="753" spans="1:9">
      <c r="A753" s="12" t="s">
        <v>1708</v>
      </c>
      <c r="B753" s="12" t="s">
        <v>1709</v>
      </c>
      <c r="C753" s="12" t="s">
        <v>82</v>
      </c>
      <c r="D753" s="12" t="s">
        <v>1585</v>
      </c>
      <c r="E753" s="12">
        <v>0</v>
      </c>
      <c r="F753" s="12">
        <v>20</v>
      </c>
      <c r="G753" s="12">
        <v>0</v>
      </c>
      <c r="H753" s="12">
        <v>0</v>
      </c>
      <c r="I753" s="12" t="s">
        <v>1603</v>
      </c>
    </row>
    <row r="754" spans="1:9">
      <c r="A754" s="12" t="s">
        <v>1710</v>
      </c>
      <c r="B754" s="12" t="s">
        <v>1711</v>
      </c>
      <c r="C754" s="12" t="s">
        <v>69</v>
      </c>
      <c r="D754" s="12" t="s">
        <v>1585</v>
      </c>
      <c r="E754" s="12">
        <v>0</v>
      </c>
      <c r="F754" s="12">
        <v>15</v>
      </c>
      <c r="G754" s="12">
        <v>0</v>
      </c>
      <c r="H754" s="12">
        <v>5</v>
      </c>
      <c r="I754" s="12" t="s">
        <v>1603</v>
      </c>
    </row>
    <row r="755" spans="1:9">
      <c r="A755" s="12" t="s">
        <v>1712</v>
      </c>
      <c r="B755" s="12" t="s">
        <v>1713</v>
      </c>
      <c r="C755" s="12" t="s">
        <v>57</v>
      </c>
      <c r="D755" s="12" t="s">
        <v>1585</v>
      </c>
      <c r="E755" s="12">
        <v>0</v>
      </c>
      <c r="F755" s="12">
        <v>20</v>
      </c>
      <c r="G755" s="12">
        <v>0</v>
      </c>
      <c r="H755" s="12">
        <v>0</v>
      </c>
      <c r="I755" s="12" t="s">
        <v>1603</v>
      </c>
    </row>
    <row r="756" spans="1:9">
      <c r="A756" s="12" t="s">
        <v>1714</v>
      </c>
      <c r="B756" s="12" t="s">
        <v>1715</v>
      </c>
      <c r="C756" s="12" t="s">
        <v>361</v>
      </c>
      <c r="D756" s="12" t="s">
        <v>1585</v>
      </c>
      <c r="E756" s="12">
        <v>0</v>
      </c>
      <c r="F756" s="12">
        <v>20</v>
      </c>
      <c r="G756" s="12">
        <v>0</v>
      </c>
      <c r="H756" s="12">
        <v>0</v>
      </c>
      <c r="I756" s="12" t="s">
        <v>1603</v>
      </c>
    </row>
    <row r="757" spans="1:9">
      <c r="A757" s="12" t="s">
        <v>1716</v>
      </c>
      <c r="B757" s="12" t="s">
        <v>1717</v>
      </c>
      <c r="C757" s="12" t="s">
        <v>26</v>
      </c>
      <c r="D757" s="12" t="s">
        <v>1585</v>
      </c>
      <c r="E757" s="12">
        <v>0</v>
      </c>
      <c r="F757" s="12">
        <v>19</v>
      </c>
      <c r="G757" s="12">
        <v>1</v>
      </c>
      <c r="H757" s="12">
        <v>0</v>
      </c>
      <c r="I757" s="12" t="s">
        <v>1603</v>
      </c>
    </row>
    <row r="758" spans="1:9">
      <c r="A758" s="12" t="s">
        <v>174</v>
      </c>
      <c r="B758" s="12" t="s">
        <v>175</v>
      </c>
      <c r="C758" s="12" t="s">
        <v>95</v>
      </c>
      <c r="D758" s="12" t="s">
        <v>1585</v>
      </c>
      <c r="E758" s="12">
        <v>10</v>
      </c>
      <c r="F758" s="12">
        <v>9</v>
      </c>
      <c r="G758" s="12">
        <v>1</v>
      </c>
      <c r="H758" s="12">
        <v>0</v>
      </c>
      <c r="I758" s="12" t="s">
        <v>1586</v>
      </c>
    </row>
    <row r="759" spans="1:9">
      <c r="A759" s="12" t="s">
        <v>1385</v>
      </c>
      <c r="B759" s="12" t="s">
        <v>1386</v>
      </c>
      <c r="C759" s="12" t="s">
        <v>78</v>
      </c>
      <c r="D759" s="12" t="s">
        <v>1585</v>
      </c>
      <c r="E759" s="12">
        <v>0</v>
      </c>
      <c r="F759" s="12">
        <v>15</v>
      </c>
      <c r="G759" s="12">
        <v>5</v>
      </c>
      <c r="H759" s="12">
        <v>0</v>
      </c>
      <c r="I759" s="12" t="s">
        <v>1586</v>
      </c>
    </row>
    <row r="760" spans="1:9">
      <c r="A760" s="12" t="s">
        <v>1718</v>
      </c>
      <c r="B760" s="12" t="s">
        <v>1719</v>
      </c>
      <c r="C760" s="12" t="s">
        <v>8</v>
      </c>
      <c r="D760" s="12" t="s">
        <v>1585</v>
      </c>
      <c r="E760" s="12">
        <v>0</v>
      </c>
      <c r="F760" s="12">
        <v>4</v>
      </c>
      <c r="G760" s="12">
        <v>0</v>
      </c>
      <c r="H760" s="12">
        <v>16</v>
      </c>
      <c r="I760" s="12" t="s">
        <v>1603</v>
      </c>
    </row>
    <row r="761" spans="1:9">
      <c r="A761" s="12" t="s">
        <v>1720</v>
      </c>
      <c r="B761" s="12" t="s">
        <v>1721</v>
      </c>
      <c r="C761" s="12" t="s">
        <v>7</v>
      </c>
      <c r="D761" s="12" t="s">
        <v>1585</v>
      </c>
      <c r="E761" s="12">
        <v>0</v>
      </c>
      <c r="F761" s="12">
        <v>20</v>
      </c>
      <c r="G761" s="12">
        <v>0</v>
      </c>
      <c r="H761" s="12">
        <v>0</v>
      </c>
      <c r="I761" s="12" t="s">
        <v>1603</v>
      </c>
    </row>
    <row r="762" spans="1:9">
      <c r="A762" s="12" t="s">
        <v>823</v>
      </c>
      <c r="B762" s="12" t="s">
        <v>824</v>
      </c>
      <c r="C762" s="12" t="s">
        <v>2</v>
      </c>
      <c r="D762" s="12" t="s">
        <v>1585</v>
      </c>
      <c r="E762" s="12">
        <v>20</v>
      </c>
      <c r="F762" s="12">
        <v>0</v>
      </c>
      <c r="G762" s="12">
        <v>0</v>
      </c>
      <c r="H762" s="12">
        <v>0</v>
      </c>
      <c r="I762" s="12" t="s">
        <v>1586</v>
      </c>
    </row>
    <row r="763" spans="1:9">
      <c r="A763" s="12" t="s">
        <v>1722</v>
      </c>
      <c r="B763" s="12" t="s">
        <v>1723</v>
      </c>
      <c r="C763" s="12" t="s">
        <v>361</v>
      </c>
      <c r="D763" s="12" t="s">
        <v>1585</v>
      </c>
      <c r="E763" s="12">
        <v>0</v>
      </c>
      <c r="F763" s="12">
        <v>10</v>
      </c>
      <c r="G763" s="12">
        <v>0</v>
      </c>
      <c r="H763" s="12">
        <v>10</v>
      </c>
      <c r="I763" s="12" t="s">
        <v>1603</v>
      </c>
    </row>
    <row r="764" spans="1:9">
      <c r="A764" s="12" t="s">
        <v>1724</v>
      </c>
      <c r="B764" s="12" t="s">
        <v>1725</v>
      </c>
      <c r="C764" s="12" t="s">
        <v>609</v>
      </c>
      <c r="D764" s="12" t="s">
        <v>1585</v>
      </c>
      <c r="E764" s="12">
        <v>0</v>
      </c>
      <c r="F764" s="12">
        <v>20</v>
      </c>
      <c r="G764" s="12">
        <v>0</v>
      </c>
      <c r="H764" s="12">
        <v>0</v>
      </c>
      <c r="I764" s="12" t="s">
        <v>1603</v>
      </c>
    </row>
    <row r="765" spans="1:9">
      <c r="A765" s="12" t="s">
        <v>1726</v>
      </c>
      <c r="B765" s="12" t="s">
        <v>1727</v>
      </c>
      <c r="C765" s="12" t="s">
        <v>77</v>
      </c>
      <c r="D765" s="12" t="s">
        <v>1585</v>
      </c>
      <c r="E765" s="12">
        <v>0</v>
      </c>
      <c r="F765" s="12">
        <v>20</v>
      </c>
      <c r="G765" s="12">
        <v>0</v>
      </c>
      <c r="H765" s="12">
        <v>0</v>
      </c>
      <c r="I765" s="12" t="s">
        <v>1603</v>
      </c>
    </row>
    <row r="766" spans="1:9">
      <c r="A766" s="12" t="s">
        <v>1728</v>
      </c>
      <c r="B766" s="12" t="s">
        <v>1729</v>
      </c>
      <c r="C766" s="12" t="s">
        <v>81</v>
      </c>
      <c r="D766" s="12" t="s">
        <v>1585</v>
      </c>
      <c r="E766" s="12">
        <v>0</v>
      </c>
      <c r="F766" s="12">
        <v>15</v>
      </c>
      <c r="G766" s="12">
        <v>5</v>
      </c>
      <c r="H766" s="12">
        <v>0</v>
      </c>
      <c r="I766" s="12" t="s">
        <v>1603</v>
      </c>
    </row>
    <row r="767" spans="1:9">
      <c r="A767" s="12" t="s">
        <v>676</v>
      </c>
      <c r="B767" s="12" t="s">
        <v>677</v>
      </c>
      <c r="C767" s="12" t="s">
        <v>637</v>
      </c>
      <c r="D767" s="12" t="s">
        <v>1585</v>
      </c>
      <c r="E767" s="12">
        <v>20</v>
      </c>
      <c r="F767" s="12">
        <v>0</v>
      </c>
      <c r="G767" s="12">
        <v>0</v>
      </c>
      <c r="H767" s="12">
        <v>0</v>
      </c>
      <c r="I767" s="12" t="s">
        <v>1586</v>
      </c>
    </row>
    <row r="768" spans="1:9">
      <c r="A768" s="12" t="s">
        <v>1730</v>
      </c>
      <c r="B768" s="12" t="s">
        <v>1731</v>
      </c>
      <c r="C768" s="12" t="s">
        <v>1053</v>
      </c>
      <c r="D768" s="12" t="s">
        <v>1585</v>
      </c>
      <c r="E768" s="12">
        <v>0</v>
      </c>
      <c r="F768" s="12">
        <v>20</v>
      </c>
      <c r="G768" s="12">
        <v>0</v>
      </c>
      <c r="H768" s="12">
        <v>0</v>
      </c>
      <c r="I768" s="12" t="s">
        <v>1603</v>
      </c>
    </row>
    <row r="769" spans="1:9">
      <c r="A769" s="12" t="s">
        <v>858</v>
      </c>
      <c r="B769" s="12" t="s">
        <v>859</v>
      </c>
      <c r="C769" s="12" t="s">
        <v>61</v>
      </c>
      <c r="D769" s="12" t="s">
        <v>1585</v>
      </c>
      <c r="E769" s="12">
        <v>18</v>
      </c>
      <c r="F769" s="12">
        <v>0</v>
      </c>
      <c r="G769" s="12">
        <v>2</v>
      </c>
      <c r="H769" s="12">
        <v>0</v>
      </c>
      <c r="I769" s="12" t="s">
        <v>1586</v>
      </c>
    </row>
    <row r="770" spans="1:9">
      <c r="A770" s="12" t="s">
        <v>1056</v>
      </c>
      <c r="B770" s="12" t="s">
        <v>1057</v>
      </c>
      <c r="C770" s="12" t="s">
        <v>361</v>
      </c>
      <c r="D770" s="12" t="s">
        <v>1585</v>
      </c>
      <c r="E770" s="12">
        <v>0</v>
      </c>
      <c r="F770" s="12">
        <v>10</v>
      </c>
      <c r="G770" s="12">
        <v>0</v>
      </c>
      <c r="H770" s="12">
        <v>10</v>
      </c>
      <c r="I770" s="12" t="s">
        <v>1586</v>
      </c>
    </row>
    <row r="771" spans="1:9">
      <c r="A771" s="12" t="s">
        <v>1732</v>
      </c>
      <c r="B771" s="12" t="s">
        <v>1733</v>
      </c>
      <c r="C771" s="12" t="s">
        <v>863</v>
      </c>
      <c r="D771" s="12" t="s">
        <v>1585</v>
      </c>
      <c r="E771" s="12">
        <v>0</v>
      </c>
      <c r="F771" s="12">
        <v>19</v>
      </c>
      <c r="G771" s="12">
        <v>1</v>
      </c>
      <c r="H771" s="12">
        <v>0</v>
      </c>
      <c r="I771" s="12" t="s">
        <v>1603</v>
      </c>
    </row>
    <row r="772" spans="1:9">
      <c r="A772" s="12" t="s">
        <v>710</v>
      </c>
      <c r="B772" s="12" t="s">
        <v>711</v>
      </c>
      <c r="C772" s="12" t="s">
        <v>75</v>
      </c>
      <c r="D772" s="12" t="s">
        <v>1585</v>
      </c>
      <c r="E772" s="12">
        <v>0</v>
      </c>
      <c r="F772" s="12">
        <v>20</v>
      </c>
      <c r="G772" s="12">
        <v>0</v>
      </c>
      <c r="H772" s="12">
        <v>0</v>
      </c>
      <c r="I772" s="12" t="s">
        <v>1586</v>
      </c>
    </row>
    <row r="773" spans="1:9">
      <c r="A773" s="12" t="s">
        <v>437</v>
      </c>
      <c r="B773" s="12" t="s">
        <v>438</v>
      </c>
      <c r="C773" s="12" t="s">
        <v>140</v>
      </c>
      <c r="D773" s="12" t="s">
        <v>1585</v>
      </c>
      <c r="E773" s="12">
        <v>0</v>
      </c>
      <c r="F773" s="12">
        <v>13.5</v>
      </c>
      <c r="G773" s="12">
        <v>0</v>
      </c>
      <c r="H773" s="12">
        <v>6.5</v>
      </c>
      <c r="I773" s="12" t="s">
        <v>1586</v>
      </c>
    </row>
    <row r="774" spans="1:9">
      <c r="A774" s="12" t="s">
        <v>1536</v>
      </c>
      <c r="B774" s="12" t="s">
        <v>1537</v>
      </c>
      <c r="C774" s="12" t="s">
        <v>45</v>
      </c>
      <c r="D774" s="12" t="s">
        <v>1585</v>
      </c>
      <c r="E774" s="12">
        <v>0</v>
      </c>
      <c r="F774" s="12">
        <v>9.5</v>
      </c>
      <c r="G774" s="12">
        <v>10.5</v>
      </c>
      <c r="H774" s="12">
        <v>0</v>
      </c>
      <c r="I774" s="12" t="s">
        <v>1586</v>
      </c>
    </row>
    <row r="775" spans="1:9">
      <c r="A775" s="12" t="s">
        <v>1734</v>
      </c>
      <c r="B775" s="12" t="s">
        <v>1735</v>
      </c>
      <c r="C775" s="12" t="s">
        <v>24</v>
      </c>
      <c r="D775" s="12" t="s">
        <v>1585</v>
      </c>
      <c r="E775" s="12">
        <v>0</v>
      </c>
      <c r="F775" s="12">
        <v>10</v>
      </c>
      <c r="G775" s="12">
        <v>1</v>
      </c>
      <c r="H775" s="12">
        <v>9</v>
      </c>
      <c r="I775" s="12" t="s">
        <v>1603</v>
      </c>
    </row>
    <row r="776" spans="1:9">
      <c r="A776" s="12" t="s">
        <v>1402</v>
      </c>
      <c r="B776" s="12" t="s">
        <v>1403</v>
      </c>
      <c r="C776" s="12" t="s">
        <v>95</v>
      </c>
      <c r="D776" s="12" t="s">
        <v>1585</v>
      </c>
      <c r="E776" s="12">
        <v>16</v>
      </c>
      <c r="F776" s="12">
        <v>4</v>
      </c>
      <c r="G776" s="12">
        <v>0</v>
      </c>
      <c r="H776" s="12">
        <v>0</v>
      </c>
      <c r="I776" s="12" t="s">
        <v>1586</v>
      </c>
    </row>
    <row r="777" spans="1:9">
      <c r="A777" s="12" t="s">
        <v>1736</v>
      </c>
      <c r="B777" s="12" t="s">
        <v>1737</v>
      </c>
      <c r="C777" s="12" t="s">
        <v>140</v>
      </c>
      <c r="D777" s="12" t="s">
        <v>1585</v>
      </c>
      <c r="E777" s="12">
        <v>0</v>
      </c>
      <c r="F777" s="12">
        <v>20</v>
      </c>
      <c r="G777" s="12">
        <v>0</v>
      </c>
      <c r="H777" s="12">
        <v>0</v>
      </c>
      <c r="I777" s="12" t="s">
        <v>1603</v>
      </c>
    </row>
    <row r="778" spans="1:9">
      <c r="A778" s="12" t="s">
        <v>1738</v>
      </c>
      <c r="B778" s="12" t="s">
        <v>1739</v>
      </c>
      <c r="C778" s="12" t="s">
        <v>1316</v>
      </c>
      <c r="D778" s="12" t="s">
        <v>1585</v>
      </c>
      <c r="E778" s="12">
        <v>0</v>
      </c>
      <c r="F778" s="12">
        <v>19</v>
      </c>
      <c r="G778" s="12">
        <v>1</v>
      </c>
      <c r="H778" s="12">
        <v>0</v>
      </c>
      <c r="I778" s="12" t="s">
        <v>1603</v>
      </c>
    </row>
    <row r="779" spans="1:9">
      <c r="A779" s="12" t="s">
        <v>471</v>
      </c>
      <c r="B779" s="12" t="s">
        <v>472</v>
      </c>
      <c r="C779" s="12" t="s">
        <v>92</v>
      </c>
      <c r="D779" s="12" t="s">
        <v>1585</v>
      </c>
      <c r="E779" s="12">
        <v>10</v>
      </c>
      <c r="F779" s="12">
        <v>8.5</v>
      </c>
      <c r="G779" s="12">
        <v>0.5</v>
      </c>
      <c r="H779" s="12">
        <v>0</v>
      </c>
      <c r="I779" s="12" t="s">
        <v>1586</v>
      </c>
    </row>
    <row r="780" spans="1:9">
      <c r="A780" s="12" t="s">
        <v>990</v>
      </c>
      <c r="B780" s="12" t="s">
        <v>991</v>
      </c>
      <c r="C780" s="12" t="s">
        <v>96</v>
      </c>
      <c r="D780" s="12" t="s">
        <v>1585</v>
      </c>
      <c r="E780" s="12">
        <v>19</v>
      </c>
      <c r="F780" s="12">
        <v>1</v>
      </c>
      <c r="G780" s="12">
        <v>0</v>
      </c>
      <c r="H780" s="12">
        <v>0</v>
      </c>
      <c r="I780" s="12" t="s">
        <v>1586</v>
      </c>
    </row>
    <row r="781" spans="1:9">
      <c r="A781" s="12" t="s">
        <v>1740</v>
      </c>
      <c r="B781" s="12" t="s">
        <v>1741</v>
      </c>
      <c r="C781" s="12" t="s">
        <v>57</v>
      </c>
      <c r="D781" s="12" t="s">
        <v>1585</v>
      </c>
      <c r="E781" s="12">
        <v>0</v>
      </c>
      <c r="F781" s="12">
        <v>20</v>
      </c>
      <c r="G781" s="12">
        <v>0</v>
      </c>
      <c r="H781" s="12">
        <v>0</v>
      </c>
      <c r="I781" s="12" t="s">
        <v>1603</v>
      </c>
    </row>
    <row r="782" spans="1:9">
      <c r="A782" s="12" t="s">
        <v>1084</v>
      </c>
      <c r="B782" s="12" t="s">
        <v>1085</v>
      </c>
      <c r="C782" s="12" t="s">
        <v>609</v>
      </c>
      <c r="D782" s="12" t="s">
        <v>1585</v>
      </c>
      <c r="E782" s="12">
        <v>0</v>
      </c>
      <c r="F782" s="12">
        <v>20</v>
      </c>
      <c r="G782" s="12">
        <v>0</v>
      </c>
      <c r="H782" s="12">
        <v>0</v>
      </c>
      <c r="I782" s="12" t="s">
        <v>1586</v>
      </c>
    </row>
    <row r="783" spans="1:9">
      <c r="A783" s="12" t="s">
        <v>443</v>
      </c>
      <c r="B783" s="12" t="s">
        <v>444</v>
      </c>
      <c r="C783" s="12" t="s">
        <v>92</v>
      </c>
      <c r="D783" s="12" t="s">
        <v>1585</v>
      </c>
      <c r="E783" s="12">
        <v>0</v>
      </c>
      <c r="F783" s="12">
        <v>12</v>
      </c>
      <c r="G783" s="12">
        <v>0</v>
      </c>
      <c r="H783" s="12">
        <v>8</v>
      </c>
      <c r="I783" s="12" t="s">
        <v>1586</v>
      </c>
    </row>
    <row r="784" spans="1:9">
      <c r="A784" s="12" t="s">
        <v>1742</v>
      </c>
      <c r="B784" s="12" t="s">
        <v>1743</v>
      </c>
      <c r="C784" s="12" t="s">
        <v>640</v>
      </c>
      <c r="D784" s="12" t="s">
        <v>1585</v>
      </c>
      <c r="E784" s="12">
        <v>0</v>
      </c>
      <c r="F784" s="12">
        <v>20</v>
      </c>
      <c r="G784" s="12">
        <v>0</v>
      </c>
      <c r="H784" s="12">
        <v>0</v>
      </c>
      <c r="I784" s="12" t="s">
        <v>1603</v>
      </c>
    </row>
    <row r="785" spans="1:9">
      <c r="A785" s="12" t="s">
        <v>1444</v>
      </c>
      <c r="B785" s="12" t="s">
        <v>1445</v>
      </c>
      <c r="C785" s="12" t="s">
        <v>1316</v>
      </c>
      <c r="D785" s="12" t="s">
        <v>1585</v>
      </c>
      <c r="E785" s="12">
        <v>0</v>
      </c>
      <c r="F785" s="12">
        <v>0</v>
      </c>
      <c r="G785" s="12">
        <v>0</v>
      </c>
      <c r="H785" s="12">
        <v>2</v>
      </c>
      <c r="I785" s="12" t="s">
        <v>1586</v>
      </c>
    </row>
    <row r="786" spans="1:9">
      <c r="A786" s="12" t="s">
        <v>1051</v>
      </c>
      <c r="B786" s="12" t="s">
        <v>1052</v>
      </c>
      <c r="C786" s="12" t="s">
        <v>1053</v>
      </c>
      <c r="D786" s="12" t="s">
        <v>1585</v>
      </c>
      <c r="E786" s="12">
        <v>0</v>
      </c>
      <c r="F786" s="12">
        <v>0</v>
      </c>
      <c r="G786" s="12">
        <v>0</v>
      </c>
      <c r="H786" s="12">
        <v>20</v>
      </c>
      <c r="I786" s="12" t="s">
        <v>1586</v>
      </c>
    </row>
    <row r="787" spans="1:9">
      <c r="A787" s="12" t="s">
        <v>1744</v>
      </c>
      <c r="B787" s="12" t="s">
        <v>1745</v>
      </c>
      <c r="C787" s="12" t="s">
        <v>140</v>
      </c>
      <c r="D787" s="12" t="s">
        <v>1585</v>
      </c>
      <c r="E787" s="12">
        <v>0</v>
      </c>
      <c r="F787" s="12">
        <v>20</v>
      </c>
      <c r="G787" s="12">
        <v>0</v>
      </c>
      <c r="H787" s="12">
        <v>0</v>
      </c>
      <c r="I787" s="12" t="s">
        <v>1603</v>
      </c>
    </row>
    <row r="788" spans="1:9">
      <c r="A788" s="12" t="s">
        <v>1293</v>
      </c>
      <c r="B788" s="12" t="s">
        <v>1294</v>
      </c>
      <c r="C788" s="12" t="s">
        <v>357</v>
      </c>
      <c r="D788" s="12" t="s">
        <v>1585</v>
      </c>
      <c r="E788" s="12">
        <v>0</v>
      </c>
      <c r="F788" s="12">
        <v>20</v>
      </c>
      <c r="G788" s="12">
        <v>0</v>
      </c>
      <c r="H788" s="12">
        <v>0</v>
      </c>
      <c r="I788" s="12" t="s">
        <v>1586</v>
      </c>
    </row>
    <row r="789" spans="1:9">
      <c r="A789" s="12" t="s">
        <v>433</v>
      </c>
      <c r="B789" s="12" t="s">
        <v>434</v>
      </c>
      <c r="C789" s="12" t="s">
        <v>69</v>
      </c>
      <c r="D789" s="12" t="s">
        <v>1585</v>
      </c>
      <c r="E789" s="12">
        <v>0</v>
      </c>
      <c r="F789" s="12">
        <v>19</v>
      </c>
      <c r="G789" s="12">
        <v>0</v>
      </c>
      <c r="H789" s="12">
        <v>1</v>
      </c>
      <c r="I789" s="12" t="s">
        <v>1586</v>
      </c>
    </row>
    <row r="790" spans="1:9">
      <c r="A790" s="12" t="s">
        <v>1746</v>
      </c>
      <c r="B790" s="12" t="s">
        <v>1747</v>
      </c>
      <c r="C790" s="12" t="s">
        <v>81</v>
      </c>
      <c r="D790" s="12" t="s">
        <v>1585</v>
      </c>
      <c r="E790" s="12">
        <v>0</v>
      </c>
      <c r="F790" s="12">
        <v>20</v>
      </c>
      <c r="G790" s="12">
        <v>0</v>
      </c>
      <c r="H790" s="12">
        <v>0</v>
      </c>
      <c r="I790" s="12" t="s">
        <v>1603</v>
      </c>
    </row>
    <row r="791" spans="1:9">
      <c r="A791" s="12" t="s">
        <v>1295</v>
      </c>
      <c r="B791" s="12" t="s">
        <v>1296</v>
      </c>
      <c r="C791" s="12" t="s">
        <v>863</v>
      </c>
      <c r="D791" s="12" t="s">
        <v>1585</v>
      </c>
      <c r="E791" s="12">
        <v>0</v>
      </c>
      <c r="F791" s="12">
        <v>20</v>
      </c>
      <c r="G791" s="12">
        <v>0</v>
      </c>
      <c r="H791" s="12">
        <v>0</v>
      </c>
      <c r="I791" s="12" t="s">
        <v>1586</v>
      </c>
    </row>
    <row r="792" spans="1:9">
      <c r="A792" s="12" t="s">
        <v>678</v>
      </c>
      <c r="B792" s="12" t="s">
        <v>679</v>
      </c>
      <c r="C792" s="12" t="s">
        <v>637</v>
      </c>
      <c r="D792" s="12" t="s">
        <v>1585</v>
      </c>
      <c r="E792" s="12">
        <v>0</v>
      </c>
      <c r="F792" s="12">
        <v>19.5</v>
      </c>
      <c r="G792" s="12">
        <v>0.5</v>
      </c>
      <c r="H792" s="12">
        <v>0</v>
      </c>
      <c r="I792" s="12" t="s">
        <v>1586</v>
      </c>
    </row>
    <row r="793" spans="1:9">
      <c r="A793" s="12" t="s">
        <v>1748</v>
      </c>
      <c r="B793" s="12" t="s">
        <v>1749</v>
      </c>
      <c r="C793" s="12" t="s">
        <v>637</v>
      </c>
      <c r="D793" s="12" t="s">
        <v>1585</v>
      </c>
      <c r="E793" s="12">
        <v>0</v>
      </c>
      <c r="F793" s="12">
        <v>15</v>
      </c>
      <c r="G793" s="12">
        <v>0</v>
      </c>
      <c r="H793" s="12">
        <v>0</v>
      </c>
      <c r="I793" s="12" t="s">
        <v>1603</v>
      </c>
    </row>
    <row r="794" spans="1:9">
      <c r="A794" s="12" t="s">
        <v>638</v>
      </c>
      <c r="B794" s="12" t="s">
        <v>639</v>
      </c>
      <c r="C794" s="12" t="s">
        <v>640</v>
      </c>
      <c r="D794" s="12" t="s">
        <v>1585</v>
      </c>
      <c r="E794" s="12">
        <v>0</v>
      </c>
      <c r="F794" s="12">
        <v>20</v>
      </c>
      <c r="G794" s="12">
        <v>0</v>
      </c>
      <c r="H794" s="12">
        <v>0</v>
      </c>
      <c r="I794" s="12" t="s">
        <v>1586</v>
      </c>
    </row>
    <row r="795" spans="1:9">
      <c r="A795" s="12" t="s">
        <v>1750</v>
      </c>
      <c r="B795" s="12" t="s">
        <v>1751</v>
      </c>
      <c r="C795" s="12" t="s">
        <v>637</v>
      </c>
      <c r="D795" s="12" t="s">
        <v>1585</v>
      </c>
      <c r="E795" s="12">
        <v>0</v>
      </c>
      <c r="F795" s="12">
        <v>20</v>
      </c>
      <c r="G795" s="12">
        <v>0</v>
      </c>
      <c r="H795" s="12">
        <v>0</v>
      </c>
      <c r="I795" s="12" t="s">
        <v>1603</v>
      </c>
    </row>
    <row r="796" spans="1:9">
      <c r="A796" s="12" t="s">
        <v>152</v>
      </c>
      <c r="B796" s="12" t="s">
        <v>153</v>
      </c>
      <c r="C796" s="12" t="s">
        <v>19</v>
      </c>
      <c r="D796" s="12" t="s">
        <v>1585</v>
      </c>
      <c r="E796" s="12">
        <v>20</v>
      </c>
      <c r="F796" s="12">
        <v>0</v>
      </c>
      <c r="G796" s="12">
        <v>0</v>
      </c>
      <c r="H796" s="12">
        <v>0</v>
      </c>
      <c r="I796" s="12" t="s">
        <v>1586</v>
      </c>
    </row>
    <row r="797" spans="1:9">
      <c r="A797" s="12" t="s">
        <v>1752</v>
      </c>
      <c r="B797" s="12" t="s">
        <v>1753</v>
      </c>
      <c r="C797" s="12" t="s">
        <v>357</v>
      </c>
      <c r="D797" s="12" t="s">
        <v>1585</v>
      </c>
      <c r="E797" s="12">
        <v>0</v>
      </c>
      <c r="F797" s="12">
        <v>0</v>
      </c>
      <c r="G797" s="12">
        <v>0</v>
      </c>
      <c r="H797" s="12">
        <v>0</v>
      </c>
      <c r="I797" s="12" t="s">
        <v>1603</v>
      </c>
    </row>
    <row r="798" spans="1:9">
      <c r="A798" s="12" t="s">
        <v>1754</v>
      </c>
      <c r="B798" s="12" t="s">
        <v>1755</v>
      </c>
      <c r="C798" s="12" t="s">
        <v>1053</v>
      </c>
      <c r="D798" s="12" t="s">
        <v>1585</v>
      </c>
      <c r="E798" s="12">
        <v>0</v>
      </c>
      <c r="F798" s="12">
        <v>0</v>
      </c>
      <c r="G798" s="12">
        <v>0</v>
      </c>
      <c r="H798" s="12">
        <v>0</v>
      </c>
      <c r="I798" s="12" t="s">
        <v>1603</v>
      </c>
    </row>
    <row r="799" spans="1:9">
      <c r="A799" s="12" t="s">
        <v>1756</v>
      </c>
      <c r="B799" s="12" t="s">
        <v>1757</v>
      </c>
      <c r="C799" s="12" t="s">
        <v>25</v>
      </c>
      <c r="D799" s="12" t="s">
        <v>1585</v>
      </c>
      <c r="E799" s="12">
        <v>0</v>
      </c>
      <c r="F799" s="12">
        <v>0</v>
      </c>
      <c r="G799" s="12">
        <v>0</v>
      </c>
      <c r="H799" s="12">
        <v>0</v>
      </c>
      <c r="I799" s="12" t="s">
        <v>1586</v>
      </c>
    </row>
    <row r="800" spans="1:9">
      <c r="A800" s="12" t="s">
        <v>1758</v>
      </c>
      <c r="B800" s="12" t="s">
        <v>1759</v>
      </c>
      <c r="C800" s="12" t="s">
        <v>609</v>
      </c>
      <c r="D800" s="12" t="s">
        <v>1585</v>
      </c>
      <c r="E800" s="12">
        <v>0</v>
      </c>
      <c r="F800" s="12">
        <v>0</v>
      </c>
      <c r="G800" s="12">
        <v>0</v>
      </c>
      <c r="H800" s="12">
        <v>0</v>
      </c>
      <c r="I800" s="12" t="s">
        <v>1603</v>
      </c>
    </row>
    <row r="801" spans="1:9">
      <c r="A801" s="12" t="s">
        <v>359</v>
      </c>
      <c r="B801" s="12" t="s">
        <v>360</v>
      </c>
      <c r="C801" s="12" t="s">
        <v>361</v>
      </c>
      <c r="D801" s="12" t="s">
        <v>1585</v>
      </c>
      <c r="E801" s="12">
        <v>20</v>
      </c>
      <c r="F801" s="12">
        <v>0</v>
      </c>
      <c r="G801" s="12">
        <v>0</v>
      </c>
      <c r="H801" s="12">
        <v>0</v>
      </c>
      <c r="I801" s="12" t="s">
        <v>1586</v>
      </c>
    </row>
    <row r="802" spans="1:9">
      <c r="A802" s="12" t="s">
        <v>1021</v>
      </c>
      <c r="B802" s="12" t="s">
        <v>1022</v>
      </c>
      <c r="C802" s="12" t="s">
        <v>24</v>
      </c>
      <c r="D802" s="12" t="s">
        <v>1585</v>
      </c>
      <c r="E802" s="12">
        <v>0</v>
      </c>
      <c r="F802" s="12">
        <v>20</v>
      </c>
      <c r="G802" s="12">
        <v>0</v>
      </c>
      <c r="H802" s="12">
        <v>0</v>
      </c>
      <c r="I802" s="12" t="s">
        <v>1586</v>
      </c>
    </row>
    <row r="803" spans="1:9">
      <c r="A803" s="12" t="s">
        <v>1760</v>
      </c>
      <c r="B803" s="12" t="s">
        <v>1761</v>
      </c>
      <c r="C803" s="12" t="s">
        <v>68</v>
      </c>
      <c r="D803" s="12" t="s">
        <v>1585</v>
      </c>
      <c r="E803" s="12">
        <v>0</v>
      </c>
      <c r="F803" s="12">
        <v>15</v>
      </c>
      <c r="G803" s="12">
        <v>0</v>
      </c>
      <c r="H803" s="12">
        <v>5</v>
      </c>
      <c r="I803" s="12" t="s">
        <v>1603</v>
      </c>
    </row>
    <row r="804" spans="1:9">
      <c r="A804" s="12" t="s">
        <v>1762</v>
      </c>
      <c r="B804" s="12" t="s">
        <v>1763</v>
      </c>
      <c r="C804" s="12" t="s">
        <v>361</v>
      </c>
      <c r="D804" s="12" t="s">
        <v>1585</v>
      </c>
      <c r="E804" s="12">
        <v>0</v>
      </c>
      <c r="F804" s="12">
        <v>0</v>
      </c>
      <c r="G804" s="12">
        <v>0</v>
      </c>
      <c r="H804" s="12">
        <v>0</v>
      </c>
      <c r="I804" s="12" t="s">
        <v>1603</v>
      </c>
    </row>
    <row r="805" spans="1:9">
      <c r="A805" s="12" t="s">
        <v>1764</v>
      </c>
      <c r="B805" s="12" t="s">
        <v>1765</v>
      </c>
      <c r="C805" s="12" t="s">
        <v>69</v>
      </c>
      <c r="D805" s="12" t="s">
        <v>1585</v>
      </c>
      <c r="E805" s="12">
        <v>0</v>
      </c>
      <c r="F805" s="12">
        <v>20</v>
      </c>
      <c r="G805" s="12">
        <v>0</v>
      </c>
      <c r="H805" s="12">
        <v>0</v>
      </c>
      <c r="I805" s="12" t="s">
        <v>1603</v>
      </c>
    </row>
    <row r="806" spans="1:9">
      <c r="A806" s="12" t="s">
        <v>1766</v>
      </c>
      <c r="B806" s="12" t="s">
        <v>1767</v>
      </c>
      <c r="C806" s="12" t="s">
        <v>78</v>
      </c>
      <c r="D806" s="12" t="s">
        <v>1585</v>
      </c>
      <c r="E806" s="12">
        <v>0</v>
      </c>
      <c r="F806" s="12">
        <v>0</v>
      </c>
      <c r="G806" s="12">
        <v>0</v>
      </c>
      <c r="H806" s="12">
        <v>20</v>
      </c>
      <c r="I806" s="12" t="s">
        <v>1603</v>
      </c>
    </row>
    <row r="807" spans="1:9">
      <c r="A807" s="12" t="s">
        <v>1768</v>
      </c>
      <c r="B807" s="12" t="s">
        <v>1769</v>
      </c>
      <c r="C807" s="12" t="s">
        <v>15</v>
      </c>
      <c r="D807" s="12" t="s">
        <v>1585</v>
      </c>
      <c r="E807" s="12">
        <v>0</v>
      </c>
      <c r="F807" s="12">
        <v>19</v>
      </c>
      <c r="G807" s="12">
        <v>0</v>
      </c>
      <c r="H807" s="12">
        <v>0</v>
      </c>
      <c r="I807" s="12" t="s">
        <v>1603</v>
      </c>
    </row>
    <row r="808" spans="1:9">
      <c r="A808" s="12" t="s">
        <v>1770</v>
      </c>
      <c r="B808" s="12" t="s">
        <v>1771</v>
      </c>
      <c r="C808" s="12" t="s">
        <v>76</v>
      </c>
      <c r="D808" s="12" t="s">
        <v>1585</v>
      </c>
      <c r="E808" s="12">
        <v>0</v>
      </c>
      <c r="F808" s="12">
        <v>20</v>
      </c>
      <c r="G808" s="12">
        <v>0</v>
      </c>
      <c r="H808" s="12">
        <v>0</v>
      </c>
      <c r="I808" s="12" t="s">
        <v>1603</v>
      </c>
    </row>
    <row r="809" spans="1:9">
      <c r="A809" s="12" t="s">
        <v>1772</v>
      </c>
      <c r="B809" s="12" t="s">
        <v>1773</v>
      </c>
      <c r="C809" s="12" t="s">
        <v>68</v>
      </c>
      <c r="D809" s="12" t="s">
        <v>1585</v>
      </c>
      <c r="E809" s="12">
        <v>0</v>
      </c>
      <c r="F809" s="12">
        <v>15</v>
      </c>
      <c r="G809" s="12">
        <v>0</v>
      </c>
      <c r="H809" s="12">
        <v>5</v>
      </c>
      <c r="I809" s="12" t="s">
        <v>1603</v>
      </c>
    </row>
    <row r="810" spans="1:9">
      <c r="A810" s="12" t="s">
        <v>626</v>
      </c>
      <c r="B810" s="12" t="s">
        <v>627</v>
      </c>
      <c r="C810" s="12" t="s">
        <v>82</v>
      </c>
      <c r="D810" s="12" t="s">
        <v>1585</v>
      </c>
      <c r="E810" s="12">
        <v>0</v>
      </c>
      <c r="F810" s="12">
        <v>0</v>
      </c>
      <c r="G810" s="12">
        <v>0</v>
      </c>
      <c r="H810" s="12">
        <v>20</v>
      </c>
      <c r="I810" s="12" t="s">
        <v>1586</v>
      </c>
    </row>
    <row r="811" spans="1:9">
      <c r="A811" s="12" t="s">
        <v>435</v>
      </c>
      <c r="B811" s="12" t="s">
        <v>436</v>
      </c>
      <c r="C811" s="12" t="s">
        <v>140</v>
      </c>
      <c r="D811" s="12" t="s">
        <v>1585</v>
      </c>
      <c r="E811" s="12">
        <v>0</v>
      </c>
      <c r="F811" s="12">
        <v>0</v>
      </c>
      <c r="G811" s="12">
        <v>0</v>
      </c>
      <c r="H811" s="12">
        <v>20</v>
      </c>
      <c r="I811" s="12" t="s">
        <v>1586</v>
      </c>
    </row>
    <row r="812" spans="1:9">
      <c r="A812" s="12" t="s">
        <v>1229</v>
      </c>
      <c r="B812" s="12" t="s">
        <v>1230</v>
      </c>
      <c r="C812" s="12" t="s">
        <v>874</v>
      </c>
      <c r="D812" s="12" t="s">
        <v>1585</v>
      </c>
      <c r="E812" s="12">
        <v>0</v>
      </c>
      <c r="F812" s="12">
        <v>0</v>
      </c>
      <c r="G812" s="12">
        <v>0</v>
      </c>
      <c r="H812" s="12">
        <v>15</v>
      </c>
      <c r="I812" s="12" t="s">
        <v>1586</v>
      </c>
    </row>
    <row r="813" spans="1:9">
      <c r="A813" s="12" t="s">
        <v>1774</v>
      </c>
      <c r="B813" s="12" t="s">
        <v>1775</v>
      </c>
      <c r="C813" s="12" t="s">
        <v>609</v>
      </c>
      <c r="D813" s="12" t="s">
        <v>1585</v>
      </c>
      <c r="E813" s="12">
        <v>0</v>
      </c>
      <c r="F813" s="12">
        <v>20</v>
      </c>
      <c r="G813" s="12">
        <v>0</v>
      </c>
      <c r="H813" s="12">
        <v>0</v>
      </c>
      <c r="I813" s="12" t="s">
        <v>1603</v>
      </c>
    </row>
    <row r="814" spans="1:9">
      <c r="A814" s="12" t="s">
        <v>1776</v>
      </c>
      <c r="B814" s="12" t="s">
        <v>1777</v>
      </c>
      <c r="C814" s="12" t="s">
        <v>863</v>
      </c>
      <c r="D814" s="12" t="s">
        <v>1585</v>
      </c>
      <c r="E814" s="12">
        <v>0</v>
      </c>
      <c r="F814" s="12">
        <v>20</v>
      </c>
      <c r="G814" s="12">
        <v>0</v>
      </c>
      <c r="H814" s="12">
        <v>0</v>
      </c>
      <c r="I814" s="12" t="s">
        <v>1603</v>
      </c>
    </row>
    <row r="815" spans="1:9">
      <c r="A815" s="12" t="s">
        <v>1778</v>
      </c>
      <c r="B815" s="12" t="s">
        <v>1779</v>
      </c>
      <c r="C815" s="12" t="s">
        <v>2</v>
      </c>
      <c r="D815" s="12" t="s">
        <v>1585</v>
      </c>
      <c r="E815" s="12">
        <v>0</v>
      </c>
      <c r="F815" s="12">
        <v>6</v>
      </c>
      <c r="G815" s="12">
        <v>0</v>
      </c>
      <c r="H815" s="12">
        <v>14</v>
      </c>
      <c r="I815" s="12" t="s">
        <v>1603</v>
      </c>
    </row>
    <row r="816" spans="1:9">
      <c r="A816" s="12" t="s">
        <v>1780</v>
      </c>
      <c r="B816" s="12" t="s">
        <v>1781</v>
      </c>
      <c r="C816" s="12" t="s">
        <v>96</v>
      </c>
      <c r="D816" s="12" t="s">
        <v>1585</v>
      </c>
      <c r="E816" s="12">
        <v>0</v>
      </c>
      <c r="F816" s="12">
        <v>20</v>
      </c>
      <c r="G816" s="12">
        <v>0</v>
      </c>
      <c r="H816" s="12">
        <v>0</v>
      </c>
      <c r="I816" s="12" t="s">
        <v>1603</v>
      </c>
    </row>
    <row r="817" spans="1:9">
      <c r="A817" s="12" t="s">
        <v>1601</v>
      </c>
      <c r="B817" s="12" t="s">
        <v>1602</v>
      </c>
      <c r="C817" s="12" t="s">
        <v>82</v>
      </c>
      <c r="D817" s="12" t="s">
        <v>1585</v>
      </c>
      <c r="E817" s="12">
        <v>0</v>
      </c>
      <c r="F817" s="12">
        <v>0</v>
      </c>
      <c r="G817" s="12">
        <v>0</v>
      </c>
      <c r="H817" s="12">
        <v>0</v>
      </c>
      <c r="I817" s="12" t="s">
        <v>1586</v>
      </c>
    </row>
    <row r="818" spans="1:9">
      <c r="A818" s="12" t="s">
        <v>1782</v>
      </c>
      <c r="B818" s="12" t="s">
        <v>1783</v>
      </c>
      <c r="C818" s="12" t="s">
        <v>1784</v>
      </c>
      <c r="D818" s="12" t="s">
        <v>1585</v>
      </c>
      <c r="E818" s="12">
        <v>0</v>
      </c>
      <c r="F818" s="12">
        <v>0</v>
      </c>
      <c r="G818" s="12">
        <v>0</v>
      </c>
      <c r="H818" s="12">
        <v>0</v>
      </c>
      <c r="I818" s="12" t="s">
        <v>1603</v>
      </c>
    </row>
    <row r="819" spans="1:9">
      <c r="A819" s="12" t="s">
        <v>1785</v>
      </c>
      <c r="B819" s="12" t="s">
        <v>1786</v>
      </c>
      <c r="C819" s="12" t="s">
        <v>1784</v>
      </c>
      <c r="D819" s="12" t="s">
        <v>1585</v>
      </c>
      <c r="E819" s="12">
        <v>0</v>
      </c>
      <c r="F819" s="12">
        <v>0</v>
      </c>
      <c r="G819" s="12">
        <v>0</v>
      </c>
      <c r="H819" s="12">
        <v>0</v>
      </c>
      <c r="I819" s="12" t="s">
        <v>1603</v>
      </c>
    </row>
    <row r="820" spans="1:9">
      <c r="A820" s="12" t="s">
        <v>1787</v>
      </c>
      <c r="B820" s="12" t="s">
        <v>1788</v>
      </c>
      <c r="C820" s="12" t="s">
        <v>69</v>
      </c>
      <c r="D820" s="12" t="s">
        <v>1585</v>
      </c>
      <c r="E820" s="12">
        <v>0</v>
      </c>
      <c r="F820" s="12">
        <v>4</v>
      </c>
      <c r="G820" s="12">
        <v>0</v>
      </c>
      <c r="H820" s="12">
        <v>11</v>
      </c>
      <c r="I820" s="12" t="s">
        <v>1603</v>
      </c>
    </row>
    <row r="821" spans="1:9">
      <c r="A821" s="12" t="s">
        <v>1789</v>
      </c>
      <c r="B821" s="12" t="s">
        <v>1790</v>
      </c>
      <c r="C821" s="12" t="s">
        <v>1784</v>
      </c>
      <c r="D821" s="12" t="s">
        <v>1585</v>
      </c>
      <c r="E821" s="12">
        <v>0</v>
      </c>
      <c r="F821" s="12">
        <v>0</v>
      </c>
      <c r="G821" s="12">
        <v>0</v>
      </c>
      <c r="H821" s="12">
        <v>0</v>
      </c>
      <c r="I821" s="12" t="s">
        <v>1586</v>
      </c>
    </row>
    <row r="822" spans="1:9">
      <c r="A822" s="12" t="s">
        <v>1791</v>
      </c>
      <c r="B822" s="12" t="s">
        <v>1792</v>
      </c>
      <c r="C822" s="12" t="s">
        <v>1784</v>
      </c>
      <c r="D822" s="12" t="s">
        <v>1585</v>
      </c>
      <c r="E822" s="12">
        <v>0</v>
      </c>
      <c r="F822" s="12">
        <v>0</v>
      </c>
      <c r="G822" s="12">
        <v>0</v>
      </c>
      <c r="H822" s="12">
        <v>0</v>
      </c>
      <c r="I822" s="12" t="s">
        <v>1603</v>
      </c>
    </row>
    <row r="823" spans="1:9">
      <c r="A823" s="12" t="s">
        <v>648</v>
      </c>
      <c r="B823" s="12" t="s">
        <v>649</v>
      </c>
      <c r="C823" s="12" t="s">
        <v>37</v>
      </c>
      <c r="D823" s="12" t="s">
        <v>1585</v>
      </c>
      <c r="E823" s="12">
        <v>6</v>
      </c>
      <c r="F823" s="12">
        <v>0</v>
      </c>
      <c r="G823" s="12">
        <v>0</v>
      </c>
      <c r="H823" s="12">
        <v>14</v>
      </c>
      <c r="I823" s="12" t="s">
        <v>1586</v>
      </c>
    </row>
    <row r="824" spans="1:9">
      <c r="A824" s="12" t="s">
        <v>1793</v>
      </c>
      <c r="B824" s="12" t="s">
        <v>1794</v>
      </c>
      <c r="C824" s="12" t="s">
        <v>81</v>
      </c>
      <c r="D824" s="12" t="s">
        <v>1585</v>
      </c>
      <c r="E824" s="12">
        <v>0</v>
      </c>
      <c r="F824" s="12">
        <v>11</v>
      </c>
      <c r="G824" s="12">
        <v>0</v>
      </c>
      <c r="H824" s="12">
        <v>0</v>
      </c>
      <c r="I824" s="12" t="s">
        <v>1603</v>
      </c>
    </row>
    <row r="825" spans="1:9">
      <c r="A825" s="12" t="s">
        <v>1618</v>
      </c>
      <c r="B825" s="12" t="s">
        <v>1619</v>
      </c>
      <c r="C825" s="12" t="s">
        <v>96</v>
      </c>
      <c r="D825" s="12" t="s">
        <v>1585</v>
      </c>
      <c r="E825" s="12">
        <v>0</v>
      </c>
      <c r="F825" s="12">
        <v>0</v>
      </c>
      <c r="G825" s="12">
        <v>0</v>
      </c>
      <c r="H825" s="12">
        <v>0</v>
      </c>
      <c r="I825" s="12" t="s">
        <v>1592</v>
      </c>
    </row>
    <row r="826" spans="1:9">
      <c r="A826" s="12" t="s">
        <v>1231</v>
      </c>
      <c r="B826" s="12" t="s">
        <v>1232</v>
      </c>
      <c r="C826" s="12" t="s">
        <v>874</v>
      </c>
      <c r="D826" s="12" t="s">
        <v>1585</v>
      </c>
      <c r="E826" s="12">
        <v>0</v>
      </c>
      <c r="F826" s="12">
        <v>5</v>
      </c>
      <c r="G826" s="12">
        <v>0</v>
      </c>
      <c r="H826" s="12">
        <v>15</v>
      </c>
      <c r="I826" s="12" t="s">
        <v>1586</v>
      </c>
    </row>
    <row r="827" spans="1:9">
      <c r="A827" s="12" t="s">
        <v>1072</v>
      </c>
      <c r="B827" s="12" t="s">
        <v>1073</v>
      </c>
      <c r="C827" s="12" t="s">
        <v>37</v>
      </c>
      <c r="D827" s="12" t="s">
        <v>1585</v>
      </c>
      <c r="E827" s="12">
        <v>0</v>
      </c>
      <c r="F827" s="12">
        <v>2</v>
      </c>
      <c r="G827" s="12">
        <v>0</v>
      </c>
      <c r="H827" s="12">
        <v>18</v>
      </c>
      <c r="I827" s="12" t="s">
        <v>1586</v>
      </c>
    </row>
    <row r="828" spans="1:9">
      <c r="A828" s="12" t="s">
        <v>1604</v>
      </c>
      <c r="B828" s="12" t="s">
        <v>1605</v>
      </c>
      <c r="C828" s="12" t="s">
        <v>50</v>
      </c>
      <c r="D828" s="12" t="s">
        <v>1585</v>
      </c>
      <c r="E828" s="12">
        <v>0</v>
      </c>
      <c r="F828" s="12">
        <v>0</v>
      </c>
      <c r="G828" s="12">
        <v>0</v>
      </c>
      <c r="H828" s="12">
        <v>0</v>
      </c>
      <c r="I828" s="12" t="s">
        <v>1592</v>
      </c>
    </row>
    <row r="829" spans="1:9">
      <c r="A829" s="12" t="s">
        <v>1795</v>
      </c>
      <c r="B829" s="12" t="s">
        <v>1796</v>
      </c>
      <c r="C829" s="12" t="s">
        <v>57</v>
      </c>
      <c r="D829" s="12" t="s">
        <v>1585</v>
      </c>
      <c r="E829" s="12">
        <v>0</v>
      </c>
      <c r="F829" s="12">
        <v>0</v>
      </c>
      <c r="G829" s="12">
        <v>0</v>
      </c>
      <c r="H829" s="12">
        <v>0</v>
      </c>
      <c r="I829" s="12" t="s">
        <v>1603</v>
      </c>
    </row>
    <row r="830" spans="1:9">
      <c r="A830" s="12" t="s">
        <v>1797</v>
      </c>
      <c r="B830" s="12" t="s">
        <v>1798</v>
      </c>
      <c r="C830" s="12" t="s">
        <v>81</v>
      </c>
      <c r="D830" s="12" t="s">
        <v>1585</v>
      </c>
      <c r="E830" s="12">
        <v>0</v>
      </c>
      <c r="F830" s="12">
        <v>20</v>
      </c>
      <c r="G830" s="12">
        <v>0</v>
      </c>
      <c r="H830" s="12">
        <v>0</v>
      </c>
      <c r="I830" s="12" t="s">
        <v>1603</v>
      </c>
    </row>
    <row r="831" spans="1:9">
      <c r="A831" s="12" t="s">
        <v>1799</v>
      </c>
      <c r="B831" s="12" t="s">
        <v>1800</v>
      </c>
      <c r="C831" s="12" t="s">
        <v>1053</v>
      </c>
      <c r="D831" s="12" t="s">
        <v>1585</v>
      </c>
      <c r="E831" s="12">
        <v>0</v>
      </c>
      <c r="F831" s="12">
        <v>20</v>
      </c>
      <c r="G831" s="12">
        <v>0</v>
      </c>
      <c r="H831" s="12">
        <v>0</v>
      </c>
      <c r="I831" s="12" t="s">
        <v>1603</v>
      </c>
    </row>
    <row r="832" spans="1:9">
      <c r="A832" s="12" t="s">
        <v>1801</v>
      </c>
      <c r="B832" s="12" t="s">
        <v>1802</v>
      </c>
      <c r="C832" s="12" t="s">
        <v>863</v>
      </c>
      <c r="D832" s="12" t="s">
        <v>1585</v>
      </c>
      <c r="E832" s="12">
        <v>0</v>
      </c>
      <c r="F832" s="12">
        <v>0</v>
      </c>
      <c r="G832" s="12">
        <v>0</v>
      </c>
      <c r="H832" s="12">
        <v>0</v>
      </c>
      <c r="I832" s="12" t="s">
        <v>1603</v>
      </c>
    </row>
    <row r="833" spans="1:9">
      <c r="A833" s="12" t="s">
        <v>1803</v>
      </c>
      <c r="B833" s="12" t="s">
        <v>1804</v>
      </c>
      <c r="C833" s="12" t="s">
        <v>1784</v>
      </c>
      <c r="D833" s="12" t="s">
        <v>1585</v>
      </c>
      <c r="E833" s="12">
        <v>0</v>
      </c>
      <c r="F833" s="12">
        <v>0</v>
      </c>
      <c r="G833" s="12">
        <v>0</v>
      </c>
      <c r="H833" s="12">
        <v>0</v>
      </c>
      <c r="I833" s="12" t="s">
        <v>1603</v>
      </c>
    </row>
    <row r="834" spans="1:9">
      <c r="A834" s="12" t="s">
        <v>1608</v>
      </c>
      <c r="B834" s="12" t="s">
        <v>1609</v>
      </c>
      <c r="C834" s="12" t="s">
        <v>25</v>
      </c>
      <c r="D834" s="12" t="s">
        <v>1585</v>
      </c>
      <c r="E834" s="12">
        <v>0</v>
      </c>
      <c r="F834" s="12">
        <v>0</v>
      </c>
      <c r="G834" s="12">
        <v>0</v>
      </c>
      <c r="H834" s="12">
        <v>0</v>
      </c>
      <c r="I834" s="12" t="s">
        <v>1586</v>
      </c>
    </row>
    <row r="835" spans="1:9">
      <c r="A835" s="12" t="s">
        <v>1805</v>
      </c>
      <c r="B835" s="12" t="s">
        <v>1806</v>
      </c>
      <c r="C835" s="12" t="s">
        <v>1784</v>
      </c>
      <c r="D835" s="12" t="s">
        <v>1585</v>
      </c>
      <c r="E835" s="12">
        <v>0</v>
      </c>
      <c r="F835" s="12">
        <v>0</v>
      </c>
      <c r="G835" s="12">
        <v>0</v>
      </c>
      <c r="H835" s="12">
        <v>0</v>
      </c>
      <c r="I835" s="12" t="s">
        <v>1586</v>
      </c>
    </row>
    <row r="836" spans="1:9">
      <c r="A836" s="12" t="s">
        <v>1807</v>
      </c>
      <c r="B836" s="12" t="s">
        <v>1808</v>
      </c>
      <c r="C836" s="12" t="s">
        <v>70</v>
      </c>
      <c r="D836" s="12" t="s">
        <v>1585</v>
      </c>
      <c r="E836" s="12">
        <v>0</v>
      </c>
      <c r="F836" s="12">
        <v>0</v>
      </c>
      <c r="G836" s="12">
        <v>0</v>
      </c>
      <c r="H836" s="12">
        <v>0</v>
      </c>
      <c r="I836" s="12" t="s">
        <v>1586</v>
      </c>
    </row>
    <row r="837" spans="1:9">
      <c r="A837" s="12" t="s">
        <v>1809</v>
      </c>
      <c r="B837" s="12" t="s">
        <v>1810</v>
      </c>
      <c r="C837" s="12" t="s">
        <v>1784</v>
      </c>
      <c r="D837" s="12" t="s">
        <v>1585</v>
      </c>
      <c r="E837" s="12">
        <v>0</v>
      </c>
      <c r="F837" s="12">
        <v>0</v>
      </c>
      <c r="G837" s="12">
        <v>0</v>
      </c>
      <c r="H837" s="12">
        <v>0</v>
      </c>
      <c r="I837" s="12" t="s">
        <v>1589</v>
      </c>
    </row>
    <row r="838" spans="1:9">
      <c r="A838" s="12" t="s">
        <v>1811</v>
      </c>
      <c r="B838" s="12" t="s">
        <v>1812</v>
      </c>
      <c r="C838" s="12" t="s">
        <v>1784</v>
      </c>
      <c r="D838" s="12" t="s">
        <v>1585</v>
      </c>
      <c r="E838" s="12">
        <v>0</v>
      </c>
      <c r="F838" s="12">
        <v>0</v>
      </c>
      <c r="G838" s="12">
        <v>0</v>
      </c>
      <c r="H838" s="12">
        <v>0</v>
      </c>
      <c r="I838" s="12" t="s">
        <v>1603</v>
      </c>
    </row>
    <row r="839" spans="1:9">
      <c r="A839" s="12" t="s">
        <v>1813</v>
      </c>
      <c r="B839" s="12" t="s">
        <v>1814</v>
      </c>
      <c r="C839" s="12" t="s">
        <v>1784</v>
      </c>
      <c r="D839" s="12" t="s">
        <v>1585</v>
      </c>
      <c r="E839" s="12">
        <v>0</v>
      </c>
      <c r="F839" s="12">
        <v>0</v>
      </c>
      <c r="G839" s="12">
        <v>0</v>
      </c>
      <c r="H839" s="12">
        <v>0</v>
      </c>
      <c r="I839" s="12" t="s">
        <v>1586</v>
      </c>
    </row>
    <row r="840" spans="1:9">
      <c r="A840" s="12" t="s">
        <v>1815</v>
      </c>
      <c r="B840" s="12" t="s">
        <v>1816</v>
      </c>
      <c r="C840" s="12" t="s">
        <v>1784</v>
      </c>
      <c r="D840" s="12" t="s">
        <v>1585</v>
      </c>
      <c r="E840" s="12">
        <v>0</v>
      </c>
      <c r="F840" s="12">
        <v>0</v>
      </c>
      <c r="G840" s="12">
        <v>0</v>
      </c>
      <c r="H840" s="12">
        <v>0</v>
      </c>
      <c r="I840" s="12" t="s">
        <v>1586</v>
      </c>
    </row>
    <row r="841" spans="1:9">
      <c r="A841" s="12" t="s">
        <v>1682</v>
      </c>
      <c r="B841" s="12" t="s">
        <v>1683</v>
      </c>
      <c r="C841" s="12" t="s">
        <v>77</v>
      </c>
      <c r="D841" s="12" t="s">
        <v>1585</v>
      </c>
      <c r="E841" s="12">
        <v>0</v>
      </c>
      <c r="F841" s="12">
        <v>0</v>
      </c>
      <c r="G841" s="12">
        <v>0</v>
      </c>
      <c r="H841" s="12">
        <v>0</v>
      </c>
      <c r="I841" s="12" t="s">
        <v>1586</v>
      </c>
    </row>
    <row r="842" spans="1:9">
      <c r="A842" s="12" t="s">
        <v>1620</v>
      </c>
      <c r="B842" s="12" t="s">
        <v>1621</v>
      </c>
      <c r="C842" s="12" t="s">
        <v>57</v>
      </c>
      <c r="D842" s="12" t="s">
        <v>1585</v>
      </c>
      <c r="E842" s="12">
        <v>0</v>
      </c>
      <c r="F842" s="12">
        <v>0</v>
      </c>
      <c r="G842" s="12">
        <v>0</v>
      </c>
      <c r="H842" s="12">
        <v>0</v>
      </c>
      <c r="I842" s="12" t="s">
        <v>1586</v>
      </c>
    </row>
    <row r="843" spans="1:9">
      <c r="A843" s="12" t="s">
        <v>1704</v>
      </c>
      <c r="B843" s="12" t="s">
        <v>1705</v>
      </c>
      <c r="C843" s="12" t="s">
        <v>640</v>
      </c>
      <c r="D843" s="12" t="s">
        <v>1585</v>
      </c>
      <c r="E843" s="12">
        <v>0</v>
      </c>
      <c r="F843" s="12">
        <v>0</v>
      </c>
      <c r="G843" s="12">
        <v>0</v>
      </c>
      <c r="H843" s="12">
        <v>0</v>
      </c>
      <c r="I843" s="12" t="s">
        <v>1586</v>
      </c>
    </row>
    <row r="844" spans="1:9">
      <c r="A844" s="12" t="s">
        <v>1624</v>
      </c>
      <c r="B844" s="12" t="s">
        <v>1625</v>
      </c>
      <c r="C844" s="12" t="s">
        <v>78</v>
      </c>
      <c r="D844" s="12" t="s">
        <v>1585</v>
      </c>
      <c r="E844" s="12">
        <v>0</v>
      </c>
      <c r="F844" s="12">
        <v>0</v>
      </c>
      <c r="G844" s="12">
        <v>0</v>
      </c>
      <c r="H844" s="12">
        <v>0</v>
      </c>
      <c r="I844" s="12" t="s">
        <v>1586</v>
      </c>
    </row>
    <row r="845" spans="1:9">
      <c r="A845" s="12" t="s">
        <v>1817</v>
      </c>
      <c r="B845" s="12" t="s">
        <v>1818</v>
      </c>
      <c r="C845" s="12" t="s">
        <v>1784</v>
      </c>
      <c r="D845" s="12" t="s">
        <v>1585</v>
      </c>
      <c r="E845" s="12">
        <v>0</v>
      </c>
      <c r="F845" s="12">
        <v>0</v>
      </c>
      <c r="G845" s="12">
        <v>0</v>
      </c>
      <c r="H845" s="12">
        <v>0</v>
      </c>
      <c r="I845" s="12" t="s">
        <v>1586</v>
      </c>
    </row>
    <row r="846" spans="1:9">
      <c r="A846" s="12" t="s">
        <v>1614</v>
      </c>
      <c r="B846" s="12" t="s">
        <v>1615</v>
      </c>
      <c r="C846" s="12" t="s">
        <v>68</v>
      </c>
      <c r="D846" s="12" t="s">
        <v>1585</v>
      </c>
      <c r="E846" s="12">
        <v>0</v>
      </c>
      <c r="F846" s="12">
        <v>0</v>
      </c>
      <c r="G846" s="12">
        <v>0</v>
      </c>
      <c r="H846" s="12">
        <v>0</v>
      </c>
      <c r="I846" s="12" t="s">
        <v>1586</v>
      </c>
    </row>
    <row r="847" spans="1:9">
      <c r="A847" s="12" t="s">
        <v>1622</v>
      </c>
      <c r="B847" s="12" t="s">
        <v>1623</v>
      </c>
      <c r="C847" s="12" t="s">
        <v>8</v>
      </c>
      <c r="D847" s="12" t="s">
        <v>1585</v>
      </c>
      <c r="E847" s="12">
        <v>0</v>
      </c>
      <c r="F847" s="12">
        <v>0</v>
      </c>
      <c r="G847" s="12">
        <v>0</v>
      </c>
      <c r="H847" s="12">
        <v>0</v>
      </c>
      <c r="I847" s="12" t="s">
        <v>1586</v>
      </c>
    </row>
    <row r="848" spans="1:9">
      <c r="A848" s="12" t="s">
        <v>1616</v>
      </c>
      <c r="B848" s="12" t="s">
        <v>1617</v>
      </c>
      <c r="C848" s="12" t="s">
        <v>96</v>
      </c>
      <c r="D848" s="12" t="s">
        <v>1585</v>
      </c>
      <c r="E848" s="12">
        <v>0</v>
      </c>
      <c r="F848" s="12">
        <v>0</v>
      </c>
      <c r="G848" s="12">
        <v>0</v>
      </c>
      <c r="H848" s="12">
        <v>0</v>
      </c>
      <c r="I848" s="12" t="s">
        <v>1586</v>
      </c>
    </row>
    <row r="849" spans="1:9">
      <c r="A849" s="12" t="s">
        <v>1640</v>
      </c>
      <c r="B849" s="12" t="s">
        <v>1641</v>
      </c>
      <c r="C849" s="12" t="s">
        <v>8</v>
      </c>
      <c r="D849" s="12" t="s">
        <v>1585</v>
      </c>
      <c r="E849" s="12">
        <v>0</v>
      </c>
      <c r="F849" s="12">
        <v>0</v>
      </c>
      <c r="G849" s="12">
        <v>0</v>
      </c>
      <c r="H849" s="12">
        <v>0</v>
      </c>
      <c r="I849" s="12" t="s">
        <v>1586</v>
      </c>
    </row>
    <row r="850" spans="1:9">
      <c r="A850" s="12" t="s">
        <v>1644</v>
      </c>
      <c r="B850" s="12" t="s">
        <v>1645</v>
      </c>
      <c r="C850" s="12" t="s">
        <v>51</v>
      </c>
      <c r="D850" s="12" t="s">
        <v>1585</v>
      </c>
      <c r="E850" s="12">
        <v>0</v>
      </c>
      <c r="F850" s="12">
        <v>0</v>
      </c>
      <c r="G850" s="12">
        <v>0</v>
      </c>
      <c r="H850" s="12">
        <v>0</v>
      </c>
      <c r="I850" s="12" t="s">
        <v>1586</v>
      </c>
    </row>
    <row r="851" spans="1:9">
      <c r="A851" s="12" t="s">
        <v>1819</v>
      </c>
      <c r="B851" s="12" t="s">
        <v>1820</v>
      </c>
      <c r="C851" s="12" t="s">
        <v>1784</v>
      </c>
      <c r="D851" s="12" t="s">
        <v>1585</v>
      </c>
      <c r="E851" s="12">
        <v>0</v>
      </c>
      <c r="F851" s="12">
        <v>0</v>
      </c>
      <c r="G851" s="12">
        <v>0</v>
      </c>
      <c r="H851" s="12">
        <v>0</v>
      </c>
      <c r="I851" s="12" t="s">
        <v>1586</v>
      </c>
    </row>
    <row r="852" spans="1:9">
      <c r="A852" s="12" t="s">
        <v>1821</v>
      </c>
      <c r="B852" s="12" t="s">
        <v>1822</v>
      </c>
      <c r="C852" s="12" t="s">
        <v>1784</v>
      </c>
      <c r="D852" s="12" t="s">
        <v>1585</v>
      </c>
      <c r="E852" s="12">
        <v>0</v>
      </c>
      <c r="F852" s="12">
        <v>0</v>
      </c>
      <c r="G852" s="12">
        <v>0</v>
      </c>
      <c r="H852" s="12">
        <v>0</v>
      </c>
      <c r="I852" s="12" t="s">
        <v>1586</v>
      </c>
    </row>
    <row r="853" spans="1:9">
      <c r="A853" s="12" t="s">
        <v>1823</v>
      </c>
      <c r="B853" s="12" t="s">
        <v>1824</v>
      </c>
      <c r="C853" s="12" t="s">
        <v>72</v>
      </c>
      <c r="D853" s="12" t="s">
        <v>1585</v>
      </c>
      <c r="E853" s="12">
        <v>0</v>
      </c>
      <c r="F853" s="12">
        <v>0</v>
      </c>
      <c r="G853" s="12">
        <v>0</v>
      </c>
      <c r="H853" s="12">
        <v>0</v>
      </c>
      <c r="I853" s="12" t="s">
        <v>1586</v>
      </c>
    </row>
    <row r="854" spans="1:9">
      <c r="A854" s="12" t="s">
        <v>1825</v>
      </c>
      <c r="B854" s="12" t="s">
        <v>1826</v>
      </c>
      <c r="C854" s="12" t="s">
        <v>64</v>
      </c>
      <c r="D854" s="12" t="s">
        <v>1585</v>
      </c>
      <c r="E854" s="12">
        <v>0</v>
      </c>
      <c r="F854" s="12">
        <v>0</v>
      </c>
      <c r="G854" s="12">
        <v>0</v>
      </c>
      <c r="H854" s="12">
        <v>0</v>
      </c>
      <c r="I854" s="12" t="s">
        <v>1586</v>
      </c>
    </row>
    <row r="855" spans="1:9">
      <c r="A855" s="12" t="s">
        <v>1610</v>
      </c>
      <c r="B855" s="12" t="s">
        <v>1611</v>
      </c>
      <c r="C855" s="12" t="s">
        <v>14</v>
      </c>
      <c r="D855" s="12" t="s">
        <v>1585</v>
      </c>
      <c r="E855" s="12">
        <v>0</v>
      </c>
      <c r="F855" s="12">
        <v>0</v>
      </c>
      <c r="G855" s="12">
        <v>0</v>
      </c>
      <c r="H855" s="12">
        <v>0</v>
      </c>
      <c r="I855" s="12" t="s">
        <v>1586</v>
      </c>
    </row>
    <row r="856" spans="1:9">
      <c r="A856" s="12" t="s">
        <v>1827</v>
      </c>
      <c r="B856" s="12" t="s">
        <v>1828</v>
      </c>
      <c r="C856" s="12" t="s">
        <v>1784</v>
      </c>
      <c r="D856" s="12" t="s">
        <v>1585</v>
      </c>
      <c r="E856" s="12">
        <v>0</v>
      </c>
      <c r="F856" s="12">
        <v>0</v>
      </c>
      <c r="G856" s="12">
        <v>0</v>
      </c>
      <c r="H856" s="12">
        <v>0</v>
      </c>
      <c r="I856" s="12" t="s">
        <v>1586</v>
      </c>
    </row>
    <row r="857" spans="1:9">
      <c r="A857" s="12" t="s">
        <v>1674</v>
      </c>
      <c r="B857" s="12" t="s">
        <v>1675</v>
      </c>
      <c r="C857" s="12" t="s">
        <v>140</v>
      </c>
      <c r="D857" s="12" t="s">
        <v>1585</v>
      </c>
      <c r="E857" s="12">
        <v>0</v>
      </c>
      <c r="F857" s="12">
        <v>0</v>
      </c>
      <c r="G857" s="12">
        <v>0</v>
      </c>
      <c r="H857" s="12">
        <v>0</v>
      </c>
      <c r="I857" s="12" t="s">
        <v>1586</v>
      </c>
    </row>
    <row r="858" spans="1:9">
      <c r="A858" s="12" t="s">
        <v>1672</v>
      </c>
      <c r="B858" s="12" t="s">
        <v>1673</v>
      </c>
      <c r="C858" s="12" t="s">
        <v>68</v>
      </c>
      <c r="D858" s="12" t="s">
        <v>1585</v>
      </c>
      <c r="E858" s="12">
        <v>0</v>
      </c>
      <c r="F858" s="12">
        <v>0</v>
      </c>
      <c r="G858" s="12">
        <v>0</v>
      </c>
      <c r="H858" s="12">
        <v>0</v>
      </c>
      <c r="I858" s="12" t="s">
        <v>1586</v>
      </c>
    </row>
    <row r="859" spans="1:9">
      <c r="A859" s="12" t="s">
        <v>1676</v>
      </c>
      <c r="B859" s="12" t="s">
        <v>1677</v>
      </c>
      <c r="C859" s="12" t="s">
        <v>640</v>
      </c>
      <c r="D859" s="12" t="s">
        <v>1585</v>
      </c>
      <c r="E859" s="12">
        <v>0</v>
      </c>
      <c r="F859" s="12">
        <v>0</v>
      </c>
      <c r="G859" s="12">
        <v>0</v>
      </c>
      <c r="H859" s="12">
        <v>0</v>
      </c>
      <c r="I859" s="12" t="s">
        <v>1586</v>
      </c>
    </row>
    <row r="860" spans="1:9">
      <c r="A860" s="12" t="s">
        <v>1829</v>
      </c>
      <c r="B860" s="12" t="s">
        <v>1830</v>
      </c>
      <c r="C860" s="12" t="s">
        <v>1784</v>
      </c>
      <c r="D860" s="12" t="s">
        <v>1585</v>
      </c>
      <c r="E860" s="12">
        <v>0</v>
      </c>
      <c r="F860" s="12">
        <v>0</v>
      </c>
      <c r="G860" s="12">
        <v>0</v>
      </c>
      <c r="H860" s="12">
        <v>0</v>
      </c>
      <c r="I860" s="12" t="s">
        <v>1592</v>
      </c>
    </row>
    <row r="861" spans="1:9">
      <c r="A861" s="12" t="s">
        <v>1650</v>
      </c>
      <c r="B861" s="12" t="s">
        <v>1651</v>
      </c>
      <c r="C861" s="12" t="s">
        <v>82</v>
      </c>
      <c r="D861" s="12" t="s">
        <v>1585</v>
      </c>
      <c r="E861" s="12">
        <v>0</v>
      </c>
      <c r="F861" s="12">
        <v>0</v>
      </c>
      <c r="G861" s="12">
        <v>0</v>
      </c>
      <c r="H861" s="12">
        <v>0</v>
      </c>
      <c r="I861" s="12" t="s">
        <v>1586</v>
      </c>
    </row>
    <row r="862" spans="1:9">
      <c r="A862" s="12" t="s">
        <v>1662</v>
      </c>
      <c r="B862" s="12" t="s">
        <v>1663</v>
      </c>
      <c r="C862" s="12" t="s">
        <v>1316</v>
      </c>
      <c r="D862" s="12" t="s">
        <v>1585</v>
      </c>
      <c r="E862" s="12">
        <v>0</v>
      </c>
      <c r="F862" s="12">
        <v>0</v>
      </c>
      <c r="G862" s="12">
        <v>0</v>
      </c>
      <c r="H862" s="12">
        <v>0</v>
      </c>
      <c r="I862" s="12" t="s">
        <v>1586</v>
      </c>
    </row>
    <row r="863" spans="1:9">
      <c r="A863" s="12" t="s">
        <v>708</v>
      </c>
      <c r="B863" s="12" t="s">
        <v>709</v>
      </c>
      <c r="C863" s="12" t="s">
        <v>75</v>
      </c>
      <c r="D863" s="12" t="s">
        <v>1585</v>
      </c>
      <c r="E863" s="12">
        <v>0</v>
      </c>
      <c r="F863" s="12">
        <v>0</v>
      </c>
      <c r="G863" s="12">
        <v>0</v>
      </c>
      <c r="H863" s="12">
        <v>20</v>
      </c>
      <c r="I863" s="12" t="s">
        <v>1586</v>
      </c>
    </row>
    <row r="864" spans="1:9">
      <c r="A864" s="12" t="s">
        <v>1831</v>
      </c>
      <c r="B864" s="12" t="s">
        <v>1832</v>
      </c>
      <c r="C864" s="12" t="s">
        <v>1784</v>
      </c>
      <c r="D864" s="12" t="s">
        <v>1585</v>
      </c>
      <c r="E864" s="12">
        <v>0</v>
      </c>
      <c r="F864" s="12">
        <v>0</v>
      </c>
      <c r="G864" s="12">
        <v>0</v>
      </c>
      <c r="H864" s="12">
        <v>0</v>
      </c>
      <c r="I864" s="12" t="s">
        <v>1603</v>
      </c>
    </row>
    <row r="865" spans="1:9">
      <c r="A865" s="12" t="s">
        <v>1317</v>
      </c>
      <c r="B865" s="12" t="s">
        <v>1318</v>
      </c>
      <c r="C865" s="12" t="s">
        <v>59</v>
      </c>
      <c r="D865" s="12" t="s">
        <v>1585</v>
      </c>
      <c r="E865" s="12">
        <v>0</v>
      </c>
      <c r="F865" s="12">
        <v>0</v>
      </c>
      <c r="G865" s="12">
        <v>0</v>
      </c>
      <c r="H865" s="12">
        <v>20</v>
      </c>
      <c r="I865" s="12" t="s">
        <v>1586</v>
      </c>
    </row>
    <row r="866" spans="1:9">
      <c r="A866" s="12" t="s">
        <v>1732</v>
      </c>
      <c r="B866" s="12" t="s">
        <v>1733</v>
      </c>
      <c r="C866" s="12" t="s">
        <v>863</v>
      </c>
      <c r="D866" s="12" t="s">
        <v>1585</v>
      </c>
      <c r="E866" s="12">
        <v>0</v>
      </c>
      <c r="F866" s="12">
        <v>0</v>
      </c>
      <c r="G866" s="12">
        <v>0</v>
      </c>
      <c r="H866" s="12">
        <v>0</v>
      </c>
      <c r="I866" s="12" t="s">
        <v>1586</v>
      </c>
    </row>
    <row r="867" spans="1:9">
      <c r="A867" s="12" t="s">
        <v>1833</v>
      </c>
      <c r="B867" s="12" t="s">
        <v>1834</v>
      </c>
      <c r="C867" s="12" t="s">
        <v>1784</v>
      </c>
      <c r="D867" s="12" t="s">
        <v>1585</v>
      </c>
      <c r="E867" s="12">
        <v>0</v>
      </c>
      <c r="F867" s="12">
        <v>0</v>
      </c>
      <c r="G867" s="12">
        <v>0</v>
      </c>
      <c r="H867" s="12">
        <v>0</v>
      </c>
      <c r="I867" s="12" t="s">
        <v>1592</v>
      </c>
    </row>
    <row r="868" spans="1:9">
      <c r="A868" s="12" t="s">
        <v>1835</v>
      </c>
      <c r="B868" s="12" t="s">
        <v>1836</v>
      </c>
      <c r="C868" s="12" t="s">
        <v>1784</v>
      </c>
      <c r="D868" s="12" t="s">
        <v>1585</v>
      </c>
      <c r="E868" s="12">
        <v>0</v>
      </c>
      <c r="F868" s="12">
        <v>0</v>
      </c>
      <c r="G868" s="12">
        <v>0</v>
      </c>
      <c r="H868" s="12">
        <v>0</v>
      </c>
      <c r="I868" s="12" t="s">
        <v>1586</v>
      </c>
    </row>
    <row r="869" spans="1:9">
      <c r="A869" s="12" t="s">
        <v>1837</v>
      </c>
      <c r="B869" s="12" t="s">
        <v>1838</v>
      </c>
      <c r="C869" s="12" t="s">
        <v>1784</v>
      </c>
      <c r="D869" s="12" t="s">
        <v>1585</v>
      </c>
      <c r="E869" s="12">
        <v>0</v>
      </c>
      <c r="F869" s="12">
        <v>0</v>
      </c>
      <c r="G869" s="12">
        <v>0</v>
      </c>
      <c r="H869" s="12">
        <v>0</v>
      </c>
      <c r="I869" s="12" t="s">
        <v>1592</v>
      </c>
    </row>
    <row r="870" spans="1:9">
      <c r="A870" s="12" t="s">
        <v>1839</v>
      </c>
      <c r="B870" s="12" t="s">
        <v>1840</v>
      </c>
      <c r="C870" s="12" t="s">
        <v>1784</v>
      </c>
      <c r="D870" s="12" t="s">
        <v>1585</v>
      </c>
      <c r="E870" s="12">
        <v>0</v>
      </c>
      <c r="F870" s="12">
        <v>0</v>
      </c>
      <c r="G870" s="12">
        <v>0</v>
      </c>
      <c r="H870" s="12">
        <v>0</v>
      </c>
      <c r="I870" s="12" t="s">
        <v>1589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1A146-897F-4685-B576-370E15F6E5CB}">
  <sheetPr>
    <tabColor theme="0" tint="-0.249977111117893"/>
  </sheetPr>
  <dimension ref="A1:D1937"/>
  <sheetViews>
    <sheetView workbookViewId="0">
      <selection activeCell="G9" sqref="G9"/>
    </sheetView>
  </sheetViews>
  <sheetFormatPr defaultColWidth="11.375" defaultRowHeight="14.45"/>
  <cols>
    <col min="1" max="1" width="17.625" customWidth="1"/>
    <col min="2" max="2" width="33.375" customWidth="1"/>
    <col min="3" max="3" width="18.375" customWidth="1"/>
    <col min="4" max="4" width="16.75" customWidth="1"/>
  </cols>
  <sheetData>
    <row r="1" spans="1:4">
      <c r="A1" s="9" t="s">
        <v>1841</v>
      </c>
      <c r="B1" s="9" t="s">
        <v>1577</v>
      </c>
      <c r="C1" s="9" t="s">
        <v>1842</v>
      </c>
      <c r="D1" s="9" t="s">
        <v>1573</v>
      </c>
    </row>
    <row r="2" spans="1:4">
      <c r="A2" s="10" t="s">
        <v>1601</v>
      </c>
      <c r="B2" s="12" t="s">
        <v>1602</v>
      </c>
      <c r="C2" s="12" t="s">
        <v>1843</v>
      </c>
      <c r="D2" s="7">
        <v>1</v>
      </c>
    </row>
    <row r="3" spans="1:4">
      <c r="A3" s="10" t="s">
        <v>1010</v>
      </c>
      <c r="B3" s="12" t="s">
        <v>1011</v>
      </c>
      <c r="C3" s="12" t="s">
        <v>1843</v>
      </c>
      <c r="D3" s="7">
        <v>20</v>
      </c>
    </row>
    <row r="4" spans="1:4" ht="29.1">
      <c r="A4" s="10" t="s">
        <v>1309</v>
      </c>
      <c r="B4" s="12" t="s">
        <v>58</v>
      </c>
      <c r="C4" s="12" t="s">
        <v>1844</v>
      </c>
      <c r="D4" s="7">
        <v>1</v>
      </c>
    </row>
    <row r="5" spans="1:4">
      <c r="A5" s="10" t="s">
        <v>1604</v>
      </c>
      <c r="B5" s="12" t="s">
        <v>1605</v>
      </c>
      <c r="C5" s="12" t="s">
        <v>1843</v>
      </c>
      <c r="D5" s="7">
        <v>1</v>
      </c>
    </row>
    <row r="6" spans="1:4">
      <c r="A6" s="10" t="s">
        <v>1634</v>
      </c>
      <c r="B6" s="12" t="s">
        <v>1635</v>
      </c>
      <c r="C6" s="12" t="s">
        <v>1843</v>
      </c>
      <c r="D6" s="7">
        <v>1</v>
      </c>
    </row>
    <row r="7" spans="1:4">
      <c r="A7" s="10" t="s">
        <v>1331</v>
      </c>
      <c r="B7" s="12" t="s">
        <v>1332</v>
      </c>
      <c r="C7" s="12" t="s">
        <v>1845</v>
      </c>
      <c r="D7" s="7">
        <v>5</v>
      </c>
    </row>
    <row r="8" spans="1:4">
      <c r="A8" s="10" t="s">
        <v>1638</v>
      </c>
      <c r="B8" s="12" t="s">
        <v>1639</v>
      </c>
      <c r="C8" s="12" t="s">
        <v>1843</v>
      </c>
      <c r="D8" s="7">
        <v>1</v>
      </c>
    </row>
    <row r="9" spans="1:4" ht="29.1">
      <c r="A9" s="10" t="s">
        <v>1020</v>
      </c>
      <c r="B9" s="12" t="s">
        <v>20</v>
      </c>
      <c r="C9" s="12" t="s">
        <v>1844</v>
      </c>
      <c r="D9" s="7">
        <v>20</v>
      </c>
    </row>
    <row r="10" spans="1:4" ht="29.1">
      <c r="A10" s="10" t="s">
        <v>255</v>
      </c>
      <c r="B10" s="12" t="s">
        <v>256</v>
      </c>
      <c r="C10" s="12" t="s">
        <v>1844</v>
      </c>
      <c r="D10" s="7">
        <v>20</v>
      </c>
    </row>
    <row r="11" spans="1:4" ht="29.1">
      <c r="A11" s="10" t="s">
        <v>1447</v>
      </c>
      <c r="B11" s="12" t="s">
        <v>65</v>
      </c>
      <c r="C11" s="12" t="s">
        <v>1844</v>
      </c>
      <c r="D11" s="7">
        <v>14</v>
      </c>
    </row>
    <row r="12" spans="1:4">
      <c r="A12" s="10" t="s">
        <v>774</v>
      </c>
      <c r="B12" s="12" t="s">
        <v>85</v>
      </c>
      <c r="C12" s="12" t="s">
        <v>1845</v>
      </c>
      <c r="D12" s="7">
        <v>6.5</v>
      </c>
    </row>
    <row r="13" spans="1:4">
      <c r="A13" s="10" t="s">
        <v>356</v>
      </c>
      <c r="B13" s="12" t="s">
        <v>357</v>
      </c>
      <c r="C13" s="12" t="s">
        <v>1845</v>
      </c>
      <c r="D13" s="7">
        <v>4</v>
      </c>
    </row>
    <row r="14" spans="1:4">
      <c r="A14" s="10" t="s">
        <v>376</v>
      </c>
      <c r="B14" s="12" t="s">
        <v>71</v>
      </c>
      <c r="C14" s="12" t="s">
        <v>1846</v>
      </c>
      <c r="D14" s="7">
        <v>6.5</v>
      </c>
    </row>
    <row r="15" spans="1:4">
      <c r="A15" s="10" t="s">
        <v>643</v>
      </c>
      <c r="B15" s="12" t="s">
        <v>19</v>
      </c>
      <c r="C15" s="12" t="s">
        <v>1845</v>
      </c>
      <c r="D15" s="7">
        <v>9</v>
      </c>
    </row>
    <row r="16" spans="1:4">
      <c r="A16" s="10" t="s">
        <v>705</v>
      </c>
      <c r="B16" s="12" t="s">
        <v>706</v>
      </c>
      <c r="C16" s="12" t="s">
        <v>1845</v>
      </c>
      <c r="D16" s="7">
        <v>9</v>
      </c>
    </row>
    <row r="17" spans="1:4">
      <c r="A17" s="10" t="s">
        <v>267</v>
      </c>
      <c r="B17" s="12" t="s">
        <v>268</v>
      </c>
      <c r="C17" s="12" t="s">
        <v>1845</v>
      </c>
      <c r="D17" s="7">
        <v>1</v>
      </c>
    </row>
    <row r="18" spans="1:4">
      <c r="A18" s="10" t="s">
        <v>1199</v>
      </c>
      <c r="B18" s="12" t="s">
        <v>36</v>
      </c>
      <c r="C18" s="12" t="s">
        <v>1845</v>
      </c>
      <c r="D18" s="7">
        <v>1</v>
      </c>
    </row>
    <row r="19" spans="1:4">
      <c r="A19" s="10" t="s">
        <v>1236</v>
      </c>
      <c r="B19" s="12" t="s">
        <v>1237</v>
      </c>
      <c r="C19" s="12" t="s">
        <v>1843</v>
      </c>
      <c r="D19" s="7">
        <v>19</v>
      </c>
    </row>
    <row r="20" spans="1:4">
      <c r="A20" s="10" t="s">
        <v>209</v>
      </c>
      <c r="B20" s="12" t="s">
        <v>210</v>
      </c>
      <c r="C20" s="12" t="s">
        <v>1845</v>
      </c>
      <c r="D20" s="7">
        <v>5</v>
      </c>
    </row>
    <row r="21" spans="1:4">
      <c r="A21" s="10" t="s">
        <v>476</v>
      </c>
      <c r="B21" s="12" t="s">
        <v>477</v>
      </c>
      <c r="C21" s="12" t="s">
        <v>1845</v>
      </c>
      <c r="D21" s="7">
        <v>9</v>
      </c>
    </row>
    <row r="22" spans="1:4">
      <c r="A22" s="10" t="s">
        <v>538</v>
      </c>
      <c r="B22" s="12" t="s">
        <v>539</v>
      </c>
      <c r="C22" s="12" t="s">
        <v>1845</v>
      </c>
      <c r="D22" s="7">
        <v>9</v>
      </c>
    </row>
    <row r="23" spans="1:4">
      <c r="A23" s="10" t="s">
        <v>1251</v>
      </c>
      <c r="B23" s="12" t="s">
        <v>1252</v>
      </c>
      <c r="C23" s="12" t="s">
        <v>1845</v>
      </c>
      <c r="D23" s="7">
        <v>2</v>
      </c>
    </row>
    <row r="24" spans="1:4">
      <c r="A24" s="10" t="s">
        <v>1251</v>
      </c>
      <c r="B24" s="12" t="s">
        <v>1252</v>
      </c>
      <c r="C24" s="12" t="s">
        <v>1845</v>
      </c>
      <c r="D24" s="7">
        <v>3.5</v>
      </c>
    </row>
    <row r="25" spans="1:4">
      <c r="A25" s="10" t="s">
        <v>471</v>
      </c>
      <c r="B25" s="12" t="s">
        <v>472</v>
      </c>
      <c r="C25" s="12" t="s">
        <v>1843</v>
      </c>
      <c r="D25" s="7">
        <v>1</v>
      </c>
    </row>
    <row r="26" spans="1:4">
      <c r="A26" s="10" t="s">
        <v>916</v>
      </c>
      <c r="B26" s="12" t="s">
        <v>917</v>
      </c>
      <c r="C26" s="12" t="s">
        <v>1843</v>
      </c>
      <c r="D26" s="7">
        <v>20</v>
      </c>
    </row>
    <row r="27" spans="1:4">
      <c r="A27" s="10" t="s">
        <v>287</v>
      </c>
      <c r="B27" s="12" t="s">
        <v>288</v>
      </c>
      <c r="C27" s="12" t="s">
        <v>1845</v>
      </c>
      <c r="D27" s="7">
        <v>1</v>
      </c>
    </row>
    <row r="28" spans="1:4">
      <c r="A28" s="10" t="s">
        <v>287</v>
      </c>
      <c r="B28" s="12" t="s">
        <v>288</v>
      </c>
      <c r="C28" s="12" t="s">
        <v>1845</v>
      </c>
      <c r="D28" s="7">
        <v>10</v>
      </c>
    </row>
    <row r="29" spans="1:4">
      <c r="A29" s="10" t="s">
        <v>1457</v>
      </c>
      <c r="B29" s="12" t="s">
        <v>1458</v>
      </c>
      <c r="C29" s="12" t="s">
        <v>1845</v>
      </c>
      <c r="D29" s="7">
        <v>19</v>
      </c>
    </row>
    <row r="30" spans="1:4">
      <c r="A30" s="10" t="s">
        <v>308</v>
      </c>
      <c r="B30" s="12" t="s">
        <v>309</v>
      </c>
      <c r="C30" s="12" t="s">
        <v>1845</v>
      </c>
      <c r="D30" s="7">
        <v>1</v>
      </c>
    </row>
    <row r="31" spans="1:4">
      <c r="A31" s="10" t="s">
        <v>1200</v>
      </c>
      <c r="B31" s="12" t="s">
        <v>66</v>
      </c>
      <c r="C31" s="12" t="s">
        <v>1845</v>
      </c>
      <c r="D31" s="7">
        <v>6</v>
      </c>
    </row>
    <row r="32" spans="1:4">
      <c r="A32" s="10" t="s">
        <v>1111</v>
      </c>
      <c r="B32" s="12" t="s">
        <v>1112</v>
      </c>
      <c r="C32" s="12" t="s">
        <v>1845</v>
      </c>
      <c r="D32" s="7">
        <v>1</v>
      </c>
    </row>
    <row r="33" spans="1:4">
      <c r="A33" s="10" t="s">
        <v>1204</v>
      </c>
      <c r="B33" s="12" t="s">
        <v>1205</v>
      </c>
      <c r="C33" s="12" t="s">
        <v>1845</v>
      </c>
      <c r="D33" s="7">
        <v>1.5</v>
      </c>
    </row>
    <row r="34" spans="1:4">
      <c r="A34" s="10" t="s">
        <v>1204</v>
      </c>
      <c r="B34" s="12" t="s">
        <v>1205</v>
      </c>
      <c r="C34" s="12" t="s">
        <v>1845</v>
      </c>
      <c r="D34" s="7">
        <v>1.5</v>
      </c>
    </row>
    <row r="35" spans="1:4">
      <c r="A35" s="10" t="s">
        <v>1173</v>
      </c>
      <c r="B35" s="12" t="s">
        <v>1174</v>
      </c>
      <c r="C35" s="12" t="s">
        <v>1845</v>
      </c>
      <c r="D35" s="7">
        <v>9</v>
      </c>
    </row>
    <row r="36" spans="1:4">
      <c r="A36" s="10" t="s">
        <v>1593</v>
      </c>
      <c r="B36" s="12" t="s">
        <v>1594</v>
      </c>
      <c r="C36" s="12" t="s">
        <v>1845</v>
      </c>
      <c r="D36" s="7">
        <v>5</v>
      </c>
    </row>
    <row r="37" spans="1:4">
      <c r="A37" s="10" t="s">
        <v>759</v>
      </c>
      <c r="B37" s="12" t="s">
        <v>760</v>
      </c>
      <c r="C37" s="12" t="s">
        <v>1845</v>
      </c>
      <c r="D37" s="7">
        <v>6</v>
      </c>
    </row>
    <row r="38" spans="1:4">
      <c r="A38" s="10" t="s">
        <v>845</v>
      </c>
      <c r="B38" s="12" t="s">
        <v>846</v>
      </c>
      <c r="C38" s="12" t="s">
        <v>1845</v>
      </c>
      <c r="D38" s="7">
        <v>0.5</v>
      </c>
    </row>
    <row r="39" spans="1:4">
      <c r="A39" s="10" t="s">
        <v>1299</v>
      </c>
      <c r="B39" s="12" t="s">
        <v>1300</v>
      </c>
      <c r="C39" s="12" t="s">
        <v>1845</v>
      </c>
      <c r="D39" s="7">
        <v>2</v>
      </c>
    </row>
    <row r="40" spans="1:4">
      <c r="A40" s="10" t="s">
        <v>1421</v>
      </c>
      <c r="B40" s="12" t="s">
        <v>1422</v>
      </c>
      <c r="C40" s="12" t="s">
        <v>1845</v>
      </c>
      <c r="D40" s="7">
        <v>7</v>
      </c>
    </row>
    <row r="41" spans="1:4">
      <c r="A41" s="10" t="s">
        <v>1450</v>
      </c>
      <c r="B41" s="12" t="s">
        <v>1451</v>
      </c>
      <c r="C41" s="12" t="s">
        <v>1845</v>
      </c>
      <c r="D41" s="7">
        <v>7</v>
      </c>
    </row>
    <row r="42" spans="1:4">
      <c r="A42" s="10" t="s">
        <v>1748</v>
      </c>
      <c r="B42" s="12" t="s">
        <v>1749</v>
      </c>
      <c r="C42" s="12" t="s">
        <v>1843</v>
      </c>
      <c r="D42" s="7">
        <v>5</v>
      </c>
    </row>
    <row r="43" spans="1:4">
      <c r="A43" s="10" t="s">
        <v>141</v>
      </c>
      <c r="B43" s="12" t="s">
        <v>33</v>
      </c>
      <c r="C43" s="12" t="s">
        <v>1845</v>
      </c>
      <c r="D43" s="7">
        <v>1</v>
      </c>
    </row>
    <row r="44" spans="1:4">
      <c r="A44" s="10" t="s">
        <v>141</v>
      </c>
      <c r="B44" s="12" t="s">
        <v>33</v>
      </c>
      <c r="C44" s="12" t="s">
        <v>1845</v>
      </c>
      <c r="D44" s="7">
        <v>4</v>
      </c>
    </row>
    <row r="45" spans="1:4" ht="29.1">
      <c r="A45" s="10" t="s">
        <v>1137</v>
      </c>
      <c r="B45" s="12" t="s">
        <v>79</v>
      </c>
      <c r="C45" s="12" t="s">
        <v>1844</v>
      </c>
      <c r="D45" s="7">
        <v>20</v>
      </c>
    </row>
    <row r="46" spans="1:4">
      <c r="A46" s="10" t="s">
        <v>600</v>
      </c>
      <c r="B46" s="12" t="s">
        <v>601</v>
      </c>
      <c r="C46" s="12" t="s">
        <v>1845</v>
      </c>
      <c r="D46" s="7">
        <v>4</v>
      </c>
    </row>
    <row r="47" spans="1:4">
      <c r="A47" s="10" t="s">
        <v>271</v>
      </c>
      <c r="B47" s="12" t="s">
        <v>272</v>
      </c>
      <c r="C47" s="12" t="s">
        <v>1845</v>
      </c>
      <c r="D47" s="7">
        <v>1</v>
      </c>
    </row>
    <row r="48" spans="1:4">
      <c r="A48" s="10" t="s">
        <v>586</v>
      </c>
      <c r="B48" s="12" t="s">
        <v>587</v>
      </c>
      <c r="C48" s="12" t="s">
        <v>1843</v>
      </c>
      <c r="D48" s="7">
        <v>8</v>
      </c>
    </row>
    <row r="49" spans="1:4">
      <c r="A49" s="10" t="s">
        <v>718</v>
      </c>
      <c r="B49" s="12" t="s">
        <v>719</v>
      </c>
      <c r="C49" s="12" t="s">
        <v>1845</v>
      </c>
      <c r="D49" s="7">
        <v>6</v>
      </c>
    </row>
    <row r="50" spans="1:4">
      <c r="A50" s="10" t="s">
        <v>752</v>
      </c>
      <c r="B50" s="12" t="s">
        <v>753</v>
      </c>
      <c r="C50" s="12" t="s">
        <v>1845</v>
      </c>
      <c r="D50" s="7">
        <v>1</v>
      </c>
    </row>
    <row r="51" spans="1:4">
      <c r="A51" s="10" t="s">
        <v>469</v>
      </c>
      <c r="B51" s="12" t="s">
        <v>470</v>
      </c>
      <c r="C51" s="12" t="s">
        <v>1845</v>
      </c>
      <c r="D51" s="7">
        <v>3</v>
      </c>
    </row>
    <row r="52" spans="1:4">
      <c r="A52" s="10" t="s">
        <v>332</v>
      </c>
      <c r="B52" s="12" t="s">
        <v>333</v>
      </c>
      <c r="C52" s="12" t="s">
        <v>1845</v>
      </c>
      <c r="D52" s="7">
        <v>2</v>
      </c>
    </row>
    <row r="53" spans="1:4">
      <c r="A53" s="10" t="s">
        <v>332</v>
      </c>
      <c r="B53" s="12" t="s">
        <v>333</v>
      </c>
      <c r="C53" s="12" t="s">
        <v>1845</v>
      </c>
      <c r="D53" s="7">
        <v>3</v>
      </c>
    </row>
    <row r="54" spans="1:4">
      <c r="A54" s="10" t="s">
        <v>827</v>
      </c>
      <c r="B54" s="12" t="s">
        <v>828</v>
      </c>
      <c r="C54" s="12" t="s">
        <v>1845</v>
      </c>
      <c r="D54" s="7">
        <v>1</v>
      </c>
    </row>
    <row r="55" spans="1:4">
      <c r="A55" s="10" t="s">
        <v>594</v>
      </c>
      <c r="B55" s="12" t="s">
        <v>595</v>
      </c>
      <c r="C55" s="12" t="s">
        <v>1845</v>
      </c>
      <c r="D55" s="7">
        <v>5</v>
      </c>
    </row>
    <row r="56" spans="1:4">
      <c r="A56" s="10" t="s">
        <v>384</v>
      </c>
      <c r="B56" s="12" t="s">
        <v>385</v>
      </c>
      <c r="C56" s="12" t="s">
        <v>1845</v>
      </c>
      <c r="D56" s="7">
        <v>2</v>
      </c>
    </row>
    <row r="57" spans="1:4">
      <c r="A57" s="10" t="s">
        <v>384</v>
      </c>
      <c r="B57" s="12" t="s">
        <v>385</v>
      </c>
      <c r="C57" s="12" t="s">
        <v>1845</v>
      </c>
      <c r="D57" s="7">
        <v>2</v>
      </c>
    </row>
    <row r="58" spans="1:4">
      <c r="A58" s="10" t="s">
        <v>964</v>
      </c>
      <c r="B58" s="12" t="s">
        <v>965</v>
      </c>
      <c r="C58" s="12" t="s">
        <v>1845</v>
      </c>
      <c r="D58" s="7">
        <v>2.5</v>
      </c>
    </row>
    <row r="59" spans="1:4">
      <c r="A59" s="10" t="s">
        <v>964</v>
      </c>
      <c r="B59" s="12" t="s">
        <v>965</v>
      </c>
      <c r="C59" s="12" t="s">
        <v>1845</v>
      </c>
      <c r="D59" s="7">
        <v>1.5</v>
      </c>
    </row>
    <row r="60" spans="1:4">
      <c r="A60" s="10" t="s">
        <v>1642</v>
      </c>
      <c r="B60" s="12" t="s">
        <v>1643</v>
      </c>
      <c r="C60" s="12" t="s">
        <v>1845</v>
      </c>
      <c r="D60" s="7">
        <v>1</v>
      </c>
    </row>
    <row r="61" spans="1:4">
      <c r="A61" s="10" t="s">
        <v>1768</v>
      </c>
      <c r="B61" s="12" t="s">
        <v>1769</v>
      </c>
      <c r="C61" s="12" t="s">
        <v>1843</v>
      </c>
      <c r="D61" s="7">
        <v>1</v>
      </c>
    </row>
    <row r="62" spans="1:4">
      <c r="A62" s="10" t="s">
        <v>1113</v>
      </c>
      <c r="B62" s="12" t="s">
        <v>1114</v>
      </c>
      <c r="C62" s="12" t="s">
        <v>1845</v>
      </c>
      <c r="D62" s="7">
        <v>2</v>
      </c>
    </row>
    <row r="63" spans="1:4">
      <c r="A63" s="10" t="s">
        <v>1482</v>
      </c>
      <c r="B63" s="12" t="s">
        <v>1483</v>
      </c>
      <c r="C63" s="12" t="s">
        <v>1845</v>
      </c>
      <c r="D63" s="7">
        <v>6</v>
      </c>
    </row>
    <row r="64" spans="1:4">
      <c r="A64" s="10" t="s">
        <v>1412</v>
      </c>
      <c r="B64" s="12" t="s">
        <v>1413</v>
      </c>
      <c r="C64" s="12" t="s">
        <v>1845</v>
      </c>
      <c r="D64" s="7">
        <v>0.5</v>
      </c>
    </row>
    <row r="65" spans="1:4">
      <c r="A65" s="10" t="s">
        <v>1177</v>
      </c>
      <c r="B65" s="12" t="s">
        <v>1178</v>
      </c>
      <c r="C65" s="12" t="s">
        <v>1845</v>
      </c>
      <c r="D65" s="7">
        <v>1</v>
      </c>
    </row>
    <row r="66" spans="1:4">
      <c r="A66" s="10" t="s">
        <v>415</v>
      </c>
      <c r="B66" s="12" t="s">
        <v>416</v>
      </c>
      <c r="C66" s="12" t="s">
        <v>1845</v>
      </c>
      <c r="D66" s="7">
        <v>2</v>
      </c>
    </row>
    <row r="67" spans="1:4">
      <c r="A67" s="10" t="s">
        <v>510</v>
      </c>
      <c r="B67" s="12" t="s">
        <v>511</v>
      </c>
      <c r="C67" s="12" t="s">
        <v>1843</v>
      </c>
      <c r="D67" s="7">
        <v>13</v>
      </c>
    </row>
    <row r="68" spans="1:4">
      <c r="A68" s="10" t="s">
        <v>1229</v>
      </c>
      <c r="B68" s="12" t="s">
        <v>1230</v>
      </c>
      <c r="C68" s="12" t="s">
        <v>1843</v>
      </c>
      <c r="D68" s="7">
        <v>5</v>
      </c>
    </row>
    <row r="69" spans="1:4">
      <c r="A69" s="10" t="s">
        <v>1095</v>
      </c>
      <c r="B69" s="12" t="s">
        <v>1096</v>
      </c>
      <c r="C69" s="12" t="s">
        <v>1845</v>
      </c>
      <c r="D69" s="7">
        <v>5</v>
      </c>
    </row>
    <row r="70" spans="1:4">
      <c r="A70" s="10" t="s">
        <v>1088</v>
      </c>
      <c r="B70" s="12" t="s">
        <v>82</v>
      </c>
      <c r="C70" s="12" t="s">
        <v>1846</v>
      </c>
      <c r="D70" s="7">
        <v>0.5</v>
      </c>
    </row>
    <row r="71" spans="1:4">
      <c r="A71" s="10" t="s">
        <v>1054</v>
      </c>
      <c r="B71" s="12" t="s">
        <v>1055</v>
      </c>
      <c r="C71" s="12" t="s">
        <v>1846</v>
      </c>
      <c r="D71" s="7">
        <v>10</v>
      </c>
    </row>
    <row r="72" spans="1:4">
      <c r="A72" s="10" t="s">
        <v>521</v>
      </c>
      <c r="B72" s="12" t="s">
        <v>522</v>
      </c>
      <c r="C72" s="12" t="s">
        <v>1845</v>
      </c>
      <c r="D72" s="7">
        <v>1</v>
      </c>
    </row>
    <row r="73" spans="1:4">
      <c r="A73" s="10" t="s">
        <v>821</v>
      </c>
      <c r="B73" s="12" t="s">
        <v>822</v>
      </c>
      <c r="C73" s="12" t="s">
        <v>1845</v>
      </c>
      <c r="D73" s="7">
        <v>1</v>
      </c>
    </row>
    <row r="74" spans="1:4">
      <c r="A74" s="10" t="s">
        <v>1023</v>
      </c>
      <c r="B74" s="12" t="s">
        <v>1024</v>
      </c>
      <c r="C74" s="12" t="s">
        <v>1845</v>
      </c>
      <c r="D74" s="7">
        <v>9</v>
      </c>
    </row>
    <row r="75" spans="1:4">
      <c r="A75" s="10" t="s">
        <v>1387</v>
      </c>
      <c r="B75" s="12" t="s">
        <v>1388</v>
      </c>
      <c r="C75" s="12" t="s">
        <v>1845</v>
      </c>
      <c r="D75" s="7">
        <v>6</v>
      </c>
    </row>
    <row r="76" spans="1:4">
      <c r="A76" s="10" t="s">
        <v>269</v>
      </c>
      <c r="B76" s="12" t="s">
        <v>270</v>
      </c>
      <c r="C76" s="12" t="s">
        <v>1845</v>
      </c>
      <c r="D76" s="7">
        <v>6</v>
      </c>
    </row>
    <row r="77" spans="1:4">
      <c r="A77" s="10" t="s">
        <v>746</v>
      </c>
      <c r="B77" s="12" t="s">
        <v>747</v>
      </c>
      <c r="C77" s="12" t="s">
        <v>1845</v>
      </c>
      <c r="D77" s="7">
        <v>1</v>
      </c>
    </row>
    <row r="78" spans="1:4">
      <c r="A78" s="10" t="s">
        <v>618</v>
      </c>
      <c r="B78" s="12" t="s">
        <v>619</v>
      </c>
      <c r="C78" s="12" t="s">
        <v>1846</v>
      </c>
      <c r="D78" s="7">
        <v>11</v>
      </c>
    </row>
    <row r="79" spans="1:4">
      <c r="A79" s="10" t="s">
        <v>1429</v>
      </c>
      <c r="B79" s="12" t="s">
        <v>1430</v>
      </c>
      <c r="C79" s="12" t="s">
        <v>1845</v>
      </c>
      <c r="D79" s="7">
        <v>2</v>
      </c>
    </row>
    <row r="80" spans="1:4">
      <c r="A80" s="10" t="s">
        <v>1351</v>
      </c>
      <c r="B80" s="12" t="s">
        <v>1352</v>
      </c>
      <c r="C80" s="12" t="s">
        <v>1845</v>
      </c>
      <c r="D80" s="7">
        <v>6</v>
      </c>
    </row>
    <row r="81" spans="1:4">
      <c r="A81" s="10" t="s">
        <v>973</v>
      </c>
      <c r="B81" s="12" t="s">
        <v>974</v>
      </c>
      <c r="C81" s="12" t="s">
        <v>1845</v>
      </c>
      <c r="D81" s="7">
        <v>4</v>
      </c>
    </row>
    <row r="82" spans="1:4">
      <c r="A82" s="10" t="s">
        <v>1349</v>
      </c>
      <c r="B82" s="12" t="s">
        <v>1350</v>
      </c>
      <c r="C82" s="12" t="s">
        <v>1845</v>
      </c>
      <c r="D82" s="7">
        <v>4</v>
      </c>
    </row>
    <row r="83" spans="1:4">
      <c r="A83" s="10" t="s">
        <v>250</v>
      </c>
      <c r="B83" s="12" t="s">
        <v>251</v>
      </c>
      <c r="C83" s="12" t="s">
        <v>1845</v>
      </c>
      <c r="D83" s="7">
        <v>5</v>
      </c>
    </row>
    <row r="84" spans="1:4">
      <c r="A84" s="10" t="s">
        <v>1385</v>
      </c>
      <c r="B84" s="12" t="s">
        <v>1386</v>
      </c>
      <c r="C84" s="12" t="s">
        <v>1845</v>
      </c>
      <c r="D84" s="7">
        <v>5</v>
      </c>
    </row>
    <row r="85" spans="1:4">
      <c r="A85" s="10" t="s">
        <v>736</v>
      </c>
      <c r="B85" s="12" t="s">
        <v>737</v>
      </c>
      <c r="C85" s="12" t="s">
        <v>1845</v>
      </c>
      <c r="D85" s="7">
        <v>2</v>
      </c>
    </row>
    <row r="86" spans="1:4">
      <c r="A86" s="10" t="s">
        <v>780</v>
      </c>
      <c r="B86" s="12" t="s">
        <v>781</v>
      </c>
      <c r="C86" s="12" t="s">
        <v>1845</v>
      </c>
      <c r="D86" s="7">
        <v>11</v>
      </c>
    </row>
    <row r="87" spans="1:4">
      <c r="A87" s="10" t="s">
        <v>486</v>
      </c>
      <c r="B87" s="12" t="s">
        <v>487</v>
      </c>
      <c r="C87" s="12" t="s">
        <v>1845</v>
      </c>
      <c r="D87" s="7">
        <v>1</v>
      </c>
    </row>
    <row r="88" spans="1:4">
      <c r="A88" s="10" t="s">
        <v>376</v>
      </c>
      <c r="B88" s="12" t="s">
        <v>71</v>
      </c>
      <c r="C88" s="12" t="s">
        <v>1843</v>
      </c>
      <c r="D88" s="7">
        <v>4</v>
      </c>
    </row>
    <row r="89" spans="1:4">
      <c r="A89" s="10" t="s">
        <v>482</v>
      </c>
      <c r="B89" s="12" t="s">
        <v>483</v>
      </c>
      <c r="C89" s="12" t="s">
        <v>1846</v>
      </c>
      <c r="D89" s="7">
        <v>11</v>
      </c>
    </row>
    <row r="90" spans="1:4">
      <c r="A90" s="10" t="s">
        <v>306</v>
      </c>
      <c r="B90" s="12" t="s">
        <v>307</v>
      </c>
      <c r="C90" s="12" t="s">
        <v>1846</v>
      </c>
      <c r="D90" s="7">
        <v>19</v>
      </c>
    </row>
    <row r="91" spans="1:4">
      <c r="A91" s="10" t="s">
        <v>503</v>
      </c>
      <c r="B91" s="12" t="s">
        <v>504</v>
      </c>
      <c r="C91" s="12" t="s">
        <v>1845</v>
      </c>
      <c r="D91" s="7">
        <v>3.5</v>
      </c>
    </row>
    <row r="92" spans="1:4">
      <c r="A92" s="10" t="s">
        <v>199</v>
      </c>
      <c r="B92" s="12" t="s">
        <v>200</v>
      </c>
      <c r="C92" s="12" t="s">
        <v>1845</v>
      </c>
      <c r="D92" s="7">
        <v>1</v>
      </c>
    </row>
    <row r="93" spans="1:4">
      <c r="A93" s="10" t="s">
        <v>944</v>
      </c>
      <c r="B93" s="12" t="s">
        <v>945</v>
      </c>
      <c r="C93" s="12" t="s">
        <v>1845</v>
      </c>
      <c r="D93" s="7">
        <v>5</v>
      </c>
    </row>
    <row r="94" spans="1:4">
      <c r="A94" s="10" t="s">
        <v>135</v>
      </c>
      <c r="B94" s="12" t="s">
        <v>136</v>
      </c>
      <c r="C94" s="12" t="s">
        <v>1845</v>
      </c>
      <c r="D94" s="7">
        <v>1</v>
      </c>
    </row>
    <row r="95" spans="1:4">
      <c r="A95" s="10" t="s">
        <v>1165</v>
      </c>
      <c r="B95" s="12" t="s">
        <v>1166</v>
      </c>
      <c r="C95" s="12" t="s">
        <v>1845</v>
      </c>
      <c r="D95" s="7">
        <v>5</v>
      </c>
    </row>
    <row r="96" spans="1:4">
      <c r="A96" s="10" t="s">
        <v>582</v>
      </c>
      <c r="B96" s="12" t="s">
        <v>59</v>
      </c>
      <c r="C96" s="12" t="s">
        <v>1846</v>
      </c>
      <c r="D96" s="7">
        <v>19.5</v>
      </c>
    </row>
    <row r="97" spans="1:4">
      <c r="A97" s="10" t="s">
        <v>746</v>
      </c>
      <c r="B97" s="12" t="s">
        <v>747</v>
      </c>
      <c r="C97" s="12" t="s">
        <v>1843</v>
      </c>
      <c r="D97" s="7">
        <v>1</v>
      </c>
    </row>
    <row r="98" spans="1:4">
      <c r="A98" s="10" t="s">
        <v>1490</v>
      </c>
      <c r="B98" s="12" t="s">
        <v>1491</v>
      </c>
      <c r="C98" s="12" t="s">
        <v>1845</v>
      </c>
      <c r="D98" s="7">
        <v>7</v>
      </c>
    </row>
    <row r="99" spans="1:4">
      <c r="A99" s="10" t="s">
        <v>1505</v>
      </c>
      <c r="B99" s="12" t="s">
        <v>49</v>
      </c>
      <c r="C99" s="12" t="s">
        <v>1845</v>
      </c>
      <c r="D99" s="7">
        <v>4</v>
      </c>
    </row>
    <row r="100" spans="1:4">
      <c r="A100" s="10" t="s">
        <v>507</v>
      </c>
      <c r="B100" s="12" t="s">
        <v>508</v>
      </c>
      <c r="C100" s="12" t="s">
        <v>1845</v>
      </c>
      <c r="D100" s="7">
        <v>1</v>
      </c>
    </row>
    <row r="101" spans="1:4">
      <c r="A101" s="10" t="s">
        <v>1181</v>
      </c>
      <c r="B101" s="12" t="s">
        <v>1182</v>
      </c>
      <c r="C101" s="12" t="s">
        <v>1845</v>
      </c>
      <c r="D101" s="7">
        <v>2</v>
      </c>
    </row>
    <row r="102" spans="1:4">
      <c r="A102" s="10" t="s">
        <v>1207</v>
      </c>
      <c r="B102" s="12" t="s">
        <v>37</v>
      </c>
      <c r="C102" s="12" t="s">
        <v>1845</v>
      </c>
      <c r="D102" s="7">
        <v>3</v>
      </c>
    </row>
    <row r="103" spans="1:4">
      <c r="A103" s="10" t="s">
        <v>1305</v>
      </c>
      <c r="B103" s="12" t="s">
        <v>1306</v>
      </c>
      <c r="C103" s="12" t="s">
        <v>1845</v>
      </c>
      <c r="D103" s="7">
        <v>1.5</v>
      </c>
    </row>
    <row r="104" spans="1:4">
      <c r="A104" s="10" t="s">
        <v>238</v>
      </c>
      <c r="B104" s="12" t="s">
        <v>239</v>
      </c>
      <c r="C104" s="12" t="s">
        <v>1845</v>
      </c>
      <c r="D104" s="7">
        <v>11</v>
      </c>
    </row>
    <row r="105" spans="1:4">
      <c r="A105" s="10" t="s">
        <v>1171</v>
      </c>
      <c r="B105" s="12" t="s">
        <v>1172</v>
      </c>
      <c r="C105" s="12" t="s">
        <v>1845</v>
      </c>
      <c r="D105" s="7">
        <v>6</v>
      </c>
    </row>
    <row r="106" spans="1:4">
      <c r="A106" s="10" t="s">
        <v>1301</v>
      </c>
      <c r="B106" s="12" t="s">
        <v>1302</v>
      </c>
      <c r="C106" s="12" t="s">
        <v>1843</v>
      </c>
      <c r="D106" s="7">
        <v>11</v>
      </c>
    </row>
    <row r="107" spans="1:4">
      <c r="A107" s="10" t="s">
        <v>1787</v>
      </c>
      <c r="B107" s="12" t="s">
        <v>1788</v>
      </c>
      <c r="C107" s="12" t="s">
        <v>1843</v>
      </c>
      <c r="D107" s="7">
        <v>5</v>
      </c>
    </row>
    <row r="108" spans="1:4">
      <c r="A108" s="10" t="s">
        <v>441</v>
      </c>
      <c r="B108" s="12" t="s">
        <v>442</v>
      </c>
      <c r="C108" s="12" t="s">
        <v>1845</v>
      </c>
      <c r="D108" s="7">
        <v>2</v>
      </c>
    </row>
    <row r="109" spans="1:4">
      <c r="A109" s="10" t="s">
        <v>670</v>
      </c>
      <c r="B109" s="12" t="s">
        <v>671</v>
      </c>
      <c r="C109" s="12" t="s">
        <v>1845</v>
      </c>
      <c r="D109" s="7">
        <v>2</v>
      </c>
    </row>
    <row r="110" spans="1:4">
      <c r="A110" s="10" t="s">
        <v>829</v>
      </c>
      <c r="B110" s="12" t="s">
        <v>830</v>
      </c>
      <c r="C110" s="12" t="s">
        <v>1845</v>
      </c>
      <c r="D110" s="7">
        <v>4</v>
      </c>
    </row>
    <row r="111" spans="1:4">
      <c r="A111" s="10" t="s">
        <v>1351</v>
      </c>
      <c r="B111" s="12" t="s">
        <v>1352</v>
      </c>
      <c r="C111" s="12" t="s">
        <v>1845</v>
      </c>
      <c r="D111" s="7">
        <v>2</v>
      </c>
    </row>
    <row r="112" spans="1:4">
      <c r="A112" s="10" t="s">
        <v>1305</v>
      </c>
      <c r="B112" s="12" t="s">
        <v>1306</v>
      </c>
      <c r="C112" s="12" t="s">
        <v>1845</v>
      </c>
      <c r="D112" s="7">
        <v>2</v>
      </c>
    </row>
    <row r="113" spans="1:4">
      <c r="A113" s="10" t="s">
        <v>376</v>
      </c>
      <c r="B113" s="12" t="s">
        <v>71</v>
      </c>
      <c r="C113" s="12" t="s">
        <v>1847</v>
      </c>
      <c r="D113" s="7">
        <v>3</v>
      </c>
    </row>
    <row r="114" spans="1:4">
      <c r="A114" s="10" t="s">
        <v>1698</v>
      </c>
      <c r="B114" s="12" t="s">
        <v>1699</v>
      </c>
      <c r="C114" s="12" t="s">
        <v>1845</v>
      </c>
      <c r="D114" s="7">
        <v>5</v>
      </c>
    </row>
    <row r="115" spans="1:4">
      <c r="A115" s="10" t="s">
        <v>1624</v>
      </c>
      <c r="B115" s="12" t="s">
        <v>1625</v>
      </c>
      <c r="C115" s="12" t="s">
        <v>1845</v>
      </c>
      <c r="D115" s="7">
        <v>1</v>
      </c>
    </row>
    <row r="116" spans="1:4">
      <c r="A116" s="10" t="s">
        <v>1793</v>
      </c>
      <c r="B116" s="12" t="s">
        <v>1794</v>
      </c>
      <c r="C116" s="12" t="s">
        <v>1843</v>
      </c>
      <c r="D116" s="7">
        <v>9</v>
      </c>
    </row>
    <row r="117" spans="1:4">
      <c r="A117" s="10" t="s">
        <v>904</v>
      </c>
      <c r="B117" s="12" t="s">
        <v>905</v>
      </c>
      <c r="C117" s="12" t="s">
        <v>1846</v>
      </c>
      <c r="D117" s="7">
        <v>20</v>
      </c>
    </row>
    <row r="118" spans="1:4">
      <c r="A118" s="10" t="s">
        <v>1076</v>
      </c>
      <c r="B118" s="12" t="s">
        <v>1077</v>
      </c>
      <c r="C118" s="12" t="s">
        <v>1846</v>
      </c>
      <c r="D118" s="7">
        <v>9</v>
      </c>
    </row>
    <row r="119" spans="1:4">
      <c r="A119" s="10" t="s">
        <v>1243</v>
      </c>
      <c r="B119" s="12" t="s">
        <v>1244</v>
      </c>
      <c r="C119" s="12" t="s">
        <v>1845</v>
      </c>
      <c r="D119" s="7">
        <v>1</v>
      </c>
    </row>
    <row r="120" spans="1:4">
      <c r="A120" s="10" t="s">
        <v>1103</v>
      </c>
      <c r="B120" s="12" t="s">
        <v>1104</v>
      </c>
      <c r="C120" s="12" t="s">
        <v>1845</v>
      </c>
      <c r="D120" s="7">
        <v>11</v>
      </c>
    </row>
    <row r="121" spans="1:4">
      <c r="A121" s="10" t="s">
        <v>370</v>
      </c>
      <c r="B121" s="12" t="s">
        <v>371</v>
      </c>
      <c r="C121" s="12" t="s">
        <v>1845</v>
      </c>
      <c r="D121" s="7">
        <v>1</v>
      </c>
    </row>
    <row r="122" spans="1:4">
      <c r="A122" s="10" t="s">
        <v>936</v>
      </c>
      <c r="B122" s="12" t="s">
        <v>937</v>
      </c>
      <c r="C122" s="12" t="s">
        <v>1845</v>
      </c>
      <c r="D122" s="7">
        <v>1</v>
      </c>
    </row>
    <row r="123" spans="1:4">
      <c r="A123" s="10" t="s">
        <v>318</v>
      </c>
      <c r="B123" s="12" t="s">
        <v>319</v>
      </c>
      <c r="C123" s="12" t="s">
        <v>1845</v>
      </c>
      <c r="D123" s="7">
        <v>1</v>
      </c>
    </row>
    <row r="124" spans="1:4">
      <c r="A124" s="10" t="s">
        <v>1310</v>
      </c>
      <c r="B124" s="12" t="s">
        <v>5</v>
      </c>
      <c r="C124" s="12" t="s">
        <v>1845</v>
      </c>
      <c r="D124" s="7">
        <v>9</v>
      </c>
    </row>
    <row r="125" spans="1:4">
      <c r="A125" s="10" t="s">
        <v>1392</v>
      </c>
      <c r="B125" s="12" t="s">
        <v>1393</v>
      </c>
      <c r="C125" s="12" t="s">
        <v>1845</v>
      </c>
      <c r="D125" s="7">
        <v>9</v>
      </c>
    </row>
    <row r="126" spans="1:4">
      <c r="A126" s="10" t="s">
        <v>641</v>
      </c>
      <c r="B126" s="12" t="s">
        <v>642</v>
      </c>
      <c r="C126" s="12" t="s">
        <v>1845</v>
      </c>
      <c r="D126" s="7">
        <v>1</v>
      </c>
    </row>
    <row r="127" spans="1:4">
      <c r="A127" s="10" t="s">
        <v>641</v>
      </c>
      <c r="B127" s="12" t="s">
        <v>642</v>
      </c>
      <c r="C127" s="12" t="s">
        <v>1845</v>
      </c>
      <c r="D127" s="7">
        <v>3</v>
      </c>
    </row>
    <row r="128" spans="1:4">
      <c r="A128" s="10" t="s">
        <v>809</v>
      </c>
      <c r="B128" s="12" t="s">
        <v>810</v>
      </c>
      <c r="C128" s="12" t="s">
        <v>1846</v>
      </c>
      <c r="D128" s="7">
        <v>13</v>
      </c>
    </row>
    <row r="129" spans="1:4">
      <c r="A129" s="10" t="s">
        <v>888</v>
      </c>
      <c r="B129" s="12" t="s">
        <v>889</v>
      </c>
      <c r="C129" s="12" t="s">
        <v>1846</v>
      </c>
      <c r="D129" s="7">
        <v>1</v>
      </c>
    </row>
    <row r="130" spans="1:4">
      <c r="A130" s="10" t="s">
        <v>1375</v>
      </c>
      <c r="B130" s="12" t="s">
        <v>1376</v>
      </c>
      <c r="C130" s="12" t="s">
        <v>1846</v>
      </c>
      <c r="D130" s="7">
        <v>19</v>
      </c>
    </row>
    <row r="131" spans="1:4">
      <c r="A131" s="10" t="s">
        <v>161</v>
      </c>
      <c r="B131" s="12" t="s">
        <v>162</v>
      </c>
      <c r="C131" s="12" t="s">
        <v>1845</v>
      </c>
      <c r="D131" s="7">
        <v>5</v>
      </c>
    </row>
    <row r="132" spans="1:4">
      <c r="A132" s="10" t="s">
        <v>1433</v>
      </c>
      <c r="B132" s="12" t="s">
        <v>1434</v>
      </c>
      <c r="C132" s="12" t="s">
        <v>1845</v>
      </c>
      <c r="D132" s="7">
        <v>11</v>
      </c>
    </row>
    <row r="133" spans="1:4">
      <c r="A133" s="10" t="s">
        <v>740</v>
      </c>
      <c r="B133" s="12" t="s">
        <v>741</v>
      </c>
      <c r="C133" s="12" t="s">
        <v>1845</v>
      </c>
      <c r="D133" s="7">
        <v>4.5</v>
      </c>
    </row>
    <row r="134" spans="1:4">
      <c r="A134" s="10" t="s">
        <v>873</v>
      </c>
      <c r="B134" s="12" t="s">
        <v>874</v>
      </c>
      <c r="C134" s="12" t="s">
        <v>1845</v>
      </c>
      <c r="D134" s="7">
        <v>1</v>
      </c>
    </row>
    <row r="135" spans="1:4">
      <c r="A135" s="10" t="s">
        <v>213</v>
      </c>
      <c r="B135" s="12" t="s">
        <v>214</v>
      </c>
      <c r="C135" s="12" t="s">
        <v>1845</v>
      </c>
      <c r="D135" s="7">
        <v>2</v>
      </c>
    </row>
    <row r="136" spans="1:4">
      <c r="A136" s="10" t="s">
        <v>498</v>
      </c>
      <c r="B136" s="12" t="s">
        <v>97</v>
      </c>
      <c r="C136" s="12" t="s">
        <v>1845</v>
      </c>
      <c r="D136" s="7">
        <v>1</v>
      </c>
    </row>
    <row r="137" spans="1:4">
      <c r="A137" s="10" t="s">
        <v>1214</v>
      </c>
      <c r="B137" s="12" t="s">
        <v>1215</v>
      </c>
      <c r="C137" s="12" t="s">
        <v>1845</v>
      </c>
      <c r="D137" s="7">
        <v>1.5</v>
      </c>
    </row>
    <row r="138" spans="1:4">
      <c r="A138" s="10" t="s">
        <v>1404</v>
      </c>
      <c r="B138" s="12" t="s">
        <v>1405</v>
      </c>
      <c r="C138" s="12" t="s">
        <v>1845</v>
      </c>
      <c r="D138" s="7">
        <v>1</v>
      </c>
    </row>
    <row r="139" spans="1:4">
      <c r="A139" s="10" t="s">
        <v>898</v>
      </c>
      <c r="B139" s="12" t="s">
        <v>899</v>
      </c>
      <c r="C139" s="12" t="s">
        <v>1845</v>
      </c>
      <c r="D139" s="7">
        <v>1</v>
      </c>
    </row>
    <row r="140" spans="1:4">
      <c r="A140" s="10" t="s">
        <v>788</v>
      </c>
      <c r="B140" s="12" t="s">
        <v>789</v>
      </c>
      <c r="C140" s="12" t="s">
        <v>1845</v>
      </c>
      <c r="D140" s="7">
        <v>2</v>
      </c>
    </row>
    <row r="141" spans="1:4">
      <c r="A141" s="10" t="s">
        <v>788</v>
      </c>
      <c r="B141" s="12" t="s">
        <v>789</v>
      </c>
      <c r="C141" s="12" t="s">
        <v>1845</v>
      </c>
      <c r="D141" s="7">
        <v>2</v>
      </c>
    </row>
    <row r="142" spans="1:4">
      <c r="A142" s="10" t="s">
        <v>1125</v>
      </c>
      <c r="B142" s="12" t="s">
        <v>1126</v>
      </c>
      <c r="C142" s="12" t="s">
        <v>1845</v>
      </c>
      <c r="D142" s="7">
        <v>1</v>
      </c>
    </row>
    <row r="143" spans="1:4">
      <c r="A143" s="10" t="s">
        <v>1375</v>
      </c>
      <c r="B143" s="12" t="s">
        <v>1376</v>
      </c>
      <c r="C143" s="12" t="s">
        <v>1845</v>
      </c>
      <c r="D143" s="7">
        <v>1</v>
      </c>
    </row>
    <row r="144" spans="1:4">
      <c r="A144" s="10" t="s">
        <v>421</v>
      </c>
      <c r="B144" s="12" t="s">
        <v>422</v>
      </c>
      <c r="C144" s="12" t="s">
        <v>1845</v>
      </c>
      <c r="D144" s="7">
        <v>2</v>
      </c>
    </row>
    <row r="145" spans="1:4">
      <c r="A145" s="10" t="s">
        <v>1363</v>
      </c>
      <c r="B145" s="12" t="s">
        <v>1364</v>
      </c>
      <c r="C145" s="12" t="s">
        <v>1845</v>
      </c>
      <c r="D145" s="7">
        <v>1</v>
      </c>
    </row>
    <row r="146" spans="1:4">
      <c r="A146" s="10" t="s">
        <v>267</v>
      </c>
      <c r="B146" s="12" t="s">
        <v>268</v>
      </c>
      <c r="C146" s="12" t="s">
        <v>1845</v>
      </c>
      <c r="D146" s="7">
        <v>1</v>
      </c>
    </row>
    <row r="147" spans="1:4">
      <c r="A147" s="10" t="s">
        <v>1597</v>
      </c>
      <c r="B147" s="12" t="s">
        <v>1598</v>
      </c>
      <c r="C147" s="12" t="s">
        <v>1845</v>
      </c>
      <c r="D147" s="7">
        <v>8</v>
      </c>
    </row>
    <row r="148" spans="1:4">
      <c r="A148" s="10" t="s">
        <v>934</v>
      </c>
      <c r="B148" s="12" t="s">
        <v>935</v>
      </c>
      <c r="C148" s="12" t="s">
        <v>1846</v>
      </c>
      <c r="D148" s="7">
        <v>10</v>
      </c>
    </row>
    <row r="149" spans="1:4">
      <c r="A149" s="10" t="s">
        <v>934</v>
      </c>
      <c r="B149" s="12" t="s">
        <v>935</v>
      </c>
      <c r="C149" s="12" t="s">
        <v>1846</v>
      </c>
      <c r="D149" s="7">
        <v>10</v>
      </c>
    </row>
    <row r="150" spans="1:4">
      <c r="A150" s="10" t="s">
        <v>693</v>
      </c>
      <c r="B150" s="12" t="s">
        <v>694</v>
      </c>
      <c r="C150" s="12" t="s">
        <v>1848</v>
      </c>
      <c r="D150" s="7">
        <v>14</v>
      </c>
    </row>
    <row r="151" spans="1:4">
      <c r="A151" s="10" t="s">
        <v>693</v>
      </c>
      <c r="B151" s="12" t="s">
        <v>694</v>
      </c>
      <c r="C151" s="12" t="s">
        <v>1843</v>
      </c>
      <c r="D151" s="7">
        <v>6</v>
      </c>
    </row>
    <row r="152" spans="1:4">
      <c r="A152" s="10" t="s">
        <v>1299</v>
      </c>
      <c r="B152" s="12" t="s">
        <v>1300</v>
      </c>
      <c r="C152" s="12" t="s">
        <v>1846</v>
      </c>
      <c r="D152" s="7">
        <v>18</v>
      </c>
    </row>
    <row r="153" spans="1:4">
      <c r="A153" s="10" t="s">
        <v>813</v>
      </c>
      <c r="B153" s="12" t="s">
        <v>814</v>
      </c>
      <c r="C153" s="12" t="s">
        <v>1846</v>
      </c>
      <c r="D153" s="7">
        <v>20</v>
      </c>
    </row>
    <row r="154" spans="1:4">
      <c r="A154" s="10" t="s">
        <v>527</v>
      </c>
      <c r="B154" s="12" t="s">
        <v>528</v>
      </c>
      <c r="C154" s="12" t="s">
        <v>1845</v>
      </c>
      <c r="D154" s="7">
        <v>3</v>
      </c>
    </row>
    <row r="155" spans="1:4">
      <c r="A155" s="10" t="s">
        <v>705</v>
      </c>
      <c r="B155" s="12" t="s">
        <v>706</v>
      </c>
      <c r="C155" s="12" t="s">
        <v>1846</v>
      </c>
      <c r="D155" s="7">
        <v>6.5</v>
      </c>
    </row>
    <row r="156" spans="1:4">
      <c r="A156" s="10" t="s">
        <v>1315</v>
      </c>
      <c r="B156" s="12" t="s">
        <v>1316</v>
      </c>
      <c r="C156" s="12" t="s">
        <v>1846</v>
      </c>
      <c r="D156" s="7">
        <v>19.5</v>
      </c>
    </row>
    <row r="157" spans="1:4">
      <c r="A157" s="10" t="s">
        <v>1125</v>
      </c>
      <c r="B157" s="12" t="s">
        <v>1126</v>
      </c>
      <c r="C157" s="12" t="s">
        <v>1845</v>
      </c>
      <c r="D157" s="7">
        <v>4</v>
      </c>
    </row>
    <row r="158" spans="1:4">
      <c r="A158" s="10" t="s">
        <v>1381</v>
      </c>
      <c r="B158" s="12" t="s">
        <v>1382</v>
      </c>
      <c r="C158" s="12" t="s">
        <v>1846</v>
      </c>
      <c r="D158" s="7">
        <v>10</v>
      </c>
    </row>
    <row r="159" spans="1:4">
      <c r="A159" s="10" t="s">
        <v>1381</v>
      </c>
      <c r="B159" s="12" t="s">
        <v>1382</v>
      </c>
      <c r="C159" s="12" t="s">
        <v>1847</v>
      </c>
      <c r="D159" s="7">
        <v>8</v>
      </c>
    </row>
    <row r="160" spans="1:4">
      <c r="A160" s="10" t="s">
        <v>793</v>
      </c>
      <c r="B160" s="12" t="s">
        <v>52</v>
      </c>
      <c r="C160" s="12" t="s">
        <v>1845</v>
      </c>
      <c r="D160" s="7">
        <v>11</v>
      </c>
    </row>
    <row r="161" spans="1:4">
      <c r="A161" s="10" t="s">
        <v>190</v>
      </c>
      <c r="B161" s="12" t="s">
        <v>191</v>
      </c>
      <c r="C161" s="12" t="s">
        <v>1845</v>
      </c>
      <c r="D161" s="7">
        <v>3</v>
      </c>
    </row>
    <row r="162" spans="1:4">
      <c r="A162" s="10" t="s">
        <v>1131</v>
      </c>
      <c r="B162" s="12" t="s">
        <v>1132</v>
      </c>
      <c r="C162" s="12" t="s">
        <v>1845</v>
      </c>
      <c r="D162" s="7">
        <v>9</v>
      </c>
    </row>
    <row r="163" spans="1:4">
      <c r="A163" s="10" t="s">
        <v>764</v>
      </c>
      <c r="B163" s="12" t="s">
        <v>765</v>
      </c>
      <c r="C163" s="12" t="s">
        <v>1845</v>
      </c>
      <c r="D163" s="7">
        <v>1</v>
      </c>
    </row>
    <row r="164" spans="1:4">
      <c r="A164" s="10" t="s">
        <v>340</v>
      </c>
      <c r="B164" s="12" t="s">
        <v>341</v>
      </c>
      <c r="C164" s="12" t="s">
        <v>1845</v>
      </c>
      <c r="D164" s="7">
        <v>5</v>
      </c>
    </row>
    <row r="165" spans="1:4">
      <c r="A165" s="10" t="s">
        <v>465</v>
      </c>
      <c r="B165" s="12" t="s">
        <v>466</v>
      </c>
      <c r="C165" s="12" t="s">
        <v>1845</v>
      </c>
      <c r="D165" s="7">
        <v>2</v>
      </c>
    </row>
    <row r="166" spans="1:4">
      <c r="A166" s="10" t="s">
        <v>930</v>
      </c>
      <c r="B166" s="12" t="s">
        <v>931</v>
      </c>
      <c r="C166" s="12" t="s">
        <v>1845</v>
      </c>
      <c r="D166" s="7">
        <v>3</v>
      </c>
    </row>
    <row r="167" spans="1:4">
      <c r="A167" s="10" t="s">
        <v>362</v>
      </c>
      <c r="B167" s="12" t="s">
        <v>363</v>
      </c>
      <c r="C167" s="12" t="s">
        <v>1845</v>
      </c>
      <c r="D167" s="7">
        <v>2</v>
      </c>
    </row>
    <row r="168" spans="1:4">
      <c r="A168" s="10" t="s">
        <v>592</v>
      </c>
      <c r="B168" s="12" t="s">
        <v>593</v>
      </c>
      <c r="C168" s="12" t="s">
        <v>1845</v>
      </c>
      <c r="D168" s="7">
        <v>1</v>
      </c>
    </row>
    <row r="169" spans="1:4">
      <c r="A169" s="10" t="s">
        <v>397</v>
      </c>
      <c r="B169" s="12" t="s">
        <v>398</v>
      </c>
      <c r="C169" s="12" t="s">
        <v>1845</v>
      </c>
      <c r="D169" s="7">
        <v>2</v>
      </c>
    </row>
    <row r="170" spans="1:4">
      <c r="A170" s="10" t="s">
        <v>211</v>
      </c>
      <c r="B170" s="12" t="s">
        <v>212</v>
      </c>
      <c r="C170" s="12" t="s">
        <v>1845</v>
      </c>
      <c r="D170" s="7">
        <v>2</v>
      </c>
    </row>
    <row r="171" spans="1:4">
      <c r="A171" s="10" t="s">
        <v>211</v>
      </c>
      <c r="B171" s="12" t="s">
        <v>212</v>
      </c>
      <c r="C171" s="12" t="s">
        <v>1845</v>
      </c>
      <c r="D171" s="7">
        <v>7</v>
      </c>
    </row>
    <row r="172" spans="1:4">
      <c r="A172" s="10" t="s">
        <v>914</v>
      </c>
      <c r="B172" s="12" t="s">
        <v>915</v>
      </c>
      <c r="C172" s="12" t="s">
        <v>1845</v>
      </c>
      <c r="D172" s="7">
        <v>5</v>
      </c>
    </row>
    <row r="173" spans="1:4">
      <c r="A173" s="10" t="s">
        <v>793</v>
      </c>
      <c r="B173" s="12" t="s">
        <v>52</v>
      </c>
      <c r="C173" s="12" t="s">
        <v>1845</v>
      </c>
      <c r="D173" s="7">
        <v>3</v>
      </c>
    </row>
    <row r="174" spans="1:4">
      <c r="A174" s="10" t="s">
        <v>1408</v>
      </c>
      <c r="B174" s="12" t="s">
        <v>1409</v>
      </c>
      <c r="C174" s="12" t="s">
        <v>1845</v>
      </c>
      <c r="D174" s="7">
        <v>4</v>
      </c>
    </row>
    <row r="175" spans="1:4">
      <c r="A175" s="10" t="s">
        <v>666</v>
      </c>
      <c r="B175" s="12" t="s">
        <v>90</v>
      </c>
      <c r="C175" s="12" t="s">
        <v>1845</v>
      </c>
      <c r="D175" s="7">
        <v>5.5</v>
      </c>
    </row>
    <row r="176" spans="1:4">
      <c r="A176" s="10" t="s">
        <v>194</v>
      </c>
      <c r="B176" s="12" t="s">
        <v>195</v>
      </c>
      <c r="C176" s="12" t="s">
        <v>1845</v>
      </c>
      <c r="D176" s="7">
        <v>3</v>
      </c>
    </row>
    <row r="177" spans="1:4">
      <c r="A177" s="10" t="s">
        <v>1008</v>
      </c>
      <c r="B177" s="12" t="s">
        <v>1009</v>
      </c>
      <c r="C177" s="12" t="s">
        <v>1845</v>
      </c>
      <c r="D177" s="7">
        <v>2</v>
      </c>
    </row>
    <row r="178" spans="1:4">
      <c r="A178" s="10" t="s">
        <v>1538</v>
      </c>
      <c r="B178" s="12" t="s">
        <v>1539</v>
      </c>
      <c r="C178" s="12" t="s">
        <v>1845</v>
      </c>
      <c r="D178" s="7">
        <v>5</v>
      </c>
    </row>
    <row r="179" spans="1:4">
      <c r="A179" s="10" t="s">
        <v>372</v>
      </c>
      <c r="B179" s="12" t="s">
        <v>373</v>
      </c>
      <c r="C179" s="12" t="s">
        <v>1845</v>
      </c>
      <c r="D179" s="7">
        <v>5</v>
      </c>
    </row>
    <row r="180" spans="1:4">
      <c r="A180" s="10" t="s">
        <v>527</v>
      </c>
      <c r="B180" s="12" t="s">
        <v>528</v>
      </c>
      <c r="C180" s="12" t="s">
        <v>1845</v>
      </c>
      <c r="D180" s="7">
        <v>4</v>
      </c>
    </row>
    <row r="181" spans="1:4">
      <c r="A181" s="10" t="s">
        <v>1029</v>
      </c>
      <c r="B181" s="12" t="s">
        <v>1030</v>
      </c>
      <c r="C181" s="12" t="s">
        <v>1845</v>
      </c>
      <c r="D181" s="7">
        <v>4</v>
      </c>
    </row>
    <row r="182" spans="1:4">
      <c r="A182" s="10" t="s">
        <v>1590</v>
      </c>
      <c r="B182" s="12" t="s">
        <v>1591</v>
      </c>
      <c r="C182" s="12" t="s">
        <v>1845</v>
      </c>
      <c r="D182" s="7">
        <v>5</v>
      </c>
    </row>
    <row r="183" spans="1:4">
      <c r="A183" s="10" t="s">
        <v>985</v>
      </c>
      <c r="B183" s="12" t="s">
        <v>986</v>
      </c>
      <c r="C183" s="12" t="s">
        <v>1846</v>
      </c>
      <c r="D183" s="7">
        <v>17</v>
      </c>
    </row>
    <row r="184" spans="1:4">
      <c r="A184" s="10" t="s">
        <v>209</v>
      </c>
      <c r="B184" s="12" t="s">
        <v>210</v>
      </c>
      <c r="C184" s="12" t="s">
        <v>1848</v>
      </c>
      <c r="D184" s="7">
        <v>15</v>
      </c>
    </row>
    <row r="185" spans="1:4">
      <c r="A185" s="10" t="s">
        <v>372</v>
      </c>
      <c r="B185" s="12" t="s">
        <v>373</v>
      </c>
      <c r="C185" s="12" t="s">
        <v>1846</v>
      </c>
      <c r="D185" s="7">
        <v>7.5</v>
      </c>
    </row>
    <row r="186" spans="1:4">
      <c r="A186" s="10" t="s">
        <v>1590</v>
      </c>
      <c r="B186" s="12" t="s">
        <v>1591</v>
      </c>
      <c r="C186" s="12" t="s">
        <v>1847</v>
      </c>
      <c r="D186" s="7">
        <v>6</v>
      </c>
    </row>
    <row r="187" spans="1:4">
      <c r="A187" s="10" t="s">
        <v>1590</v>
      </c>
      <c r="B187" s="12" t="s">
        <v>1591</v>
      </c>
      <c r="C187" s="12" t="s">
        <v>1847</v>
      </c>
      <c r="D187" s="7">
        <v>9</v>
      </c>
    </row>
    <row r="188" spans="1:4">
      <c r="A188" s="10" t="s">
        <v>1734</v>
      </c>
      <c r="B188" s="12" t="s">
        <v>1735</v>
      </c>
      <c r="C188" s="12" t="s">
        <v>1845</v>
      </c>
      <c r="D188" s="7">
        <v>1</v>
      </c>
    </row>
    <row r="189" spans="1:4">
      <c r="A189" s="10" t="s">
        <v>1280</v>
      </c>
      <c r="B189" s="12" t="s">
        <v>1281</v>
      </c>
      <c r="C189" s="12" t="s">
        <v>1846</v>
      </c>
      <c r="D189" s="7">
        <v>4.5</v>
      </c>
    </row>
    <row r="190" spans="1:4">
      <c r="A190" s="10" t="s">
        <v>1369</v>
      </c>
      <c r="B190" s="12" t="s">
        <v>1370</v>
      </c>
      <c r="C190" s="12" t="s">
        <v>1846</v>
      </c>
      <c r="D190" s="7">
        <v>19.5</v>
      </c>
    </row>
    <row r="191" spans="1:4">
      <c r="A191" s="10" t="s">
        <v>399</v>
      </c>
      <c r="B191" s="12" t="s">
        <v>69</v>
      </c>
      <c r="C191" s="12" t="s">
        <v>1846</v>
      </c>
      <c r="D191" s="7">
        <v>5.5</v>
      </c>
    </row>
    <row r="192" spans="1:4">
      <c r="A192" s="10" t="s">
        <v>399</v>
      </c>
      <c r="B192" s="12" t="s">
        <v>69</v>
      </c>
      <c r="C192" s="12" t="s">
        <v>1846</v>
      </c>
      <c r="D192" s="7">
        <v>9.5</v>
      </c>
    </row>
    <row r="193" spans="1:4">
      <c r="A193" s="10" t="s">
        <v>1136</v>
      </c>
      <c r="B193" s="12" t="s">
        <v>56</v>
      </c>
      <c r="C193" s="12" t="s">
        <v>1845</v>
      </c>
      <c r="D193" s="7">
        <v>6</v>
      </c>
    </row>
    <row r="194" spans="1:4">
      <c r="A194" s="10" t="s">
        <v>888</v>
      </c>
      <c r="B194" s="12" t="s">
        <v>889</v>
      </c>
      <c r="C194" s="12" t="s">
        <v>1846</v>
      </c>
      <c r="D194" s="7">
        <v>10</v>
      </c>
    </row>
    <row r="195" spans="1:4">
      <c r="A195" s="10" t="s">
        <v>878</v>
      </c>
      <c r="B195" s="12" t="s">
        <v>879</v>
      </c>
      <c r="C195" s="12" t="s">
        <v>1845</v>
      </c>
      <c r="D195" s="7">
        <v>2</v>
      </c>
    </row>
    <row r="196" spans="1:4">
      <c r="A196" s="10" t="s">
        <v>1039</v>
      </c>
      <c r="B196" s="12" t="s">
        <v>1040</v>
      </c>
      <c r="C196" s="12" t="s">
        <v>1845</v>
      </c>
      <c r="D196" s="7">
        <v>4</v>
      </c>
    </row>
    <row r="197" spans="1:4">
      <c r="A197" s="10" t="s">
        <v>289</v>
      </c>
      <c r="B197" s="12" t="s">
        <v>44</v>
      </c>
      <c r="C197" s="12" t="s">
        <v>1845</v>
      </c>
      <c r="D197" s="7">
        <v>2</v>
      </c>
    </row>
    <row r="198" spans="1:4">
      <c r="A198" s="10" t="s">
        <v>300</v>
      </c>
      <c r="B198" s="12" t="s">
        <v>301</v>
      </c>
      <c r="C198" s="12" t="s">
        <v>1845</v>
      </c>
      <c r="D198" s="7">
        <v>7</v>
      </c>
    </row>
    <row r="199" spans="1:4">
      <c r="A199" s="10" t="s">
        <v>1247</v>
      </c>
      <c r="B199" s="12" t="s">
        <v>1248</v>
      </c>
      <c r="C199" s="12" t="s">
        <v>1845</v>
      </c>
      <c r="D199" s="7">
        <v>3</v>
      </c>
    </row>
    <row r="200" spans="1:4">
      <c r="A200" s="10" t="s">
        <v>1247</v>
      </c>
      <c r="B200" s="12" t="s">
        <v>1248</v>
      </c>
      <c r="C200" s="12" t="s">
        <v>1845</v>
      </c>
      <c r="D200" s="7">
        <v>1</v>
      </c>
    </row>
    <row r="201" spans="1:4">
      <c r="A201" s="10" t="s">
        <v>618</v>
      </c>
      <c r="B201" s="12" t="s">
        <v>619</v>
      </c>
      <c r="C201" s="12" t="s">
        <v>1845</v>
      </c>
      <c r="D201" s="7">
        <v>7</v>
      </c>
    </row>
    <row r="202" spans="1:4">
      <c r="A202" s="10" t="s">
        <v>952</v>
      </c>
      <c r="B202" s="12" t="s">
        <v>953</v>
      </c>
      <c r="C202" s="12" t="s">
        <v>1845</v>
      </c>
      <c r="D202" s="7">
        <v>3</v>
      </c>
    </row>
    <row r="203" spans="1:4">
      <c r="A203" s="10" t="s">
        <v>1149</v>
      </c>
      <c r="B203" s="12" t="s">
        <v>75</v>
      </c>
      <c r="C203" s="12" t="s">
        <v>1845</v>
      </c>
      <c r="D203" s="7">
        <v>2</v>
      </c>
    </row>
    <row r="204" spans="1:4">
      <c r="A204" s="10" t="s">
        <v>1668</v>
      </c>
      <c r="B204" s="12" t="s">
        <v>1669</v>
      </c>
      <c r="C204" s="12" t="s">
        <v>1845</v>
      </c>
      <c r="D204" s="7">
        <v>1</v>
      </c>
    </row>
    <row r="205" spans="1:4">
      <c r="A205" s="10" t="s">
        <v>1728</v>
      </c>
      <c r="B205" s="12" t="s">
        <v>1729</v>
      </c>
      <c r="C205" s="12" t="s">
        <v>1845</v>
      </c>
      <c r="D205" s="7">
        <v>5</v>
      </c>
    </row>
    <row r="206" spans="1:4">
      <c r="A206" s="10" t="s">
        <v>1728</v>
      </c>
      <c r="B206" s="12" t="s">
        <v>1729</v>
      </c>
      <c r="C206" s="12" t="s">
        <v>1843</v>
      </c>
      <c r="D206" s="7">
        <v>2</v>
      </c>
    </row>
    <row r="207" spans="1:4">
      <c r="A207" s="10" t="s">
        <v>523</v>
      </c>
      <c r="B207" s="12" t="s">
        <v>524</v>
      </c>
      <c r="C207" s="12" t="s">
        <v>1845</v>
      </c>
      <c r="D207" s="7">
        <v>1</v>
      </c>
    </row>
    <row r="208" spans="1:4">
      <c r="A208" s="10" t="s">
        <v>427</v>
      </c>
      <c r="B208" s="12" t="s">
        <v>428</v>
      </c>
      <c r="C208" s="12" t="s">
        <v>1846</v>
      </c>
      <c r="D208" s="7">
        <v>2.5</v>
      </c>
    </row>
    <row r="209" spans="1:4">
      <c r="A209" s="10" t="s">
        <v>1245</v>
      </c>
      <c r="B209" s="12" t="s">
        <v>1246</v>
      </c>
      <c r="C209" s="12" t="s">
        <v>1845</v>
      </c>
      <c r="D209" s="7">
        <v>2</v>
      </c>
    </row>
    <row r="210" spans="1:4">
      <c r="A210" s="10" t="s">
        <v>488</v>
      </c>
      <c r="B210" s="12" t="s">
        <v>489</v>
      </c>
      <c r="C210" s="12" t="s">
        <v>1845</v>
      </c>
      <c r="D210" s="7">
        <v>6</v>
      </c>
    </row>
    <row r="211" spans="1:4">
      <c r="A211" s="10" t="s">
        <v>225</v>
      </c>
      <c r="B211" s="12" t="s">
        <v>39</v>
      </c>
      <c r="C211" s="12" t="s">
        <v>1845</v>
      </c>
      <c r="D211" s="7">
        <v>1</v>
      </c>
    </row>
    <row r="212" spans="1:4">
      <c r="A212" s="10" t="s">
        <v>482</v>
      </c>
      <c r="B212" s="12" t="s">
        <v>483</v>
      </c>
      <c r="C212" s="12" t="s">
        <v>1845</v>
      </c>
      <c r="D212" s="7">
        <v>2</v>
      </c>
    </row>
    <row r="213" spans="1:4">
      <c r="A213" s="10" t="s">
        <v>139</v>
      </c>
      <c r="B213" s="12" t="s">
        <v>140</v>
      </c>
      <c r="C213" s="12" t="s">
        <v>1845</v>
      </c>
      <c r="D213" s="7">
        <v>2</v>
      </c>
    </row>
    <row r="214" spans="1:4">
      <c r="A214" s="10" t="s">
        <v>1632</v>
      </c>
      <c r="B214" s="12" t="s">
        <v>1633</v>
      </c>
      <c r="C214" s="12" t="s">
        <v>1845</v>
      </c>
      <c r="D214" s="7">
        <v>3</v>
      </c>
    </row>
    <row r="215" spans="1:4">
      <c r="A215" s="10" t="s">
        <v>1533</v>
      </c>
      <c r="B215" s="12" t="s">
        <v>41</v>
      </c>
      <c r="C215" s="12" t="s">
        <v>1843</v>
      </c>
      <c r="D215" s="7">
        <v>1</v>
      </c>
    </row>
    <row r="216" spans="1:4">
      <c r="A216" s="10" t="s">
        <v>1499</v>
      </c>
      <c r="B216" s="12" t="s">
        <v>1500</v>
      </c>
      <c r="C216" s="12" t="s">
        <v>1845</v>
      </c>
      <c r="D216" s="7">
        <v>9</v>
      </c>
    </row>
    <row r="217" spans="1:4">
      <c r="A217" s="10" t="s">
        <v>433</v>
      </c>
      <c r="B217" s="12" t="s">
        <v>434</v>
      </c>
      <c r="C217" s="12" t="s">
        <v>1847</v>
      </c>
      <c r="D217" s="7">
        <v>18.5</v>
      </c>
    </row>
    <row r="218" spans="1:4">
      <c r="A218" s="10" t="s">
        <v>620</v>
      </c>
      <c r="B218" s="12" t="s">
        <v>621</v>
      </c>
      <c r="C218" s="12" t="s">
        <v>1845</v>
      </c>
      <c r="D218" s="7">
        <v>0.5</v>
      </c>
    </row>
    <row r="219" spans="1:4">
      <c r="A219" s="10" t="s">
        <v>231</v>
      </c>
      <c r="B219" s="12" t="s">
        <v>232</v>
      </c>
      <c r="C219" s="12" t="s">
        <v>1845</v>
      </c>
      <c r="D219" s="7">
        <v>3</v>
      </c>
    </row>
    <row r="220" spans="1:4">
      <c r="A220" s="10" t="s">
        <v>257</v>
      </c>
      <c r="B220" s="12" t="s">
        <v>258</v>
      </c>
      <c r="C220" s="12" t="s">
        <v>1845</v>
      </c>
      <c r="D220" s="7">
        <v>2</v>
      </c>
    </row>
    <row r="221" spans="1:4">
      <c r="A221" s="10" t="s">
        <v>1006</v>
      </c>
      <c r="B221" s="12" t="s">
        <v>1007</v>
      </c>
      <c r="C221" s="12" t="s">
        <v>1845</v>
      </c>
      <c r="D221" s="7">
        <v>2</v>
      </c>
    </row>
    <row r="222" spans="1:4">
      <c r="A222" s="10" t="s">
        <v>1018</v>
      </c>
      <c r="B222" s="12" t="s">
        <v>1019</v>
      </c>
      <c r="C222" s="12" t="s">
        <v>1845</v>
      </c>
      <c r="D222" s="7">
        <v>1</v>
      </c>
    </row>
    <row r="223" spans="1:4">
      <c r="A223" s="10" t="s">
        <v>600</v>
      </c>
      <c r="B223" s="12" t="s">
        <v>601</v>
      </c>
      <c r="C223" s="12" t="s">
        <v>1846</v>
      </c>
      <c r="D223" s="7">
        <v>10</v>
      </c>
    </row>
    <row r="224" spans="1:4">
      <c r="A224" s="10" t="s">
        <v>600</v>
      </c>
      <c r="B224" s="12" t="s">
        <v>601</v>
      </c>
      <c r="C224" s="12" t="s">
        <v>1847</v>
      </c>
      <c r="D224" s="7">
        <v>6</v>
      </c>
    </row>
    <row r="225" spans="1:4">
      <c r="A225" s="10" t="s">
        <v>1088</v>
      </c>
      <c r="B225" s="12" t="s">
        <v>82</v>
      </c>
      <c r="C225" s="12" t="s">
        <v>1847</v>
      </c>
      <c r="D225" s="7">
        <v>3</v>
      </c>
    </row>
    <row r="226" spans="1:4">
      <c r="A226" s="10" t="s">
        <v>585</v>
      </c>
      <c r="B226" s="12" t="s">
        <v>520</v>
      </c>
      <c r="C226" s="12" t="s">
        <v>1845</v>
      </c>
      <c r="D226" s="7">
        <v>3</v>
      </c>
    </row>
    <row r="227" spans="1:4">
      <c r="A227" s="10" t="s">
        <v>769</v>
      </c>
      <c r="B227" s="12" t="s">
        <v>27</v>
      </c>
      <c r="C227" s="12" t="s">
        <v>1846</v>
      </c>
      <c r="D227" s="7">
        <v>10</v>
      </c>
    </row>
    <row r="228" spans="1:4">
      <c r="A228" s="10" t="s">
        <v>769</v>
      </c>
      <c r="B228" s="12" t="s">
        <v>27</v>
      </c>
      <c r="C228" s="12" t="s">
        <v>1846</v>
      </c>
      <c r="D228" s="7">
        <v>6</v>
      </c>
    </row>
    <row r="229" spans="1:4">
      <c r="A229" s="10" t="s">
        <v>769</v>
      </c>
      <c r="B229" s="12" t="s">
        <v>27</v>
      </c>
      <c r="C229" s="12" t="s">
        <v>1847</v>
      </c>
      <c r="D229" s="7">
        <v>4</v>
      </c>
    </row>
    <row r="230" spans="1:4">
      <c r="A230" s="10" t="s">
        <v>1113</v>
      </c>
      <c r="B230" s="12" t="s">
        <v>1114</v>
      </c>
      <c r="C230" s="12" t="s">
        <v>1846</v>
      </c>
      <c r="D230" s="7">
        <v>9.5</v>
      </c>
    </row>
    <row r="231" spans="1:4">
      <c r="A231" s="10" t="s">
        <v>1261</v>
      </c>
      <c r="B231" s="12" t="s">
        <v>1262</v>
      </c>
      <c r="C231" s="12" t="s">
        <v>1846</v>
      </c>
      <c r="D231" s="7">
        <v>18</v>
      </c>
    </row>
    <row r="232" spans="1:4">
      <c r="A232" s="10" t="s">
        <v>401</v>
      </c>
      <c r="B232" s="12" t="s">
        <v>402</v>
      </c>
      <c r="C232" s="12" t="s">
        <v>1846</v>
      </c>
      <c r="D232" s="7">
        <v>20</v>
      </c>
    </row>
    <row r="233" spans="1:4">
      <c r="A233" s="10" t="s">
        <v>1630</v>
      </c>
      <c r="B233" s="12" t="s">
        <v>1631</v>
      </c>
      <c r="C233" s="12" t="s">
        <v>1845</v>
      </c>
      <c r="D233" s="7">
        <v>1</v>
      </c>
    </row>
    <row r="234" spans="1:4">
      <c r="A234" s="10" t="s">
        <v>1249</v>
      </c>
      <c r="B234" s="12" t="s">
        <v>1250</v>
      </c>
      <c r="C234" s="12" t="s">
        <v>1845</v>
      </c>
      <c r="D234" s="7">
        <v>2</v>
      </c>
    </row>
    <row r="235" spans="1:4">
      <c r="A235" s="10" t="s">
        <v>1410</v>
      </c>
      <c r="B235" s="12" t="s">
        <v>1411</v>
      </c>
      <c r="C235" s="12" t="s">
        <v>1846</v>
      </c>
      <c r="D235" s="7">
        <v>16</v>
      </c>
    </row>
    <row r="236" spans="1:4">
      <c r="A236" s="10" t="s">
        <v>841</v>
      </c>
      <c r="B236" s="12" t="s">
        <v>842</v>
      </c>
      <c r="C236" s="12" t="s">
        <v>1845</v>
      </c>
      <c r="D236" s="7">
        <v>1</v>
      </c>
    </row>
    <row r="237" spans="1:4">
      <c r="A237" s="10" t="s">
        <v>1394</v>
      </c>
      <c r="B237" s="12" t="s">
        <v>1395</v>
      </c>
      <c r="C237" s="12" t="s">
        <v>1845</v>
      </c>
      <c r="D237" s="7">
        <v>1</v>
      </c>
    </row>
    <row r="238" spans="1:4">
      <c r="A238" s="10" t="s">
        <v>655</v>
      </c>
      <c r="B238" s="12" t="s">
        <v>656</v>
      </c>
      <c r="C238" s="12" t="s">
        <v>1845</v>
      </c>
      <c r="D238" s="7">
        <v>5</v>
      </c>
    </row>
    <row r="239" spans="1:4">
      <c r="A239" s="10" t="s">
        <v>1379</v>
      </c>
      <c r="B239" s="12" t="s">
        <v>1380</v>
      </c>
      <c r="C239" s="12" t="s">
        <v>1845</v>
      </c>
      <c r="D239" s="7">
        <v>1</v>
      </c>
    </row>
    <row r="240" spans="1:4">
      <c r="A240" s="10" t="s">
        <v>585</v>
      </c>
      <c r="B240" s="12" t="s">
        <v>520</v>
      </c>
      <c r="C240" s="12" t="s">
        <v>1845</v>
      </c>
      <c r="D240" s="7">
        <v>2</v>
      </c>
    </row>
    <row r="241" spans="1:4">
      <c r="A241" s="10" t="s">
        <v>585</v>
      </c>
      <c r="B241" s="12" t="s">
        <v>520</v>
      </c>
      <c r="C241" s="12" t="s">
        <v>1845</v>
      </c>
      <c r="D241" s="7">
        <v>3</v>
      </c>
    </row>
    <row r="242" spans="1:4">
      <c r="A242" s="10" t="s">
        <v>829</v>
      </c>
      <c r="B242" s="12" t="s">
        <v>830</v>
      </c>
      <c r="C242" s="12" t="s">
        <v>1845</v>
      </c>
      <c r="D242" s="7">
        <v>1</v>
      </c>
    </row>
    <row r="243" spans="1:4">
      <c r="A243" s="10" t="s">
        <v>682</v>
      </c>
      <c r="B243" s="12" t="s">
        <v>683</v>
      </c>
      <c r="C243" s="12" t="s">
        <v>1845</v>
      </c>
      <c r="D243" s="7">
        <v>1</v>
      </c>
    </row>
    <row r="244" spans="1:4">
      <c r="A244" s="10" t="s">
        <v>1496</v>
      </c>
      <c r="B244" s="12" t="s">
        <v>11</v>
      </c>
      <c r="C244" s="12" t="s">
        <v>1845</v>
      </c>
      <c r="D244" s="7">
        <v>1</v>
      </c>
    </row>
    <row r="245" spans="1:4">
      <c r="A245" s="10" t="s">
        <v>1152</v>
      </c>
      <c r="B245" s="12" t="s">
        <v>1153</v>
      </c>
      <c r="C245" s="12" t="s">
        <v>1845</v>
      </c>
      <c r="D245" s="7">
        <v>1</v>
      </c>
    </row>
    <row r="246" spans="1:4">
      <c r="A246" s="10" t="s">
        <v>277</v>
      </c>
      <c r="B246" s="12" t="s">
        <v>278</v>
      </c>
      <c r="C246" s="12" t="s">
        <v>1845</v>
      </c>
      <c r="D246" s="7">
        <v>4</v>
      </c>
    </row>
    <row r="247" spans="1:4">
      <c r="A247" s="10" t="s">
        <v>1054</v>
      </c>
      <c r="B247" s="12" t="s">
        <v>1055</v>
      </c>
      <c r="C247" s="12" t="s">
        <v>1845</v>
      </c>
      <c r="D247" s="7">
        <v>4</v>
      </c>
    </row>
    <row r="248" spans="1:4">
      <c r="A248" s="10" t="s">
        <v>1139</v>
      </c>
      <c r="B248" s="12" t="s">
        <v>95</v>
      </c>
      <c r="C248" s="12" t="s">
        <v>1845</v>
      </c>
      <c r="D248" s="7">
        <v>1</v>
      </c>
    </row>
    <row r="249" spans="1:4">
      <c r="A249" s="10" t="s">
        <v>1135</v>
      </c>
      <c r="B249" s="12" t="s">
        <v>70</v>
      </c>
      <c r="C249" s="12" t="s">
        <v>1845</v>
      </c>
      <c r="D249" s="7">
        <v>1</v>
      </c>
    </row>
    <row r="250" spans="1:4">
      <c r="A250" s="10" t="s">
        <v>871</v>
      </c>
      <c r="B250" s="12" t="s">
        <v>57</v>
      </c>
      <c r="C250" s="12" t="s">
        <v>1845</v>
      </c>
      <c r="D250" s="7">
        <v>3</v>
      </c>
    </row>
    <row r="251" spans="1:4">
      <c r="A251" s="10" t="s">
        <v>1272</v>
      </c>
      <c r="B251" s="12" t="s">
        <v>1273</v>
      </c>
      <c r="C251" s="12" t="s">
        <v>1845</v>
      </c>
      <c r="D251" s="7">
        <v>5</v>
      </c>
    </row>
    <row r="252" spans="1:4">
      <c r="A252" s="10" t="s">
        <v>174</v>
      </c>
      <c r="B252" s="12" t="s">
        <v>175</v>
      </c>
      <c r="C252" s="12" t="s">
        <v>1845</v>
      </c>
      <c r="D252" s="7">
        <v>1</v>
      </c>
    </row>
    <row r="253" spans="1:4">
      <c r="A253" s="10" t="s">
        <v>728</v>
      </c>
      <c r="B253" s="12" t="s">
        <v>729</v>
      </c>
      <c r="C253" s="12" t="s">
        <v>1845</v>
      </c>
      <c r="D253" s="7">
        <v>2</v>
      </c>
    </row>
    <row r="254" spans="1:4">
      <c r="A254" s="10" t="s">
        <v>620</v>
      </c>
      <c r="B254" s="12" t="s">
        <v>621</v>
      </c>
      <c r="C254" s="12" t="s">
        <v>1845</v>
      </c>
      <c r="D254" s="7">
        <v>1</v>
      </c>
    </row>
    <row r="255" spans="1:4">
      <c r="A255" s="10" t="s">
        <v>1227</v>
      </c>
      <c r="B255" s="12" t="s">
        <v>1228</v>
      </c>
      <c r="C255" s="12" t="s">
        <v>1845</v>
      </c>
      <c r="D255" s="7">
        <v>5</v>
      </c>
    </row>
    <row r="256" spans="1:4">
      <c r="A256" s="10" t="s">
        <v>825</v>
      </c>
      <c r="B256" s="12" t="s">
        <v>826</v>
      </c>
      <c r="C256" s="12" t="s">
        <v>1845</v>
      </c>
      <c r="D256" s="7">
        <v>1</v>
      </c>
    </row>
    <row r="257" spans="1:4">
      <c r="A257" s="10" t="s">
        <v>636</v>
      </c>
      <c r="B257" s="12" t="s">
        <v>637</v>
      </c>
      <c r="C257" s="12" t="s">
        <v>1845</v>
      </c>
      <c r="D257" s="7">
        <v>1</v>
      </c>
    </row>
    <row r="258" spans="1:4">
      <c r="A258" s="10" t="s">
        <v>1728</v>
      </c>
      <c r="B258" s="12" t="s">
        <v>1729</v>
      </c>
      <c r="C258" s="12" t="s">
        <v>1847</v>
      </c>
      <c r="D258" s="7">
        <v>13</v>
      </c>
    </row>
    <row r="259" spans="1:4">
      <c r="A259" s="10" t="s">
        <v>608</v>
      </c>
      <c r="B259" s="12" t="s">
        <v>609</v>
      </c>
      <c r="C259" s="12" t="s">
        <v>1846</v>
      </c>
      <c r="D259" s="7">
        <v>17</v>
      </c>
    </row>
    <row r="260" spans="1:4">
      <c r="A260" s="10" t="s">
        <v>632</v>
      </c>
      <c r="B260" s="12" t="s">
        <v>633</v>
      </c>
      <c r="C260" s="12" t="s">
        <v>1843</v>
      </c>
      <c r="D260" s="7">
        <v>11</v>
      </c>
    </row>
    <row r="261" spans="1:4">
      <c r="A261" s="10" t="s">
        <v>1325</v>
      </c>
      <c r="B261" s="12" t="s">
        <v>1326</v>
      </c>
      <c r="C261" s="12" t="s">
        <v>1845</v>
      </c>
      <c r="D261" s="7">
        <v>4</v>
      </c>
    </row>
    <row r="262" spans="1:4">
      <c r="A262" s="10" t="s">
        <v>924</v>
      </c>
      <c r="B262" s="12" t="s">
        <v>925</v>
      </c>
      <c r="C262" s="12" t="s">
        <v>1845</v>
      </c>
      <c r="D262" s="7">
        <v>2</v>
      </c>
    </row>
    <row r="263" spans="1:4">
      <c r="A263" s="10" t="s">
        <v>490</v>
      </c>
      <c r="B263" s="12" t="s">
        <v>491</v>
      </c>
      <c r="C263" s="12" t="s">
        <v>1845</v>
      </c>
      <c r="D263" s="7">
        <v>5</v>
      </c>
    </row>
    <row r="264" spans="1:4">
      <c r="A264" s="10" t="s">
        <v>858</v>
      </c>
      <c r="B264" s="12" t="s">
        <v>859</v>
      </c>
      <c r="C264" s="12" t="s">
        <v>1845</v>
      </c>
      <c r="D264" s="7">
        <v>2</v>
      </c>
    </row>
    <row r="265" spans="1:4">
      <c r="A265" s="10" t="s">
        <v>850</v>
      </c>
      <c r="B265" s="12" t="s">
        <v>2</v>
      </c>
      <c r="C265" s="12" t="s">
        <v>1845</v>
      </c>
      <c r="D265" s="7">
        <v>1</v>
      </c>
    </row>
    <row r="266" spans="1:4">
      <c r="A266" s="10" t="s">
        <v>1253</v>
      </c>
      <c r="B266" s="12" t="s">
        <v>1254</v>
      </c>
      <c r="C266" s="12" t="s">
        <v>1845</v>
      </c>
      <c r="D266" s="7">
        <v>1</v>
      </c>
    </row>
    <row r="267" spans="1:4">
      <c r="A267" s="10" t="s">
        <v>1139</v>
      </c>
      <c r="B267" s="12" t="s">
        <v>95</v>
      </c>
      <c r="C267" s="12" t="s">
        <v>1845</v>
      </c>
      <c r="D267" s="7">
        <v>1</v>
      </c>
    </row>
    <row r="268" spans="1:4">
      <c r="A268" s="10" t="s">
        <v>646</v>
      </c>
      <c r="B268" s="12" t="s">
        <v>647</v>
      </c>
      <c r="C268" s="12" t="s">
        <v>1845</v>
      </c>
      <c r="D268" s="7">
        <v>1.5</v>
      </c>
    </row>
    <row r="269" spans="1:4">
      <c r="A269" s="10" t="s">
        <v>608</v>
      </c>
      <c r="B269" s="12" t="s">
        <v>609</v>
      </c>
      <c r="C269" s="12" t="s">
        <v>1845</v>
      </c>
      <c r="D269" s="7">
        <v>1</v>
      </c>
    </row>
    <row r="270" spans="1:4">
      <c r="A270" s="10" t="s">
        <v>1276</v>
      </c>
      <c r="B270" s="12" t="s">
        <v>1277</v>
      </c>
      <c r="C270" s="12" t="s">
        <v>1845</v>
      </c>
      <c r="D270" s="7">
        <v>2.5</v>
      </c>
    </row>
    <row r="271" spans="1:4">
      <c r="A271" s="10" t="s">
        <v>496</v>
      </c>
      <c r="B271" s="12" t="s">
        <v>497</v>
      </c>
      <c r="C271" s="12" t="s">
        <v>1845</v>
      </c>
      <c r="D271" s="7">
        <v>2</v>
      </c>
    </row>
    <row r="272" spans="1:4">
      <c r="A272" s="10" t="s">
        <v>484</v>
      </c>
      <c r="B272" s="12" t="s">
        <v>485</v>
      </c>
      <c r="C272" s="12" t="s">
        <v>1845</v>
      </c>
      <c r="D272" s="7">
        <v>5</v>
      </c>
    </row>
    <row r="273" spans="1:4">
      <c r="A273" s="10" t="s">
        <v>1125</v>
      </c>
      <c r="B273" s="12" t="s">
        <v>1126</v>
      </c>
      <c r="C273" s="12" t="s">
        <v>1846</v>
      </c>
      <c r="D273" s="7">
        <v>15</v>
      </c>
    </row>
    <row r="274" spans="1:4">
      <c r="A274" s="10" t="s">
        <v>1650</v>
      </c>
      <c r="B274" s="12" t="s">
        <v>1651</v>
      </c>
      <c r="C274" s="12" t="s">
        <v>1845</v>
      </c>
      <c r="D274" s="7">
        <v>1</v>
      </c>
    </row>
    <row r="275" spans="1:4">
      <c r="A275" s="10" t="s">
        <v>1732</v>
      </c>
      <c r="B275" s="12" t="s">
        <v>1733</v>
      </c>
      <c r="C275" s="12" t="s">
        <v>1845</v>
      </c>
      <c r="D275" s="7">
        <v>1</v>
      </c>
    </row>
    <row r="276" spans="1:4">
      <c r="A276" s="10" t="s">
        <v>1408</v>
      </c>
      <c r="B276" s="12" t="s">
        <v>1409</v>
      </c>
      <c r="C276" s="12" t="s">
        <v>1846</v>
      </c>
      <c r="D276" s="7">
        <v>16</v>
      </c>
    </row>
    <row r="277" spans="1:4">
      <c r="A277" s="10" t="s">
        <v>825</v>
      </c>
      <c r="B277" s="12" t="s">
        <v>826</v>
      </c>
      <c r="C277" s="12" t="s">
        <v>1846</v>
      </c>
      <c r="D277" s="7">
        <v>6</v>
      </c>
    </row>
    <row r="278" spans="1:4">
      <c r="A278" s="10" t="s">
        <v>825</v>
      </c>
      <c r="B278" s="12" t="s">
        <v>826</v>
      </c>
      <c r="C278" s="12" t="s">
        <v>1848</v>
      </c>
      <c r="D278" s="7">
        <v>9</v>
      </c>
    </row>
    <row r="279" spans="1:4">
      <c r="A279" s="10" t="s">
        <v>287</v>
      </c>
      <c r="B279" s="12" t="s">
        <v>288</v>
      </c>
      <c r="C279" s="12" t="s">
        <v>1846</v>
      </c>
      <c r="D279" s="7">
        <v>9</v>
      </c>
    </row>
    <row r="280" spans="1:4">
      <c r="A280" s="10" t="s">
        <v>1006</v>
      </c>
      <c r="B280" s="12" t="s">
        <v>1007</v>
      </c>
      <c r="C280" s="12" t="s">
        <v>1846</v>
      </c>
      <c r="D280" s="7">
        <v>3</v>
      </c>
    </row>
    <row r="281" spans="1:4">
      <c r="A281" s="10" t="s">
        <v>1006</v>
      </c>
      <c r="B281" s="12" t="s">
        <v>1007</v>
      </c>
      <c r="C281" s="12" t="s">
        <v>1846</v>
      </c>
      <c r="D281" s="7">
        <v>7</v>
      </c>
    </row>
    <row r="282" spans="1:4">
      <c r="A282" s="10" t="s">
        <v>1006</v>
      </c>
      <c r="B282" s="12" t="s">
        <v>1007</v>
      </c>
      <c r="C282" s="12" t="s">
        <v>1846</v>
      </c>
      <c r="D282" s="7">
        <v>6</v>
      </c>
    </row>
    <row r="283" spans="1:4">
      <c r="A283" s="10" t="s">
        <v>1381</v>
      </c>
      <c r="B283" s="12" t="s">
        <v>1382</v>
      </c>
      <c r="C283" s="12" t="s">
        <v>1847</v>
      </c>
      <c r="D283" s="7">
        <v>1.5</v>
      </c>
    </row>
    <row r="284" spans="1:4">
      <c r="A284" s="10" t="s">
        <v>570</v>
      </c>
      <c r="B284" s="12" t="s">
        <v>571</v>
      </c>
      <c r="C284" s="12" t="s">
        <v>1846</v>
      </c>
      <c r="D284" s="7">
        <v>20</v>
      </c>
    </row>
    <row r="285" spans="1:4">
      <c r="A285" s="10" t="s">
        <v>594</v>
      </c>
      <c r="B285" s="12" t="s">
        <v>595</v>
      </c>
      <c r="C285" s="12" t="s">
        <v>1846</v>
      </c>
      <c r="D285" s="7">
        <v>7</v>
      </c>
    </row>
    <row r="286" spans="1:4">
      <c r="A286" s="10" t="s">
        <v>594</v>
      </c>
      <c r="B286" s="12" t="s">
        <v>595</v>
      </c>
      <c r="C286" s="12" t="s">
        <v>1846</v>
      </c>
      <c r="D286" s="7">
        <v>7</v>
      </c>
    </row>
    <row r="287" spans="1:4">
      <c r="A287" s="10" t="s">
        <v>269</v>
      </c>
      <c r="B287" s="12" t="s">
        <v>270</v>
      </c>
      <c r="C287" s="12" t="s">
        <v>1846</v>
      </c>
      <c r="D287" s="7">
        <v>14</v>
      </c>
    </row>
    <row r="288" spans="1:4">
      <c r="A288" s="10" t="s">
        <v>1251</v>
      </c>
      <c r="B288" s="12" t="s">
        <v>1252</v>
      </c>
      <c r="C288" s="12" t="s">
        <v>1846</v>
      </c>
      <c r="D288" s="7">
        <v>10.5</v>
      </c>
    </row>
    <row r="289" spans="1:4">
      <c r="A289" s="10" t="s">
        <v>1037</v>
      </c>
      <c r="B289" s="12" t="s">
        <v>1038</v>
      </c>
      <c r="C289" s="12" t="s">
        <v>1846</v>
      </c>
      <c r="D289" s="7">
        <v>19.5</v>
      </c>
    </row>
    <row r="290" spans="1:4">
      <c r="A290" s="10" t="s">
        <v>1444</v>
      </c>
      <c r="B290" s="12" t="s">
        <v>1445</v>
      </c>
      <c r="C290" s="12" t="s">
        <v>1843</v>
      </c>
      <c r="D290" s="7">
        <v>18</v>
      </c>
    </row>
    <row r="291" spans="1:4" ht="29.1">
      <c r="A291" s="10" t="s">
        <v>701</v>
      </c>
      <c r="B291" s="12" t="s">
        <v>18</v>
      </c>
      <c r="C291" s="12" t="s">
        <v>1844</v>
      </c>
      <c r="D291" s="7">
        <v>20</v>
      </c>
    </row>
    <row r="292" spans="1:4">
      <c r="A292" s="10" t="s">
        <v>1192</v>
      </c>
      <c r="B292" s="12" t="s">
        <v>1193</v>
      </c>
      <c r="C292" s="12" t="s">
        <v>1847</v>
      </c>
      <c r="D292" s="7">
        <v>9.5</v>
      </c>
    </row>
    <row r="293" spans="1:4">
      <c r="A293" s="10" t="s">
        <v>215</v>
      </c>
      <c r="B293" s="12" t="s">
        <v>216</v>
      </c>
      <c r="C293" s="12" t="s">
        <v>1845</v>
      </c>
      <c r="D293" s="7">
        <v>2.5</v>
      </c>
    </row>
    <row r="294" spans="1:4">
      <c r="A294" s="10" t="s">
        <v>583</v>
      </c>
      <c r="B294" s="12" t="s">
        <v>584</v>
      </c>
      <c r="C294" s="12" t="s">
        <v>1845</v>
      </c>
      <c r="D294" s="7">
        <v>4</v>
      </c>
    </row>
    <row r="295" spans="1:4">
      <c r="A295" s="10" t="s">
        <v>716</v>
      </c>
      <c r="B295" s="12" t="s">
        <v>717</v>
      </c>
      <c r="C295" s="12" t="s">
        <v>1845</v>
      </c>
      <c r="D295" s="7">
        <v>3</v>
      </c>
    </row>
    <row r="296" spans="1:4">
      <c r="A296" s="10" t="s">
        <v>368</v>
      </c>
      <c r="B296" s="12" t="s">
        <v>369</v>
      </c>
      <c r="C296" s="12" t="s">
        <v>1845</v>
      </c>
      <c r="D296" s="7">
        <v>2</v>
      </c>
    </row>
    <row r="297" spans="1:4">
      <c r="A297" s="10" t="s">
        <v>1145</v>
      </c>
      <c r="B297" s="12" t="s">
        <v>1146</v>
      </c>
      <c r="C297" s="12" t="s">
        <v>1845</v>
      </c>
      <c r="D297" s="7">
        <v>3</v>
      </c>
    </row>
    <row r="298" spans="1:4">
      <c r="A298" s="10" t="s">
        <v>1000</v>
      </c>
      <c r="B298" s="12" t="s">
        <v>1001</v>
      </c>
      <c r="C298" s="12" t="s">
        <v>1845</v>
      </c>
      <c r="D298" s="7">
        <v>1</v>
      </c>
    </row>
    <row r="299" spans="1:4">
      <c r="A299" s="10" t="s">
        <v>1000</v>
      </c>
      <c r="B299" s="12" t="s">
        <v>1001</v>
      </c>
      <c r="C299" s="12" t="s">
        <v>1845</v>
      </c>
      <c r="D299" s="7">
        <v>1</v>
      </c>
    </row>
    <row r="300" spans="1:4">
      <c r="A300" s="10" t="s">
        <v>454</v>
      </c>
      <c r="B300" s="12" t="s">
        <v>455</v>
      </c>
      <c r="C300" s="12" t="s">
        <v>1845</v>
      </c>
      <c r="D300" s="7">
        <v>5</v>
      </c>
    </row>
    <row r="301" spans="1:4">
      <c r="A301" s="10" t="s">
        <v>148</v>
      </c>
      <c r="B301" s="12" t="s">
        <v>77</v>
      </c>
      <c r="C301" s="12" t="s">
        <v>1845</v>
      </c>
      <c r="D301" s="7">
        <v>0.5</v>
      </c>
    </row>
    <row r="302" spans="1:4">
      <c r="A302" s="10" t="s">
        <v>346</v>
      </c>
      <c r="B302" s="12" t="s">
        <v>347</v>
      </c>
      <c r="C302" s="12" t="s">
        <v>1845</v>
      </c>
      <c r="D302" s="7">
        <v>1.5</v>
      </c>
    </row>
    <row r="303" spans="1:4">
      <c r="A303" s="10" t="s">
        <v>346</v>
      </c>
      <c r="B303" s="12" t="s">
        <v>347</v>
      </c>
      <c r="C303" s="12" t="s">
        <v>1845</v>
      </c>
      <c r="D303" s="7">
        <v>1</v>
      </c>
    </row>
    <row r="304" spans="1:4">
      <c r="A304" s="10" t="s">
        <v>1476</v>
      </c>
      <c r="B304" s="12" t="s">
        <v>1477</v>
      </c>
      <c r="C304" s="12" t="s">
        <v>1845</v>
      </c>
      <c r="D304" s="7">
        <v>4</v>
      </c>
    </row>
    <row r="305" spans="1:4">
      <c r="A305" s="10" t="s">
        <v>399</v>
      </c>
      <c r="B305" s="12" t="s">
        <v>69</v>
      </c>
      <c r="C305" s="12" t="s">
        <v>1845</v>
      </c>
      <c r="D305" s="7">
        <v>1</v>
      </c>
    </row>
    <row r="306" spans="1:4">
      <c r="A306" s="10" t="s">
        <v>163</v>
      </c>
      <c r="B306" s="12" t="s">
        <v>164</v>
      </c>
      <c r="C306" s="12" t="s">
        <v>1845</v>
      </c>
      <c r="D306" s="7">
        <v>1</v>
      </c>
    </row>
    <row r="307" spans="1:4">
      <c r="A307" s="10" t="s">
        <v>1078</v>
      </c>
      <c r="B307" s="12" t="s">
        <v>1079</v>
      </c>
      <c r="C307" s="12" t="s">
        <v>1845</v>
      </c>
      <c r="D307" s="7">
        <v>1</v>
      </c>
    </row>
    <row r="308" spans="1:4">
      <c r="A308" s="10" t="s">
        <v>1327</v>
      </c>
      <c r="B308" s="12" t="s">
        <v>1328</v>
      </c>
      <c r="C308" s="12" t="s">
        <v>1845</v>
      </c>
      <c r="D308" s="7">
        <v>2</v>
      </c>
    </row>
    <row r="309" spans="1:4">
      <c r="A309" s="10" t="s">
        <v>314</v>
      </c>
      <c r="B309" s="12" t="s">
        <v>315</v>
      </c>
      <c r="C309" s="12" t="s">
        <v>1845</v>
      </c>
      <c r="D309" s="7">
        <v>2</v>
      </c>
    </row>
    <row r="310" spans="1:4">
      <c r="A310" s="10" t="s">
        <v>205</v>
      </c>
      <c r="B310" s="12" t="s">
        <v>206</v>
      </c>
      <c r="C310" s="12" t="s">
        <v>1845</v>
      </c>
      <c r="D310" s="7">
        <v>1</v>
      </c>
    </row>
    <row r="311" spans="1:4">
      <c r="A311" s="10" t="s">
        <v>1035</v>
      </c>
      <c r="B311" s="12" t="s">
        <v>1036</v>
      </c>
      <c r="C311" s="12" t="s">
        <v>1845</v>
      </c>
      <c r="D311" s="7">
        <v>1</v>
      </c>
    </row>
    <row r="312" spans="1:4">
      <c r="A312" s="10" t="s">
        <v>379</v>
      </c>
      <c r="B312" s="12" t="s">
        <v>380</v>
      </c>
      <c r="C312" s="12" t="s">
        <v>1845</v>
      </c>
      <c r="D312" s="7">
        <v>4</v>
      </c>
    </row>
    <row r="313" spans="1:4">
      <c r="A313" s="10" t="s">
        <v>275</v>
      </c>
      <c r="B313" s="12" t="s">
        <v>276</v>
      </c>
      <c r="C313" s="12" t="s">
        <v>1845</v>
      </c>
      <c r="D313" s="7">
        <v>3</v>
      </c>
    </row>
    <row r="314" spans="1:4">
      <c r="A314" s="10" t="s">
        <v>1325</v>
      </c>
      <c r="B314" s="12" t="s">
        <v>1326</v>
      </c>
      <c r="C314" s="12" t="s">
        <v>1845</v>
      </c>
      <c r="D314" s="7">
        <v>1</v>
      </c>
    </row>
    <row r="315" spans="1:4">
      <c r="A315" s="10" t="s">
        <v>1325</v>
      </c>
      <c r="B315" s="12" t="s">
        <v>1326</v>
      </c>
      <c r="C315" s="12" t="s">
        <v>1845</v>
      </c>
      <c r="D315" s="7">
        <v>4</v>
      </c>
    </row>
    <row r="316" spans="1:4">
      <c r="A316" s="10" t="s">
        <v>1290</v>
      </c>
      <c r="B316" s="12" t="s">
        <v>1291</v>
      </c>
      <c r="C316" s="12" t="s">
        <v>1845</v>
      </c>
      <c r="D316" s="7">
        <v>1</v>
      </c>
    </row>
    <row r="317" spans="1:4">
      <c r="A317" s="10" t="s">
        <v>942</v>
      </c>
      <c r="B317" s="12" t="s">
        <v>943</v>
      </c>
      <c r="C317" s="12" t="s">
        <v>1845</v>
      </c>
      <c r="D317" s="7">
        <v>2</v>
      </c>
    </row>
    <row r="318" spans="1:4">
      <c r="A318" s="10" t="s">
        <v>334</v>
      </c>
      <c r="B318" s="12" t="s">
        <v>335</v>
      </c>
      <c r="C318" s="12" t="s">
        <v>1845</v>
      </c>
      <c r="D318" s="7">
        <v>2</v>
      </c>
    </row>
    <row r="319" spans="1:4">
      <c r="A319" s="10" t="s">
        <v>1117</v>
      </c>
      <c r="B319" s="12" t="s">
        <v>1118</v>
      </c>
      <c r="C319" s="12" t="s">
        <v>1845</v>
      </c>
      <c r="D319" s="7">
        <v>1</v>
      </c>
    </row>
    <row r="320" spans="1:4">
      <c r="A320" s="10" t="s">
        <v>1070</v>
      </c>
      <c r="B320" s="12" t="s">
        <v>1071</v>
      </c>
      <c r="C320" s="12" t="s">
        <v>1845</v>
      </c>
      <c r="D320" s="7">
        <v>1</v>
      </c>
    </row>
    <row r="321" spans="1:4">
      <c r="A321" s="10" t="s">
        <v>1070</v>
      </c>
      <c r="B321" s="12" t="s">
        <v>1071</v>
      </c>
      <c r="C321" s="12" t="s">
        <v>1845</v>
      </c>
      <c r="D321" s="7">
        <v>1</v>
      </c>
    </row>
    <row r="322" spans="1:4">
      <c r="A322" s="10" t="s">
        <v>1518</v>
      </c>
      <c r="B322" s="12" t="s">
        <v>1519</v>
      </c>
      <c r="C322" s="12" t="s">
        <v>1845</v>
      </c>
      <c r="D322" s="7">
        <v>2</v>
      </c>
    </row>
    <row r="323" spans="1:4">
      <c r="A323" s="10" t="s">
        <v>979</v>
      </c>
      <c r="B323" s="12" t="s">
        <v>980</v>
      </c>
      <c r="C323" s="12" t="s">
        <v>1845</v>
      </c>
      <c r="D323" s="7">
        <v>2</v>
      </c>
    </row>
    <row r="324" spans="1:4">
      <c r="A324" s="10" t="s">
        <v>1211</v>
      </c>
      <c r="B324" s="12" t="s">
        <v>53</v>
      </c>
      <c r="C324" s="12" t="s">
        <v>1845</v>
      </c>
      <c r="D324" s="7">
        <v>0.5</v>
      </c>
    </row>
    <row r="325" spans="1:4">
      <c r="A325" s="10" t="s">
        <v>366</v>
      </c>
      <c r="B325" s="12" t="s">
        <v>367</v>
      </c>
      <c r="C325" s="12" t="s">
        <v>1845</v>
      </c>
      <c r="D325" s="7">
        <v>1</v>
      </c>
    </row>
    <row r="326" spans="1:4">
      <c r="A326" s="10" t="s">
        <v>1355</v>
      </c>
      <c r="B326" s="12" t="s">
        <v>1356</v>
      </c>
      <c r="C326" s="12" t="s">
        <v>1845</v>
      </c>
      <c r="D326" s="7">
        <v>1.5</v>
      </c>
    </row>
    <row r="327" spans="1:4">
      <c r="A327" s="10" t="s">
        <v>678</v>
      </c>
      <c r="B327" s="12" t="s">
        <v>679</v>
      </c>
      <c r="C327" s="12" t="s">
        <v>1845</v>
      </c>
      <c r="D327" s="7">
        <v>0.5</v>
      </c>
    </row>
    <row r="328" spans="1:4">
      <c r="A328" s="10" t="s">
        <v>306</v>
      </c>
      <c r="B328" s="12" t="s">
        <v>307</v>
      </c>
      <c r="C328" s="12" t="s">
        <v>1845</v>
      </c>
      <c r="D328" s="7">
        <v>1</v>
      </c>
    </row>
    <row r="329" spans="1:4">
      <c r="A329" s="10" t="s">
        <v>809</v>
      </c>
      <c r="B329" s="12" t="s">
        <v>810</v>
      </c>
      <c r="C329" s="12" t="s">
        <v>1845</v>
      </c>
      <c r="D329" s="7">
        <v>1</v>
      </c>
    </row>
    <row r="330" spans="1:4">
      <c r="A330" s="10" t="s">
        <v>1311</v>
      </c>
      <c r="B330" s="12" t="s">
        <v>1312</v>
      </c>
      <c r="C330" s="12" t="s">
        <v>1845</v>
      </c>
      <c r="D330" s="7">
        <v>2</v>
      </c>
    </row>
    <row r="331" spans="1:4">
      <c r="A331" s="10" t="s">
        <v>312</v>
      </c>
      <c r="B331" s="12" t="s">
        <v>313</v>
      </c>
      <c r="C331" s="12" t="s">
        <v>1845</v>
      </c>
      <c r="D331" s="7">
        <v>3</v>
      </c>
    </row>
    <row r="332" spans="1:4">
      <c r="A332" s="10" t="s">
        <v>756</v>
      </c>
      <c r="B332" s="12" t="s">
        <v>757</v>
      </c>
      <c r="C332" s="12" t="s">
        <v>1846</v>
      </c>
      <c r="D332" s="7">
        <v>20</v>
      </c>
    </row>
    <row r="333" spans="1:4">
      <c r="A333" s="10" t="s">
        <v>1181</v>
      </c>
      <c r="B333" s="12" t="s">
        <v>1182</v>
      </c>
      <c r="C333" s="12" t="s">
        <v>1846</v>
      </c>
      <c r="D333" s="7">
        <v>18</v>
      </c>
    </row>
    <row r="334" spans="1:4">
      <c r="A334" s="10" t="s">
        <v>900</v>
      </c>
      <c r="B334" s="12" t="s">
        <v>901</v>
      </c>
      <c r="C334" s="12" t="s">
        <v>1846</v>
      </c>
      <c r="D334" s="7">
        <v>9</v>
      </c>
    </row>
    <row r="335" spans="1:4">
      <c r="A335" s="10" t="s">
        <v>985</v>
      </c>
      <c r="B335" s="12" t="s">
        <v>986</v>
      </c>
      <c r="C335" s="12" t="s">
        <v>1847</v>
      </c>
      <c r="D335" s="7">
        <v>1</v>
      </c>
    </row>
    <row r="336" spans="1:4">
      <c r="A336" s="10" t="s">
        <v>1185</v>
      </c>
      <c r="B336" s="12" t="s">
        <v>1186</v>
      </c>
      <c r="C336" s="12" t="s">
        <v>1846</v>
      </c>
      <c r="D336" s="7">
        <v>19</v>
      </c>
    </row>
    <row r="337" spans="1:4">
      <c r="A337" s="10" t="s">
        <v>1140</v>
      </c>
      <c r="B337" s="12" t="s">
        <v>1141</v>
      </c>
      <c r="C337" s="12" t="s">
        <v>1846</v>
      </c>
      <c r="D337" s="7">
        <v>19.5</v>
      </c>
    </row>
    <row r="338" spans="1:4">
      <c r="A338" s="10" t="s">
        <v>1644</v>
      </c>
      <c r="B338" s="12" t="s">
        <v>1645</v>
      </c>
      <c r="C338" s="12" t="s">
        <v>1847</v>
      </c>
      <c r="D338" s="7">
        <v>20</v>
      </c>
    </row>
    <row r="339" spans="1:4">
      <c r="A339" s="10" t="s">
        <v>932</v>
      </c>
      <c r="B339" s="12" t="s">
        <v>933</v>
      </c>
      <c r="C339" s="12" t="s">
        <v>1843</v>
      </c>
      <c r="D339" s="7">
        <v>20</v>
      </c>
    </row>
    <row r="340" spans="1:4">
      <c r="A340" s="10" t="s">
        <v>1115</v>
      </c>
      <c r="B340" s="12" t="s">
        <v>1116</v>
      </c>
      <c r="C340" s="12" t="s">
        <v>1845</v>
      </c>
      <c r="D340" s="7">
        <v>2</v>
      </c>
    </row>
    <row r="341" spans="1:4">
      <c r="A341" s="10" t="s">
        <v>1307</v>
      </c>
      <c r="B341" s="12" t="s">
        <v>1308</v>
      </c>
      <c r="C341" s="12" t="s">
        <v>1845</v>
      </c>
      <c r="D341" s="7">
        <v>0.5</v>
      </c>
    </row>
    <row r="342" spans="1:4">
      <c r="A342" s="10" t="s">
        <v>680</v>
      </c>
      <c r="B342" s="12" t="s">
        <v>681</v>
      </c>
      <c r="C342" s="12" t="s">
        <v>1847</v>
      </c>
      <c r="D342" s="7">
        <v>5</v>
      </c>
    </row>
    <row r="343" spans="1:4">
      <c r="A343" s="10" t="s">
        <v>680</v>
      </c>
      <c r="B343" s="12" t="s">
        <v>681</v>
      </c>
      <c r="C343" s="12" t="s">
        <v>1847</v>
      </c>
      <c r="D343" s="7">
        <v>15</v>
      </c>
    </row>
    <row r="344" spans="1:4">
      <c r="A344" s="10" t="s">
        <v>1327</v>
      </c>
      <c r="B344" s="12" t="s">
        <v>1328</v>
      </c>
      <c r="C344" s="12" t="s">
        <v>1846</v>
      </c>
      <c r="D344" s="7">
        <v>8</v>
      </c>
    </row>
    <row r="345" spans="1:4">
      <c r="A345" s="10" t="s">
        <v>246</v>
      </c>
      <c r="B345" s="12" t="s">
        <v>247</v>
      </c>
      <c r="C345" s="12" t="s">
        <v>1843</v>
      </c>
      <c r="D345" s="7">
        <v>9</v>
      </c>
    </row>
    <row r="346" spans="1:4">
      <c r="A346" s="10" t="s">
        <v>192</v>
      </c>
      <c r="B346" s="12" t="s">
        <v>193</v>
      </c>
      <c r="C346" s="12" t="s">
        <v>1846</v>
      </c>
      <c r="D346" s="7">
        <v>20</v>
      </c>
    </row>
    <row r="347" spans="1:4">
      <c r="A347" s="10" t="s">
        <v>374</v>
      </c>
      <c r="B347" s="12" t="s">
        <v>375</v>
      </c>
      <c r="C347" s="12" t="s">
        <v>1845</v>
      </c>
      <c r="D347" s="7">
        <v>2</v>
      </c>
    </row>
    <row r="348" spans="1:4">
      <c r="A348" s="10" t="s">
        <v>188</v>
      </c>
      <c r="B348" s="12" t="s">
        <v>189</v>
      </c>
      <c r="C348" s="12" t="s">
        <v>1845</v>
      </c>
      <c r="D348" s="7">
        <v>6</v>
      </c>
    </row>
    <row r="349" spans="1:4">
      <c r="A349" s="10" t="s">
        <v>295</v>
      </c>
      <c r="B349" s="12" t="s">
        <v>296</v>
      </c>
      <c r="C349" s="12" t="s">
        <v>1845</v>
      </c>
      <c r="D349" s="7">
        <v>2</v>
      </c>
    </row>
    <row r="350" spans="1:4">
      <c r="A350" s="10" t="s">
        <v>1163</v>
      </c>
      <c r="B350" s="12" t="s">
        <v>1164</v>
      </c>
      <c r="C350" s="12" t="s">
        <v>1845</v>
      </c>
      <c r="D350" s="7">
        <v>7</v>
      </c>
    </row>
    <row r="351" spans="1:4">
      <c r="A351" s="10" t="s">
        <v>797</v>
      </c>
      <c r="B351" s="12" t="s">
        <v>798</v>
      </c>
      <c r="C351" s="12" t="s">
        <v>1845</v>
      </c>
      <c r="D351" s="7">
        <v>3.5</v>
      </c>
    </row>
    <row r="352" spans="1:4">
      <c r="A352" s="10" t="s">
        <v>797</v>
      </c>
      <c r="B352" s="12" t="s">
        <v>798</v>
      </c>
      <c r="C352" s="12" t="s">
        <v>1845</v>
      </c>
      <c r="D352" s="7">
        <v>2</v>
      </c>
    </row>
    <row r="353" spans="1:4">
      <c r="A353" s="10" t="s">
        <v>1154</v>
      </c>
      <c r="B353" s="12" t="s">
        <v>1155</v>
      </c>
      <c r="C353" s="12" t="s">
        <v>1845</v>
      </c>
      <c r="D353" s="7">
        <v>3</v>
      </c>
    </row>
    <row r="354" spans="1:4">
      <c r="A354" s="10" t="s">
        <v>1261</v>
      </c>
      <c r="B354" s="12" t="s">
        <v>1262</v>
      </c>
      <c r="C354" s="12" t="s">
        <v>1845</v>
      </c>
      <c r="D354" s="7">
        <v>1.5</v>
      </c>
    </row>
    <row r="355" spans="1:4">
      <c r="A355" s="10" t="s">
        <v>329</v>
      </c>
      <c r="B355" s="12" t="s">
        <v>330</v>
      </c>
      <c r="C355" s="12" t="s">
        <v>1845</v>
      </c>
      <c r="D355" s="7">
        <v>1</v>
      </c>
    </row>
    <row r="356" spans="1:4">
      <c r="A356" s="10" t="s">
        <v>732</v>
      </c>
      <c r="B356" s="12" t="s">
        <v>733</v>
      </c>
      <c r="C356" s="12" t="s">
        <v>1845</v>
      </c>
      <c r="D356" s="7">
        <v>2</v>
      </c>
    </row>
    <row r="357" spans="1:4">
      <c r="A357" s="10" t="s">
        <v>580</v>
      </c>
      <c r="B357" s="12" t="s">
        <v>581</v>
      </c>
      <c r="C357" s="12" t="s">
        <v>1845</v>
      </c>
      <c r="D357" s="7">
        <v>1</v>
      </c>
    </row>
    <row r="358" spans="1:4" ht="29.1">
      <c r="A358" s="10" t="s">
        <v>988</v>
      </c>
      <c r="B358" s="12" t="s">
        <v>989</v>
      </c>
      <c r="C358" s="12" t="s">
        <v>1844</v>
      </c>
      <c r="D358" s="7">
        <v>5</v>
      </c>
    </row>
    <row r="359" spans="1:4">
      <c r="A359" s="10" t="s">
        <v>946</v>
      </c>
      <c r="B359" s="12" t="s">
        <v>947</v>
      </c>
      <c r="C359" s="12" t="s">
        <v>1846</v>
      </c>
      <c r="D359" s="7">
        <v>20</v>
      </c>
    </row>
    <row r="360" spans="1:4">
      <c r="A360" s="10" t="s">
        <v>358</v>
      </c>
      <c r="B360" s="12" t="s">
        <v>26</v>
      </c>
      <c r="C360" s="12" t="s">
        <v>1846</v>
      </c>
      <c r="D360" s="7">
        <v>17</v>
      </c>
    </row>
    <row r="361" spans="1:4">
      <c r="A361" s="10" t="s">
        <v>1634</v>
      </c>
      <c r="B361" s="12" t="s">
        <v>1635</v>
      </c>
      <c r="C361" s="12" t="s">
        <v>1845</v>
      </c>
      <c r="D361" s="7">
        <v>5</v>
      </c>
    </row>
    <row r="362" spans="1:4">
      <c r="A362" s="10" t="s">
        <v>395</v>
      </c>
      <c r="B362" s="12" t="s">
        <v>396</v>
      </c>
      <c r="C362" s="12" t="s">
        <v>1845</v>
      </c>
      <c r="D362" s="7">
        <v>2</v>
      </c>
    </row>
    <row r="363" spans="1:4">
      <c r="A363" s="10" t="s">
        <v>395</v>
      </c>
      <c r="B363" s="12" t="s">
        <v>396</v>
      </c>
      <c r="C363" s="12" t="s">
        <v>1845</v>
      </c>
      <c r="D363" s="7">
        <v>9</v>
      </c>
    </row>
    <row r="364" spans="1:4">
      <c r="A364" s="10" t="s">
        <v>399</v>
      </c>
      <c r="B364" s="12" t="s">
        <v>69</v>
      </c>
      <c r="C364" s="12" t="s">
        <v>1847</v>
      </c>
      <c r="D364" s="7">
        <v>4</v>
      </c>
    </row>
    <row r="365" spans="1:4">
      <c r="A365" s="10" t="s">
        <v>748</v>
      </c>
      <c r="B365" s="12" t="s">
        <v>749</v>
      </c>
      <c r="C365" s="12" t="s">
        <v>1846</v>
      </c>
      <c r="D365" s="7">
        <v>18</v>
      </c>
    </row>
    <row r="366" spans="1:4">
      <c r="A366" s="10" t="s">
        <v>1536</v>
      </c>
      <c r="B366" s="12" t="s">
        <v>1537</v>
      </c>
      <c r="C366" s="12" t="s">
        <v>1846</v>
      </c>
      <c r="D366" s="7">
        <v>10.5</v>
      </c>
    </row>
    <row r="367" spans="1:4">
      <c r="A367" s="10" t="s">
        <v>1536</v>
      </c>
      <c r="B367" s="12" t="s">
        <v>1537</v>
      </c>
      <c r="C367" s="12" t="s">
        <v>1847</v>
      </c>
      <c r="D367" s="7">
        <v>9.5</v>
      </c>
    </row>
    <row r="368" spans="1:4">
      <c r="A368" s="10" t="s">
        <v>510</v>
      </c>
      <c r="B368" s="12" t="s">
        <v>511</v>
      </c>
      <c r="C368" s="12" t="s">
        <v>1847</v>
      </c>
      <c r="D368" s="7">
        <v>7</v>
      </c>
    </row>
    <row r="369" spans="1:4">
      <c r="A369" s="10" t="s">
        <v>1427</v>
      </c>
      <c r="B369" s="12" t="s">
        <v>1428</v>
      </c>
      <c r="C369" s="12" t="s">
        <v>1846</v>
      </c>
      <c r="D369" s="7">
        <v>20</v>
      </c>
    </row>
    <row r="370" spans="1:4">
      <c r="A370" s="10" t="s">
        <v>1136</v>
      </c>
      <c r="B370" s="12" t="s">
        <v>56</v>
      </c>
      <c r="C370" s="12" t="s">
        <v>1845</v>
      </c>
      <c r="D370" s="7">
        <v>3</v>
      </c>
    </row>
    <row r="371" spans="1:4">
      <c r="A371" s="10" t="s">
        <v>488</v>
      </c>
      <c r="B371" s="12" t="s">
        <v>489</v>
      </c>
      <c r="C371" s="12" t="s">
        <v>1847</v>
      </c>
      <c r="D371" s="7">
        <v>1</v>
      </c>
    </row>
    <row r="372" spans="1:4">
      <c r="A372" s="10" t="s">
        <v>488</v>
      </c>
      <c r="B372" s="12" t="s">
        <v>489</v>
      </c>
      <c r="C372" s="12" t="s">
        <v>1847</v>
      </c>
      <c r="D372" s="7">
        <v>13</v>
      </c>
    </row>
    <row r="373" spans="1:4">
      <c r="A373" s="10" t="s">
        <v>998</v>
      </c>
      <c r="B373" s="12" t="s">
        <v>999</v>
      </c>
      <c r="C373" s="12" t="s">
        <v>1846</v>
      </c>
      <c r="D373" s="7">
        <v>20</v>
      </c>
    </row>
    <row r="374" spans="1:4">
      <c r="A374" s="10" t="s">
        <v>802</v>
      </c>
      <c r="B374" s="12" t="s">
        <v>803</v>
      </c>
      <c r="C374" s="12" t="s">
        <v>1846</v>
      </c>
      <c r="D374" s="7">
        <v>20</v>
      </c>
    </row>
    <row r="375" spans="1:4">
      <c r="A375" s="10" t="s">
        <v>793</v>
      </c>
      <c r="B375" s="12" t="s">
        <v>52</v>
      </c>
      <c r="C375" s="12" t="s">
        <v>1846</v>
      </c>
      <c r="D375" s="7">
        <v>2</v>
      </c>
    </row>
    <row r="376" spans="1:4">
      <c r="A376" s="10" t="s">
        <v>793</v>
      </c>
      <c r="B376" s="12" t="s">
        <v>52</v>
      </c>
      <c r="C376" s="12" t="s">
        <v>1846</v>
      </c>
      <c r="D376" s="7">
        <v>4</v>
      </c>
    </row>
    <row r="377" spans="1:4">
      <c r="A377" s="10" t="s">
        <v>1208</v>
      </c>
      <c r="B377" s="12" t="s">
        <v>73</v>
      </c>
      <c r="C377" s="12" t="s">
        <v>1846</v>
      </c>
      <c r="D377" s="7">
        <v>11</v>
      </c>
    </row>
    <row r="378" spans="1:4">
      <c r="A378" s="10" t="s">
        <v>1208</v>
      </c>
      <c r="B378" s="12" t="s">
        <v>73</v>
      </c>
      <c r="C378" s="12" t="s">
        <v>1847</v>
      </c>
      <c r="D378" s="7">
        <v>6</v>
      </c>
    </row>
    <row r="379" spans="1:4">
      <c r="A379" s="10" t="s">
        <v>1429</v>
      </c>
      <c r="B379" s="12" t="s">
        <v>1430</v>
      </c>
      <c r="C379" s="12" t="s">
        <v>1846</v>
      </c>
      <c r="D379" s="7">
        <v>18</v>
      </c>
    </row>
    <row r="380" spans="1:4">
      <c r="A380" s="10" t="s">
        <v>811</v>
      </c>
      <c r="B380" s="12" t="s">
        <v>812</v>
      </c>
      <c r="C380" s="12" t="s">
        <v>1846</v>
      </c>
      <c r="D380" s="7">
        <v>17.5</v>
      </c>
    </row>
    <row r="381" spans="1:4" ht="29.1">
      <c r="A381" s="10" t="s">
        <v>1460</v>
      </c>
      <c r="B381" s="12" t="s">
        <v>1461</v>
      </c>
      <c r="C381" s="12" t="s">
        <v>1844</v>
      </c>
      <c r="D381" s="7">
        <v>6</v>
      </c>
    </row>
    <row r="382" spans="1:4">
      <c r="A382" s="10" t="s">
        <v>811</v>
      </c>
      <c r="B382" s="12" t="s">
        <v>812</v>
      </c>
      <c r="C382" s="12" t="s">
        <v>1845</v>
      </c>
      <c r="D382" s="7">
        <v>2</v>
      </c>
    </row>
    <row r="383" spans="1:4">
      <c r="A383" s="10" t="s">
        <v>578</v>
      </c>
      <c r="B383" s="12" t="s">
        <v>579</v>
      </c>
      <c r="C383" s="12" t="s">
        <v>1843</v>
      </c>
      <c r="D383" s="7">
        <v>19</v>
      </c>
    </row>
    <row r="384" spans="1:4">
      <c r="A384" s="10" t="s">
        <v>646</v>
      </c>
      <c r="B384" s="12" t="s">
        <v>647</v>
      </c>
      <c r="C384" s="12" t="s">
        <v>1846</v>
      </c>
      <c r="D384" s="7">
        <v>17.5</v>
      </c>
    </row>
    <row r="385" spans="1:4">
      <c r="A385" s="10" t="s">
        <v>646</v>
      </c>
      <c r="B385" s="12" t="s">
        <v>647</v>
      </c>
      <c r="C385" s="12" t="s">
        <v>1847</v>
      </c>
      <c r="D385" s="7">
        <v>1</v>
      </c>
    </row>
    <row r="386" spans="1:4">
      <c r="A386" s="10" t="s">
        <v>884</v>
      </c>
      <c r="B386" s="12" t="s">
        <v>885</v>
      </c>
      <c r="C386" s="12" t="s">
        <v>1846</v>
      </c>
      <c r="D386" s="7">
        <v>19</v>
      </c>
    </row>
    <row r="387" spans="1:4">
      <c r="A387" s="10" t="s">
        <v>461</v>
      </c>
      <c r="B387" s="12" t="s">
        <v>462</v>
      </c>
      <c r="C387" s="12" t="s">
        <v>1843</v>
      </c>
      <c r="D387" s="7">
        <v>4</v>
      </c>
    </row>
    <row r="388" spans="1:4">
      <c r="A388" s="10" t="s">
        <v>461</v>
      </c>
      <c r="B388" s="12" t="s">
        <v>462</v>
      </c>
      <c r="C388" s="12" t="s">
        <v>1847</v>
      </c>
      <c r="D388" s="7">
        <v>3</v>
      </c>
    </row>
    <row r="389" spans="1:4">
      <c r="A389" s="10" t="s">
        <v>461</v>
      </c>
      <c r="B389" s="12" t="s">
        <v>462</v>
      </c>
      <c r="C389" s="12" t="s">
        <v>1846</v>
      </c>
      <c r="D389" s="7">
        <v>13</v>
      </c>
    </row>
    <row r="390" spans="1:4">
      <c r="A390" s="10" t="s">
        <v>1227</v>
      </c>
      <c r="B390" s="12" t="s">
        <v>1228</v>
      </c>
      <c r="C390" s="12" t="s">
        <v>1847</v>
      </c>
      <c r="D390" s="7">
        <v>3</v>
      </c>
    </row>
    <row r="391" spans="1:4">
      <c r="A391" s="10" t="s">
        <v>1599</v>
      </c>
      <c r="B391" s="12" t="s">
        <v>1600</v>
      </c>
      <c r="C391" s="12" t="s">
        <v>1847</v>
      </c>
      <c r="D391" s="7">
        <v>19</v>
      </c>
    </row>
    <row r="392" spans="1:4" ht="29.1">
      <c r="A392" s="10" t="s">
        <v>1150</v>
      </c>
      <c r="B392" s="12" t="s">
        <v>1151</v>
      </c>
      <c r="C392" s="12" t="s">
        <v>1844</v>
      </c>
      <c r="D392" s="7">
        <v>2</v>
      </c>
    </row>
    <row r="393" spans="1:4">
      <c r="A393" s="10" t="s">
        <v>1766</v>
      </c>
      <c r="B393" s="12" t="s">
        <v>1767</v>
      </c>
      <c r="C393" s="12" t="s">
        <v>1847</v>
      </c>
      <c r="D393" s="7">
        <v>19</v>
      </c>
    </row>
    <row r="394" spans="1:4">
      <c r="A394" s="10" t="s">
        <v>1766</v>
      </c>
      <c r="B394" s="12" t="s">
        <v>1767</v>
      </c>
      <c r="C394" s="12" t="s">
        <v>1847</v>
      </c>
      <c r="D394" s="7">
        <v>1</v>
      </c>
    </row>
    <row r="395" spans="1:4">
      <c r="A395" s="10" t="s">
        <v>750</v>
      </c>
      <c r="B395" s="12" t="s">
        <v>751</v>
      </c>
      <c r="C395" s="12" t="s">
        <v>1846</v>
      </c>
      <c r="D395" s="7">
        <v>20</v>
      </c>
    </row>
    <row r="396" spans="1:4">
      <c r="A396" s="10" t="s">
        <v>888</v>
      </c>
      <c r="B396" s="12" t="s">
        <v>889</v>
      </c>
      <c r="C396" s="12" t="s">
        <v>1846</v>
      </c>
      <c r="D396" s="7">
        <v>8</v>
      </c>
    </row>
    <row r="397" spans="1:4" ht="29.1">
      <c r="A397" s="10" t="s">
        <v>1309</v>
      </c>
      <c r="B397" s="12" t="s">
        <v>58</v>
      </c>
      <c r="C397" s="12" t="s">
        <v>1844</v>
      </c>
      <c r="D397" s="7">
        <v>19</v>
      </c>
    </row>
    <row r="398" spans="1:4" ht="29.1">
      <c r="A398" s="10" t="s">
        <v>1464</v>
      </c>
      <c r="B398" s="12" t="s">
        <v>1465</v>
      </c>
      <c r="C398" s="12" t="s">
        <v>1844</v>
      </c>
      <c r="D398" s="7">
        <v>3</v>
      </c>
    </row>
    <row r="399" spans="1:4">
      <c r="A399" s="10" t="s">
        <v>1417</v>
      </c>
      <c r="B399" s="12" t="s">
        <v>1418</v>
      </c>
      <c r="C399" s="12" t="s">
        <v>1846</v>
      </c>
      <c r="D399" s="7">
        <v>20</v>
      </c>
    </row>
    <row r="400" spans="1:4">
      <c r="A400" s="10" t="s">
        <v>1233</v>
      </c>
      <c r="B400" s="12" t="s">
        <v>1234</v>
      </c>
      <c r="C400" s="12" t="s">
        <v>1846</v>
      </c>
      <c r="D400" s="7">
        <v>19.5</v>
      </c>
    </row>
    <row r="401" spans="1:4">
      <c r="A401" s="10" t="s">
        <v>207</v>
      </c>
      <c r="B401" s="12" t="s">
        <v>208</v>
      </c>
      <c r="C401" s="12" t="s">
        <v>1845</v>
      </c>
      <c r="D401" s="7">
        <v>1</v>
      </c>
    </row>
    <row r="402" spans="1:4">
      <c r="A402" s="10" t="s">
        <v>405</v>
      </c>
      <c r="B402" s="12" t="s">
        <v>406</v>
      </c>
      <c r="C402" s="12" t="s">
        <v>1845</v>
      </c>
      <c r="D402" s="7">
        <v>0.5</v>
      </c>
    </row>
    <row r="403" spans="1:4">
      <c r="A403" s="10" t="s">
        <v>1499</v>
      </c>
      <c r="B403" s="12" t="s">
        <v>1500</v>
      </c>
      <c r="C403" s="12" t="s">
        <v>1845</v>
      </c>
      <c r="D403" s="7">
        <v>1</v>
      </c>
    </row>
    <row r="404" spans="1:4">
      <c r="A404" s="10" t="s">
        <v>1158</v>
      </c>
      <c r="B404" s="12" t="s">
        <v>10</v>
      </c>
      <c r="C404" s="12" t="s">
        <v>1847</v>
      </c>
      <c r="D404" s="7">
        <v>1</v>
      </c>
    </row>
    <row r="405" spans="1:4">
      <c r="A405" s="10" t="s">
        <v>1158</v>
      </c>
      <c r="B405" s="12" t="s">
        <v>10</v>
      </c>
      <c r="C405" s="12" t="s">
        <v>1846</v>
      </c>
      <c r="D405" s="7">
        <v>19</v>
      </c>
    </row>
    <row r="406" spans="1:4">
      <c r="A406" s="10" t="s">
        <v>1448</v>
      </c>
      <c r="B406" s="12" t="s">
        <v>1449</v>
      </c>
      <c r="C406" s="12" t="s">
        <v>1845</v>
      </c>
      <c r="D406" s="7">
        <v>2</v>
      </c>
    </row>
    <row r="407" spans="1:4">
      <c r="A407" s="10" t="s">
        <v>572</v>
      </c>
      <c r="B407" s="12" t="s">
        <v>62</v>
      </c>
      <c r="C407" s="12" t="s">
        <v>1845</v>
      </c>
      <c r="D407" s="7">
        <v>1</v>
      </c>
    </row>
    <row r="408" spans="1:4">
      <c r="A408" s="10" t="s">
        <v>572</v>
      </c>
      <c r="B408" s="12" t="s">
        <v>62</v>
      </c>
      <c r="C408" s="12" t="s">
        <v>1845</v>
      </c>
      <c r="D408" s="7">
        <v>2</v>
      </c>
    </row>
    <row r="409" spans="1:4">
      <c r="A409" s="10" t="s">
        <v>807</v>
      </c>
      <c r="B409" s="12" t="s">
        <v>808</v>
      </c>
      <c r="C409" s="12" t="s">
        <v>1845</v>
      </c>
      <c r="D409" s="7">
        <v>2</v>
      </c>
    </row>
    <row r="410" spans="1:4">
      <c r="A410" s="10" t="s">
        <v>1119</v>
      </c>
      <c r="B410" s="12" t="s">
        <v>1120</v>
      </c>
      <c r="C410" s="12" t="s">
        <v>1845</v>
      </c>
      <c r="D410" s="7">
        <v>3.5</v>
      </c>
    </row>
    <row r="411" spans="1:4">
      <c r="A411" s="10" t="s">
        <v>419</v>
      </c>
      <c r="B411" s="12" t="s">
        <v>420</v>
      </c>
      <c r="C411" s="12" t="s">
        <v>1845</v>
      </c>
      <c r="D411" s="7">
        <v>1</v>
      </c>
    </row>
    <row r="412" spans="1:4">
      <c r="A412" s="10" t="s">
        <v>1161</v>
      </c>
      <c r="B412" s="12" t="s">
        <v>1162</v>
      </c>
      <c r="C412" s="12" t="s">
        <v>1845</v>
      </c>
      <c r="D412" s="7">
        <v>4</v>
      </c>
    </row>
    <row r="413" spans="1:4">
      <c r="A413" s="10" t="s">
        <v>1540</v>
      </c>
      <c r="B413" s="12" t="s">
        <v>1541</v>
      </c>
      <c r="C413" s="12" t="s">
        <v>1845</v>
      </c>
      <c r="D413" s="7">
        <v>1</v>
      </c>
    </row>
    <row r="414" spans="1:4">
      <c r="A414" s="10" t="s">
        <v>1066</v>
      </c>
      <c r="B414" s="12" t="s">
        <v>1067</v>
      </c>
      <c r="C414" s="12" t="s">
        <v>1845</v>
      </c>
      <c r="D414" s="7">
        <v>2</v>
      </c>
    </row>
    <row r="415" spans="1:4">
      <c r="A415" s="10" t="s">
        <v>985</v>
      </c>
      <c r="B415" s="12" t="s">
        <v>986</v>
      </c>
      <c r="C415" s="12" t="s">
        <v>1845</v>
      </c>
      <c r="D415" s="7">
        <v>2</v>
      </c>
    </row>
    <row r="416" spans="1:4">
      <c r="A416" s="10" t="s">
        <v>1045</v>
      </c>
      <c r="B416" s="12" t="s">
        <v>1046</v>
      </c>
      <c r="C416" s="12" t="s">
        <v>1845</v>
      </c>
      <c r="D416" s="7">
        <v>0.5</v>
      </c>
    </row>
    <row r="417" spans="1:4">
      <c r="A417" s="10" t="s">
        <v>784</v>
      </c>
      <c r="B417" s="12" t="s">
        <v>785</v>
      </c>
      <c r="C417" s="12" t="s">
        <v>1845</v>
      </c>
      <c r="D417" s="7">
        <v>1</v>
      </c>
    </row>
    <row r="418" spans="1:4">
      <c r="A418" s="10" t="s">
        <v>610</v>
      </c>
      <c r="B418" s="12" t="s">
        <v>611</v>
      </c>
      <c r="C418" s="12" t="s">
        <v>1845</v>
      </c>
      <c r="D418" s="7">
        <v>5</v>
      </c>
    </row>
    <row r="419" spans="1:4">
      <c r="A419" s="10" t="s">
        <v>1082</v>
      </c>
      <c r="B419" s="12" t="s">
        <v>1083</v>
      </c>
      <c r="C419" s="12" t="s">
        <v>1845</v>
      </c>
      <c r="D419" s="7">
        <v>1</v>
      </c>
    </row>
    <row r="420" spans="1:4">
      <c r="A420" s="10" t="s">
        <v>351</v>
      </c>
      <c r="B420" s="12" t="s">
        <v>352</v>
      </c>
      <c r="C420" s="12" t="s">
        <v>1845</v>
      </c>
      <c r="D420" s="7">
        <v>1</v>
      </c>
    </row>
    <row r="421" spans="1:4">
      <c r="A421" s="10" t="s">
        <v>628</v>
      </c>
      <c r="B421" s="12" t="s">
        <v>629</v>
      </c>
      <c r="C421" s="12" t="s">
        <v>1845</v>
      </c>
      <c r="D421" s="7">
        <v>4</v>
      </c>
    </row>
    <row r="422" spans="1:4">
      <c r="A422" s="10" t="s">
        <v>884</v>
      </c>
      <c r="B422" s="12" t="s">
        <v>885</v>
      </c>
      <c r="C422" s="12" t="s">
        <v>1845</v>
      </c>
      <c r="D422" s="7">
        <v>1</v>
      </c>
    </row>
    <row r="423" spans="1:4">
      <c r="A423" s="10" t="s">
        <v>381</v>
      </c>
      <c r="B423" s="12" t="s">
        <v>382</v>
      </c>
      <c r="C423" s="12" t="s">
        <v>1845</v>
      </c>
      <c r="D423" s="7">
        <v>5</v>
      </c>
    </row>
    <row r="424" spans="1:4">
      <c r="A424" s="10" t="s">
        <v>1159</v>
      </c>
      <c r="B424" s="12" t="s">
        <v>1160</v>
      </c>
      <c r="C424" s="12" t="s">
        <v>1845</v>
      </c>
      <c r="D424" s="7">
        <v>1.5</v>
      </c>
    </row>
    <row r="425" spans="1:4">
      <c r="A425" s="10" t="s">
        <v>364</v>
      </c>
      <c r="B425" s="12" t="s">
        <v>365</v>
      </c>
      <c r="C425" s="12" t="s">
        <v>1846</v>
      </c>
      <c r="D425" s="7">
        <v>20</v>
      </c>
    </row>
    <row r="426" spans="1:4">
      <c r="A426" s="10" t="s">
        <v>1008</v>
      </c>
      <c r="B426" s="12" t="s">
        <v>1009</v>
      </c>
      <c r="C426" s="12" t="s">
        <v>1845</v>
      </c>
      <c r="D426" s="7">
        <v>1</v>
      </c>
    </row>
    <row r="427" spans="1:4">
      <c r="A427" s="10" t="s">
        <v>1398</v>
      </c>
      <c r="B427" s="12" t="s">
        <v>1399</v>
      </c>
      <c r="C427" s="12" t="s">
        <v>1845</v>
      </c>
      <c r="D427" s="7">
        <v>1</v>
      </c>
    </row>
    <row r="428" spans="1:4">
      <c r="A428" s="10" t="s">
        <v>166</v>
      </c>
      <c r="B428" s="12" t="s">
        <v>167</v>
      </c>
      <c r="C428" s="12" t="s">
        <v>1847</v>
      </c>
      <c r="D428" s="7">
        <v>20</v>
      </c>
    </row>
    <row r="429" spans="1:4">
      <c r="A429" s="10" t="s">
        <v>544</v>
      </c>
      <c r="B429" s="12" t="s">
        <v>38</v>
      </c>
      <c r="C429" s="12" t="s">
        <v>1846</v>
      </c>
      <c r="D429" s="7">
        <v>4</v>
      </c>
    </row>
    <row r="430" spans="1:4">
      <c r="A430" s="10" t="s">
        <v>1746</v>
      </c>
      <c r="B430" s="12" t="s">
        <v>1747</v>
      </c>
      <c r="C430" s="12" t="s">
        <v>1847</v>
      </c>
      <c r="D430" s="7">
        <v>12</v>
      </c>
    </row>
    <row r="431" spans="1:4">
      <c r="A431" s="10" t="s">
        <v>348</v>
      </c>
      <c r="B431" s="12" t="s">
        <v>50</v>
      </c>
      <c r="C431" s="12" t="s">
        <v>1845</v>
      </c>
      <c r="D431" s="7">
        <v>0.5</v>
      </c>
    </row>
    <row r="432" spans="1:4">
      <c r="A432" s="10" t="s">
        <v>348</v>
      </c>
      <c r="B432" s="12" t="s">
        <v>50</v>
      </c>
      <c r="C432" s="12" t="s">
        <v>1845</v>
      </c>
      <c r="D432" s="7">
        <v>17</v>
      </c>
    </row>
    <row r="433" spans="1:4" ht="29.1">
      <c r="A433" s="10" t="s">
        <v>690</v>
      </c>
      <c r="B433" s="12" t="s">
        <v>691</v>
      </c>
      <c r="C433" s="12" t="s">
        <v>1844</v>
      </c>
      <c r="D433" s="7">
        <v>20</v>
      </c>
    </row>
    <row r="434" spans="1:4" ht="29.1">
      <c r="A434" s="10" t="s">
        <v>1134</v>
      </c>
      <c r="B434" s="12" t="s">
        <v>17</v>
      </c>
      <c r="C434" s="12" t="s">
        <v>1844</v>
      </c>
      <c r="D434" s="7">
        <v>15</v>
      </c>
    </row>
    <row r="435" spans="1:4" ht="29.1">
      <c r="A435" s="10" t="s">
        <v>1249</v>
      </c>
      <c r="B435" s="12" t="s">
        <v>1250</v>
      </c>
      <c r="C435" s="12" t="s">
        <v>1844</v>
      </c>
      <c r="D435" s="7">
        <v>3</v>
      </c>
    </row>
    <row r="436" spans="1:4" ht="29.1">
      <c r="A436" s="10" t="s">
        <v>273</v>
      </c>
      <c r="B436" s="12" t="s">
        <v>274</v>
      </c>
      <c r="C436" s="12" t="s">
        <v>1844</v>
      </c>
      <c r="D436" s="7">
        <v>10</v>
      </c>
    </row>
    <row r="437" spans="1:4">
      <c r="A437" s="10" t="s">
        <v>1138</v>
      </c>
      <c r="B437" s="12" t="s">
        <v>86</v>
      </c>
      <c r="C437" s="12" t="s">
        <v>1846</v>
      </c>
      <c r="D437" s="7">
        <v>14</v>
      </c>
    </row>
    <row r="438" spans="1:4">
      <c r="A438" s="10" t="s">
        <v>1138</v>
      </c>
      <c r="B438" s="12" t="s">
        <v>86</v>
      </c>
      <c r="C438" s="12" t="s">
        <v>1847</v>
      </c>
      <c r="D438" s="7">
        <v>1</v>
      </c>
    </row>
    <row r="439" spans="1:4">
      <c r="A439" s="10" t="s">
        <v>1201</v>
      </c>
      <c r="B439" s="12" t="s">
        <v>1202</v>
      </c>
      <c r="C439" s="12" t="s">
        <v>1846</v>
      </c>
      <c r="D439" s="7">
        <v>4.5</v>
      </c>
    </row>
    <row r="440" spans="1:4">
      <c r="A440" s="10" t="s">
        <v>1138</v>
      </c>
      <c r="B440" s="12" t="s">
        <v>86</v>
      </c>
      <c r="C440" s="12" t="s">
        <v>1847</v>
      </c>
      <c r="D440" s="7">
        <v>1</v>
      </c>
    </row>
    <row r="441" spans="1:4">
      <c r="A441" s="10" t="s">
        <v>253</v>
      </c>
      <c r="B441" s="12" t="s">
        <v>254</v>
      </c>
      <c r="C441" s="12" t="s">
        <v>1845</v>
      </c>
      <c r="D441" s="7">
        <v>5</v>
      </c>
    </row>
    <row r="442" spans="1:4">
      <c r="A442" s="10" t="s">
        <v>657</v>
      </c>
      <c r="B442" s="12" t="s">
        <v>658</v>
      </c>
      <c r="C442" s="12" t="s">
        <v>1847</v>
      </c>
      <c r="D442" s="7">
        <v>3.5</v>
      </c>
    </row>
    <row r="443" spans="1:4">
      <c r="A443" s="10" t="s">
        <v>425</v>
      </c>
      <c r="B443" s="12" t="s">
        <v>426</v>
      </c>
      <c r="C443" s="12" t="s">
        <v>1845</v>
      </c>
      <c r="D443" s="7">
        <v>1</v>
      </c>
    </row>
    <row r="444" spans="1:4">
      <c r="A444" s="10" t="s">
        <v>1664</v>
      </c>
      <c r="B444" s="12" t="s">
        <v>1665</v>
      </c>
      <c r="C444" s="12" t="s">
        <v>1847</v>
      </c>
      <c r="D444" s="7">
        <v>20</v>
      </c>
    </row>
    <row r="445" spans="1:4">
      <c r="A445" s="10" t="s">
        <v>1730</v>
      </c>
      <c r="B445" s="12" t="s">
        <v>1731</v>
      </c>
      <c r="C445" s="12" t="s">
        <v>1847</v>
      </c>
      <c r="D445" s="7">
        <v>9.5</v>
      </c>
    </row>
    <row r="446" spans="1:4">
      <c r="A446" s="10" t="s">
        <v>1746</v>
      </c>
      <c r="B446" s="12" t="s">
        <v>1747</v>
      </c>
      <c r="C446" s="12" t="s">
        <v>1848</v>
      </c>
      <c r="D446" s="7">
        <v>7</v>
      </c>
    </row>
    <row r="447" spans="1:4">
      <c r="A447" s="10" t="s">
        <v>1730</v>
      </c>
      <c r="B447" s="12" t="s">
        <v>1731</v>
      </c>
      <c r="C447" s="12" t="s">
        <v>1848</v>
      </c>
      <c r="D447" s="7">
        <v>10.5</v>
      </c>
    </row>
    <row r="448" spans="1:4">
      <c r="A448" s="10" t="s">
        <v>1175</v>
      </c>
      <c r="B448" s="12" t="s">
        <v>1176</v>
      </c>
      <c r="C448" s="12" t="s">
        <v>1846</v>
      </c>
      <c r="D448" s="7">
        <v>11.5</v>
      </c>
    </row>
    <row r="449" spans="1:4">
      <c r="A449" s="10" t="s">
        <v>1062</v>
      </c>
      <c r="B449" s="12" t="s">
        <v>1063</v>
      </c>
      <c r="C449" s="12" t="s">
        <v>1846</v>
      </c>
      <c r="D449" s="7">
        <v>9.5</v>
      </c>
    </row>
    <row r="450" spans="1:4">
      <c r="A450" s="10" t="s">
        <v>1062</v>
      </c>
      <c r="B450" s="12" t="s">
        <v>1063</v>
      </c>
      <c r="C450" s="12" t="s">
        <v>1847</v>
      </c>
      <c r="D450" s="7">
        <v>10.5</v>
      </c>
    </row>
    <row r="451" spans="1:4">
      <c r="A451" s="10" t="s">
        <v>1459</v>
      </c>
      <c r="B451" s="12" t="s">
        <v>72</v>
      </c>
      <c r="C451" s="12" t="s">
        <v>1847</v>
      </c>
      <c r="D451" s="7">
        <v>1</v>
      </c>
    </row>
    <row r="452" spans="1:4">
      <c r="A452" s="10" t="s">
        <v>1459</v>
      </c>
      <c r="B452" s="12" t="s">
        <v>72</v>
      </c>
      <c r="C452" s="12" t="s">
        <v>1847</v>
      </c>
      <c r="D452" s="7">
        <v>2</v>
      </c>
    </row>
    <row r="453" spans="1:4">
      <c r="A453" s="10" t="s">
        <v>1459</v>
      </c>
      <c r="B453" s="12" t="s">
        <v>72</v>
      </c>
      <c r="C453" s="12" t="s">
        <v>1846</v>
      </c>
      <c r="D453" s="7">
        <v>17</v>
      </c>
    </row>
    <row r="454" spans="1:4">
      <c r="A454" s="10" t="s">
        <v>780</v>
      </c>
      <c r="B454" s="12" t="s">
        <v>781</v>
      </c>
      <c r="C454" s="12" t="s">
        <v>1846</v>
      </c>
      <c r="D454" s="7">
        <v>9</v>
      </c>
    </row>
    <row r="455" spans="1:4">
      <c r="A455" s="10" t="s">
        <v>1712</v>
      </c>
      <c r="B455" s="12" t="s">
        <v>1713</v>
      </c>
      <c r="C455" s="12" t="s">
        <v>1847</v>
      </c>
      <c r="D455" s="7">
        <v>19</v>
      </c>
    </row>
    <row r="456" spans="1:4">
      <c r="A456" s="10" t="s">
        <v>1678</v>
      </c>
      <c r="B456" s="12" t="s">
        <v>1679</v>
      </c>
      <c r="C456" s="12" t="s">
        <v>1845</v>
      </c>
      <c r="D456" s="7">
        <v>2</v>
      </c>
    </row>
    <row r="457" spans="1:4">
      <c r="A457" s="10" t="s">
        <v>1660</v>
      </c>
      <c r="B457" s="12" t="s">
        <v>1661</v>
      </c>
      <c r="C457" s="12" t="s">
        <v>1845</v>
      </c>
      <c r="D457" s="7">
        <v>1</v>
      </c>
    </row>
    <row r="458" spans="1:4">
      <c r="A458" s="10" t="s">
        <v>1662</v>
      </c>
      <c r="B458" s="12" t="s">
        <v>1663</v>
      </c>
      <c r="C458" s="12" t="s">
        <v>1845</v>
      </c>
      <c r="D458" s="7">
        <v>1</v>
      </c>
    </row>
    <row r="459" spans="1:4">
      <c r="A459" s="10" t="s">
        <v>525</v>
      </c>
      <c r="B459" s="12" t="s">
        <v>526</v>
      </c>
      <c r="C459" s="12" t="s">
        <v>1846</v>
      </c>
      <c r="D459" s="7">
        <v>20</v>
      </c>
    </row>
    <row r="460" spans="1:4">
      <c r="A460" s="10" t="s">
        <v>1265</v>
      </c>
      <c r="B460" s="12" t="s">
        <v>1266</v>
      </c>
      <c r="C460" s="12" t="s">
        <v>1846</v>
      </c>
      <c r="D460" s="7">
        <v>20</v>
      </c>
    </row>
    <row r="461" spans="1:4">
      <c r="A461" s="10" t="s">
        <v>1295</v>
      </c>
      <c r="B461" s="12" t="s">
        <v>1296</v>
      </c>
      <c r="C461" s="12" t="s">
        <v>1846</v>
      </c>
      <c r="D461" s="7">
        <v>9.5</v>
      </c>
    </row>
    <row r="462" spans="1:4">
      <c r="A462" s="10" t="s">
        <v>1295</v>
      </c>
      <c r="B462" s="12" t="s">
        <v>1296</v>
      </c>
      <c r="C462" s="12" t="s">
        <v>1847</v>
      </c>
      <c r="D462" s="7">
        <v>1</v>
      </c>
    </row>
    <row r="463" spans="1:4">
      <c r="A463" s="10" t="s">
        <v>596</v>
      </c>
      <c r="B463" s="12" t="s">
        <v>597</v>
      </c>
      <c r="C463" s="12" t="s">
        <v>1846</v>
      </c>
      <c r="D463" s="7">
        <v>10</v>
      </c>
    </row>
    <row r="464" spans="1:4">
      <c r="A464" s="10" t="s">
        <v>1700</v>
      </c>
      <c r="B464" s="12" t="s">
        <v>1701</v>
      </c>
      <c r="C464" s="12" t="s">
        <v>1847</v>
      </c>
      <c r="D464" s="7">
        <v>20</v>
      </c>
    </row>
    <row r="465" spans="1:4">
      <c r="A465" s="10" t="s">
        <v>650</v>
      </c>
      <c r="B465" s="12" t="s">
        <v>651</v>
      </c>
      <c r="C465" s="12" t="s">
        <v>1846</v>
      </c>
      <c r="D465" s="7">
        <v>18</v>
      </c>
    </row>
    <row r="466" spans="1:4">
      <c r="A466" s="10" t="s">
        <v>1317</v>
      </c>
      <c r="B466" s="12" t="s">
        <v>1318</v>
      </c>
      <c r="C466" s="12" t="s">
        <v>1847</v>
      </c>
      <c r="D466" s="7">
        <v>4</v>
      </c>
    </row>
    <row r="467" spans="1:4">
      <c r="A467" s="10" t="s">
        <v>1776</v>
      </c>
      <c r="B467" s="12" t="s">
        <v>1777</v>
      </c>
      <c r="C467" s="12" t="s">
        <v>1847</v>
      </c>
      <c r="D467" s="7">
        <v>19</v>
      </c>
    </row>
    <row r="468" spans="1:4">
      <c r="A468" s="10" t="s">
        <v>648</v>
      </c>
      <c r="B468" s="12" t="s">
        <v>649</v>
      </c>
      <c r="C468" s="12" t="s">
        <v>1847</v>
      </c>
      <c r="D468" s="7">
        <v>2</v>
      </c>
    </row>
    <row r="469" spans="1:4" ht="29.1">
      <c r="A469" s="10" t="s">
        <v>1718</v>
      </c>
      <c r="B469" s="12" t="s">
        <v>1719</v>
      </c>
      <c r="C469" s="12" t="s">
        <v>1844</v>
      </c>
      <c r="D469" s="7">
        <v>1</v>
      </c>
    </row>
    <row r="470" spans="1:4">
      <c r="A470" s="10" t="s">
        <v>1288</v>
      </c>
      <c r="B470" s="12" t="s">
        <v>1289</v>
      </c>
      <c r="C470" s="12" t="s">
        <v>1846</v>
      </c>
      <c r="D470" s="7">
        <v>20</v>
      </c>
    </row>
    <row r="471" spans="1:4">
      <c r="A471" s="10" t="s">
        <v>804</v>
      </c>
      <c r="B471" s="12" t="s">
        <v>24</v>
      </c>
      <c r="C471" s="12" t="s">
        <v>1847</v>
      </c>
      <c r="D471" s="7">
        <v>2</v>
      </c>
    </row>
    <row r="472" spans="1:4">
      <c r="A472" s="10" t="s">
        <v>804</v>
      </c>
      <c r="B472" s="12" t="s">
        <v>24</v>
      </c>
      <c r="C472" s="12" t="s">
        <v>1846</v>
      </c>
      <c r="D472" s="7">
        <v>4</v>
      </c>
    </row>
    <row r="473" spans="1:4">
      <c r="A473" s="10" t="s">
        <v>804</v>
      </c>
      <c r="B473" s="12" t="s">
        <v>24</v>
      </c>
      <c r="C473" s="12" t="s">
        <v>1847</v>
      </c>
      <c r="D473" s="7">
        <v>4</v>
      </c>
    </row>
    <row r="474" spans="1:4">
      <c r="A474" s="10" t="s">
        <v>186</v>
      </c>
      <c r="B474" s="12" t="s">
        <v>187</v>
      </c>
      <c r="C474" s="12" t="s">
        <v>1846</v>
      </c>
      <c r="D474" s="7">
        <v>19.5</v>
      </c>
    </row>
    <row r="475" spans="1:4">
      <c r="A475" s="10" t="s">
        <v>767</v>
      </c>
      <c r="B475" s="12" t="s">
        <v>768</v>
      </c>
      <c r="C475" s="12" t="s">
        <v>1846</v>
      </c>
      <c r="D475" s="7">
        <v>20</v>
      </c>
    </row>
    <row r="476" spans="1:4">
      <c r="A476" s="10" t="s">
        <v>1658</v>
      </c>
      <c r="B476" s="12" t="s">
        <v>1659</v>
      </c>
      <c r="C476" s="12" t="s">
        <v>1847</v>
      </c>
      <c r="D476" s="7">
        <v>20</v>
      </c>
    </row>
    <row r="477" spans="1:4">
      <c r="A477" s="10" t="s">
        <v>1694</v>
      </c>
      <c r="B477" s="12" t="s">
        <v>1695</v>
      </c>
      <c r="C477" s="12" t="s">
        <v>1847</v>
      </c>
      <c r="D477" s="7">
        <v>19</v>
      </c>
    </row>
    <row r="478" spans="1:4">
      <c r="A478" s="10" t="s">
        <v>1694</v>
      </c>
      <c r="B478" s="12" t="s">
        <v>1695</v>
      </c>
      <c r="C478" s="12" t="s">
        <v>1847</v>
      </c>
      <c r="D478" s="7">
        <v>1</v>
      </c>
    </row>
    <row r="479" spans="1:4">
      <c r="A479" s="10" t="s">
        <v>1225</v>
      </c>
      <c r="B479" s="12" t="s">
        <v>1226</v>
      </c>
      <c r="C479" s="12" t="s">
        <v>1846</v>
      </c>
      <c r="D479" s="7">
        <v>10</v>
      </c>
    </row>
    <row r="480" spans="1:4">
      <c r="A480" s="10" t="s">
        <v>1225</v>
      </c>
      <c r="B480" s="12" t="s">
        <v>1226</v>
      </c>
      <c r="C480" s="12" t="s">
        <v>1847</v>
      </c>
      <c r="D480" s="7">
        <v>10</v>
      </c>
    </row>
    <row r="481" spans="1:4">
      <c r="A481" s="10" t="s">
        <v>1295</v>
      </c>
      <c r="B481" s="12" t="s">
        <v>1296</v>
      </c>
      <c r="C481" s="12" t="s">
        <v>1847</v>
      </c>
      <c r="D481" s="7">
        <v>9.5</v>
      </c>
    </row>
    <row r="482" spans="1:4">
      <c r="A482" s="10" t="s">
        <v>1656</v>
      </c>
      <c r="B482" s="12" t="s">
        <v>1657</v>
      </c>
      <c r="C482" s="12" t="s">
        <v>1847</v>
      </c>
      <c r="D482" s="7">
        <v>20</v>
      </c>
    </row>
    <row r="483" spans="1:4" ht="29.1">
      <c r="A483" s="10" t="s">
        <v>898</v>
      </c>
      <c r="B483" s="12" t="s">
        <v>899</v>
      </c>
      <c r="C483" s="12" t="s">
        <v>1844</v>
      </c>
      <c r="D483" s="7">
        <v>1</v>
      </c>
    </row>
    <row r="484" spans="1:4">
      <c r="A484" s="10" t="s">
        <v>349</v>
      </c>
      <c r="B484" s="12" t="s">
        <v>350</v>
      </c>
      <c r="C484" s="12" t="s">
        <v>1846</v>
      </c>
      <c r="D484" s="7">
        <v>1</v>
      </c>
    </row>
    <row r="485" spans="1:4">
      <c r="A485" s="10" t="s">
        <v>349</v>
      </c>
      <c r="B485" s="12" t="s">
        <v>350</v>
      </c>
      <c r="C485" s="12" t="s">
        <v>1847</v>
      </c>
      <c r="D485" s="7">
        <v>1</v>
      </c>
    </row>
    <row r="486" spans="1:4">
      <c r="A486" s="10" t="s">
        <v>1187</v>
      </c>
      <c r="B486" s="12" t="s">
        <v>1188</v>
      </c>
      <c r="C486" s="12" t="s">
        <v>1846</v>
      </c>
      <c r="D486" s="7">
        <v>19.5</v>
      </c>
    </row>
    <row r="487" spans="1:4">
      <c r="A487" s="10" t="s">
        <v>1187</v>
      </c>
      <c r="B487" s="12" t="s">
        <v>1188</v>
      </c>
      <c r="C487" s="12" t="s">
        <v>1847</v>
      </c>
      <c r="D487" s="7">
        <v>0.5</v>
      </c>
    </row>
    <row r="488" spans="1:4">
      <c r="A488" s="10" t="s">
        <v>312</v>
      </c>
      <c r="B488" s="12" t="s">
        <v>313</v>
      </c>
      <c r="C488" s="12" t="s">
        <v>1847</v>
      </c>
      <c r="D488" s="7">
        <v>17</v>
      </c>
    </row>
    <row r="489" spans="1:4">
      <c r="A489" s="10" t="s">
        <v>1345</v>
      </c>
      <c r="B489" s="12" t="s">
        <v>1346</v>
      </c>
      <c r="C489" s="12" t="s">
        <v>1846</v>
      </c>
      <c r="D489" s="7">
        <v>20</v>
      </c>
    </row>
    <row r="490" spans="1:4" ht="29.1">
      <c r="A490" s="10" t="s">
        <v>349</v>
      </c>
      <c r="B490" s="12" t="s">
        <v>350</v>
      </c>
      <c r="C490" s="12" t="s">
        <v>1844</v>
      </c>
      <c r="D490" s="7">
        <v>18</v>
      </c>
    </row>
    <row r="491" spans="1:4">
      <c r="A491" s="10" t="s">
        <v>1553</v>
      </c>
      <c r="B491" s="12" t="s">
        <v>1554</v>
      </c>
      <c r="C491" s="12" t="s">
        <v>1846</v>
      </c>
      <c r="D491" s="7">
        <v>20</v>
      </c>
    </row>
    <row r="492" spans="1:4" ht="29.1">
      <c r="A492" s="10" t="s">
        <v>1544</v>
      </c>
      <c r="B492" s="12" t="s">
        <v>1545</v>
      </c>
      <c r="C492" s="12" t="s">
        <v>1844</v>
      </c>
      <c r="D492" s="7">
        <v>2</v>
      </c>
    </row>
    <row r="493" spans="1:4">
      <c r="A493" s="10" t="s">
        <v>534</v>
      </c>
      <c r="B493" s="12" t="s">
        <v>535</v>
      </c>
      <c r="C493" s="12" t="s">
        <v>1846</v>
      </c>
      <c r="D493" s="7">
        <v>0.5</v>
      </c>
    </row>
    <row r="494" spans="1:4">
      <c r="A494" s="10" t="s">
        <v>366</v>
      </c>
      <c r="B494" s="12" t="s">
        <v>367</v>
      </c>
      <c r="C494" s="12" t="s">
        <v>1846</v>
      </c>
      <c r="D494" s="7">
        <v>19</v>
      </c>
    </row>
    <row r="495" spans="1:4">
      <c r="A495" s="10" t="s">
        <v>348</v>
      </c>
      <c r="B495" s="12" t="s">
        <v>50</v>
      </c>
      <c r="C495" s="12" t="s">
        <v>1847</v>
      </c>
      <c r="D495" s="7">
        <v>0.5</v>
      </c>
    </row>
    <row r="496" spans="1:4">
      <c r="A496" s="10" t="s">
        <v>348</v>
      </c>
      <c r="B496" s="12" t="s">
        <v>50</v>
      </c>
      <c r="C496" s="12" t="s">
        <v>1847</v>
      </c>
      <c r="D496" s="7">
        <v>2</v>
      </c>
    </row>
    <row r="497" spans="1:4">
      <c r="A497" s="10" t="s">
        <v>326</v>
      </c>
      <c r="B497" s="12" t="s">
        <v>327</v>
      </c>
      <c r="C497" s="12" t="s">
        <v>1847</v>
      </c>
      <c r="D497" s="7">
        <v>2.5</v>
      </c>
    </row>
    <row r="498" spans="1:4">
      <c r="A498" s="10" t="s">
        <v>377</v>
      </c>
      <c r="B498" s="12" t="s">
        <v>378</v>
      </c>
      <c r="C498" s="12" t="s">
        <v>1845</v>
      </c>
      <c r="D498" s="7">
        <v>0.5</v>
      </c>
    </row>
    <row r="499" spans="1:4">
      <c r="A499" s="10" t="s">
        <v>620</v>
      </c>
      <c r="B499" s="12" t="s">
        <v>621</v>
      </c>
      <c r="C499" s="12" t="s">
        <v>1846</v>
      </c>
      <c r="D499" s="7">
        <v>18.5</v>
      </c>
    </row>
    <row r="500" spans="1:4">
      <c r="A500" s="10" t="s">
        <v>1301</v>
      </c>
      <c r="B500" s="12" t="s">
        <v>1302</v>
      </c>
      <c r="C500" s="12" t="s">
        <v>1847</v>
      </c>
      <c r="D500" s="7">
        <v>9</v>
      </c>
    </row>
    <row r="501" spans="1:4">
      <c r="A501" s="10" t="s">
        <v>293</v>
      </c>
      <c r="B501" s="12" t="s">
        <v>294</v>
      </c>
      <c r="C501" s="12" t="s">
        <v>1845</v>
      </c>
      <c r="D501" s="7">
        <v>2</v>
      </c>
    </row>
    <row r="502" spans="1:4">
      <c r="A502" s="10" t="s">
        <v>754</v>
      </c>
      <c r="B502" s="12" t="s">
        <v>755</v>
      </c>
      <c r="C502" s="12" t="s">
        <v>1847</v>
      </c>
      <c r="D502" s="7">
        <v>3</v>
      </c>
    </row>
    <row r="503" spans="1:4">
      <c r="A503" s="10" t="s">
        <v>754</v>
      </c>
      <c r="B503" s="12" t="s">
        <v>755</v>
      </c>
      <c r="C503" s="12" t="s">
        <v>1847</v>
      </c>
      <c r="D503" s="7">
        <v>6</v>
      </c>
    </row>
    <row r="504" spans="1:4" ht="29.1">
      <c r="A504" s="10" t="s">
        <v>628</v>
      </c>
      <c r="B504" s="12" t="s">
        <v>629</v>
      </c>
      <c r="C504" s="12" t="s">
        <v>1844</v>
      </c>
      <c r="D504" s="7">
        <v>3</v>
      </c>
    </row>
    <row r="505" spans="1:4" ht="29.1">
      <c r="A505" s="10" t="s">
        <v>672</v>
      </c>
      <c r="B505" s="12" t="s">
        <v>673</v>
      </c>
      <c r="C505" s="12" t="s">
        <v>1844</v>
      </c>
      <c r="D505" s="7">
        <v>1</v>
      </c>
    </row>
    <row r="506" spans="1:4">
      <c r="A506" s="10" t="s">
        <v>1060</v>
      </c>
      <c r="B506" s="12" t="s">
        <v>1061</v>
      </c>
      <c r="C506" s="12" t="s">
        <v>1846</v>
      </c>
      <c r="D506" s="7">
        <v>18.5</v>
      </c>
    </row>
    <row r="507" spans="1:4">
      <c r="A507" s="10" t="s">
        <v>1742</v>
      </c>
      <c r="B507" s="12" t="s">
        <v>1743</v>
      </c>
      <c r="C507" s="12" t="s">
        <v>1847</v>
      </c>
      <c r="D507" s="7">
        <v>20</v>
      </c>
    </row>
    <row r="508" spans="1:4" ht="29.1">
      <c r="A508" s="10" t="s">
        <v>1497</v>
      </c>
      <c r="B508" s="12" t="s">
        <v>1498</v>
      </c>
      <c r="C508" s="12" t="s">
        <v>1844</v>
      </c>
      <c r="D508" s="7">
        <v>3</v>
      </c>
    </row>
    <row r="509" spans="1:4">
      <c r="A509" s="10" t="s">
        <v>896</v>
      </c>
      <c r="B509" s="12" t="s">
        <v>897</v>
      </c>
      <c r="C509" s="12" t="s">
        <v>1845</v>
      </c>
      <c r="D509" s="7">
        <v>0.5</v>
      </c>
    </row>
    <row r="510" spans="1:4">
      <c r="A510" s="10" t="s">
        <v>1772</v>
      </c>
      <c r="B510" s="12" t="s">
        <v>1773</v>
      </c>
      <c r="C510" s="12" t="s">
        <v>1847</v>
      </c>
      <c r="D510" s="7">
        <v>20</v>
      </c>
    </row>
    <row r="511" spans="1:4">
      <c r="A511" s="10" t="s">
        <v>576</v>
      </c>
      <c r="B511" s="12" t="s">
        <v>577</v>
      </c>
      <c r="C511" s="12" t="s">
        <v>1845</v>
      </c>
      <c r="D511" s="7">
        <v>2</v>
      </c>
    </row>
    <row r="512" spans="1:4">
      <c r="A512" s="10" t="s">
        <v>576</v>
      </c>
      <c r="B512" s="12" t="s">
        <v>577</v>
      </c>
      <c r="C512" s="12" t="s">
        <v>1845</v>
      </c>
      <c r="D512" s="7">
        <v>7</v>
      </c>
    </row>
    <row r="513" spans="1:4">
      <c r="A513" s="10" t="s">
        <v>1195</v>
      </c>
      <c r="B513" s="12" t="s">
        <v>1196</v>
      </c>
      <c r="C513" s="12" t="s">
        <v>1845</v>
      </c>
      <c r="D513" s="7">
        <v>1</v>
      </c>
    </row>
    <row r="514" spans="1:4">
      <c r="A514" s="10" t="s">
        <v>1479</v>
      </c>
      <c r="B514" s="12" t="s">
        <v>54</v>
      </c>
      <c r="C514" s="12" t="s">
        <v>1845</v>
      </c>
      <c r="D514" s="7">
        <v>2</v>
      </c>
    </row>
    <row r="515" spans="1:4">
      <c r="A515" s="10" t="s">
        <v>1217</v>
      </c>
      <c r="B515" s="12" t="s">
        <v>1218</v>
      </c>
      <c r="C515" s="12" t="s">
        <v>1845</v>
      </c>
      <c r="D515" s="7">
        <v>1</v>
      </c>
    </row>
    <row r="516" spans="1:4">
      <c r="A516" s="10" t="s">
        <v>602</v>
      </c>
      <c r="B516" s="12" t="s">
        <v>603</v>
      </c>
      <c r="C516" s="12" t="s">
        <v>1845</v>
      </c>
      <c r="D516" s="7">
        <v>1</v>
      </c>
    </row>
    <row r="517" spans="1:4">
      <c r="A517" s="10" t="s">
        <v>1239</v>
      </c>
      <c r="B517" s="12" t="s">
        <v>1240</v>
      </c>
      <c r="C517" s="12" t="s">
        <v>1845</v>
      </c>
      <c r="D517" s="7">
        <v>1</v>
      </c>
    </row>
    <row r="518" spans="1:4">
      <c r="A518" s="10" t="s">
        <v>616</v>
      </c>
      <c r="B518" s="12" t="s">
        <v>617</v>
      </c>
      <c r="C518" s="12" t="s">
        <v>1845</v>
      </c>
      <c r="D518" s="7">
        <v>2</v>
      </c>
    </row>
    <row r="519" spans="1:4">
      <c r="A519" s="10" t="s">
        <v>1339</v>
      </c>
      <c r="B519" s="12" t="s">
        <v>1340</v>
      </c>
      <c r="C519" s="12" t="s">
        <v>1845</v>
      </c>
      <c r="D519" s="7">
        <v>1.5</v>
      </c>
    </row>
    <row r="520" spans="1:4">
      <c r="A520" s="10" t="s">
        <v>1525</v>
      </c>
      <c r="B520" s="12" t="s">
        <v>1526</v>
      </c>
      <c r="C520" s="12" t="s">
        <v>1845</v>
      </c>
      <c r="D520" s="7">
        <v>1</v>
      </c>
    </row>
    <row r="521" spans="1:4">
      <c r="A521" s="10" t="s">
        <v>805</v>
      </c>
      <c r="B521" s="12" t="s">
        <v>806</v>
      </c>
      <c r="C521" s="12" t="s">
        <v>1845</v>
      </c>
      <c r="D521" s="7">
        <v>3</v>
      </c>
    </row>
    <row r="522" spans="1:4">
      <c r="A522" s="10" t="s">
        <v>698</v>
      </c>
      <c r="B522" s="12" t="s">
        <v>699</v>
      </c>
      <c r="C522" s="12" t="s">
        <v>1845</v>
      </c>
      <c r="D522" s="7">
        <v>2</v>
      </c>
    </row>
    <row r="523" spans="1:4">
      <c r="A523" s="10" t="s">
        <v>940</v>
      </c>
      <c r="B523" s="12" t="s">
        <v>941</v>
      </c>
      <c r="C523" s="12" t="s">
        <v>1845</v>
      </c>
      <c r="D523" s="7">
        <v>2</v>
      </c>
    </row>
    <row r="524" spans="1:4">
      <c r="A524" s="10" t="s">
        <v>606</v>
      </c>
      <c r="B524" s="12" t="s">
        <v>607</v>
      </c>
      <c r="C524" s="12" t="s">
        <v>1845</v>
      </c>
      <c r="D524" s="7">
        <v>0.5</v>
      </c>
    </row>
    <row r="525" spans="1:4">
      <c r="A525" s="10" t="s">
        <v>1278</v>
      </c>
      <c r="B525" s="12" t="s">
        <v>1279</v>
      </c>
      <c r="C525" s="12" t="s">
        <v>1845</v>
      </c>
      <c r="D525" s="7">
        <v>0.5</v>
      </c>
    </row>
    <row r="526" spans="1:4">
      <c r="A526" s="10" t="s">
        <v>811</v>
      </c>
      <c r="B526" s="12" t="s">
        <v>812</v>
      </c>
      <c r="C526" s="12" t="s">
        <v>1845</v>
      </c>
      <c r="D526" s="7">
        <v>0.5</v>
      </c>
    </row>
    <row r="527" spans="1:4">
      <c r="A527" s="10" t="s">
        <v>860</v>
      </c>
      <c r="B527" s="12" t="s">
        <v>861</v>
      </c>
      <c r="C527" s="12" t="s">
        <v>1845</v>
      </c>
      <c r="D527" s="7">
        <v>0.5</v>
      </c>
    </row>
    <row r="528" spans="1:4">
      <c r="A528" s="10" t="s">
        <v>1410</v>
      </c>
      <c r="B528" s="12" t="s">
        <v>1411</v>
      </c>
      <c r="C528" s="12" t="s">
        <v>1845</v>
      </c>
      <c r="D528" s="7">
        <v>3</v>
      </c>
    </row>
    <row r="529" spans="1:4">
      <c r="A529" s="10" t="s">
        <v>1410</v>
      </c>
      <c r="B529" s="12" t="s">
        <v>1411</v>
      </c>
      <c r="C529" s="12" t="s">
        <v>1845</v>
      </c>
      <c r="D529" s="7">
        <v>1</v>
      </c>
    </row>
    <row r="530" spans="1:4">
      <c r="A530" s="10" t="s">
        <v>1421</v>
      </c>
      <c r="B530" s="12" t="s">
        <v>1422</v>
      </c>
      <c r="C530" s="12" t="s">
        <v>1845</v>
      </c>
      <c r="D530" s="7">
        <v>0.5</v>
      </c>
    </row>
    <row r="531" spans="1:4">
      <c r="A531" s="10" t="s">
        <v>598</v>
      </c>
      <c r="B531" s="12" t="s">
        <v>599</v>
      </c>
      <c r="C531" s="12" t="s">
        <v>1845</v>
      </c>
      <c r="D531" s="7">
        <v>1</v>
      </c>
    </row>
    <row r="532" spans="1:4">
      <c r="A532" s="10" t="s">
        <v>188</v>
      </c>
      <c r="B532" s="12" t="s">
        <v>189</v>
      </c>
      <c r="C532" s="12" t="s">
        <v>1845</v>
      </c>
      <c r="D532" s="7">
        <v>6</v>
      </c>
    </row>
    <row r="533" spans="1:4">
      <c r="A533" s="10" t="s">
        <v>1156</v>
      </c>
      <c r="B533" s="12" t="s">
        <v>1157</v>
      </c>
      <c r="C533" s="12" t="s">
        <v>1845</v>
      </c>
      <c r="D533" s="7">
        <v>2</v>
      </c>
    </row>
    <row r="534" spans="1:4">
      <c r="A534" s="10" t="s">
        <v>1060</v>
      </c>
      <c r="B534" s="12" t="s">
        <v>1061</v>
      </c>
      <c r="C534" s="12" t="s">
        <v>1845</v>
      </c>
      <c r="D534" s="7">
        <v>1</v>
      </c>
    </row>
    <row r="535" spans="1:4">
      <c r="A535" s="10" t="s">
        <v>1171</v>
      </c>
      <c r="B535" s="12" t="s">
        <v>1172</v>
      </c>
      <c r="C535" s="12" t="s">
        <v>1845</v>
      </c>
      <c r="D535" s="7">
        <v>1</v>
      </c>
    </row>
    <row r="536" spans="1:4">
      <c r="A536" s="10" t="s">
        <v>459</v>
      </c>
      <c r="B536" s="12" t="s">
        <v>460</v>
      </c>
      <c r="C536" s="12" t="s">
        <v>1845</v>
      </c>
      <c r="D536" s="7">
        <v>4</v>
      </c>
    </row>
    <row r="537" spans="1:4">
      <c r="A537" s="10" t="s">
        <v>1439</v>
      </c>
      <c r="B537" s="12" t="s">
        <v>1440</v>
      </c>
      <c r="C537" s="12" t="s">
        <v>1845</v>
      </c>
      <c r="D537" s="7">
        <v>2.5</v>
      </c>
    </row>
    <row r="538" spans="1:4">
      <c r="A538" s="10" t="s">
        <v>1089</v>
      </c>
      <c r="B538" s="12" t="s">
        <v>1090</v>
      </c>
      <c r="C538" s="12" t="s">
        <v>1845</v>
      </c>
      <c r="D538" s="7">
        <v>1.5</v>
      </c>
    </row>
    <row r="539" spans="1:4">
      <c r="A539" s="10" t="s">
        <v>1551</v>
      </c>
      <c r="B539" s="12" t="s">
        <v>1552</v>
      </c>
      <c r="C539" s="12" t="s">
        <v>1845</v>
      </c>
      <c r="D539" s="7">
        <v>1.5</v>
      </c>
    </row>
    <row r="540" spans="1:4">
      <c r="A540" s="10" t="s">
        <v>1447</v>
      </c>
      <c r="B540" s="12" t="s">
        <v>65</v>
      </c>
      <c r="C540" s="12" t="s">
        <v>1845</v>
      </c>
      <c r="D540" s="7">
        <v>6</v>
      </c>
    </row>
    <row r="541" spans="1:4">
      <c r="A541" s="10" t="s">
        <v>817</v>
      </c>
      <c r="B541" s="12" t="s">
        <v>818</v>
      </c>
      <c r="C541" s="12" t="s">
        <v>1845</v>
      </c>
      <c r="D541" s="7">
        <v>5</v>
      </c>
    </row>
    <row r="542" spans="1:4">
      <c r="A542" s="10" t="s">
        <v>596</v>
      </c>
      <c r="B542" s="12" t="s">
        <v>597</v>
      </c>
      <c r="C542" s="12" t="s">
        <v>1845</v>
      </c>
      <c r="D542" s="7">
        <v>3</v>
      </c>
    </row>
    <row r="543" spans="1:4">
      <c r="A543" s="10" t="s">
        <v>329</v>
      </c>
      <c r="B543" s="12" t="s">
        <v>330</v>
      </c>
      <c r="C543" s="12" t="s">
        <v>1845</v>
      </c>
      <c r="D543" s="7">
        <v>1</v>
      </c>
    </row>
    <row r="544" spans="1:4">
      <c r="A544" s="10" t="s">
        <v>1446</v>
      </c>
      <c r="B544" s="12" t="s">
        <v>45</v>
      </c>
      <c r="C544" s="12" t="s">
        <v>1845</v>
      </c>
      <c r="D544" s="7">
        <v>2</v>
      </c>
    </row>
    <row r="545" spans="1:4">
      <c r="A545" s="10" t="s">
        <v>604</v>
      </c>
      <c r="B545" s="12" t="s">
        <v>605</v>
      </c>
      <c r="C545" s="12" t="s">
        <v>1845</v>
      </c>
      <c r="D545" s="7">
        <v>2</v>
      </c>
    </row>
    <row r="546" spans="1:4">
      <c r="A546" s="10" t="s">
        <v>457</v>
      </c>
      <c r="B546" s="12" t="s">
        <v>458</v>
      </c>
      <c r="C546" s="12" t="s">
        <v>1845</v>
      </c>
      <c r="D546" s="7">
        <v>0.5</v>
      </c>
    </row>
    <row r="547" spans="1:4">
      <c r="A547" s="10" t="s">
        <v>1389</v>
      </c>
      <c r="B547" s="12" t="s">
        <v>1390</v>
      </c>
      <c r="C547" s="12" t="s">
        <v>1845</v>
      </c>
      <c r="D547" s="7">
        <v>1</v>
      </c>
    </row>
    <row r="548" spans="1:4">
      <c r="A548" s="10" t="s">
        <v>261</v>
      </c>
      <c r="B548" s="12" t="s">
        <v>262</v>
      </c>
      <c r="C548" s="12" t="s">
        <v>1845</v>
      </c>
      <c r="D548" s="7">
        <v>1</v>
      </c>
    </row>
    <row r="549" spans="1:4">
      <c r="A549" s="10" t="s">
        <v>523</v>
      </c>
      <c r="B549" s="12" t="s">
        <v>524</v>
      </c>
      <c r="C549" s="12" t="s">
        <v>1845</v>
      </c>
      <c r="D549" s="7">
        <v>3</v>
      </c>
    </row>
    <row r="550" spans="1:4">
      <c r="A550" s="10" t="s">
        <v>1716</v>
      </c>
      <c r="B550" s="12" t="s">
        <v>1717</v>
      </c>
      <c r="C550" s="12" t="s">
        <v>1845</v>
      </c>
      <c r="D550" s="7">
        <v>1</v>
      </c>
    </row>
    <row r="551" spans="1:4">
      <c r="A551" s="10" t="s">
        <v>507</v>
      </c>
      <c r="B551" s="12" t="s">
        <v>508</v>
      </c>
      <c r="C551" s="12" t="s">
        <v>1843</v>
      </c>
      <c r="D551" s="7">
        <v>1.5</v>
      </c>
    </row>
    <row r="552" spans="1:4">
      <c r="A552" s="10" t="s">
        <v>447</v>
      </c>
      <c r="B552" s="12" t="s">
        <v>64</v>
      </c>
      <c r="C552" s="12" t="s">
        <v>1846</v>
      </c>
      <c r="D552" s="7">
        <v>20</v>
      </c>
    </row>
    <row r="553" spans="1:4">
      <c r="A553" s="10" t="s">
        <v>1138</v>
      </c>
      <c r="B553" s="12" t="s">
        <v>86</v>
      </c>
      <c r="C553" s="12" t="s">
        <v>1845</v>
      </c>
      <c r="D553" s="7">
        <v>4</v>
      </c>
    </row>
    <row r="554" spans="1:4">
      <c r="A554" s="10" t="s">
        <v>766</v>
      </c>
      <c r="B554" s="12" t="s">
        <v>96</v>
      </c>
      <c r="C554" s="12" t="s">
        <v>1845</v>
      </c>
      <c r="D554" s="7">
        <v>6</v>
      </c>
    </row>
    <row r="555" spans="1:4">
      <c r="A555" s="10" t="s">
        <v>433</v>
      </c>
      <c r="B555" s="12" t="s">
        <v>434</v>
      </c>
      <c r="C555" s="12" t="s">
        <v>1847</v>
      </c>
      <c r="D555" s="7">
        <v>1.5</v>
      </c>
    </row>
    <row r="556" spans="1:4">
      <c r="A556" s="10" t="s">
        <v>821</v>
      </c>
      <c r="B556" s="12" t="s">
        <v>822</v>
      </c>
      <c r="C556" s="12" t="s">
        <v>1847</v>
      </c>
      <c r="D556" s="7">
        <v>1.5</v>
      </c>
    </row>
    <row r="557" spans="1:4">
      <c r="A557" s="10" t="s">
        <v>821</v>
      </c>
      <c r="B557" s="12" t="s">
        <v>822</v>
      </c>
      <c r="C557" s="12" t="s">
        <v>1846</v>
      </c>
      <c r="D557" s="7">
        <v>1</v>
      </c>
    </row>
    <row r="558" spans="1:4">
      <c r="A558" s="10" t="s">
        <v>821</v>
      </c>
      <c r="B558" s="12" t="s">
        <v>822</v>
      </c>
      <c r="C558" s="12" t="s">
        <v>1846</v>
      </c>
      <c r="D558" s="7">
        <v>8.5</v>
      </c>
    </row>
    <row r="559" spans="1:4">
      <c r="A559" s="10" t="s">
        <v>821</v>
      </c>
      <c r="B559" s="12" t="s">
        <v>822</v>
      </c>
      <c r="C559" s="12" t="s">
        <v>1846</v>
      </c>
      <c r="D559" s="7">
        <v>8</v>
      </c>
    </row>
    <row r="560" spans="1:4">
      <c r="A560" s="10" t="s">
        <v>1546</v>
      </c>
      <c r="B560" s="12" t="s">
        <v>1547</v>
      </c>
      <c r="C560" s="12" t="s">
        <v>1847</v>
      </c>
      <c r="D560" s="7">
        <v>1</v>
      </c>
    </row>
    <row r="561" spans="1:4">
      <c r="A561" s="10" t="s">
        <v>1546</v>
      </c>
      <c r="B561" s="12" t="s">
        <v>1547</v>
      </c>
      <c r="C561" s="12" t="s">
        <v>1847</v>
      </c>
      <c r="D561" s="7">
        <v>4</v>
      </c>
    </row>
    <row r="562" spans="1:4">
      <c r="A562" s="10" t="s">
        <v>644</v>
      </c>
      <c r="B562" s="12" t="s">
        <v>67</v>
      </c>
      <c r="C562" s="12" t="s">
        <v>1846</v>
      </c>
      <c r="D562" s="7">
        <v>16.5</v>
      </c>
    </row>
    <row r="563" spans="1:4">
      <c r="A563" s="10" t="s">
        <v>644</v>
      </c>
      <c r="B563" s="12" t="s">
        <v>67</v>
      </c>
      <c r="C563" s="12" t="s">
        <v>1847</v>
      </c>
      <c r="D563" s="7">
        <v>2</v>
      </c>
    </row>
    <row r="564" spans="1:4">
      <c r="A564" s="10" t="s">
        <v>1676</v>
      </c>
      <c r="B564" s="12" t="s">
        <v>1677</v>
      </c>
      <c r="C564" s="12" t="s">
        <v>1847</v>
      </c>
      <c r="D564" s="7">
        <v>20</v>
      </c>
    </row>
    <row r="565" spans="1:4" ht="29.1">
      <c r="A565" s="10" t="s">
        <v>1016</v>
      </c>
      <c r="B565" s="12" t="s">
        <v>1017</v>
      </c>
      <c r="C565" s="12" t="s">
        <v>1844</v>
      </c>
      <c r="D565" s="7">
        <v>2</v>
      </c>
    </row>
    <row r="566" spans="1:4" ht="29.1">
      <c r="A566" s="10" t="s">
        <v>1192</v>
      </c>
      <c r="B566" s="12" t="s">
        <v>1193</v>
      </c>
      <c r="C566" s="12" t="s">
        <v>1844</v>
      </c>
      <c r="D566" s="7">
        <v>1</v>
      </c>
    </row>
    <row r="567" spans="1:4">
      <c r="A567" s="10" t="s">
        <v>1353</v>
      </c>
      <c r="B567" s="12" t="s">
        <v>1354</v>
      </c>
      <c r="C567" s="12" t="s">
        <v>1845</v>
      </c>
      <c r="D567" s="7">
        <v>0.5</v>
      </c>
    </row>
    <row r="568" spans="1:4">
      <c r="A568" s="10" t="s">
        <v>560</v>
      </c>
      <c r="B568" s="12" t="s">
        <v>561</v>
      </c>
      <c r="C568" s="12" t="s">
        <v>1846</v>
      </c>
      <c r="D568" s="7">
        <v>12</v>
      </c>
    </row>
    <row r="569" spans="1:4">
      <c r="A569" s="10" t="s">
        <v>560</v>
      </c>
      <c r="B569" s="12" t="s">
        <v>561</v>
      </c>
      <c r="C569" s="12" t="s">
        <v>1846</v>
      </c>
      <c r="D569" s="7">
        <v>1</v>
      </c>
    </row>
    <row r="570" spans="1:4">
      <c r="A570" s="10" t="s">
        <v>1708</v>
      </c>
      <c r="B570" s="12" t="s">
        <v>1709</v>
      </c>
      <c r="C570" s="12" t="s">
        <v>1847</v>
      </c>
      <c r="D570" s="7">
        <v>20</v>
      </c>
    </row>
    <row r="571" spans="1:4">
      <c r="A571" s="10" t="s">
        <v>1732</v>
      </c>
      <c r="B571" s="12" t="s">
        <v>1733</v>
      </c>
      <c r="C571" s="12" t="s">
        <v>1847</v>
      </c>
      <c r="D571" s="7">
        <v>18</v>
      </c>
    </row>
    <row r="572" spans="1:4">
      <c r="A572" s="10" t="s">
        <v>1732</v>
      </c>
      <c r="B572" s="12" t="s">
        <v>1733</v>
      </c>
      <c r="C572" s="12" t="s">
        <v>1847</v>
      </c>
      <c r="D572" s="7">
        <v>1</v>
      </c>
    </row>
    <row r="573" spans="1:4">
      <c r="A573" s="10" t="s">
        <v>1199</v>
      </c>
      <c r="B573" s="12" t="s">
        <v>36</v>
      </c>
      <c r="C573" s="12" t="s">
        <v>1846</v>
      </c>
      <c r="D573" s="7">
        <v>1</v>
      </c>
    </row>
    <row r="574" spans="1:4">
      <c r="A574" s="10" t="s">
        <v>1333</v>
      </c>
      <c r="B574" s="12" t="s">
        <v>1334</v>
      </c>
      <c r="C574" s="12" t="s">
        <v>1846</v>
      </c>
      <c r="D574" s="7">
        <v>20</v>
      </c>
    </row>
    <row r="575" spans="1:4">
      <c r="A575" s="10" t="s">
        <v>626</v>
      </c>
      <c r="B575" s="12" t="s">
        <v>627</v>
      </c>
      <c r="C575" s="12" t="s">
        <v>1847</v>
      </c>
      <c r="D575" s="7">
        <v>17</v>
      </c>
    </row>
    <row r="576" spans="1:4">
      <c r="A576" s="10" t="s">
        <v>1021</v>
      </c>
      <c r="B576" s="12" t="s">
        <v>1022</v>
      </c>
      <c r="C576" s="12" t="s">
        <v>1847</v>
      </c>
      <c r="D576" s="7">
        <v>16</v>
      </c>
    </row>
    <row r="577" spans="1:4">
      <c r="A577" s="10" t="s">
        <v>1780</v>
      </c>
      <c r="B577" s="12" t="s">
        <v>1781</v>
      </c>
      <c r="C577" s="12" t="s">
        <v>1847</v>
      </c>
      <c r="D577" s="7">
        <v>17</v>
      </c>
    </row>
    <row r="578" spans="1:4">
      <c r="A578" s="10" t="s">
        <v>435</v>
      </c>
      <c r="B578" s="12" t="s">
        <v>436</v>
      </c>
      <c r="C578" s="12" t="s">
        <v>1847</v>
      </c>
      <c r="D578" s="7">
        <v>8</v>
      </c>
    </row>
    <row r="579" spans="1:4">
      <c r="A579" s="10" t="s">
        <v>1778</v>
      </c>
      <c r="B579" s="12" t="s">
        <v>1779</v>
      </c>
      <c r="C579" s="12" t="s">
        <v>1847</v>
      </c>
      <c r="D579" s="7">
        <v>20</v>
      </c>
    </row>
    <row r="580" spans="1:4">
      <c r="A580" s="10" t="s">
        <v>1442</v>
      </c>
      <c r="B580" s="12" t="s">
        <v>1443</v>
      </c>
      <c r="C580" s="12" t="s">
        <v>1846</v>
      </c>
      <c r="D580" s="7">
        <v>20</v>
      </c>
    </row>
    <row r="581" spans="1:4">
      <c r="A581" s="10" t="s">
        <v>177</v>
      </c>
      <c r="B581" s="12" t="s">
        <v>178</v>
      </c>
      <c r="C581" s="12" t="s">
        <v>1847</v>
      </c>
      <c r="D581" s="7">
        <v>20</v>
      </c>
    </row>
    <row r="582" spans="1:4">
      <c r="A582" s="10" t="s">
        <v>1455</v>
      </c>
      <c r="B582" s="12" t="s">
        <v>1456</v>
      </c>
      <c r="C582" s="12" t="s">
        <v>1846</v>
      </c>
      <c r="D582" s="7">
        <v>17</v>
      </c>
    </row>
    <row r="583" spans="1:4">
      <c r="A583" s="10" t="s">
        <v>1455</v>
      </c>
      <c r="B583" s="12" t="s">
        <v>1456</v>
      </c>
      <c r="C583" s="12" t="s">
        <v>1847</v>
      </c>
      <c r="D583" s="7">
        <v>2.5</v>
      </c>
    </row>
    <row r="584" spans="1:4">
      <c r="A584" s="10" t="s">
        <v>724</v>
      </c>
      <c r="B584" s="12" t="s">
        <v>725</v>
      </c>
      <c r="C584" s="12" t="s">
        <v>1846</v>
      </c>
      <c r="D584" s="7">
        <v>5</v>
      </c>
    </row>
    <row r="585" spans="1:4">
      <c r="A585" s="10" t="s">
        <v>512</v>
      </c>
      <c r="B585" s="12" t="s">
        <v>513</v>
      </c>
      <c r="C585" s="12" t="s">
        <v>1847</v>
      </c>
      <c r="D585" s="7">
        <v>2</v>
      </c>
    </row>
    <row r="586" spans="1:4">
      <c r="A586" s="10" t="s">
        <v>512</v>
      </c>
      <c r="B586" s="12" t="s">
        <v>513</v>
      </c>
      <c r="C586" s="12" t="s">
        <v>1846</v>
      </c>
      <c r="D586" s="7">
        <v>17</v>
      </c>
    </row>
    <row r="587" spans="1:4">
      <c r="A587" s="10" t="s">
        <v>512</v>
      </c>
      <c r="B587" s="12" t="s">
        <v>513</v>
      </c>
      <c r="C587" s="12" t="s">
        <v>1847</v>
      </c>
      <c r="D587" s="7">
        <v>1</v>
      </c>
    </row>
    <row r="588" spans="1:4">
      <c r="A588" s="10" t="s">
        <v>1624</v>
      </c>
      <c r="B588" s="12" t="s">
        <v>1625</v>
      </c>
      <c r="C588" s="12" t="s">
        <v>1847</v>
      </c>
      <c r="D588" s="7">
        <v>19</v>
      </c>
    </row>
    <row r="589" spans="1:4">
      <c r="A589" s="10" t="s">
        <v>716</v>
      </c>
      <c r="B589" s="12" t="s">
        <v>717</v>
      </c>
      <c r="C589" s="12" t="s">
        <v>1847</v>
      </c>
      <c r="D589" s="7">
        <v>17</v>
      </c>
    </row>
    <row r="590" spans="1:4">
      <c r="A590" s="10" t="s">
        <v>1140</v>
      </c>
      <c r="B590" s="12" t="s">
        <v>1141</v>
      </c>
      <c r="C590" s="12" t="s">
        <v>1847</v>
      </c>
      <c r="D590" s="7">
        <v>0.5</v>
      </c>
    </row>
    <row r="591" spans="1:4">
      <c r="A591" s="10" t="s">
        <v>827</v>
      </c>
      <c r="B591" s="12" t="s">
        <v>828</v>
      </c>
      <c r="C591" s="12" t="s">
        <v>1846</v>
      </c>
      <c r="D591" s="7">
        <v>16.5</v>
      </c>
    </row>
    <row r="592" spans="1:4">
      <c r="A592" s="10" t="s">
        <v>342</v>
      </c>
      <c r="B592" s="12" t="s">
        <v>343</v>
      </c>
      <c r="C592" s="12" t="s">
        <v>1846</v>
      </c>
      <c r="D592" s="7">
        <v>10</v>
      </c>
    </row>
    <row r="593" spans="1:4">
      <c r="A593" s="10" t="s">
        <v>1692</v>
      </c>
      <c r="B593" s="12" t="s">
        <v>1693</v>
      </c>
      <c r="C593" s="12" t="s">
        <v>1845</v>
      </c>
      <c r="D593" s="7">
        <v>3</v>
      </c>
    </row>
    <row r="594" spans="1:4" ht="29.1">
      <c r="A594" s="10" t="s">
        <v>1680</v>
      </c>
      <c r="B594" s="12" t="s">
        <v>1681</v>
      </c>
      <c r="C594" s="12" t="s">
        <v>1844</v>
      </c>
      <c r="D594" s="7">
        <v>0.5</v>
      </c>
    </row>
    <row r="595" spans="1:4">
      <c r="A595" s="10" t="s">
        <v>1770</v>
      </c>
      <c r="B595" s="12" t="s">
        <v>1771</v>
      </c>
      <c r="C595" s="12" t="s">
        <v>1847</v>
      </c>
      <c r="D595" s="7">
        <v>20</v>
      </c>
    </row>
    <row r="596" spans="1:4" ht="29.1">
      <c r="A596" s="10" t="s">
        <v>655</v>
      </c>
      <c r="B596" s="12" t="s">
        <v>656</v>
      </c>
      <c r="C596" s="12" t="s">
        <v>1844</v>
      </c>
      <c r="D596" s="7">
        <v>2</v>
      </c>
    </row>
    <row r="597" spans="1:4">
      <c r="A597" s="10" t="s">
        <v>353</v>
      </c>
      <c r="B597" s="12" t="s">
        <v>14</v>
      </c>
      <c r="C597" s="12" t="s">
        <v>1845</v>
      </c>
      <c r="D597" s="7">
        <v>2</v>
      </c>
    </row>
    <row r="598" spans="1:4">
      <c r="A598" s="10" t="s">
        <v>612</v>
      </c>
      <c r="B598" s="12" t="s">
        <v>613</v>
      </c>
      <c r="C598" s="12" t="s">
        <v>1845</v>
      </c>
      <c r="D598" s="7">
        <v>1</v>
      </c>
    </row>
    <row r="599" spans="1:4">
      <c r="A599" s="10" t="s">
        <v>968</v>
      </c>
      <c r="B599" s="12" t="s">
        <v>969</v>
      </c>
      <c r="C599" s="12" t="s">
        <v>1845</v>
      </c>
      <c r="D599" s="7">
        <v>1</v>
      </c>
    </row>
    <row r="600" spans="1:4">
      <c r="A600" s="10" t="s">
        <v>886</v>
      </c>
      <c r="B600" s="12" t="s">
        <v>887</v>
      </c>
      <c r="C600" s="12" t="s">
        <v>1845</v>
      </c>
      <c r="D600" s="7">
        <v>1</v>
      </c>
    </row>
    <row r="601" spans="1:4">
      <c r="A601" s="10" t="s">
        <v>1208</v>
      </c>
      <c r="B601" s="12" t="s">
        <v>73</v>
      </c>
      <c r="C601" s="12" t="s">
        <v>1845</v>
      </c>
      <c r="D601" s="7">
        <v>1.5</v>
      </c>
    </row>
    <row r="602" spans="1:4">
      <c r="A602" s="10" t="s">
        <v>413</v>
      </c>
      <c r="B602" s="12" t="s">
        <v>414</v>
      </c>
      <c r="C602" s="12" t="s">
        <v>1845</v>
      </c>
      <c r="D602" s="7">
        <v>1</v>
      </c>
    </row>
    <row r="603" spans="1:4">
      <c r="A603" s="10" t="s">
        <v>393</v>
      </c>
      <c r="B603" s="12" t="s">
        <v>394</v>
      </c>
      <c r="C603" s="12" t="s">
        <v>1845</v>
      </c>
      <c r="D603" s="7">
        <v>1</v>
      </c>
    </row>
    <row r="604" spans="1:4">
      <c r="A604" s="10" t="s">
        <v>450</v>
      </c>
      <c r="B604" s="12" t="s">
        <v>451</v>
      </c>
      <c r="C604" s="12" t="s">
        <v>1845</v>
      </c>
      <c r="D604" s="7">
        <v>2</v>
      </c>
    </row>
    <row r="605" spans="1:4">
      <c r="A605" s="10" t="s">
        <v>872</v>
      </c>
      <c r="B605" s="12" t="s">
        <v>51</v>
      </c>
      <c r="C605" s="12" t="s">
        <v>1845</v>
      </c>
      <c r="D605" s="7">
        <v>6</v>
      </c>
    </row>
    <row r="606" spans="1:4">
      <c r="A606" s="10" t="s">
        <v>203</v>
      </c>
      <c r="B606" s="12" t="s">
        <v>204</v>
      </c>
      <c r="C606" s="12" t="s">
        <v>1845</v>
      </c>
      <c r="D606" s="7">
        <v>1.5</v>
      </c>
    </row>
    <row r="607" spans="1:4">
      <c r="A607" s="10" t="s">
        <v>1054</v>
      </c>
      <c r="B607" s="12" t="s">
        <v>1055</v>
      </c>
      <c r="C607" s="12" t="s">
        <v>1845</v>
      </c>
      <c r="D607" s="7">
        <v>0.5</v>
      </c>
    </row>
    <row r="608" spans="1:4">
      <c r="A608" s="10" t="s">
        <v>1078</v>
      </c>
      <c r="B608" s="12" t="s">
        <v>1079</v>
      </c>
      <c r="C608" s="12" t="s">
        <v>1845</v>
      </c>
      <c r="D608" s="7">
        <v>1.5</v>
      </c>
    </row>
    <row r="609" spans="1:4">
      <c r="A609" s="10" t="s">
        <v>297</v>
      </c>
      <c r="B609" s="12" t="s">
        <v>298</v>
      </c>
      <c r="C609" s="12" t="s">
        <v>1845</v>
      </c>
      <c r="D609" s="7">
        <v>3</v>
      </c>
    </row>
    <row r="610" spans="1:4">
      <c r="A610" s="10" t="s">
        <v>672</v>
      </c>
      <c r="B610" s="12" t="s">
        <v>673</v>
      </c>
      <c r="C610" s="12" t="s">
        <v>1845</v>
      </c>
      <c r="D610" s="7">
        <v>1</v>
      </c>
    </row>
    <row r="611" spans="1:4">
      <c r="A611" s="10" t="s">
        <v>480</v>
      </c>
      <c r="B611" s="12" t="s">
        <v>481</v>
      </c>
      <c r="C611" s="12" t="s">
        <v>1848</v>
      </c>
      <c r="D611" s="7">
        <v>18.5</v>
      </c>
    </row>
    <row r="612" spans="1:4">
      <c r="A612" s="10" t="s">
        <v>480</v>
      </c>
      <c r="B612" s="12" t="s">
        <v>481</v>
      </c>
      <c r="C612" s="12" t="s">
        <v>1847</v>
      </c>
      <c r="D612" s="7">
        <v>1.5</v>
      </c>
    </row>
    <row r="613" spans="1:4">
      <c r="A613" s="10" t="s">
        <v>1223</v>
      </c>
      <c r="B613" s="12" t="s">
        <v>1224</v>
      </c>
      <c r="C613" s="12" t="s">
        <v>1845</v>
      </c>
      <c r="D613" s="7">
        <v>1.5</v>
      </c>
    </row>
    <row r="614" spans="1:4">
      <c r="A614" s="10" t="s">
        <v>1223</v>
      </c>
      <c r="B614" s="12" t="s">
        <v>1224</v>
      </c>
      <c r="C614" s="12" t="s">
        <v>1845</v>
      </c>
      <c r="D614" s="7">
        <v>1</v>
      </c>
    </row>
    <row r="615" spans="1:4">
      <c r="A615" s="10" t="s">
        <v>1043</v>
      </c>
      <c r="B615" s="12" t="s">
        <v>1044</v>
      </c>
      <c r="C615" s="12" t="s">
        <v>1846</v>
      </c>
      <c r="D615" s="7">
        <v>19.5</v>
      </c>
    </row>
    <row r="616" spans="1:4">
      <c r="A616" s="10" t="s">
        <v>856</v>
      </c>
      <c r="B616" s="12" t="s">
        <v>857</v>
      </c>
      <c r="C616" s="12" t="s">
        <v>1848</v>
      </c>
      <c r="D616" s="7">
        <v>20</v>
      </c>
    </row>
    <row r="617" spans="1:4">
      <c r="A617" s="10" t="s">
        <v>576</v>
      </c>
      <c r="B617" s="12" t="s">
        <v>577</v>
      </c>
      <c r="C617" s="12" t="s">
        <v>1845</v>
      </c>
      <c r="D617" s="7">
        <v>2</v>
      </c>
    </row>
    <row r="618" spans="1:4">
      <c r="A618" s="10" t="s">
        <v>988</v>
      </c>
      <c r="B618" s="12" t="s">
        <v>989</v>
      </c>
      <c r="C618" s="12" t="s">
        <v>1845</v>
      </c>
      <c r="D618" s="7">
        <v>3</v>
      </c>
    </row>
    <row r="619" spans="1:4">
      <c r="A619" s="10" t="s">
        <v>1666</v>
      </c>
      <c r="B619" s="12" t="s">
        <v>1667</v>
      </c>
      <c r="C619" s="12" t="s">
        <v>1845</v>
      </c>
      <c r="D619" s="7">
        <v>0.5</v>
      </c>
    </row>
    <row r="620" spans="1:4">
      <c r="A620" s="10" t="s">
        <v>1638</v>
      </c>
      <c r="B620" s="12" t="s">
        <v>1639</v>
      </c>
      <c r="C620" s="12" t="s">
        <v>1845</v>
      </c>
      <c r="D620" s="7">
        <v>5</v>
      </c>
    </row>
    <row r="621" spans="1:4">
      <c r="A621" s="10" t="s">
        <v>1692</v>
      </c>
      <c r="B621" s="12" t="s">
        <v>1693</v>
      </c>
      <c r="C621" s="12" t="s">
        <v>1845</v>
      </c>
      <c r="D621" s="7">
        <v>1</v>
      </c>
    </row>
    <row r="622" spans="1:4" ht="29.1">
      <c r="A622" s="10" t="s">
        <v>682</v>
      </c>
      <c r="B622" s="12" t="s">
        <v>683</v>
      </c>
      <c r="C622" s="12" t="s">
        <v>1844</v>
      </c>
      <c r="D622" s="7">
        <v>2</v>
      </c>
    </row>
    <row r="623" spans="1:4">
      <c r="A623" s="10" t="s">
        <v>1670</v>
      </c>
      <c r="B623" s="12" t="s">
        <v>1671</v>
      </c>
      <c r="C623" s="12" t="s">
        <v>1847</v>
      </c>
      <c r="D623" s="7">
        <v>20</v>
      </c>
    </row>
    <row r="624" spans="1:4">
      <c r="A624" s="10" t="s">
        <v>839</v>
      </c>
      <c r="B624" s="12" t="s">
        <v>840</v>
      </c>
      <c r="C624" s="12" t="s">
        <v>1845</v>
      </c>
      <c r="D624" s="7">
        <v>1</v>
      </c>
    </row>
    <row r="625" spans="1:4">
      <c r="A625" s="10" t="s">
        <v>839</v>
      </c>
      <c r="B625" s="12" t="s">
        <v>840</v>
      </c>
      <c r="C625" s="12" t="s">
        <v>1845</v>
      </c>
      <c r="D625" s="7">
        <v>4</v>
      </c>
    </row>
    <row r="626" spans="1:4" ht="29.1">
      <c r="A626" s="10" t="s">
        <v>1616</v>
      </c>
      <c r="B626" s="12" t="s">
        <v>1617</v>
      </c>
      <c r="C626" s="12" t="s">
        <v>1844</v>
      </c>
      <c r="D626" s="7">
        <v>1</v>
      </c>
    </row>
    <row r="627" spans="1:4">
      <c r="A627" s="10" t="s">
        <v>1726</v>
      </c>
      <c r="B627" s="12" t="s">
        <v>1727</v>
      </c>
      <c r="C627" s="12" t="s">
        <v>1847</v>
      </c>
      <c r="D627" s="7">
        <v>18</v>
      </c>
    </row>
    <row r="628" spans="1:4">
      <c r="A628" s="10" t="s">
        <v>1726</v>
      </c>
      <c r="B628" s="12" t="s">
        <v>1727</v>
      </c>
      <c r="C628" s="12" t="s">
        <v>1847</v>
      </c>
      <c r="D628" s="7">
        <v>1</v>
      </c>
    </row>
    <row r="629" spans="1:4">
      <c r="A629" s="10" t="s">
        <v>714</v>
      </c>
      <c r="B629" s="12" t="s">
        <v>715</v>
      </c>
      <c r="C629" s="12" t="s">
        <v>1846</v>
      </c>
      <c r="D629" s="7">
        <v>20</v>
      </c>
    </row>
    <row r="630" spans="1:4">
      <c r="A630" s="10" t="s">
        <v>1654</v>
      </c>
      <c r="B630" s="12" t="s">
        <v>1655</v>
      </c>
      <c r="C630" s="12" t="s">
        <v>1847</v>
      </c>
      <c r="D630" s="7">
        <v>20</v>
      </c>
    </row>
    <row r="631" spans="1:4">
      <c r="A631" s="10" t="s">
        <v>359</v>
      </c>
      <c r="B631" s="12" t="s">
        <v>360</v>
      </c>
      <c r="C631" s="12" t="s">
        <v>1846</v>
      </c>
      <c r="D631" s="7">
        <v>15</v>
      </c>
    </row>
    <row r="632" spans="1:4">
      <c r="A632" s="10" t="s">
        <v>359</v>
      </c>
      <c r="B632" s="12" t="s">
        <v>360</v>
      </c>
      <c r="C632" s="12" t="s">
        <v>1847</v>
      </c>
      <c r="D632" s="7">
        <v>5</v>
      </c>
    </row>
    <row r="633" spans="1:4">
      <c r="A633" s="10" t="s">
        <v>1672</v>
      </c>
      <c r="B633" s="12" t="s">
        <v>1673</v>
      </c>
      <c r="C633" s="12" t="s">
        <v>1847</v>
      </c>
      <c r="D633" s="7">
        <v>19.5</v>
      </c>
    </row>
    <row r="634" spans="1:4" ht="29.1">
      <c r="A634" s="10" t="s">
        <v>223</v>
      </c>
      <c r="B634" s="12" t="s">
        <v>224</v>
      </c>
      <c r="C634" s="12" t="s">
        <v>1844</v>
      </c>
      <c r="D634" s="7">
        <v>14</v>
      </c>
    </row>
    <row r="635" spans="1:4">
      <c r="A635" s="10" t="s">
        <v>1060</v>
      </c>
      <c r="B635" s="12" t="s">
        <v>1061</v>
      </c>
      <c r="C635" s="12" t="s">
        <v>1847</v>
      </c>
      <c r="D635" s="7">
        <v>0.5</v>
      </c>
    </row>
    <row r="636" spans="1:4">
      <c r="A636" s="10" t="s">
        <v>376</v>
      </c>
      <c r="B636" s="12" t="s">
        <v>71</v>
      </c>
      <c r="C636" s="12" t="s">
        <v>1845</v>
      </c>
      <c r="D636" s="7">
        <v>4</v>
      </c>
    </row>
    <row r="637" spans="1:4">
      <c r="A637" s="10" t="s">
        <v>773</v>
      </c>
      <c r="B637" s="12" t="s">
        <v>78</v>
      </c>
      <c r="C637" s="12" t="s">
        <v>1846</v>
      </c>
      <c r="D637" s="7">
        <v>12</v>
      </c>
    </row>
    <row r="638" spans="1:4">
      <c r="A638" s="10" t="s">
        <v>773</v>
      </c>
      <c r="B638" s="12" t="s">
        <v>78</v>
      </c>
      <c r="C638" s="12" t="s">
        <v>1846</v>
      </c>
      <c r="D638" s="7">
        <v>7</v>
      </c>
    </row>
    <row r="639" spans="1:4">
      <c r="A639" s="10" t="s">
        <v>137</v>
      </c>
      <c r="B639" s="12" t="s">
        <v>138</v>
      </c>
      <c r="C639" s="12" t="s">
        <v>1846</v>
      </c>
      <c r="D639" s="7">
        <v>8</v>
      </c>
    </row>
    <row r="640" spans="1:4" ht="29.1">
      <c r="A640" s="10" t="s">
        <v>833</v>
      </c>
      <c r="B640" s="12" t="s">
        <v>834</v>
      </c>
      <c r="C640" s="12" t="s">
        <v>1844</v>
      </c>
      <c r="D640" s="7">
        <v>1</v>
      </c>
    </row>
    <row r="641" spans="1:4">
      <c r="A641" s="10" t="s">
        <v>137</v>
      </c>
      <c r="B641" s="12" t="s">
        <v>138</v>
      </c>
      <c r="C641" s="12" t="s">
        <v>1846</v>
      </c>
      <c r="D641" s="7">
        <v>8</v>
      </c>
    </row>
    <row r="642" spans="1:4">
      <c r="A642" s="10" t="s">
        <v>199</v>
      </c>
      <c r="B642" s="12" t="s">
        <v>200</v>
      </c>
      <c r="C642" s="12" t="s">
        <v>1846</v>
      </c>
      <c r="D642" s="7">
        <v>19</v>
      </c>
    </row>
    <row r="643" spans="1:4">
      <c r="A643" s="10" t="s">
        <v>1319</v>
      </c>
      <c r="B643" s="12" t="s">
        <v>1320</v>
      </c>
      <c r="C643" s="12" t="s">
        <v>1846</v>
      </c>
      <c r="D643" s="7">
        <v>19.5</v>
      </c>
    </row>
    <row r="644" spans="1:4">
      <c r="A644" s="10" t="s">
        <v>474</v>
      </c>
      <c r="B644" s="12" t="s">
        <v>475</v>
      </c>
      <c r="C644" s="12" t="s">
        <v>1846</v>
      </c>
      <c r="D644" s="7">
        <v>19.5</v>
      </c>
    </row>
    <row r="645" spans="1:4">
      <c r="A645" s="10" t="s">
        <v>930</v>
      </c>
      <c r="B645" s="12" t="s">
        <v>931</v>
      </c>
      <c r="C645" s="12" t="s">
        <v>1847</v>
      </c>
      <c r="D645" s="7">
        <v>8.5</v>
      </c>
    </row>
    <row r="646" spans="1:4">
      <c r="A646" s="10" t="s">
        <v>930</v>
      </c>
      <c r="B646" s="12" t="s">
        <v>931</v>
      </c>
      <c r="C646" s="12" t="s">
        <v>1843</v>
      </c>
      <c r="D646" s="7">
        <v>8.5</v>
      </c>
    </row>
    <row r="647" spans="1:4">
      <c r="A647" s="10" t="s">
        <v>1150</v>
      </c>
      <c r="B647" s="12" t="s">
        <v>1151</v>
      </c>
      <c r="C647" s="12" t="s">
        <v>1845</v>
      </c>
      <c r="D647" s="7">
        <v>3</v>
      </c>
    </row>
    <row r="648" spans="1:4">
      <c r="A648" s="10" t="s">
        <v>1527</v>
      </c>
      <c r="B648" s="12" t="s">
        <v>55</v>
      </c>
      <c r="C648" s="12" t="s">
        <v>1845</v>
      </c>
      <c r="D648" s="7">
        <v>1</v>
      </c>
    </row>
    <row r="649" spans="1:4">
      <c r="A649" s="10" t="s">
        <v>1195</v>
      </c>
      <c r="B649" s="12" t="s">
        <v>1196</v>
      </c>
      <c r="C649" s="12" t="s">
        <v>1845</v>
      </c>
      <c r="D649" s="7">
        <v>1</v>
      </c>
    </row>
    <row r="650" spans="1:4">
      <c r="A650" s="10" t="s">
        <v>795</v>
      </c>
      <c r="B650" s="12" t="s">
        <v>796</v>
      </c>
      <c r="C650" s="12" t="s">
        <v>1845</v>
      </c>
      <c r="D650" s="7">
        <v>0.5</v>
      </c>
    </row>
    <row r="651" spans="1:4">
      <c r="A651" s="10" t="s">
        <v>712</v>
      </c>
      <c r="B651" s="12" t="s">
        <v>713</v>
      </c>
      <c r="C651" s="12" t="s">
        <v>1845</v>
      </c>
      <c r="D651" s="7">
        <v>0.5</v>
      </c>
    </row>
    <row r="652" spans="1:4">
      <c r="A652" s="10" t="s">
        <v>1622</v>
      </c>
      <c r="B652" s="12" t="s">
        <v>1623</v>
      </c>
      <c r="C652" s="12" t="s">
        <v>1845</v>
      </c>
      <c r="D652" s="7">
        <v>1</v>
      </c>
    </row>
    <row r="653" spans="1:4">
      <c r="A653" s="10" t="s">
        <v>1448</v>
      </c>
      <c r="B653" s="12" t="s">
        <v>1449</v>
      </c>
      <c r="C653" s="12" t="s">
        <v>1845</v>
      </c>
      <c r="D653" s="7">
        <v>2</v>
      </c>
    </row>
    <row r="654" spans="1:4">
      <c r="A654" s="10" t="s">
        <v>866</v>
      </c>
      <c r="B654" s="12" t="s">
        <v>867</v>
      </c>
      <c r="C654" s="12" t="s">
        <v>1845</v>
      </c>
      <c r="D654" s="7">
        <v>0.5</v>
      </c>
    </row>
    <row r="655" spans="1:4">
      <c r="A655" s="10" t="s">
        <v>672</v>
      </c>
      <c r="B655" s="12" t="s">
        <v>673</v>
      </c>
      <c r="C655" s="12" t="s">
        <v>1845</v>
      </c>
      <c r="D655" s="7">
        <v>1</v>
      </c>
    </row>
    <row r="656" spans="1:4">
      <c r="A656" s="10" t="s">
        <v>137</v>
      </c>
      <c r="B656" s="12" t="s">
        <v>138</v>
      </c>
      <c r="C656" s="12" t="s">
        <v>1845</v>
      </c>
      <c r="D656" s="7">
        <v>4</v>
      </c>
    </row>
    <row r="657" spans="1:4">
      <c r="A657" s="10" t="s">
        <v>775</v>
      </c>
      <c r="B657" s="12" t="s">
        <v>776</v>
      </c>
      <c r="C657" s="12" t="s">
        <v>1845</v>
      </c>
      <c r="D657" s="7">
        <v>0.5</v>
      </c>
    </row>
    <row r="658" spans="1:4">
      <c r="A658" s="10" t="s">
        <v>358</v>
      </c>
      <c r="B658" s="12" t="s">
        <v>26</v>
      </c>
      <c r="C658" s="12" t="s">
        <v>1845</v>
      </c>
      <c r="D658" s="7">
        <v>2</v>
      </c>
    </row>
    <row r="659" spans="1:4">
      <c r="A659" s="10" t="s">
        <v>358</v>
      </c>
      <c r="B659" s="12" t="s">
        <v>26</v>
      </c>
      <c r="C659" s="12" t="s">
        <v>1845</v>
      </c>
      <c r="D659" s="7">
        <v>1</v>
      </c>
    </row>
    <row r="660" spans="1:4">
      <c r="A660" s="10" t="s">
        <v>1331</v>
      </c>
      <c r="B660" s="12" t="s">
        <v>1332</v>
      </c>
      <c r="C660" s="12" t="s">
        <v>1845</v>
      </c>
      <c r="D660" s="7">
        <v>1</v>
      </c>
    </row>
    <row r="661" spans="1:4">
      <c r="A661" s="10" t="s">
        <v>534</v>
      </c>
      <c r="B661" s="12" t="s">
        <v>535</v>
      </c>
      <c r="C661" s="12" t="s">
        <v>1845</v>
      </c>
      <c r="D661" s="7">
        <v>1</v>
      </c>
    </row>
    <row r="662" spans="1:4">
      <c r="A662" s="10" t="s">
        <v>1595</v>
      </c>
      <c r="B662" s="12" t="s">
        <v>1596</v>
      </c>
      <c r="C662" s="12" t="s">
        <v>1845</v>
      </c>
      <c r="D662" s="7">
        <v>1</v>
      </c>
    </row>
    <row r="663" spans="1:4">
      <c r="A663" s="10" t="s">
        <v>1599</v>
      </c>
      <c r="B663" s="12" t="s">
        <v>1600</v>
      </c>
      <c r="C663" s="12" t="s">
        <v>1845</v>
      </c>
      <c r="D663" s="7">
        <v>1</v>
      </c>
    </row>
    <row r="664" spans="1:4">
      <c r="A664" s="10" t="s">
        <v>809</v>
      </c>
      <c r="B664" s="12" t="s">
        <v>810</v>
      </c>
      <c r="C664" s="12" t="s">
        <v>1847</v>
      </c>
      <c r="D664" s="7">
        <v>2</v>
      </c>
    </row>
    <row r="665" spans="1:4">
      <c r="A665" s="10" t="s">
        <v>395</v>
      </c>
      <c r="B665" s="12" t="s">
        <v>396</v>
      </c>
      <c r="C665" s="12" t="s">
        <v>1846</v>
      </c>
      <c r="D665" s="7">
        <v>9</v>
      </c>
    </row>
    <row r="666" spans="1:4">
      <c r="A666" s="10" t="s">
        <v>732</v>
      </c>
      <c r="B666" s="12" t="s">
        <v>733</v>
      </c>
      <c r="C666" s="12" t="s">
        <v>1846</v>
      </c>
      <c r="D666" s="7">
        <v>18</v>
      </c>
    </row>
    <row r="667" spans="1:4">
      <c r="A667" s="10" t="s">
        <v>1587</v>
      </c>
      <c r="B667" s="12" t="s">
        <v>1588</v>
      </c>
      <c r="C667" s="12" t="s">
        <v>1845</v>
      </c>
      <c r="D667" s="7">
        <v>1</v>
      </c>
    </row>
    <row r="668" spans="1:4">
      <c r="A668" s="10" t="s">
        <v>1787</v>
      </c>
      <c r="B668" s="12" t="s">
        <v>1788</v>
      </c>
      <c r="C668" s="12" t="s">
        <v>1847</v>
      </c>
      <c r="D668" s="7">
        <v>15</v>
      </c>
    </row>
    <row r="669" spans="1:4">
      <c r="A669" s="10" t="s">
        <v>1628</v>
      </c>
      <c r="B669" s="12" t="s">
        <v>1629</v>
      </c>
      <c r="C669" s="12" t="s">
        <v>1847</v>
      </c>
      <c r="D669" s="7">
        <v>20</v>
      </c>
    </row>
    <row r="670" spans="1:4">
      <c r="A670" s="10" t="s">
        <v>1738</v>
      </c>
      <c r="B670" s="12" t="s">
        <v>1739</v>
      </c>
      <c r="C670" s="12" t="s">
        <v>1847</v>
      </c>
      <c r="D670" s="7">
        <v>18.5</v>
      </c>
    </row>
    <row r="671" spans="1:4">
      <c r="A671" s="10" t="s">
        <v>1037</v>
      </c>
      <c r="B671" s="12" t="s">
        <v>1038</v>
      </c>
      <c r="C671" s="12" t="s">
        <v>1847</v>
      </c>
      <c r="D671" s="7">
        <v>0.5</v>
      </c>
    </row>
    <row r="672" spans="1:4">
      <c r="A672" s="10" t="s">
        <v>1121</v>
      </c>
      <c r="B672" s="12" t="s">
        <v>1122</v>
      </c>
      <c r="C672" s="12" t="s">
        <v>1846</v>
      </c>
      <c r="D672" s="7">
        <v>9</v>
      </c>
    </row>
    <row r="673" spans="1:4">
      <c r="A673" s="10" t="s">
        <v>1121</v>
      </c>
      <c r="B673" s="12" t="s">
        <v>1122</v>
      </c>
      <c r="C673" s="12" t="s">
        <v>1847</v>
      </c>
      <c r="D673" s="7">
        <v>1</v>
      </c>
    </row>
    <row r="674" spans="1:4">
      <c r="A674" s="10" t="s">
        <v>1121</v>
      </c>
      <c r="B674" s="12" t="s">
        <v>1122</v>
      </c>
      <c r="C674" s="12" t="s">
        <v>1847</v>
      </c>
      <c r="D674" s="7">
        <v>10</v>
      </c>
    </row>
    <row r="675" spans="1:4">
      <c r="A675" s="10" t="s">
        <v>376</v>
      </c>
      <c r="B675" s="12" t="s">
        <v>71</v>
      </c>
      <c r="C675" s="12" t="s">
        <v>1847</v>
      </c>
      <c r="D675" s="7">
        <v>2</v>
      </c>
    </row>
    <row r="676" spans="1:4">
      <c r="A676" s="10" t="s">
        <v>376</v>
      </c>
      <c r="B676" s="12" t="s">
        <v>71</v>
      </c>
      <c r="C676" s="12" t="s">
        <v>1846</v>
      </c>
      <c r="D676" s="7">
        <v>0.5</v>
      </c>
    </row>
    <row r="677" spans="1:4">
      <c r="A677" s="10" t="s">
        <v>501</v>
      </c>
      <c r="B677" s="12" t="s">
        <v>502</v>
      </c>
      <c r="C677" s="12" t="s">
        <v>1845</v>
      </c>
      <c r="D677" s="7">
        <v>1</v>
      </c>
    </row>
    <row r="678" spans="1:4">
      <c r="A678" s="10" t="s">
        <v>1478</v>
      </c>
      <c r="B678" s="12" t="s">
        <v>23</v>
      </c>
      <c r="C678" s="12" t="s">
        <v>1846</v>
      </c>
      <c r="D678" s="7">
        <v>8</v>
      </c>
    </row>
    <row r="679" spans="1:4">
      <c r="A679" s="10" t="s">
        <v>1478</v>
      </c>
      <c r="B679" s="12" t="s">
        <v>23</v>
      </c>
      <c r="C679" s="12" t="s">
        <v>1847</v>
      </c>
      <c r="D679" s="7">
        <v>0.5</v>
      </c>
    </row>
    <row r="680" spans="1:4">
      <c r="A680" s="10" t="s">
        <v>1478</v>
      </c>
      <c r="B680" s="12" t="s">
        <v>23</v>
      </c>
      <c r="C680" s="12" t="s">
        <v>1846</v>
      </c>
      <c r="D680" s="7">
        <v>7</v>
      </c>
    </row>
    <row r="681" spans="1:4">
      <c r="A681" s="10" t="s">
        <v>1478</v>
      </c>
      <c r="B681" s="12" t="s">
        <v>23</v>
      </c>
      <c r="C681" s="12" t="s">
        <v>1847</v>
      </c>
      <c r="D681" s="7">
        <v>1.5</v>
      </c>
    </row>
    <row r="682" spans="1:4">
      <c r="A682" s="10" t="s">
        <v>644</v>
      </c>
      <c r="B682" s="12" t="s">
        <v>67</v>
      </c>
      <c r="C682" s="12" t="s">
        <v>1847</v>
      </c>
      <c r="D682" s="7">
        <v>1</v>
      </c>
    </row>
    <row r="683" spans="1:4">
      <c r="A683" s="10" t="s">
        <v>632</v>
      </c>
      <c r="B683" s="12" t="s">
        <v>633</v>
      </c>
      <c r="C683" s="12" t="s">
        <v>1847</v>
      </c>
      <c r="D683" s="7">
        <v>9</v>
      </c>
    </row>
    <row r="684" spans="1:4">
      <c r="A684" s="10" t="s">
        <v>940</v>
      </c>
      <c r="B684" s="12" t="s">
        <v>941</v>
      </c>
      <c r="C684" s="12" t="s">
        <v>1846</v>
      </c>
      <c r="D684" s="7">
        <v>18</v>
      </c>
    </row>
    <row r="685" spans="1:4">
      <c r="A685" s="10" t="s">
        <v>560</v>
      </c>
      <c r="B685" s="12" t="s">
        <v>561</v>
      </c>
      <c r="C685" s="12" t="s">
        <v>1846</v>
      </c>
      <c r="D685" s="7">
        <v>0.5</v>
      </c>
    </row>
    <row r="686" spans="1:4">
      <c r="A686" s="10" t="s">
        <v>499</v>
      </c>
      <c r="B686" s="12" t="s">
        <v>500</v>
      </c>
      <c r="C686" s="12" t="s">
        <v>1846</v>
      </c>
      <c r="D686" s="7">
        <v>20</v>
      </c>
    </row>
    <row r="687" spans="1:4" ht="29.1">
      <c r="A687" s="10" t="s">
        <v>1738</v>
      </c>
      <c r="B687" s="12" t="s">
        <v>1739</v>
      </c>
      <c r="C687" s="12" t="s">
        <v>1844</v>
      </c>
      <c r="D687" s="7">
        <v>1</v>
      </c>
    </row>
    <row r="688" spans="1:4">
      <c r="A688" s="10" t="s">
        <v>142</v>
      </c>
      <c r="B688" s="12" t="s">
        <v>143</v>
      </c>
      <c r="C688" s="12" t="s">
        <v>1847</v>
      </c>
      <c r="D688" s="7">
        <v>12.5</v>
      </c>
    </row>
    <row r="689" spans="1:4">
      <c r="A689" s="10" t="s">
        <v>979</v>
      </c>
      <c r="B689" s="12" t="s">
        <v>980</v>
      </c>
      <c r="C689" s="12" t="s">
        <v>1846</v>
      </c>
      <c r="D689" s="7">
        <v>8.5</v>
      </c>
    </row>
    <row r="690" spans="1:4">
      <c r="A690" s="10" t="s">
        <v>238</v>
      </c>
      <c r="B690" s="12" t="s">
        <v>239</v>
      </c>
      <c r="C690" s="12" t="s">
        <v>1846</v>
      </c>
      <c r="D690" s="7">
        <v>9</v>
      </c>
    </row>
    <row r="691" spans="1:4">
      <c r="A691" s="10" t="s">
        <v>1640</v>
      </c>
      <c r="B691" s="12" t="s">
        <v>1641</v>
      </c>
      <c r="C691" s="12" t="s">
        <v>1845</v>
      </c>
      <c r="D691" s="7">
        <v>1</v>
      </c>
    </row>
    <row r="692" spans="1:4">
      <c r="A692" s="10" t="s">
        <v>762</v>
      </c>
      <c r="B692" s="12" t="s">
        <v>640</v>
      </c>
      <c r="C692" s="12" t="s">
        <v>1846</v>
      </c>
      <c r="D692" s="7">
        <v>17.5</v>
      </c>
    </row>
    <row r="693" spans="1:4">
      <c r="A693" s="10" t="s">
        <v>762</v>
      </c>
      <c r="B693" s="12" t="s">
        <v>640</v>
      </c>
      <c r="C693" s="12" t="s">
        <v>1847</v>
      </c>
      <c r="D693" s="7">
        <v>2</v>
      </c>
    </row>
    <row r="694" spans="1:4">
      <c r="A694" s="10" t="s">
        <v>1255</v>
      </c>
      <c r="B694" s="12" t="s">
        <v>1256</v>
      </c>
      <c r="C694" s="12" t="s">
        <v>1846</v>
      </c>
      <c r="D694" s="7">
        <v>10.5</v>
      </c>
    </row>
    <row r="695" spans="1:4">
      <c r="A695" s="10" t="s">
        <v>1255</v>
      </c>
      <c r="B695" s="12" t="s">
        <v>1256</v>
      </c>
      <c r="C695" s="12" t="s">
        <v>1847</v>
      </c>
      <c r="D695" s="7">
        <v>3</v>
      </c>
    </row>
    <row r="696" spans="1:4">
      <c r="A696" s="10" t="s">
        <v>1255</v>
      </c>
      <c r="B696" s="12" t="s">
        <v>1256</v>
      </c>
      <c r="C696" s="12" t="s">
        <v>1847</v>
      </c>
      <c r="D696" s="7">
        <v>6.5</v>
      </c>
    </row>
    <row r="697" spans="1:4">
      <c r="A697" s="10" t="s">
        <v>170</v>
      </c>
      <c r="B697" s="12" t="s">
        <v>171</v>
      </c>
      <c r="C697" s="12" t="s">
        <v>1847</v>
      </c>
      <c r="D697" s="7">
        <v>5</v>
      </c>
    </row>
    <row r="698" spans="1:4">
      <c r="A698" s="10" t="s">
        <v>626</v>
      </c>
      <c r="B698" s="12" t="s">
        <v>627</v>
      </c>
      <c r="C698" s="12" t="s">
        <v>1847</v>
      </c>
      <c r="D698" s="7">
        <v>3</v>
      </c>
    </row>
    <row r="699" spans="1:4">
      <c r="A699" s="10" t="s">
        <v>1750</v>
      </c>
      <c r="B699" s="12" t="s">
        <v>1751</v>
      </c>
      <c r="C699" s="12" t="s">
        <v>1847</v>
      </c>
      <c r="D699" s="7">
        <v>20</v>
      </c>
    </row>
    <row r="700" spans="1:4">
      <c r="A700" s="10" t="s">
        <v>435</v>
      </c>
      <c r="B700" s="12" t="s">
        <v>436</v>
      </c>
      <c r="C700" s="12" t="s">
        <v>1847</v>
      </c>
      <c r="D700" s="7">
        <v>3</v>
      </c>
    </row>
    <row r="701" spans="1:4">
      <c r="A701" s="10" t="s">
        <v>805</v>
      </c>
      <c r="B701" s="12" t="s">
        <v>806</v>
      </c>
      <c r="C701" s="12" t="s">
        <v>1846</v>
      </c>
      <c r="D701" s="7">
        <v>17</v>
      </c>
    </row>
    <row r="702" spans="1:4">
      <c r="A702" s="10" t="s">
        <v>1351</v>
      </c>
      <c r="B702" s="12" t="s">
        <v>1352</v>
      </c>
      <c r="C702" s="12" t="s">
        <v>1848</v>
      </c>
      <c r="D702" s="7">
        <v>12</v>
      </c>
    </row>
    <row r="703" spans="1:4">
      <c r="A703" s="10" t="s">
        <v>1486</v>
      </c>
      <c r="B703" s="12" t="s">
        <v>1487</v>
      </c>
      <c r="C703" s="12" t="s">
        <v>1845</v>
      </c>
      <c r="D703" s="7">
        <v>1</v>
      </c>
    </row>
    <row r="704" spans="1:4">
      <c r="A704" s="10" t="s">
        <v>1231</v>
      </c>
      <c r="B704" s="12" t="s">
        <v>1232</v>
      </c>
      <c r="C704" s="12" t="s">
        <v>1847</v>
      </c>
      <c r="D704" s="7">
        <v>13</v>
      </c>
    </row>
    <row r="705" spans="1:4">
      <c r="A705" s="10" t="s">
        <v>674</v>
      </c>
      <c r="B705" s="12" t="s">
        <v>675</v>
      </c>
      <c r="C705" s="12" t="s">
        <v>1846</v>
      </c>
      <c r="D705" s="7">
        <v>18</v>
      </c>
    </row>
    <row r="706" spans="1:4">
      <c r="A706" s="10" t="s">
        <v>1231</v>
      </c>
      <c r="B706" s="12" t="s">
        <v>1232</v>
      </c>
      <c r="C706" s="12" t="s">
        <v>1847</v>
      </c>
      <c r="D706" s="7">
        <v>3</v>
      </c>
    </row>
    <row r="707" spans="1:4">
      <c r="A707" s="10" t="s">
        <v>926</v>
      </c>
      <c r="B707" s="12" t="s">
        <v>927</v>
      </c>
      <c r="C707" s="12" t="s">
        <v>1845</v>
      </c>
      <c r="D707" s="7">
        <v>1.5</v>
      </c>
    </row>
    <row r="708" spans="1:4">
      <c r="A708" s="10" t="s">
        <v>203</v>
      </c>
      <c r="B708" s="12" t="s">
        <v>204</v>
      </c>
      <c r="C708" s="12" t="s">
        <v>1845</v>
      </c>
      <c r="D708" s="7">
        <v>0.5</v>
      </c>
    </row>
    <row r="709" spans="1:4">
      <c r="A709" s="10" t="s">
        <v>612</v>
      </c>
      <c r="B709" s="12" t="s">
        <v>613</v>
      </c>
      <c r="C709" s="12" t="s">
        <v>1845</v>
      </c>
      <c r="D709" s="7">
        <v>2</v>
      </c>
    </row>
    <row r="710" spans="1:4">
      <c r="A710" s="10" t="s">
        <v>1319</v>
      </c>
      <c r="B710" s="12" t="s">
        <v>1320</v>
      </c>
      <c r="C710" s="12" t="s">
        <v>1845</v>
      </c>
      <c r="D710" s="7">
        <v>0.5</v>
      </c>
    </row>
    <row r="711" spans="1:4">
      <c r="A711" s="10" t="s">
        <v>794</v>
      </c>
      <c r="B711" s="12" t="s">
        <v>21</v>
      </c>
      <c r="C711" s="12" t="s">
        <v>1845</v>
      </c>
      <c r="D711" s="7">
        <v>4</v>
      </c>
    </row>
    <row r="712" spans="1:4">
      <c r="A712" s="10" t="s">
        <v>794</v>
      </c>
      <c r="B712" s="12" t="s">
        <v>21</v>
      </c>
      <c r="C712" s="12" t="s">
        <v>1845</v>
      </c>
      <c r="D712" s="7">
        <v>1</v>
      </c>
    </row>
    <row r="713" spans="1:4">
      <c r="A713" s="10" t="s">
        <v>207</v>
      </c>
      <c r="B713" s="12" t="s">
        <v>208</v>
      </c>
      <c r="C713" s="12" t="s">
        <v>1845</v>
      </c>
      <c r="D713" s="7">
        <v>1</v>
      </c>
    </row>
    <row r="714" spans="1:4">
      <c r="A714" s="10" t="s">
        <v>1136</v>
      </c>
      <c r="B714" s="12" t="s">
        <v>56</v>
      </c>
      <c r="C714" s="12" t="s">
        <v>1845</v>
      </c>
      <c r="D714" s="7">
        <v>1</v>
      </c>
    </row>
    <row r="715" spans="1:4">
      <c r="A715" s="10" t="s">
        <v>387</v>
      </c>
      <c r="B715" s="12" t="s">
        <v>388</v>
      </c>
      <c r="C715" s="12" t="s">
        <v>1845</v>
      </c>
      <c r="D715" s="7">
        <v>2</v>
      </c>
    </row>
    <row r="716" spans="1:4">
      <c r="A716" s="10" t="s">
        <v>1505</v>
      </c>
      <c r="B716" s="12" t="s">
        <v>49</v>
      </c>
      <c r="C716" s="12" t="s">
        <v>1846</v>
      </c>
      <c r="D716" s="7">
        <v>1.5</v>
      </c>
    </row>
    <row r="717" spans="1:4">
      <c r="A717" s="10" t="s">
        <v>1505</v>
      </c>
      <c r="B717" s="12" t="s">
        <v>49</v>
      </c>
      <c r="C717" s="12" t="s">
        <v>1846</v>
      </c>
      <c r="D717" s="7">
        <v>14.5</v>
      </c>
    </row>
    <row r="718" spans="1:4">
      <c r="A718" s="10" t="s">
        <v>674</v>
      </c>
      <c r="B718" s="12" t="s">
        <v>675</v>
      </c>
      <c r="C718" s="12" t="s">
        <v>1847</v>
      </c>
      <c r="D718" s="7">
        <v>2</v>
      </c>
    </row>
    <row r="719" spans="1:4">
      <c r="A719" s="10" t="s">
        <v>1276</v>
      </c>
      <c r="B719" s="12" t="s">
        <v>1277</v>
      </c>
      <c r="C719" s="12" t="s">
        <v>1846</v>
      </c>
      <c r="D719" s="7">
        <v>17.5</v>
      </c>
    </row>
    <row r="720" spans="1:4">
      <c r="A720" s="10" t="s">
        <v>356</v>
      </c>
      <c r="B720" s="12" t="s">
        <v>357</v>
      </c>
      <c r="C720" s="12" t="s">
        <v>1846</v>
      </c>
      <c r="D720" s="7">
        <v>1</v>
      </c>
    </row>
    <row r="721" spans="1:4">
      <c r="A721" s="10" t="s">
        <v>356</v>
      </c>
      <c r="B721" s="12" t="s">
        <v>357</v>
      </c>
      <c r="C721" s="12" t="s">
        <v>1846</v>
      </c>
      <c r="D721" s="7">
        <v>15</v>
      </c>
    </row>
    <row r="722" spans="1:4">
      <c r="A722" s="10" t="s">
        <v>1231</v>
      </c>
      <c r="B722" s="12" t="s">
        <v>1232</v>
      </c>
      <c r="C722" s="12" t="s">
        <v>1847</v>
      </c>
      <c r="D722" s="7">
        <v>4</v>
      </c>
    </row>
    <row r="723" spans="1:4">
      <c r="A723" s="10" t="s">
        <v>1227</v>
      </c>
      <c r="B723" s="12" t="s">
        <v>1228</v>
      </c>
      <c r="C723" s="12" t="s">
        <v>1846</v>
      </c>
      <c r="D723" s="7">
        <v>7</v>
      </c>
    </row>
    <row r="724" spans="1:4">
      <c r="A724" s="10" t="s">
        <v>977</v>
      </c>
      <c r="B724" s="12" t="s">
        <v>978</v>
      </c>
      <c r="C724" s="12" t="s">
        <v>1846</v>
      </c>
      <c r="D724" s="7">
        <v>10</v>
      </c>
    </row>
    <row r="725" spans="1:4">
      <c r="A725" s="10" t="s">
        <v>977</v>
      </c>
      <c r="B725" s="12" t="s">
        <v>978</v>
      </c>
      <c r="C725" s="12" t="s">
        <v>1846</v>
      </c>
      <c r="D725" s="7">
        <v>10</v>
      </c>
    </row>
    <row r="726" spans="1:4">
      <c r="A726" s="10" t="s">
        <v>534</v>
      </c>
      <c r="B726" s="12" t="s">
        <v>535</v>
      </c>
      <c r="C726" s="12" t="s">
        <v>1846</v>
      </c>
      <c r="D726" s="7">
        <v>17.5</v>
      </c>
    </row>
    <row r="727" spans="1:4">
      <c r="A727" s="10" t="s">
        <v>1363</v>
      </c>
      <c r="B727" s="12" t="s">
        <v>1364</v>
      </c>
      <c r="C727" s="12" t="s">
        <v>1846</v>
      </c>
      <c r="D727" s="7">
        <v>19</v>
      </c>
    </row>
    <row r="728" spans="1:4">
      <c r="A728" s="10" t="s">
        <v>682</v>
      </c>
      <c r="B728" s="12" t="s">
        <v>683</v>
      </c>
      <c r="C728" s="12" t="s">
        <v>1846</v>
      </c>
      <c r="D728" s="7">
        <v>17</v>
      </c>
    </row>
    <row r="729" spans="1:4">
      <c r="A729" s="10" t="s">
        <v>1072</v>
      </c>
      <c r="B729" s="12" t="s">
        <v>1073</v>
      </c>
      <c r="C729" s="12" t="s">
        <v>1847</v>
      </c>
      <c r="D729" s="7">
        <v>2</v>
      </c>
    </row>
    <row r="730" spans="1:4">
      <c r="A730" s="10" t="s">
        <v>1072</v>
      </c>
      <c r="B730" s="12" t="s">
        <v>1073</v>
      </c>
      <c r="C730" s="12" t="s">
        <v>1847</v>
      </c>
      <c r="D730" s="7">
        <v>18</v>
      </c>
    </row>
    <row r="731" spans="1:4">
      <c r="A731" s="10" t="s">
        <v>602</v>
      </c>
      <c r="B731" s="12" t="s">
        <v>603</v>
      </c>
      <c r="C731" s="12" t="s">
        <v>1848</v>
      </c>
      <c r="D731" s="7">
        <v>19</v>
      </c>
    </row>
    <row r="732" spans="1:4">
      <c r="A732" s="10" t="s">
        <v>794</v>
      </c>
      <c r="B732" s="12" t="s">
        <v>21</v>
      </c>
      <c r="C732" s="12" t="s">
        <v>1846</v>
      </c>
      <c r="D732" s="7">
        <v>15</v>
      </c>
    </row>
    <row r="733" spans="1:4">
      <c r="A733" s="10" t="s">
        <v>1480</v>
      </c>
      <c r="B733" s="12" t="s">
        <v>1481</v>
      </c>
      <c r="C733" s="12" t="s">
        <v>1846</v>
      </c>
      <c r="D733" s="7">
        <v>20</v>
      </c>
    </row>
    <row r="734" spans="1:4">
      <c r="A734" s="10" t="s">
        <v>1147</v>
      </c>
      <c r="B734" s="12" t="s">
        <v>1148</v>
      </c>
      <c r="C734" s="12" t="s">
        <v>1846</v>
      </c>
      <c r="D734" s="7">
        <v>20</v>
      </c>
    </row>
    <row r="735" spans="1:4">
      <c r="A735" s="10" t="s">
        <v>994</v>
      </c>
      <c r="B735" s="12" t="s">
        <v>995</v>
      </c>
      <c r="C735" s="12" t="s">
        <v>1847</v>
      </c>
      <c r="D735" s="7">
        <v>20</v>
      </c>
    </row>
    <row r="736" spans="1:4">
      <c r="A736" s="10" t="s">
        <v>1706</v>
      </c>
      <c r="B736" s="12" t="s">
        <v>1707</v>
      </c>
      <c r="C736" s="12" t="s">
        <v>1847</v>
      </c>
      <c r="D736" s="7">
        <v>17</v>
      </c>
    </row>
    <row r="737" spans="1:4">
      <c r="A737" s="10" t="s">
        <v>1706</v>
      </c>
      <c r="B737" s="12" t="s">
        <v>1707</v>
      </c>
      <c r="C737" s="12" t="s">
        <v>1847</v>
      </c>
      <c r="D737" s="7">
        <v>3</v>
      </c>
    </row>
    <row r="738" spans="1:4">
      <c r="A738" s="10" t="s">
        <v>1054</v>
      </c>
      <c r="B738" s="12" t="s">
        <v>1055</v>
      </c>
      <c r="C738" s="12" t="s">
        <v>1847</v>
      </c>
      <c r="D738" s="7">
        <v>1</v>
      </c>
    </row>
    <row r="739" spans="1:4">
      <c r="A739" s="10" t="s">
        <v>273</v>
      </c>
      <c r="B739" s="12" t="s">
        <v>274</v>
      </c>
      <c r="C739" s="12" t="s">
        <v>1847</v>
      </c>
      <c r="D739" s="7">
        <v>8</v>
      </c>
    </row>
    <row r="740" spans="1:4">
      <c r="A740" s="10" t="s">
        <v>1134</v>
      </c>
      <c r="B740" s="12" t="s">
        <v>17</v>
      </c>
      <c r="C740" s="12" t="s">
        <v>1846</v>
      </c>
      <c r="D740" s="7">
        <v>2</v>
      </c>
    </row>
    <row r="741" spans="1:4">
      <c r="A741" s="10" t="s">
        <v>1134</v>
      </c>
      <c r="B741" s="12" t="s">
        <v>17</v>
      </c>
      <c r="C741" s="12" t="s">
        <v>1846</v>
      </c>
      <c r="D741" s="7">
        <v>3</v>
      </c>
    </row>
    <row r="742" spans="1:4">
      <c r="A742" s="10" t="s">
        <v>1439</v>
      </c>
      <c r="B742" s="12" t="s">
        <v>1440</v>
      </c>
      <c r="C742" s="12" t="s">
        <v>1845</v>
      </c>
      <c r="D742" s="7">
        <v>2.5</v>
      </c>
    </row>
    <row r="743" spans="1:4">
      <c r="A743" s="10" t="s">
        <v>518</v>
      </c>
      <c r="B743" s="12" t="s">
        <v>519</v>
      </c>
      <c r="C743" s="12" t="s">
        <v>1845</v>
      </c>
      <c r="D743" s="7">
        <v>3</v>
      </c>
    </row>
    <row r="744" spans="1:4">
      <c r="A744" s="10" t="s">
        <v>1258</v>
      </c>
      <c r="B744" s="12" t="s">
        <v>1259</v>
      </c>
      <c r="C744" s="12" t="s">
        <v>1846</v>
      </c>
      <c r="D744" s="7">
        <v>18</v>
      </c>
    </row>
    <row r="745" spans="1:4">
      <c r="A745" s="10" t="s">
        <v>703</v>
      </c>
      <c r="B745" s="12" t="s">
        <v>704</v>
      </c>
      <c r="C745" s="12" t="s">
        <v>1846</v>
      </c>
      <c r="D745" s="7">
        <v>20</v>
      </c>
    </row>
    <row r="746" spans="1:4">
      <c r="A746" s="10" t="s">
        <v>1702</v>
      </c>
      <c r="B746" s="12" t="s">
        <v>1703</v>
      </c>
      <c r="C746" s="12" t="s">
        <v>1847</v>
      </c>
      <c r="D746" s="7">
        <v>20</v>
      </c>
    </row>
    <row r="747" spans="1:4">
      <c r="A747" s="10" t="s">
        <v>496</v>
      </c>
      <c r="B747" s="12" t="s">
        <v>497</v>
      </c>
      <c r="C747" s="12" t="s">
        <v>1846</v>
      </c>
      <c r="D747" s="7">
        <v>18</v>
      </c>
    </row>
    <row r="748" spans="1:4">
      <c r="A748" s="10" t="s">
        <v>1496</v>
      </c>
      <c r="B748" s="12" t="s">
        <v>11</v>
      </c>
      <c r="C748" s="12" t="s">
        <v>1845</v>
      </c>
      <c r="D748" s="7">
        <v>0.5</v>
      </c>
    </row>
    <row r="749" spans="1:4">
      <c r="A749" s="10" t="s">
        <v>1089</v>
      </c>
      <c r="B749" s="12" t="s">
        <v>1090</v>
      </c>
      <c r="C749" s="12" t="s">
        <v>1846</v>
      </c>
      <c r="D749" s="7">
        <v>18.5</v>
      </c>
    </row>
    <row r="750" spans="1:4">
      <c r="A750" s="10" t="s">
        <v>1620</v>
      </c>
      <c r="B750" s="12" t="s">
        <v>1621</v>
      </c>
      <c r="C750" s="12" t="s">
        <v>1847</v>
      </c>
      <c r="D750" s="7">
        <v>20</v>
      </c>
    </row>
    <row r="751" spans="1:4" ht="29.1">
      <c r="A751" s="10" t="s">
        <v>161</v>
      </c>
      <c r="B751" s="12" t="s">
        <v>162</v>
      </c>
      <c r="C751" s="12" t="s">
        <v>1844</v>
      </c>
      <c r="D751" s="7">
        <v>1</v>
      </c>
    </row>
    <row r="752" spans="1:4">
      <c r="A752" s="10" t="s">
        <v>161</v>
      </c>
      <c r="B752" s="12" t="s">
        <v>162</v>
      </c>
      <c r="C752" s="12" t="s">
        <v>1847</v>
      </c>
      <c r="D752" s="7">
        <v>14</v>
      </c>
    </row>
    <row r="753" spans="1:4">
      <c r="A753" s="10" t="s">
        <v>724</v>
      </c>
      <c r="B753" s="12" t="s">
        <v>725</v>
      </c>
      <c r="C753" s="12" t="s">
        <v>1847</v>
      </c>
      <c r="D753" s="7">
        <v>14</v>
      </c>
    </row>
    <row r="754" spans="1:4">
      <c r="A754" s="10" t="s">
        <v>882</v>
      </c>
      <c r="B754" s="12" t="s">
        <v>883</v>
      </c>
      <c r="C754" s="12" t="s">
        <v>1846</v>
      </c>
      <c r="D754" s="7">
        <v>19.5</v>
      </c>
    </row>
    <row r="755" spans="1:4">
      <c r="A755" s="10" t="s">
        <v>1070</v>
      </c>
      <c r="B755" s="12" t="s">
        <v>1071</v>
      </c>
      <c r="C755" s="12" t="s">
        <v>1846</v>
      </c>
      <c r="D755" s="7">
        <v>18</v>
      </c>
    </row>
    <row r="756" spans="1:4">
      <c r="A756" s="10" t="s">
        <v>964</v>
      </c>
      <c r="B756" s="12" t="s">
        <v>965</v>
      </c>
      <c r="C756" s="12" t="s">
        <v>1846</v>
      </c>
      <c r="D756" s="7">
        <v>16</v>
      </c>
    </row>
    <row r="757" spans="1:4">
      <c r="A757" s="10" t="s">
        <v>833</v>
      </c>
      <c r="B757" s="12" t="s">
        <v>834</v>
      </c>
      <c r="C757" s="12" t="s">
        <v>1846</v>
      </c>
      <c r="D757" s="7">
        <v>19</v>
      </c>
    </row>
    <row r="758" spans="1:4">
      <c r="A758" s="10" t="s">
        <v>1780</v>
      </c>
      <c r="B758" s="12" t="s">
        <v>1781</v>
      </c>
      <c r="C758" s="12" t="s">
        <v>1847</v>
      </c>
      <c r="D758" s="7">
        <v>3</v>
      </c>
    </row>
    <row r="759" spans="1:4">
      <c r="A759" s="10" t="s">
        <v>139</v>
      </c>
      <c r="B759" s="12" t="s">
        <v>140</v>
      </c>
      <c r="C759" s="12" t="s">
        <v>1846</v>
      </c>
      <c r="D759" s="7">
        <v>15.5</v>
      </c>
    </row>
    <row r="760" spans="1:4">
      <c r="A760" s="10" t="s">
        <v>1337</v>
      </c>
      <c r="B760" s="12" t="s">
        <v>1338</v>
      </c>
      <c r="C760" s="12" t="s">
        <v>1847</v>
      </c>
      <c r="D760" s="7">
        <v>20</v>
      </c>
    </row>
    <row r="761" spans="1:4">
      <c r="A761" s="10" t="s">
        <v>1760</v>
      </c>
      <c r="B761" s="12" t="s">
        <v>1761</v>
      </c>
      <c r="C761" s="12" t="s">
        <v>1847</v>
      </c>
      <c r="D761" s="7">
        <v>3</v>
      </c>
    </row>
    <row r="762" spans="1:4">
      <c r="A762" s="10" t="s">
        <v>1760</v>
      </c>
      <c r="B762" s="12" t="s">
        <v>1761</v>
      </c>
      <c r="C762" s="12" t="s">
        <v>1847</v>
      </c>
      <c r="D762" s="7">
        <v>0.5</v>
      </c>
    </row>
    <row r="763" spans="1:4" ht="29.1">
      <c r="A763" s="10" t="s">
        <v>259</v>
      </c>
      <c r="B763" s="12" t="s">
        <v>260</v>
      </c>
      <c r="C763" s="12" t="s">
        <v>1844</v>
      </c>
      <c r="D763" s="7">
        <v>2</v>
      </c>
    </row>
    <row r="764" spans="1:4">
      <c r="A764" s="10" t="s">
        <v>586</v>
      </c>
      <c r="B764" s="12" t="s">
        <v>587</v>
      </c>
      <c r="C764" s="12" t="s">
        <v>1846</v>
      </c>
      <c r="D764" s="7">
        <v>9</v>
      </c>
    </row>
    <row r="765" spans="1:4">
      <c r="A765" s="10" t="s">
        <v>586</v>
      </c>
      <c r="B765" s="12" t="s">
        <v>587</v>
      </c>
      <c r="C765" s="12" t="s">
        <v>1846</v>
      </c>
      <c r="D765" s="7">
        <v>3</v>
      </c>
    </row>
    <row r="766" spans="1:4">
      <c r="A766" s="10" t="s">
        <v>724</v>
      </c>
      <c r="B766" s="12" t="s">
        <v>725</v>
      </c>
      <c r="C766" s="12" t="s">
        <v>1843</v>
      </c>
      <c r="D766" s="7">
        <v>1</v>
      </c>
    </row>
    <row r="767" spans="1:4">
      <c r="A767" s="10" t="s">
        <v>1327</v>
      </c>
      <c r="B767" s="12" t="s">
        <v>1328</v>
      </c>
      <c r="C767" s="12" t="s">
        <v>1847</v>
      </c>
      <c r="D767" s="7">
        <v>4</v>
      </c>
    </row>
    <row r="768" spans="1:4">
      <c r="A768" s="10" t="s">
        <v>774</v>
      </c>
      <c r="B768" s="12" t="s">
        <v>85</v>
      </c>
      <c r="C768" s="12" t="s">
        <v>1846</v>
      </c>
      <c r="D768" s="7">
        <v>13.5</v>
      </c>
    </row>
    <row r="769" spans="1:4">
      <c r="A769" s="10" t="s">
        <v>1026</v>
      </c>
      <c r="B769" s="12" t="s">
        <v>1027</v>
      </c>
      <c r="C769" s="12" t="s">
        <v>1847</v>
      </c>
      <c r="D769" s="7">
        <v>0.5</v>
      </c>
    </row>
    <row r="770" spans="1:4">
      <c r="A770" s="10" t="s">
        <v>1026</v>
      </c>
      <c r="B770" s="12" t="s">
        <v>1027</v>
      </c>
      <c r="C770" s="12" t="s">
        <v>1846</v>
      </c>
      <c r="D770" s="7">
        <v>2.5</v>
      </c>
    </row>
    <row r="771" spans="1:4">
      <c r="A771" s="10" t="s">
        <v>265</v>
      </c>
      <c r="B771" s="12" t="s">
        <v>266</v>
      </c>
      <c r="C771" s="12" t="s">
        <v>1846</v>
      </c>
      <c r="D771" s="7">
        <v>19.5</v>
      </c>
    </row>
    <row r="772" spans="1:4">
      <c r="A772" s="10" t="s">
        <v>992</v>
      </c>
      <c r="B772" s="12" t="s">
        <v>993</v>
      </c>
      <c r="C772" s="12" t="s">
        <v>1846</v>
      </c>
      <c r="D772" s="7">
        <v>6.5</v>
      </c>
    </row>
    <row r="773" spans="1:4" ht="29.1">
      <c r="A773" s="10" t="s">
        <v>1680</v>
      </c>
      <c r="B773" s="12" t="s">
        <v>1681</v>
      </c>
      <c r="C773" s="12" t="s">
        <v>1844</v>
      </c>
      <c r="D773" s="7">
        <v>3</v>
      </c>
    </row>
    <row r="774" spans="1:4">
      <c r="A774" s="10" t="s">
        <v>1179</v>
      </c>
      <c r="B774" s="12" t="s">
        <v>1180</v>
      </c>
      <c r="C774" s="12" t="s">
        <v>1846</v>
      </c>
      <c r="D774" s="7">
        <v>15.5</v>
      </c>
    </row>
    <row r="775" spans="1:4">
      <c r="A775" s="10" t="s">
        <v>1179</v>
      </c>
      <c r="B775" s="12" t="s">
        <v>1180</v>
      </c>
      <c r="C775" s="12" t="s">
        <v>1847</v>
      </c>
      <c r="D775" s="7">
        <v>4.5</v>
      </c>
    </row>
    <row r="776" spans="1:4">
      <c r="A776" s="10" t="s">
        <v>374</v>
      </c>
      <c r="B776" s="12" t="s">
        <v>375</v>
      </c>
      <c r="C776" s="12" t="s">
        <v>1846</v>
      </c>
      <c r="D776" s="7">
        <v>18</v>
      </c>
    </row>
    <row r="777" spans="1:4">
      <c r="A777" s="10" t="s">
        <v>384</v>
      </c>
      <c r="B777" s="12" t="s">
        <v>385</v>
      </c>
      <c r="C777" s="12" t="s">
        <v>1846</v>
      </c>
      <c r="D777" s="7">
        <v>1.5</v>
      </c>
    </row>
    <row r="778" spans="1:4">
      <c r="A778" s="10" t="s">
        <v>1200</v>
      </c>
      <c r="B778" s="12" t="s">
        <v>66</v>
      </c>
      <c r="C778" s="12" t="s">
        <v>1846</v>
      </c>
      <c r="D778" s="7">
        <v>12.5</v>
      </c>
    </row>
    <row r="779" spans="1:4">
      <c r="A779" s="10" t="s">
        <v>1200</v>
      </c>
      <c r="B779" s="12" t="s">
        <v>66</v>
      </c>
      <c r="C779" s="12" t="s">
        <v>1847</v>
      </c>
      <c r="D779" s="7">
        <v>1.5</v>
      </c>
    </row>
    <row r="780" spans="1:4">
      <c r="A780" s="10" t="s">
        <v>583</v>
      </c>
      <c r="B780" s="12" t="s">
        <v>584</v>
      </c>
      <c r="C780" s="12" t="s">
        <v>1846</v>
      </c>
      <c r="D780" s="7">
        <v>16</v>
      </c>
    </row>
    <row r="781" spans="1:4">
      <c r="A781" s="10" t="s">
        <v>320</v>
      </c>
      <c r="B781" s="12" t="s">
        <v>321</v>
      </c>
      <c r="C781" s="12" t="s">
        <v>1848</v>
      </c>
      <c r="D781" s="7">
        <v>20</v>
      </c>
    </row>
    <row r="782" spans="1:4">
      <c r="A782" s="10" t="s">
        <v>1267</v>
      </c>
      <c r="B782" s="12" t="s">
        <v>1268</v>
      </c>
      <c r="C782" s="12" t="s">
        <v>1843</v>
      </c>
      <c r="D782" s="7">
        <v>6</v>
      </c>
    </row>
    <row r="783" spans="1:4">
      <c r="A783" s="10" t="s">
        <v>1267</v>
      </c>
      <c r="B783" s="12" t="s">
        <v>1268</v>
      </c>
      <c r="C783" s="12" t="s">
        <v>1846</v>
      </c>
      <c r="D783" s="7">
        <v>10</v>
      </c>
    </row>
    <row r="784" spans="1:4">
      <c r="A784" s="10" t="s">
        <v>1280</v>
      </c>
      <c r="B784" s="12" t="s">
        <v>1281</v>
      </c>
      <c r="C784" s="12" t="s">
        <v>1845</v>
      </c>
      <c r="D784" s="7">
        <v>2</v>
      </c>
    </row>
    <row r="785" spans="1:4">
      <c r="A785" s="10" t="s">
        <v>1267</v>
      </c>
      <c r="B785" s="12" t="s">
        <v>1268</v>
      </c>
      <c r="C785" s="12" t="s">
        <v>1847</v>
      </c>
      <c r="D785" s="7">
        <v>4</v>
      </c>
    </row>
    <row r="786" spans="1:4">
      <c r="A786" s="10" t="s">
        <v>1311</v>
      </c>
      <c r="B786" s="12" t="s">
        <v>1312</v>
      </c>
      <c r="C786" s="12" t="s">
        <v>1847</v>
      </c>
      <c r="D786" s="7">
        <v>18</v>
      </c>
    </row>
    <row r="787" spans="1:4">
      <c r="A787" s="10" t="s">
        <v>616</v>
      </c>
      <c r="B787" s="12" t="s">
        <v>617</v>
      </c>
      <c r="C787" s="12" t="s">
        <v>1847</v>
      </c>
      <c r="D787" s="7">
        <v>2</v>
      </c>
    </row>
    <row r="788" spans="1:4">
      <c r="A788" s="10" t="s">
        <v>1039</v>
      </c>
      <c r="B788" s="12" t="s">
        <v>1040</v>
      </c>
      <c r="C788" s="12" t="s">
        <v>1846</v>
      </c>
      <c r="D788" s="7">
        <v>16</v>
      </c>
    </row>
    <row r="789" spans="1:4">
      <c r="A789" s="10" t="s">
        <v>1357</v>
      </c>
      <c r="B789" s="12" t="s">
        <v>1358</v>
      </c>
      <c r="C789" s="12" t="s">
        <v>1847</v>
      </c>
      <c r="D789" s="7">
        <v>20</v>
      </c>
    </row>
    <row r="790" spans="1:4">
      <c r="A790" s="10" t="s">
        <v>1646</v>
      </c>
      <c r="B790" s="12" t="s">
        <v>1647</v>
      </c>
      <c r="C790" s="12" t="s">
        <v>1847</v>
      </c>
      <c r="D790" s="7">
        <v>20</v>
      </c>
    </row>
    <row r="791" spans="1:4">
      <c r="A791" s="10" t="s">
        <v>1165</v>
      </c>
      <c r="B791" s="12" t="s">
        <v>1166</v>
      </c>
      <c r="C791" s="12" t="s">
        <v>1846</v>
      </c>
      <c r="D791" s="7">
        <v>15</v>
      </c>
    </row>
    <row r="792" spans="1:4">
      <c r="A792" s="10" t="s">
        <v>1488</v>
      </c>
      <c r="B792" s="12" t="s">
        <v>1489</v>
      </c>
      <c r="C792" s="12" t="s">
        <v>1846</v>
      </c>
      <c r="D792" s="7">
        <v>20</v>
      </c>
    </row>
    <row r="793" spans="1:4">
      <c r="A793" s="10" t="s">
        <v>782</v>
      </c>
      <c r="B793" s="12" t="s">
        <v>783</v>
      </c>
      <c r="C793" s="12" t="s">
        <v>1846</v>
      </c>
      <c r="D793" s="7">
        <v>17.5</v>
      </c>
    </row>
    <row r="794" spans="1:4">
      <c r="A794" s="10" t="s">
        <v>782</v>
      </c>
      <c r="B794" s="12" t="s">
        <v>783</v>
      </c>
      <c r="C794" s="12" t="s">
        <v>1847</v>
      </c>
      <c r="D794" s="7">
        <v>1.5</v>
      </c>
    </row>
    <row r="795" spans="1:4">
      <c r="A795" s="10" t="s">
        <v>1185</v>
      </c>
      <c r="B795" s="12" t="s">
        <v>1186</v>
      </c>
      <c r="C795" s="12" t="s">
        <v>1847</v>
      </c>
      <c r="D795" s="7">
        <v>0.5</v>
      </c>
    </row>
    <row r="796" spans="1:4">
      <c r="A796" s="10" t="s">
        <v>1080</v>
      </c>
      <c r="B796" s="12" t="s">
        <v>1081</v>
      </c>
      <c r="C796" s="12" t="s">
        <v>1846</v>
      </c>
      <c r="D796" s="7">
        <v>20</v>
      </c>
    </row>
    <row r="797" spans="1:4">
      <c r="A797" s="10" t="s">
        <v>310</v>
      </c>
      <c r="B797" s="12" t="s">
        <v>311</v>
      </c>
      <c r="C797" s="12" t="s">
        <v>1846</v>
      </c>
      <c r="D797" s="7">
        <v>20</v>
      </c>
    </row>
    <row r="798" spans="1:4">
      <c r="A798" s="10" t="s">
        <v>648</v>
      </c>
      <c r="B798" s="12" t="s">
        <v>649</v>
      </c>
      <c r="C798" s="12" t="s">
        <v>1847</v>
      </c>
      <c r="D798" s="7">
        <v>14</v>
      </c>
    </row>
    <row r="799" spans="1:4">
      <c r="A799" s="10" t="s">
        <v>871</v>
      </c>
      <c r="B799" s="12" t="s">
        <v>57</v>
      </c>
      <c r="C799" s="12" t="s">
        <v>1847</v>
      </c>
      <c r="D799" s="7">
        <v>4</v>
      </c>
    </row>
    <row r="800" spans="1:4">
      <c r="A800" s="10" t="s">
        <v>871</v>
      </c>
      <c r="B800" s="12" t="s">
        <v>57</v>
      </c>
      <c r="C800" s="12" t="s">
        <v>1847</v>
      </c>
      <c r="D800" s="7">
        <v>2.5</v>
      </c>
    </row>
    <row r="801" spans="1:4">
      <c r="A801" s="10" t="s">
        <v>871</v>
      </c>
      <c r="B801" s="12" t="s">
        <v>57</v>
      </c>
      <c r="C801" s="12" t="s">
        <v>1846</v>
      </c>
      <c r="D801" s="7">
        <v>7</v>
      </c>
    </row>
    <row r="802" spans="1:4">
      <c r="A802" s="10" t="s">
        <v>871</v>
      </c>
      <c r="B802" s="12" t="s">
        <v>57</v>
      </c>
      <c r="C802" s="12" t="s">
        <v>1847</v>
      </c>
      <c r="D802" s="7">
        <v>3</v>
      </c>
    </row>
    <row r="803" spans="1:4">
      <c r="A803" s="10" t="s">
        <v>1045</v>
      </c>
      <c r="B803" s="12" t="s">
        <v>1046</v>
      </c>
      <c r="C803" s="12" t="s">
        <v>1846</v>
      </c>
      <c r="D803" s="7">
        <v>19.5</v>
      </c>
    </row>
    <row r="804" spans="1:4">
      <c r="A804" s="10" t="s">
        <v>1058</v>
      </c>
      <c r="B804" s="12" t="s">
        <v>1059</v>
      </c>
      <c r="C804" s="12" t="s">
        <v>1847</v>
      </c>
      <c r="D804" s="7">
        <v>20</v>
      </c>
    </row>
    <row r="805" spans="1:4">
      <c r="A805" s="10" t="s">
        <v>1454</v>
      </c>
      <c r="B805" s="12" t="s">
        <v>32</v>
      </c>
      <c r="C805" s="12" t="s">
        <v>1847</v>
      </c>
      <c r="D805" s="7">
        <v>5</v>
      </c>
    </row>
    <row r="806" spans="1:4">
      <c r="A806" s="10" t="s">
        <v>1454</v>
      </c>
      <c r="B806" s="12" t="s">
        <v>32</v>
      </c>
      <c r="C806" s="12" t="s">
        <v>1847</v>
      </c>
      <c r="D806" s="7">
        <v>8.5</v>
      </c>
    </row>
    <row r="807" spans="1:4">
      <c r="A807" s="10" t="s">
        <v>1454</v>
      </c>
      <c r="B807" s="12" t="s">
        <v>32</v>
      </c>
      <c r="C807" s="12" t="s">
        <v>1847</v>
      </c>
      <c r="D807" s="7">
        <v>1</v>
      </c>
    </row>
    <row r="808" spans="1:4">
      <c r="A808" s="10" t="s">
        <v>1674</v>
      </c>
      <c r="B808" s="12" t="s">
        <v>1675</v>
      </c>
      <c r="C808" s="12" t="s">
        <v>1847</v>
      </c>
      <c r="D808" s="7">
        <v>20</v>
      </c>
    </row>
    <row r="809" spans="1:4">
      <c r="A809" s="10" t="s">
        <v>1744</v>
      </c>
      <c r="B809" s="12" t="s">
        <v>1745</v>
      </c>
      <c r="C809" s="12" t="s">
        <v>1847</v>
      </c>
      <c r="D809" s="7">
        <v>20</v>
      </c>
    </row>
    <row r="810" spans="1:4">
      <c r="A810" s="10" t="s">
        <v>1049</v>
      </c>
      <c r="B810" s="12" t="s">
        <v>1050</v>
      </c>
      <c r="C810" s="12" t="s">
        <v>1846</v>
      </c>
      <c r="D810" s="7">
        <v>20</v>
      </c>
    </row>
    <row r="811" spans="1:4">
      <c r="A811" s="10" t="s">
        <v>530</v>
      </c>
      <c r="B811" s="12" t="s">
        <v>531</v>
      </c>
      <c r="C811" s="12" t="s">
        <v>1847</v>
      </c>
      <c r="D811" s="7">
        <v>2</v>
      </c>
    </row>
    <row r="812" spans="1:4">
      <c r="A812" s="10" t="s">
        <v>530</v>
      </c>
      <c r="B812" s="12" t="s">
        <v>531</v>
      </c>
      <c r="C812" s="12" t="s">
        <v>1846</v>
      </c>
      <c r="D812" s="7">
        <v>18</v>
      </c>
    </row>
    <row r="813" spans="1:4">
      <c r="A813" s="10" t="s">
        <v>1736</v>
      </c>
      <c r="B813" s="12" t="s">
        <v>1737</v>
      </c>
      <c r="C813" s="12" t="s">
        <v>1847</v>
      </c>
      <c r="D813" s="7">
        <v>20</v>
      </c>
    </row>
    <row r="814" spans="1:4">
      <c r="A814" s="10" t="s">
        <v>135</v>
      </c>
      <c r="B814" s="12" t="s">
        <v>136</v>
      </c>
      <c r="C814" s="12" t="s">
        <v>1846</v>
      </c>
      <c r="D814" s="7">
        <v>19</v>
      </c>
    </row>
    <row r="815" spans="1:4">
      <c r="A815" s="10" t="s">
        <v>665</v>
      </c>
      <c r="B815" s="12" t="s">
        <v>48</v>
      </c>
      <c r="C815" s="12" t="s">
        <v>1847</v>
      </c>
      <c r="D815" s="7">
        <v>4</v>
      </c>
    </row>
    <row r="816" spans="1:4">
      <c r="A816" s="10" t="s">
        <v>665</v>
      </c>
      <c r="B816" s="12" t="s">
        <v>48</v>
      </c>
      <c r="C816" s="12" t="s">
        <v>1847</v>
      </c>
      <c r="D816" s="7">
        <v>1</v>
      </c>
    </row>
    <row r="817" spans="1:4">
      <c r="A817" s="10" t="s">
        <v>665</v>
      </c>
      <c r="B817" s="12" t="s">
        <v>48</v>
      </c>
      <c r="C817" s="12" t="s">
        <v>1847</v>
      </c>
      <c r="D817" s="7">
        <v>3</v>
      </c>
    </row>
    <row r="818" spans="1:4">
      <c r="A818" s="10" t="s">
        <v>665</v>
      </c>
      <c r="B818" s="12" t="s">
        <v>48</v>
      </c>
      <c r="C818" s="12" t="s">
        <v>1846</v>
      </c>
      <c r="D818" s="7">
        <v>11</v>
      </c>
    </row>
    <row r="819" spans="1:4">
      <c r="A819" s="10" t="s">
        <v>1192</v>
      </c>
      <c r="B819" s="12" t="s">
        <v>1193</v>
      </c>
      <c r="C819" s="12" t="s">
        <v>1846</v>
      </c>
      <c r="D819" s="7">
        <v>9.5</v>
      </c>
    </row>
    <row r="820" spans="1:4">
      <c r="A820" s="10" t="s">
        <v>666</v>
      </c>
      <c r="B820" s="12" t="s">
        <v>90</v>
      </c>
      <c r="C820" s="12" t="s">
        <v>1847</v>
      </c>
      <c r="D820" s="7">
        <v>14.5</v>
      </c>
    </row>
    <row r="821" spans="1:4">
      <c r="A821" s="10" t="s">
        <v>1217</v>
      </c>
      <c r="B821" s="12" t="s">
        <v>1218</v>
      </c>
      <c r="C821" s="12" t="s">
        <v>1846</v>
      </c>
      <c r="D821" s="7">
        <v>19</v>
      </c>
    </row>
    <row r="822" spans="1:4">
      <c r="A822" s="10" t="s">
        <v>853</v>
      </c>
      <c r="B822" s="12" t="s">
        <v>854</v>
      </c>
      <c r="C822" s="12" t="s">
        <v>1846</v>
      </c>
      <c r="D822" s="7">
        <v>11</v>
      </c>
    </row>
    <row r="823" spans="1:4">
      <c r="A823" s="10" t="s">
        <v>853</v>
      </c>
      <c r="B823" s="12" t="s">
        <v>854</v>
      </c>
      <c r="C823" s="12" t="s">
        <v>1847</v>
      </c>
      <c r="D823" s="7">
        <v>8</v>
      </c>
    </row>
    <row r="824" spans="1:4">
      <c r="A824" s="10" t="s">
        <v>430</v>
      </c>
      <c r="B824" s="12" t="s">
        <v>431</v>
      </c>
      <c r="C824" s="12" t="s">
        <v>1846</v>
      </c>
      <c r="D824" s="7">
        <v>16.5</v>
      </c>
    </row>
    <row r="825" spans="1:4">
      <c r="A825" s="10" t="s">
        <v>430</v>
      </c>
      <c r="B825" s="12" t="s">
        <v>431</v>
      </c>
      <c r="C825" s="12" t="s">
        <v>1847</v>
      </c>
      <c r="D825" s="7">
        <v>0.5</v>
      </c>
    </row>
    <row r="826" spans="1:4">
      <c r="A826" s="10" t="s">
        <v>430</v>
      </c>
      <c r="B826" s="12" t="s">
        <v>431</v>
      </c>
      <c r="C826" s="12" t="s">
        <v>1847</v>
      </c>
      <c r="D826" s="7">
        <v>3</v>
      </c>
    </row>
    <row r="827" spans="1:4">
      <c r="A827" s="10" t="s">
        <v>809</v>
      </c>
      <c r="B827" s="12" t="s">
        <v>810</v>
      </c>
      <c r="C827" s="12" t="s">
        <v>1846</v>
      </c>
      <c r="D827" s="7">
        <v>4</v>
      </c>
    </row>
    <row r="828" spans="1:4">
      <c r="A828" s="10" t="s">
        <v>492</v>
      </c>
      <c r="B828" s="12" t="s">
        <v>493</v>
      </c>
      <c r="C828" s="12" t="s">
        <v>1846</v>
      </c>
      <c r="D828" s="7">
        <v>20</v>
      </c>
    </row>
    <row r="829" spans="1:4">
      <c r="A829" s="10" t="s">
        <v>1101</v>
      </c>
      <c r="B829" s="12" t="s">
        <v>1102</v>
      </c>
      <c r="C829" s="12" t="s">
        <v>1846</v>
      </c>
      <c r="D829" s="7">
        <v>10</v>
      </c>
    </row>
    <row r="830" spans="1:4">
      <c r="A830" s="10" t="s">
        <v>1101</v>
      </c>
      <c r="B830" s="12" t="s">
        <v>1102</v>
      </c>
      <c r="C830" s="12" t="s">
        <v>1846</v>
      </c>
      <c r="D830" s="7">
        <v>10</v>
      </c>
    </row>
    <row r="831" spans="1:4">
      <c r="A831" s="10" t="s">
        <v>1454</v>
      </c>
      <c r="B831" s="12" t="s">
        <v>32</v>
      </c>
      <c r="C831" s="12" t="s">
        <v>1846</v>
      </c>
      <c r="D831" s="7">
        <v>2</v>
      </c>
    </row>
    <row r="832" spans="1:4">
      <c r="A832" s="10" t="s">
        <v>1359</v>
      </c>
      <c r="B832" s="12" t="s">
        <v>1360</v>
      </c>
      <c r="C832" s="12" t="s">
        <v>1847</v>
      </c>
      <c r="D832" s="7">
        <v>20</v>
      </c>
    </row>
    <row r="833" spans="1:4">
      <c r="A833" s="10" t="s">
        <v>1482</v>
      </c>
      <c r="B833" s="12" t="s">
        <v>1483</v>
      </c>
      <c r="C833" s="12" t="s">
        <v>1847</v>
      </c>
      <c r="D833" s="7">
        <v>14</v>
      </c>
    </row>
    <row r="834" spans="1:4">
      <c r="A834" s="10" t="s">
        <v>944</v>
      </c>
      <c r="B834" s="12" t="s">
        <v>945</v>
      </c>
      <c r="C834" s="12" t="s">
        <v>1846</v>
      </c>
      <c r="D834" s="7">
        <v>15</v>
      </c>
    </row>
    <row r="835" spans="1:4">
      <c r="A835" s="10" t="s">
        <v>148</v>
      </c>
      <c r="B835" s="12" t="s">
        <v>77</v>
      </c>
      <c r="C835" s="12" t="s">
        <v>1846</v>
      </c>
      <c r="D835" s="7">
        <v>18.5</v>
      </c>
    </row>
    <row r="836" spans="1:4">
      <c r="A836" s="10" t="s">
        <v>800</v>
      </c>
      <c r="B836" s="12" t="s">
        <v>801</v>
      </c>
      <c r="C836" s="12" t="s">
        <v>1846</v>
      </c>
      <c r="D836" s="7">
        <v>20</v>
      </c>
    </row>
    <row r="837" spans="1:4">
      <c r="A837" s="10" t="s">
        <v>860</v>
      </c>
      <c r="B837" s="12" t="s">
        <v>861</v>
      </c>
      <c r="C837" s="12" t="s">
        <v>1846</v>
      </c>
      <c r="D837" s="7">
        <v>19.5</v>
      </c>
    </row>
    <row r="838" spans="1:4">
      <c r="A838" s="10" t="s">
        <v>423</v>
      </c>
      <c r="B838" s="12" t="s">
        <v>424</v>
      </c>
      <c r="C838" s="12" t="s">
        <v>1846</v>
      </c>
      <c r="D838" s="7">
        <v>20</v>
      </c>
    </row>
    <row r="839" spans="1:4">
      <c r="A839" s="10" t="s">
        <v>778</v>
      </c>
      <c r="B839" s="12" t="s">
        <v>779</v>
      </c>
      <c r="C839" s="12" t="s">
        <v>1846</v>
      </c>
      <c r="D839" s="7">
        <v>20</v>
      </c>
    </row>
    <row r="840" spans="1:4">
      <c r="A840" s="10" t="s">
        <v>1227</v>
      </c>
      <c r="B840" s="12" t="s">
        <v>1228</v>
      </c>
      <c r="C840" s="12" t="s">
        <v>1847</v>
      </c>
      <c r="D840" s="7">
        <v>5</v>
      </c>
    </row>
    <row r="841" spans="1:4">
      <c r="A841" s="10" t="s">
        <v>606</v>
      </c>
      <c r="B841" s="12" t="s">
        <v>607</v>
      </c>
      <c r="C841" s="12" t="s">
        <v>1846</v>
      </c>
      <c r="D841" s="7">
        <v>19.5</v>
      </c>
    </row>
    <row r="842" spans="1:4">
      <c r="A842" s="10" t="s">
        <v>1726</v>
      </c>
      <c r="B842" s="12" t="s">
        <v>1727</v>
      </c>
      <c r="C842" s="12" t="s">
        <v>1847</v>
      </c>
      <c r="D842" s="7">
        <v>1</v>
      </c>
    </row>
    <row r="843" spans="1:4">
      <c r="A843" s="10" t="s">
        <v>1478</v>
      </c>
      <c r="B843" s="12" t="s">
        <v>23</v>
      </c>
      <c r="C843" s="12" t="s">
        <v>1846</v>
      </c>
      <c r="D843" s="7">
        <v>3</v>
      </c>
    </row>
    <row r="844" spans="1:4">
      <c r="A844" s="10" t="s">
        <v>342</v>
      </c>
      <c r="B844" s="12" t="s">
        <v>343</v>
      </c>
      <c r="C844" s="12" t="s">
        <v>1846</v>
      </c>
      <c r="D844" s="7">
        <v>5</v>
      </c>
    </row>
    <row r="845" spans="1:4">
      <c r="A845" s="10" t="s">
        <v>342</v>
      </c>
      <c r="B845" s="12" t="s">
        <v>343</v>
      </c>
      <c r="C845" s="12" t="s">
        <v>1847</v>
      </c>
      <c r="D845" s="7">
        <v>3</v>
      </c>
    </row>
    <row r="846" spans="1:4">
      <c r="A846" s="10" t="s">
        <v>676</v>
      </c>
      <c r="B846" s="12" t="s">
        <v>677</v>
      </c>
      <c r="C846" s="12" t="s">
        <v>1846</v>
      </c>
      <c r="D846" s="7">
        <v>20</v>
      </c>
    </row>
    <row r="847" spans="1:4" ht="29.1">
      <c r="A847" s="10" t="s">
        <v>1421</v>
      </c>
      <c r="B847" s="12" t="s">
        <v>1422</v>
      </c>
      <c r="C847" s="12" t="s">
        <v>1844</v>
      </c>
      <c r="D847" s="7">
        <v>2</v>
      </c>
    </row>
    <row r="848" spans="1:4">
      <c r="A848" s="10" t="s">
        <v>415</v>
      </c>
      <c r="B848" s="12" t="s">
        <v>416</v>
      </c>
      <c r="C848" s="12" t="s">
        <v>1846</v>
      </c>
      <c r="D848" s="7">
        <v>15</v>
      </c>
    </row>
    <row r="849" spans="1:4" ht="29.1">
      <c r="A849" s="10" t="s">
        <v>705</v>
      </c>
      <c r="B849" s="12" t="s">
        <v>706</v>
      </c>
      <c r="C849" s="12" t="s">
        <v>1844</v>
      </c>
      <c r="D849" s="7">
        <v>2</v>
      </c>
    </row>
    <row r="850" spans="1:4" ht="29.1">
      <c r="A850" s="10" t="s">
        <v>1167</v>
      </c>
      <c r="B850" s="12" t="s">
        <v>1168</v>
      </c>
      <c r="C850" s="12" t="s">
        <v>1844</v>
      </c>
      <c r="D850" s="7">
        <v>0.5</v>
      </c>
    </row>
    <row r="851" spans="1:4" ht="29.1">
      <c r="A851" s="10" t="s">
        <v>501</v>
      </c>
      <c r="B851" s="12" t="s">
        <v>502</v>
      </c>
      <c r="C851" s="12" t="s">
        <v>1844</v>
      </c>
      <c r="D851" s="7">
        <v>0.5</v>
      </c>
    </row>
    <row r="852" spans="1:4">
      <c r="A852" s="10" t="s">
        <v>1219</v>
      </c>
      <c r="B852" s="12" t="s">
        <v>1220</v>
      </c>
      <c r="C852" s="12" t="s">
        <v>1845</v>
      </c>
      <c r="D852" s="7">
        <v>1</v>
      </c>
    </row>
    <row r="853" spans="1:4">
      <c r="A853" s="10" t="s">
        <v>518</v>
      </c>
      <c r="B853" s="12" t="s">
        <v>519</v>
      </c>
      <c r="C853" s="12" t="s">
        <v>1846</v>
      </c>
      <c r="D853" s="7">
        <v>8</v>
      </c>
    </row>
    <row r="854" spans="1:4">
      <c r="A854" s="10" t="s">
        <v>518</v>
      </c>
      <c r="B854" s="12" t="s">
        <v>519</v>
      </c>
      <c r="C854" s="12" t="s">
        <v>1847</v>
      </c>
      <c r="D854" s="7">
        <v>9</v>
      </c>
    </row>
    <row r="855" spans="1:4">
      <c r="A855" s="10" t="s">
        <v>1175</v>
      </c>
      <c r="B855" s="12" t="s">
        <v>1176</v>
      </c>
      <c r="C855" s="12" t="s">
        <v>1846</v>
      </c>
      <c r="D855" s="7">
        <v>8.5</v>
      </c>
    </row>
    <row r="856" spans="1:4">
      <c r="A856" s="10" t="s">
        <v>788</v>
      </c>
      <c r="B856" s="12" t="s">
        <v>789</v>
      </c>
      <c r="C856" s="12" t="s">
        <v>1847</v>
      </c>
      <c r="D856" s="7">
        <v>0.5</v>
      </c>
    </row>
    <row r="857" spans="1:4">
      <c r="A857" s="10" t="s">
        <v>839</v>
      </c>
      <c r="B857" s="12" t="s">
        <v>840</v>
      </c>
      <c r="C857" s="12" t="s">
        <v>1846</v>
      </c>
      <c r="D857" s="7">
        <v>15</v>
      </c>
    </row>
    <row r="858" spans="1:4">
      <c r="A858" s="10" t="s">
        <v>139</v>
      </c>
      <c r="B858" s="12" t="s">
        <v>140</v>
      </c>
      <c r="C858" s="12" t="s">
        <v>1846</v>
      </c>
      <c r="D858" s="7">
        <v>2.5</v>
      </c>
    </row>
    <row r="859" spans="1:4">
      <c r="A859" s="10" t="s">
        <v>1305</v>
      </c>
      <c r="B859" s="12" t="s">
        <v>1306</v>
      </c>
      <c r="C859" s="12" t="s">
        <v>1845</v>
      </c>
      <c r="D859" s="7">
        <v>4</v>
      </c>
    </row>
    <row r="860" spans="1:4">
      <c r="A860" s="10" t="s">
        <v>866</v>
      </c>
      <c r="B860" s="12" t="s">
        <v>867</v>
      </c>
      <c r="C860" s="12" t="s">
        <v>1846</v>
      </c>
      <c r="D860" s="7">
        <v>10</v>
      </c>
    </row>
    <row r="861" spans="1:4">
      <c r="A861" s="10" t="s">
        <v>866</v>
      </c>
      <c r="B861" s="12" t="s">
        <v>867</v>
      </c>
      <c r="C861" s="12" t="s">
        <v>1846</v>
      </c>
      <c r="D861" s="7">
        <v>9.5</v>
      </c>
    </row>
    <row r="862" spans="1:4">
      <c r="A862" s="10" t="s">
        <v>782</v>
      </c>
      <c r="B862" s="12" t="s">
        <v>783</v>
      </c>
      <c r="C862" s="12" t="s">
        <v>1845</v>
      </c>
      <c r="D862" s="7">
        <v>1</v>
      </c>
    </row>
    <row r="863" spans="1:4">
      <c r="A863" s="10" t="s">
        <v>644</v>
      </c>
      <c r="B863" s="12" t="s">
        <v>67</v>
      </c>
      <c r="C863" s="12" t="s">
        <v>1845</v>
      </c>
      <c r="D863" s="7">
        <v>0.5</v>
      </c>
    </row>
    <row r="864" spans="1:4">
      <c r="A864" s="10" t="s">
        <v>1307</v>
      </c>
      <c r="B864" s="12" t="s">
        <v>1308</v>
      </c>
      <c r="C864" s="12" t="s">
        <v>1845</v>
      </c>
      <c r="D864" s="7">
        <v>1</v>
      </c>
    </row>
    <row r="865" spans="1:4">
      <c r="A865" s="10" t="s">
        <v>186</v>
      </c>
      <c r="B865" s="12" t="s">
        <v>187</v>
      </c>
      <c r="C865" s="12" t="s">
        <v>1845</v>
      </c>
      <c r="D865" s="7">
        <v>0.5</v>
      </c>
    </row>
    <row r="866" spans="1:4">
      <c r="A866" s="10" t="s">
        <v>1387</v>
      </c>
      <c r="B866" s="12" t="s">
        <v>1388</v>
      </c>
      <c r="C866" s="12" t="s">
        <v>1845</v>
      </c>
      <c r="D866" s="7">
        <v>0.5</v>
      </c>
    </row>
    <row r="867" spans="1:4">
      <c r="A867" s="10" t="s">
        <v>868</v>
      </c>
      <c r="B867" s="12" t="s">
        <v>47</v>
      </c>
      <c r="C867" s="12" t="s">
        <v>1845</v>
      </c>
      <c r="D867" s="7">
        <v>0.5</v>
      </c>
    </row>
    <row r="868" spans="1:4">
      <c r="A868" s="10" t="s">
        <v>762</v>
      </c>
      <c r="B868" s="12" t="s">
        <v>640</v>
      </c>
      <c r="C868" s="12" t="s">
        <v>1845</v>
      </c>
      <c r="D868" s="7">
        <v>0.5</v>
      </c>
    </row>
    <row r="869" spans="1:4">
      <c r="A869" s="10" t="s">
        <v>1381</v>
      </c>
      <c r="B869" s="12" t="s">
        <v>1382</v>
      </c>
      <c r="C869" s="12" t="s">
        <v>1845</v>
      </c>
      <c r="D869" s="7">
        <v>0.5</v>
      </c>
    </row>
    <row r="870" spans="1:4">
      <c r="A870" s="10" t="s">
        <v>471</v>
      </c>
      <c r="B870" s="12" t="s">
        <v>472</v>
      </c>
      <c r="C870" s="12" t="s">
        <v>1845</v>
      </c>
      <c r="D870" s="7">
        <v>0.5</v>
      </c>
    </row>
    <row r="871" spans="1:4">
      <c r="A871" s="10" t="s">
        <v>594</v>
      </c>
      <c r="B871" s="12" t="s">
        <v>595</v>
      </c>
      <c r="C871" s="12" t="s">
        <v>1845</v>
      </c>
      <c r="D871" s="7">
        <v>1</v>
      </c>
    </row>
    <row r="872" spans="1:4">
      <c r="A872" s="10" t="s">
        <v>1527</v>
      </c>
      <c r="B872" s="12" t="s">
        <v>55</v>
      </c>
      <c r="C872" s="12" t="s">
        <v>1846</v>
      </c>
      <c r="D872" s="7">
        <v>11</v>
      </c>
    </row>
    <row r="873" spans="1:4">
      <c r="A873" s="10" t="s">
        <v>1527</v>
      </c>
      <c r="B873" s="12" t="s">
        <v>55</v>
      </c>
      <c r="C873" s="12" t="s">
        <v>1847</v>
      </c>
      <c r="D873" s="7">
        <v>4</v>
      </c>
    </row>
    <row r="874" spans="1:4">
      <c r="A874" s="10" t="s">
        <v>1527</v>
      </c>
      <c r="B874" s="12" t="s">
        <v>55</v>
      </c>
      <c r="C874" s="12" t="s">
        <v>1847</v>
      </c>
      <c r="D874" s="7">
        <v>4</v>
      </c>
    </row>
    <row r="875" spans="1:4">
      <c r="A875" s="10" t="s">
        <v>322</v>
      </c>
      <c r="B875" s="12" t="s">
        <v>323</v>
      </c>
      <c r="C875" s="12" t="s">
        <v>1846</v>
      </c>
      <c r="D875" s="7">
        <v>12</v>
      </c>
    </row>
    <row r="876" spans="1:4">
      <c r="A876" s="10" t="s">
        <v>322</v>
      </c>
      <c r="B876" s="12" t="s">
        <v>323</v>
      </c>
      <c r="C876" s="12" t="s">
        <v>1846</v>
      </c>
      <c r="D876" s="7">
        <v>8</v>
      </c>
    </row>
    <row r="877" spans="1:4">
      <c r="A877" s="10" t="s">
        <v>823</v>
      </c>
      <c r="B877" s="12" t="s">
        <v>824</v>
      </c>
      <c r="C877" s="12" t="s">
        <v>1846</v>
      </c>
      <c r="D877" s="7">
        <v>19</v>
      </c>
    </row>
    <row r="878" spans="1:4">
      <c r="A878" s="10" t="s">
        <v>823</v>
      </c>
      <c r="B878" s="12" t="s">
        <v>824</v>
      </c>
      <c r="C878" s="12" t="s">
        <v>1847</v>
      </c>
      <c r="D878" s="7">
        <v>1</v>
      </c>
    </row>
    <row r="879" spans="1:4" ht="29.1">
      <c r="A879" s="10" t="s">
        <v>410</v>
      </c>
      <c r="B879" s="12" t="s">
        <v>411</v>
      </c>
      <c r="C879" s="12" t="s">
        <v>1844</v>
      </c>
      <c r="D879" s="7">
        <v>3</v>
      </c>
    </row>
    <row r="880" spans="1:4">
      <c r="A880" s="10" t="s">
        <v>1435</v>
      </c>
      <c r="B880" s="12" t="s">
        <v>1436</v>
      </c>
      <c r="C880" s="12" t="s">
        <v>1848</v>
      </c>
      <c r="D880" s="7">
        <v>14</v>
      </c>
    </row>
    <row r="881" spans="1:4">
      <c r="A881" s="10" t="s">
        <v>1435</v>
      </c>
      <c r="B881" s="12" t="s">
        <v>1436</v>
      </c>
      <c r="C881" s="12" t="s">
        <v>1848</v>
      </c>
      <c r="D881" s="7">
        <v>5</v>
      </c>
    </row>
    <row r="882" spans="1:4">
      <c r="A882" s="10" t="s">
        <v>1435</v>
      </c>
      <c r="B882" s="12" t="s">
        <v>1436</v>
      </c>
      <c r="C882" s="12" t="s">
        <v>1847</v>
      </c>
      <c r="D882" s="7">
        <v>1</v>
      </c>
    </row>
    <row r="883" spans="1:4">
      <c r="A883" s="10" t="s">
        <v>1650</v>
      </c>
      <c r="B883" s="12" t="s">
        <v>1651</v>
      </c>
      <c r="C883" s="12" t="s">
        <v>1847</v>
      </c>
      <c r="D883" s="7">
        <v>19</v>
      </c>
    </row>
    <row r="884" spans="1:4">
      <c r="A884" s="10" t="s">
        <v>1472</v>
      </c>
      <c r="B884" s="12" t="s">
        <v>1473</v>
      </c>
      <c r="C884" s="12" t="s">
        <v>1846</v>
      </c>
      <c r="D884" s="7">
        <v>2.5</v>
      </c>
    </row>
    <row r="885" spans="1:4">
      <c r="A885" s="10" t="s">
        <v>1472</v>
      </c>
      <c r="B885" s="12" t="s">
        <v>1473</v>
      </c>
      <c r="C885" s="12" t="s">
        <v>1846</v>
      </c>
      <c r="D885" s="7">
        <v>2.5</v>
      </c>
    </row>
    <row r="886" spans="1:4">
      <c r="A886" s="10" t="s">
        <v>1472</v>
      </c>
      <c r="B886" s="12" t="s">
        <v>1473</v>
      </c>
      <c r="C886" s="12" t="s">
        <v>1847</v>
      </c>
      <c r="D886" s="7">
        <v>3</v>
      </c>
    </row>
    <row r="887" spans="1:4">
      <c r="A887" s="10" t="s">
        <v>831</v>
      </c>
      <c r="B887" s="12" t="s">
        <v>832</v>
      </c>
      <c r="C887" s="12" t="s">
        <v>1846</v>
      </c>
      <c r="D887" s="7">
        <v>20</v>
      </c>
    </row>
    <row r="888" spans="1:4">
      <c r="A888" s="10" t="s">
        <v>576</v>
      </c>
      <c r="B888" s="12" t="s">
        <v>577</v>
      </c>
      <c r="C888" s="12" t="s">
        <v>1847</v>
      </c>
      <c r="D888" s="7">
        <v>9</v>
      </c>
    </row>
    <row r="889" spans="1:4">
      <c r="A889" s="10" t="s">
        <v>1512</v>
      </c>
      <c r="B889" s="12" t="s">
        <v>1513</v>
      </c>
      <c r="C889" s="12" t="s">
        <v>1846</v>
      </c>
      <c r="D889" s="7">
        <v>18</v>
      </c>
    </row>
    <row r="890" spans="1:4">
      <c r="A890" s="10" t="s">
        <v>1512</v>
      </c>
      <c r="B890" s="12" t="s">
        <v>1513</v>
      </c>
      <c r="C890" s="12" t="s">
        <v>1847</v>
      </c>
      <c r="D890" s="7">
        <v>2</v>
      </c>
    </row>
    <row r="891" spans="1:4" ht="29.1">
      <c r="A891" s="10" t="s">
        <v>650</v>
      </c>
      <c r="B891" s="12" t="s">
        <v>651</v>
      </c>
      <c r="C891" s="12" t="s">
        <v>1844</v>
      </c>
      <c r="D891" s="7">
        <v>2</v>
      </c>
    </row>
    <row r="892" spans="1:4">
      <c r="A892" s="10" t="s">
        <v>1704</v>
      </c>
      <c r="B892" s="12" t="s">
        <v>1705</v>
      </c>
      <c r="C892" s="12" t="s">
        <v>1847</v>
      </c>
      <c r="D892" s="7">
        <v>20</v>
      </c>
    </row>
    <row r="893" spans="1:4">
      <c r="A893" s="10" t="s">
        <v>1472</v>
      </c>
      <c r="B893" s="12" t="s">
        <v>1473</v>
      </c>
      <c r="C893" s="12" t="s">
        <v>1846</v>
      </c>
      <c r="D893" s="7">
        <v>11</v>
      </c>
    </row>
    <row r="894" spans="1:4">
      <c r="A894" s="10" t="s">
        <v>641</v>
      </c>
      <c r="B894" s="12" t="s">
        <v>642</v>
      </c>
      <c r="C894" s="12" t="s">
        <v>1847</v>
      </c>
      <c r="D894" s="7">
        <v>16</v>
      </c>
    </row>
    <row r="895" spans="1:4">
      <c r="A895" s="10" t="s">
        <v>1472</v>
      </c>
      <c r="B895" s="12" t="s">
        <v>1473</v>
      </c>
      <c r="C895" s="12" t="s">
        <v>1847</v>
      </c>
      <c r="D895" s="7">
        <v>1</v>
      </c>
    </row>
    <row r="896" spans="1:4">
      <c r="A896" s="10" t="s">
        <v>1169</v>
      </c>
      <c r="B896" s="12" t="s">
        <v>1170</v>
      </c>
      <c r="C896" s="12" t="s">
        <v>1848</v>
      </c>
      <c r="D896" s="7">
        <v>20</v>
      </c>
    </row>
    <row r="897" spans="1:4">
      <c r="A897" s="10" t="s">
        <v>1367</v>
      </c>
      <c r="B897" s="12" t="s">
        <v>1368</v>
      </c>
      <c r="C897" s="12" t="s">
        <v>1846</v>
      </c>
      <c r="D897" s="7">
        <v>20</v>
      </c>
    </row>
    <row r="898" spans="1:4">
      <c r="A898" s="10" t="s">
        <v>1682</v>
      </c>
      <c r="B898" s="12" t="s">
        <v>1683</v>
      </c>
      <c r="C898" s="12" t="s">
        <v>1847</v>
      </c>
      <c r="D898" s="7">
        <v>20</v>
      </c>
    </row>
    <row r="899" spans="1:4">
      <c r="A899" s="10" t="s">
        <v>379</v>
      </c>
      <c r="B899" s="12" t="s">
        <v>380</v>
      </c>
      <c r="C899" s="12" t="s">
        <v>1846</v>
      </c>
      <c r="D899" s="7">
        <v>8</v>
      </c>
    </row>
    <row r="900" spans="1:4">
      <c r="A900" s="10" t="s">
        <v>379</v>
      </c>
      <c r="B900" s="12" t="s">
        <v>380</v>
      </c>
      <c r="C900" s="12" t="s">
        <v>1846</v>
      </c>
      <c r="D900" s="7">
        <v>8</v>
      </c>
    </row>
    <row r="901" spans="1:4">
      <c r="A901" s="10" t="s">
        <v>1004</v>
      </c>
      <c r="B901" s="12" t="s">
        <v>1005</v>
      </c>
      <c r="C901" s="12" t="s">
        <v>1846</v>
      </c>
      <c r="D901" s="7">
        <v>20</v>
      </c>
    </row>
    <row r="902" spans="1:4">
      <c r="A902" s="10" t="s">
        <v>263</v>
      </c>
      <c r="B902" s="12" t="s">
        <v>264</v>
      </c>
      <c r="C902" s="12" t="s">
        <v>1846</v>
      </c>
      <c r="D902" s="7">
        <v>20</v>
      </c>
    </row>
    <row r="903" spans="1:4">
      <c r="A903" s="10" t="s">
        <v>702</v>
      </c>
      <c r="B903" s="12" t="s">
        <v>80</v>
      </c>
      <c r="C903" s="12" t="s">
        <v>1846</v>
      </c>
      <c r="D903" s="7">
        <v>1</v>
      </c>
    </row>
    <row r="904" spans="1:4">
      <c r="A904" s="10" t="s">
        <v>702</v>
      </c>
      <c r="B904" s="12" t="s">
        <v>80</v>
      </c>
      <c r="C904" s="12" t="s">
        <v>1846</v>
      </c>
      <c r="D904" s="7">
        <v>3</v>
      </c>
    </row>
    <row r="905" spans="1:4">
      <c r="A905" s="10" t="s">
        <v>1622</v>
      </c>
      <c r="B905" s="12" t="s">
        <v>1623</v>
      </c>
      <c r="C905" s="12" t="s">
        <v>1848</v>
      </c>
      <c r="D905" s="7">
        <v>14.5</v>
      </c>
    </row>
    <row r="906" spans="1:4">
      <c r="A906" s="10" t="s">
        <v>1622</v>
      </c>
      <c r="B906" s="12" t="s">
        <v>1623</v>
      </c>
      <c r="C906" s="12" t="s">
        <v>1847</v>
      </c>
      <c r="D906" s="7">
        <v>4.5</v>
      </c>
    </row>
    <row r="907" spans="1:4">
      <c r="A907" s="10" t="s">
        <v>1684</v>
      </c>
      <c r="B907" s="12" t="s">
        <v>1685</v>
      </c>
      <c r="C907" s="12" t="s">
        <v>1847</v>
      </c>
      <c r="D907" s="7">
        <v>20</v>
      </c>
    </row>
    <row r="908" spans="1:4">
      <c r="A908" s="10" t="s">
        <v>1698</v>
      </c>
      <c r="B908" s="12" t="s">
        <v>1699</v>
      </c>
      <c r="C908" s="12" t="s">
        <v>1847</v>
      </c>
      <c r="D908" s="7">
        <v>12.5</v>
      </c>
    </row>
    <row r="909" spans="1:4">
      <c r="A909" s="10" t="s">
        <v>1698</v>
      </c>
      <c r="B909" s="12" t="s">
        <v>1699</v>
      </c>
      <c r="C909" s="12" t="s">
        <v>1847</v>
      </c>
      <c r="D909" s="7">
        <v>2.5</v>
      </c>
    </row>
    <row r="910" spans="1:4">
      <c r="A910" s="10" t="s">
        <v>1383</v>
      </c>
      <c r="B910" s="12" t="s">
        <v>1384</v>
      </c>
      <c r="C910" s="12" t="s">
        <v>1847</v>
      </c>
      <c r="D910" s="7">
        <v>20</v>
      </c>
    </row>
    <row r="911" spans="1:4">
      <c r="A911" s="10" t="s">
        <v>1117</v>
      </c>
      <c r="B911" s="12" t="s">
        <v>1118</v>
      </c>
      <c r="C911" s="12" t="s">
        <v>1847</v>
      </c>
      <c r="D911" s="7">
        <v>1</v>
      </c>
    </row>
    <row r="912" spans="1:4">
      <c r="A912" s="10" t="s">
        <v>1117</v>
      </c>
      <c r="B912" s="12" t="s">
        <v>1118</v>
      </c>
      <c r="C912" s="12" t="s">
        <v>1847</v>
      </c>
      <c r="D912" s="7">
        <v>18</v>
      </c>
    </row>
    <row r="913" spans="1:4">
      <c r="A913" s="10" t="s">
        <v>702</v>
      </c>
      <c r="B913" s="12" t="s">
        <v>80</v>
      </c>
      <c r="C913" s="12" t="s">
        <v>1847</v>
      </c>
      <c r="D913" s="7">
        <v>10</v>
      </c>
    </row>
    <row r="914" spans="1:4">
      <c r="A914" s="10" t="s">
        <v>702</v>
      </c>
      <c r="B914" s="12" t="s">
        <v>80</v>
      </c>
      <c r="C914" s="12" t="s">
        <v>1847</v>
      </c>
      <c r="D914" s="7">
        <v>3</v>
      </c>
    </row>
    <row r="915" spans="1:4">
      <c r="A915" s="10" t="s">
        <v>702</v>
      </c>
      <c r="B915" s="12" t="s">
        <v>80</v>
      </c>
      <c r="C915" s="12" t="s">
        <v>1847</v>
      </c>
      <c r="D915" s="7">
        <v>3</v>
      </c>
    </row>
    <row r="916" spans="1:4">
      <c r="A916" s="10" t="s">
        <v>560</v>
      </c>
      <c r="B916" s="12" t="s">
        <v>561</v>
      </c>
      <c r="C916" s="12" t="s">
        <v>1846</v>
      </c>
      <c r="D916" s="7">
        <v>5.5</v>
      </c>
    </row>
    <row r="917" spans="1:4">
      <c r="A917" s="10" t="s">
        <v>1672</v>
      </c>
      <c r="B917" s="12" t="s">
        <v>1673</v>
      </c>
      <c r="C917" s="12" t="s">
        <v>1847</v>
      </c>
      <c r="D917" s="7">
        <v>0.5</v>
      </c>
    </row>
    <row r="918" spans="1:4">
      <c r="A918" s="10" t="s">
        <v>1236</v>
      </c>
      <c r="B918" s="12" t="s">
        <v>1237</v>
      </c>
      <c r="C918" s="12" t="s">
        <v>1847</v>
      </c>
      <c r="D918" s="7">
        <v>1</v>
      </c>
    </row>
    <row r="919" spans="1:4">
      <c r="A919" s="10" t="s">
        <v>560</v>
      </c>
      <c r="B919" s="12" t="s">
        <v>561</v>
      </c>
      <c r="C919" s="12" t="s">
        <v>1847</v>
      </c>
      <c r="D919" s="7">
        <v>1</v>
      </c>
    </row>
    <row r="920" spans="1:4">
      <c r="A920" s="10" t="s">
        <v>291</v>
      </c>
      <c r="B920" s="12" t="s">
        <v>292</v>
      </c>
      <c r="C920" s="12" t="s">
        <v>1846</v>
      </c>
      <c r="D920" s="7">
        <v>20</v>
      </c>
    </row>
    <row r="921" spans="1:4">
      <c r="A921" s="10" t="s">
        <v>1716</v>
      </c>
      <c r="B921" s="12" t="s">
        <v>1717</v>
      </c>
      <c r="C921" s="12" t="s">
        <v>1847</v>
      </c>
      <c r="D921" s="7">
        <v>18</v>
      </c>
    </row>
    <row r="922" spans="1:4">
      <c r="A922" s="10" t="s">
        <v>748</v>
      </c>
      <c r="B922" s="12" t="s">
        <v>749</v>
      </c>
      <c r="C922" s="12" t="s">
        <v>1847</v>
      </c>
      <c r="D922" s="7">
        <v>2</v>
      </c>
    </row>
    <row r="923" spans="1:4">
      <c r="A923" s="10" t="s">
        <v>914</v>
      </c>
      <c r="B923" s="12" t="s">
        <v>915</v>
      </c>
      <c r="C923" s="12" t="s">
        <v>1846</v>
      </c>
      <c r="D923" s="7">
        <v>15</v>
      </c>
    </row>
    <row r="924" spans="1:4">
      <c r="A924" s="10" t="s">
        <v>1093</v>
      </c>
      <c r="B924" s="12" t="s">
        <v>1094</v>
      </c>
      <c r="C924" s="12" t="s">
        <v>1846</v>
      </c>
      <c r="D924" s="7">
        <v>20</v>
      </c>
    </row>
    <row r="925" spans="1:4">
      <c r="A925" s="10" t="s">
        <v>1716</v>
      </c>
      <c r="B925" s="12" t="s">
        <v>1717</v>
      </c>
      <c r="C925" s="12" t="s">
        <v>1847</v>
      </c>
      <c r="D925" s="7">
        <v>1</v>
      </c>
    </row>
    <row r="926" spans="1:4">
      <c r="A926" s="10" t="s">
        <v>1229</v>
      </c>
      <c r="B926" s="12" t="s">
        <v>1230</v>
      </c>
      <c r="C926" s="12" t="s">
        <v>1847</v>
      </c>
      <c r="D926" s="7">
        <v>14</v>
      </c>
    </row>
    <row r="927" spans="1:4">
      <c r="A927" s="10" t="s">
        <v>1678</v>
      </c>
      <c r="B927" s="12" t="s">
        <v>1679</v>
      </c>
      <c r="C927" s="12" t="s">
        <v>1847</v>
      </c>
      <c r="D927" s="7">
        <v>18</v>
      </c>
    </row>
    <row r="928" spans="1:4">
      <c r="A928" s="10" t="s">
        <v>1167</v>
      </c>
      <c r="B928" s="12" t="s">
        <v>1168</v>
      </c>
      <c r="C928" s="12" t="s">
        <v>1846</v>
      </c>
      <c r="D928" s="7">
        <v>19.5</v>
      </c>
    </row>
    <row r="929" spans="1:4">
      <c r="A929" s="10" t="s">
        <v>484</v>
      </c>
      <c r="B929" s="12" t="s">
        <v>485</v>
      </c>
      <c r="C929" s="12" t="s">
        <v>1846</v>
      </c>
      <c r="D929" s="7">
        <v>15</v>
      </c>
    </row>
    <row r="930" spans="1:4">
      <c r="A930" s="10" t="s">
        <v>1604</v>
      </c>
      <c r="B930" s="12" t="s">
        <v>1605</v>
      </c>
      <c r="C930" s="12" t="s">
        <v>1847</v>
      </c>
      <c r="D930" s="7">
        <v>19</v>
      </c>
    </row>
    <row r="931" spans="1:4">
      <c r="A931" s="10" t="s">
        <v>452</v>
      </c>
      <c r="B931" s="12" t="s">
        <v>453</v>
      </c>
      <c r="C931" s="12" t="s">
        <v>1846</v>
      </c>
      <c r="D931" s="7">
        <v>20</v>
      </c>
    </row>
    <row r="932" spans="1:4">
      <c r="A932" s="10" t="s">
        <v>1249</v>
      </c>
      <c r="B932" s="12" t="s">
        <v>1250</v>
      </c>
      <c r="C932" s="12" t="s">
        <v>1846</v>
      </c>
      <c r="D932" s="7">
        <v>15</v>
      </c>
    </row>
    <row r="933" spans="1:4">
      <c r="A933" s="10" t="s">
        <v>1793</v>
      </c>
      <c r="B933" s="12" t="s">
        <v>1794</v>
      </c>
      <c r="C933" s="12" t="s">
        <v>1847</v>
      </c>
      <c r="D933" s="7">
        <v>11</v>
      </c>
    </row>
    <row r="934" spans="1:4">
      <c r="A934" s="10" t="s">
        <v>1508</v>
      </c>
      <c r="B934" s="12" t="s">
        <v>1509</v>
      </c>
      <c r="C934" s="12" t="s">
        <v>1846</v>
      </c>
      <c r="D934" s="7">
        <v>9</v>
      </c>
    </row>
    <row r="935" spans="1:4">
      <c r="A935" s="10" t="s">
        <v>1666</v>
      </c>
      <c r="B935" s="12" t="s">
        <v>1667</v>
      </c>
      <c r="C935" s="12" t="s">
        <v>1847</v>
      </c>
      <c r="D935" s="7">
        <v>19.5</v>
      </c>
    </row>
    <row r="936" spans="1:4">
      <c r="A936" s="10" t="s">
        <v>670</v>
      </c>
      <c r="B936" s="12" t="s">
        <v>671</v>
      </c>
      <c r="C936" s="12" t="s">
        <v>1846</v>
      </c>
      <c r="D936" s="7">
        <v>14.5</v>
      </c>
    </row>
    <row r="937" spans="1:4">
      <c r="A937" s="10" t="s">
        <v>670</v>
      </c>
      <c r="B937" s="12" t="s">
        <v>671</v>
      </c>
      <c r="C937" s="12" t="s">
        <v>1847</v>
      </c>
      <c r="D937" s="7">
        <v>1</v>
      </c>
    </row>
    <row r="938" spans="1:4">
      <c r="A938" s="10" t="s">
        <v>1143</v>
      </c>
      <c r="B938" s="12" t="s">
        <v>1144</v>
      </c>
      <c r="C938" s="12" t="s">
        <v>1846</v>
      </c>
      <c r="D938" s="7">
        <v>20</v>
      </c>
    </row>
    <row r="939" spans="1:4">
      <c r="A939" s="10" t="s">
        <v>236</v>
      </c>
      <c r="B939" s="12" t="s">
        <v>237</v>
      </c>
      <c r="C939" s="12" t="s">
        <v>1846</v>
      </c>
      <c r="D939" s="7">
        <v>20</v>
      </c>
    </row>
    <row r="940" spans="1:4">
      <c r="A940" s="10" t="s">
        <v>1035</v>
      </c>
      <c r="B940" s="12" t="s">
        <v>1036</v>
      </c>
      <c r="C940" s="12" t="s">
        <v>1846</v>
      </c>
      <c r="D940" s="7">
        <v>19</v>
      </c>
    </row>
    <row r="941" spans="1:4">
      <c r="A941" s="10" t="s">
        <v>1632</v>
      </c>
      <c r="B941" s="12" t="s">
        <v>1633</v>
      </c>
      <c r="C941" s="12" t="s">
        <v>1847</v>
      </c>
      <c r="D941" s="7">
        <v>17</v>
      </c>
    </row>
    <row r="942" spans="1:4">
      <c r="A942" s="10" t="s">
        <v>1764</v>
      </c>
      <c r="B942" s="12" t="s">
        <v>1765</v>
      </c>
      <c r="C942" s="12" t="s">
        <v>1847</v>
      </c>
      <c r="D942" s="7">
        <v>20</v>
      </c>
    </row>
    <row r="943" spans="1:4">
      <c r="A943" s="10" t="s">
        <v>835</v>
      </c>
      <c r="B943" s="12" t="s">
        <v>836</v>
      </c>
      <c r="C943" s="12" t="s">
        <v>1846</v>
      </c>
      <c r="D943" s="7">
        <v>9</v>
      </c>
    </row>
    <row r="944" spans="1:4">
      <c r="A944" s="10" t="s">
        <v>835</v>
      </c>
      <c r="B944" s="12" t="s">
        <v>836</v>
      </c>
      <c r="C944" s="12" t="s">
        <v>1847</v>
      </c>
      <c r="D944" s="7">
        <v>11</v>
      </c>
    </row>
    <row r="945" spans="1:4">
      <c r="A945" s="10" t="s">
        <v>282</v>
      </c>
      <c r="B945" s="12" t="s">
        <v>283</v>
      </c>
      <c r="C945" s="12" t="s">
        <v>1846</v>
      </c>
      <c r="D945" s="7">
        <v>16</v>
      </c>
    </row>
    <row r="946" spans="1:4">
      <c r="A946" s="10" t="s">
        <v>282</v>
      </c>
      <c r="B946" s="12" t="s">
        <v>283</v>
      </c>
      <c r="C946" s="12" t="s">
        <v>1847</v>
      </c>
      <c r="D946" s="7">
        <v>4</v>
      </c>
    </row>
    <row r="947" spans="1:4">
      <c r="A947" s="10" t="s">
        <v>1317</v>
      </c>
      <c r="B947" s="12" t="s">
        <v>1318</v>
      </c>
      <c r="C947" s="12" t="s">
        <v>1847</v>
      </c>
      <c r="D947" s="7">
        <v>10</v>
      </c>
    </row>
    <row r="948" spans="1:4">
      <c r="A948" s="10" t="s">
        <v>523</v>
      </c>
      <c r="B948" s="12" t="s">
        <v>524</v>
      </c>
      <c r="C948" s="12" t="s">
        <v>1846</v>
      </c>
      <c r="D948" s="7">
        <v>16</v>
      </c>
    </row>
    <row r="949" spans="1:4">
      <c r="A949" s="10" t="s">
        <v>618</v>
      </c>
      <c r="B949" s="12" t="s">
        <v>619</v>
      </c>
      <c r="C949" s="12" t="s">
        <v>1847</v>
      </c>
      <c r="D949" s="7">
        <v>2</v>
      </c>
    </row>
    <row r="950" spans="1:4">
      <c r="A950" s="10" t="s">
        <v>996</v>
      </c>
      <c r="B950" s="12" t="s">
        <v>997</v>
      </c>
      <c r="C950" s="12" t="s">
        <v>1847</v>
      </c>
      <c r="D950" s="7">
        <v>3</v>
      </c>
    </row>
    <row r="951" spans="1:4">
      <c r="A951" s="10" t="s">
        <v>996</v>
      </c>
      <c r="B951" s="12" t="s">
        <v>997</v>
      </c>
      <c r="C951" s="12" t="s">
        <v>1847</v>
      </c>
      <c r="D951" s="7">
        <v>16</v>
      </c>
    </row>
    <row r="952" spans="1:4">
      <c r="A952" s="10" t="s">
        <v>205</v>
      </c>
      <c r="B952" s="12" t="s">
        <v>206</v>
      </c>
      <c r="C952" s="12" t="s">
        <v>1846</v>
      </c>
      <c r="D952" s="7">
        <v>19</v>
      </c>
    </row>
    <row r="953" spans="1:4">
      <c r="A953" s="10" t="s">
        <v>1173</v>
      </c>
      <c r="B953" s="12" t="s">
        <v>1174</v>
      </c>
      <c r="C953" s="12" t="s">
        <v>1846</v>
      </c>
      <c r="D953" s="7">
        <v>11</v>
      </c>
    </row>
    <row r="954" spans="1:4">
      <c r="A954" s="10" t="s">
        <v>564</v>
      </c>
      <c r="B954" s="12" t="s">
        <v>565</v>
      </c>
      <c r="C954" s="12" t="s">
        <v>1846</v>
      </c>
      <c r="D954" s="7">
        <v>12</v>
      </c>
    </row>
    <row r="955" spans="1:4">
      <c r="A955" s="10" t="s">
        <v>564</v>
      </c>
      <c r="B955" s="12" t="s">
        <v>565</v>
      </c>
      <c r="C955" s="12" t="s">
        <v>1847</v>
      </c>
      <c r="D955" s="7">
        <v>6</v>
      </c>
    </row>
    <row r="956" spans="1:4">
      <c r="A956" s="10" t="s">
        <v>564</v>
      </c>
      <c r="B956" s="12" t="s">
        <v>565</v>
      </c>
      <c r="C956" s="12" t="s">
        <v>1847</v>
      </c>
      <c r="D956" s="7">
        <v>2</v>
      </c>
    </row>
    <row r="957" spans="1:4">
      <c r="A957" s="10" t="s">
        <v>1278</v>
      </c>
      <c r="B957" s="12" t="s">
        <v>1279</v>
      </c>
      <c r="C957" s="12" t="s">
        <v>1847</v>
      </c>
      <c r="D957" s="7">
        <v>19.5</v>
      </c>
    </row>
    <row r="958" spans="1:4">
      <c r="A958" s="10" t="s">
        <v>148</v>
      </c>
      <c r="B958" s="12" t="s">
        <v>77</v>
      </c>
      <c r="C958" s="12" t="s">
        <v>1847</v>
      </c>
      <c r="D958" s="7">
        <v>1</v>
      </c>
    </row>
    <row r="959" spans="1:4">
      <c r="A959" s="10" t="s">
        <v>990</v>
      </c>
      <c r="B959" s="12" t="s">
        <v>991</v>
      </c>
      <c r="C959" s="12" t="s">
        <v>1846</v>
      </c>
      <c r="D959" s="7">
        <v>19</v>
      </c>
    </row>
    <row r="960" spans="1:4">
      <c r="A960" s="10" t="s">
        <v>1634</v>
      </c>
      <c r="B960" s="12" t="s">
        <v>1635</v>
      </c>
      <c r="C960" s="12" t="s">
        <v>1847</v>
      </c>
      <c r="D960" s="7">
        <v>14</v>
      </c>
    </row>
    <row r="961" spans="1:4">
      <c r="A961" s="10" t="s">
        <v>1154</v>
      </c>
      <c r="B961" s="12" t="s">
        <v>1155</v>
      </c>
      <c r="C961" s="12" t="s">
        <v>1846</v>
      </c>
      <c r="D961" s="7">
        <v>7</v>
      </c>
    </row>
    <row r="962" spans="1:4">
      <c r="A962" s="10" t="s">
        <v>1154</v>
      </c>
      <c r="B962" s="12" t="s">
        <v>1155</v>
      </c>
      <c r="C962" s="12" t="s">
        <v>1846</v>
      </c>
      <c r="D962" s="7">
        <v>10</v>
      </c>
    </row>
    <row r="963" spans="1:4">
      <c r="A963" s="10" t="s">
        <v>1014</v>
      </c>
      <c r="B963" s="12" t="s">
        <v>1015</v>
      </c>
      <c r="C963" s="12" t="s">
        <v>1846</v>
      </c>
      <c r="D963" s="7">
        <v>20</v>
      </c>
    </row>
    <row r="964" spans="1:4">
      <c r="A964" s="10" t="s">
        <v>384</v>
      </c>
      <c r="B964" s="12" t="s">
        <v>385</v>
      </c>
      <c r="C964" s="12" t="s">
        <v>1847</v>
      </c>
      <c r="D964" s="7">
        <v>14.5</v>
      </c>
    </row>
    <row r="965" spans="1:4">
      <c r="A965" s="10" t="s">
        <v>425</v>
      </c>
      <c r="B965" s="12" t="s">
        <v>426</v>
      </c>
      <c r="C965" s="12" t="s">
        <v>1846</v>
      </c>
      <c r="D965" s="7">
        <v>19</v>
      </c>
    </row>
    <row r="966" spans="1:4">
      <c r="A966" s="10" t="s">
        <v>318</v>
      </c>
      <c r="B966" s="12" t="s">
        <v>319</v>
      </c>
      <c r="C966" s="12" t="s">
        <v>1847</v>
      </c>
      <c r="D966" s="7">
        <v>17.5</v>
      </c>
    </row>
    <row r="967" spans="1:4">
      <c r="A967" s="10" t="s">
        <v>1538</v>
      </c>
      <c r="B967" s="12" t="s">
        <v>1539</v>
      </c>
      <c r="C967" s="12" t="s">
        <v>1846</v>
      </c>
      <c r="D967" s="7">
        <v>2.5</v>
      </c>
    </row>
    <row r="968" spans="1:4">
      <c r="A968" s="10" t="s">
        <v>1538</v>
      </c>
      <c r="B968" s="12" t="s">
        <v>1539</v>
      </c>
      <c r="C968" s="12" t="s">
        <v>1847</v>
      </c>
      <c r="D968" s="7">
        <v>1.5</v>
      </c>
    </row>
    <row r="969" spans="1:4">
      <c r="A969" s="10" t="s">
        <v>318</v>
      </c>
      <c r="B969" s="12" t="s">
        <v>319</v>
      </c>
      <c r="C969" s="12" t="s">
        <v>1847</v>
      </c>
      <c r="D969" s="7">
        <v>0.5</v>
      </c>
    </row>
    <row r="970" spans="1:4">
      <c r="A970" s="10" t="s">
        <v>318</v>
      </c>
      <c r="B970" s="12" t="s">
        <v>319</v>
      </c>
      <c r="C970" s="12" t="s">
        <v>1848</v>
      </c>
      <c r="D970" s="7">
        <v>1</v>
      </c>
    </row>
    <row r="971" spans="1:4">
      <c r="A971" s="10" t="s">
        <v>1315</v>
      </c>
      <c r="B971" s="12" t="s">
        <v>1316</v>
      </c>
      <c r="C971" s="12" t="s">
        <v>1847</v>
      </c>
      <c r="D971" s="7">
        <v>0.5</v>
      </c>
    </row>
    <row r="972" spans="1:4">
      <c r="A972" s="10" t="s">
        <v>550</v>
      </c>
      <c r="B972" s="12" t="s">
        <v>63</v>
      </c>
      <c r="C972" s="12" t="s">
        <v>1846</v>
      </c>
      <c r="D972" s="7">
        <v>1</v>
      </c>
    </row>
    <row r="973" spans="1:4">
      <c r="A973" s="10" t="s">
        <v>550</v>
      </c>
      <c r="B973" s="12" t="s">
        <v>63</v>
      </c>
      <c r="C973" s="12" t="s">
        <v>1846</v>
      </c>
      <c r="D973" s="7">
        <v>1</v>
      </c>
    </row>
    <row r="974" spans="1:4">
      <c r="A974" s="10" t="s">
        <v>550</v>
      </c>
      <c r="B974" s="12" t="s">
        <v>63</v>
      </c>
      <c r="C974" s="12" t="s">
        <v>1846</v>
      </c>
      <c r="D974" s="7">
        <v>1</v>
      </c>
    </row>
    <row r="975" spans="1:4">
      <c r="A975" s="10" t="s">
        <v>550</v>
      </c>
      <c r="B975" s="12" t="s">
        <v>63</v>
      </c>
      <c r="C975" s="12" t="s">
        <v>1847</v>
      </c>
      <c r="D975" s="7">
        <v>6</v>
      </c>
    </row>
    <row r="976" spans="1:4">
      <c r="A976" s="10" t="s">
        <v>550</v>
      </c>
      <c r="B976" s="12" t="s">
        <v>63</v>
      </c>
      <c r="C976" s="12" t="s">
        <v>1847</v>
      </c>
      <c r="D976" s="7">
        <v>9.5</v>
      </c>
    </row>
    <row r="977" spans="1:4">
      <c r="A977" s="10" t="s">
        <v>550</v>
      </c>
      <c r="B977" s="12" t="s">
        <v>63</v>
      </c>
      <c r="C977" s="12" t="s">
        <v>1847</v>
      </c>
      <c r="D977" s="7">
        <v>1.5</v>
      </c>
    </row>
    <row r="978" spans="1:4">
      <c r="A978" s="10" t="s">
        <v>478</v>
      </c>
      <c r="B978" s="12" t="s">
        <v>479</v>
      </c>
      <c r="C978" s="12" t="s">
        <v>1847</v>
      </c>
      <c r="D978" s="7">
        <v>1</v>
      </c>
    </row>
    <row r="979" spans="1:4">
      <c r="A979" s="10" t="s">
        <v>478</v>
      </c>
      <c r="B979" s="12" t="s">
        <v>479</v>
      </c>
      <c r="C979" s="12" t="s">
        <v>1847</v>
      </c>
      <c r="D979" s="7">
        <v>18</v>
      </c>
    </row>
    <row r="980" spans="1:4">
      <c r="A980" s="10" t="s">
        <v>201</v>
      </c>
      <c r="B980" s="12" t="s">
        <v>202</v>
      </c>
      <c r="C980" s="12" t="s">
        <v>1846</v>
      </c>
      <c r="D980" s="7">
        <v>17</v>
      </c>
    </row>
    <row r="981" spans="1:4">
      <c r="A981" s="10" t="s">
        <v>478</v>
      </c>
      <c r="B981" s="12" t="s">
        <v>479</v>
      </c>
      <c r="C981" s="12" t="s">
        <v>1847</v>
      </c>
      <c r="D981" s="7">
        <v>1</v>
      </c>
    </row>
    <row r="982" spans="1:4">
      <c r="A982" s="10" t="s">
        <v>534</v>
      </c>
      <c r="B982" s="12" t="s">
        <v>535</v>
      </c>
      <c r="C982" s="12" t="s">
        <v>1847</v>
      </c>
      <c r="D982" s="7">
        <v>1</v>
      </c>
    </row>
    <row r="983" spans="1:4">
      <c r="A983" s="10" t="s">
        <v>1601</v>
      </c>
      <c r="B983" s="12" t="s">
        <v>1602</v>
      </c>
      <c r="C983" s="12" t="s">
        <v>1847</v>
      </c>
      <c r="D983" s="7">
        <v>19</v>
      </c>
    </row>
    <row r="984" spans="1:4">
      <c r="A984" s="10" t="s">
        <v>308</v>
      </c>
      <c r="B984" s="12" t="s">
        <v>309</v>
      </c>
      <c r="C984" s="12" t="s">
        <v>1846</v>
      </c>
      <c r="D984" s="7">
        <v>19</v>
      </c>
    </row>
    <row r="985" spans="1:4">
      <c r="A985" s="10" t="s">
        <v>233</v>
      </c>
      <c r="B985" s="12" t="s">
        <v>234</v>
      </c>
      <c r="C985" s="12" t="s">
        <v>1847</v>
      </c>
      <c r="D985" s="7">
        <v>9</v>
      </c>
    </row>
    <row r="986" spans="1:4">
      <c r="A986" s="10" t="s">
        <v>1161</v>
      </c>
      <c r="B986" s="12" t="s">
        <v>1162</v>
      </c>
      <c r="C986" s="12" t="s">
        <v>1846</v>
      </c>
      <c r="D986" s="7">
        <v>15.5</v>
      </c>
    </row>
    <row r="987" spans="1:4">
      <c r="A987" s="10" t="s">
        <v>1161</v>
      </c>
      <c r="B987" s="12" t="s">
        <v>1162</v>
      </c>
      <c r="C987" s="12" t="s">
        <v>1847</v>
      </c>
      <c r="D987" s="7">
        <v>0.5</v>
      </c>
    </row>
    <row r="988" spans="1:4">
      <c r="A988" s="10" t="s">
        <v>858</v>
      </c>
      <c r="B988" s="12" t="s">
        <v>859</v>
      </c>
      <c r="C988" s="12" t="s">
        <v>1846</v>
      </c>
      <c r="D988" s="7">
        <v>17</v>
      </c>
    </row>
    <row r="989" spans="1:4">
      <c r="A989" s="10" t="s">
        <v>858</v>
      </c>
      <c r="B989" s="12" t="s">
        <v>859</v>
      </c>
      <c r="C989" s="12" t="s">
        <v>1847</v>
      </c>
      <c r="D989" s="7">
        <v>1</v>
      </c>
    </row>
    <row r="990" spans="1:4">
      <c r="A990" s="10" t="s">
        <v>1734</v>
      </c>
      <c r="B990" s="12" t="s">
        <v>1735</v>
      </c>
      <c r="C990" s="12" t="s">
        <v>1847</v>
      </c>
      <c r="D990" s="7">
        <v>19</v>
      </c>
    </row>
    <row r="991" spans="1:4">
      <c r="A991" s="10" t="s">
        <v>233</v>
      </c>
      <c r="B991" s="12" t="s">
        <v>234</v>
      </c>
      <c r="C991" s="12" t="s">
        <v>1847</v>
      </c>
      <c r="D991" s="7">
        <v>5</v>
      </c>
    </row>
    <row r="992" spans="1:4">
      <c r="A992" s="10" t="s">
        <v>1746</v>
      </c>
      <c r="B992" s="12" t="s">
        <v>1747</v>
      </c>
      <c r="C992" s="12" t="s">
        <v>1847</v>
      </c>
      <c r="D992" s="7">
        <v>1</v>
      </c>
    </row>
    <row r="993" spans="1:4">
      <c r="A993" s="10" t="s">
        <v>766</v>
      </c>
      <c r="B993" s="12" t="s">
        <v>96</v>
      </c>
      <c r="C993" s="12" t="s">
        <v>1846</v>
      </c>
      <c r="D993" s="7">
        <v>12</v>
      </c>
    </row>
    <row r="994" spans="1:4">
      <c r="A994" s="10" t="s">
        <v>766</v>
      </c>
      <c r="B994" s="12" t="s">
        <v>96</v>
      </c>
      <c r="C994" s="12" t="s">
        <v>1847</v>
      </c>
      <c r="D994" s="7">
        <v>2</v>
      </c>
    </row>
    <row r="995" spans="1:4">
      <c r="A995" s="10" t="s">
        <v>556</v>
      </c>
      <c r="B995" s="12" t="s">
        <v>557</v>
      </c>
      <c r="C995" s="12" t="s">
        <v>1846</v>
      </c>
      <c r="D995" s="7">
        <v>18</v>
      </c>
    </row>
    <row r="996" spans="1:4">
      <c r="A996" s="10" t="s">
        <v>1688</v>
      </c>
      <c r="B996" s="12" t="s">
        <v>1689</v>
      </c>
      <c r="C996" s="12" t="s">
        <v>1847</v>
      </c>
      <c r="D996" s="7">
        <v>20</v>
      </c>
    </row>
    <row r="997" spans="1:4">
      <c r="A997" s="10" t="s">
        <v>556</v>
      </c>
      <c r="B997" s="12" t="s">
        <v>557</v>
      </c>
      <c r="C997" s="12" t="s">
        <v>1847</v>
      </c>
      <c r="D997" s="7">
        <v>2</v>
      </c>
    </row>
    <row r="998" spans="1:4">
      <c r="A998" s="10" t="s">
        <v>469</v>
      </c>
      <c r="B998" s="12" t="s">
        <v>470</v>
      </c>
      <c r="C998" s="12" t="s">
        <v>1846</v>
      </c>
      <c r="D998" s="7">
        <v>17</v>
      </c>
    </row>
    <row r="999" spans="1:4">
      <c r="A999" s="10" t="s">
        <v>203</v>
      </c>
      <c r="B999" s="12" t="s">
        <v>204</v>
      </c>
      <c r="C999" s="12" t="s">
        <v>1848</v>
      </c>
      <c r="D999" s="7">
        <v>18</v>
      </c>
    </row>
    <row r="1000" spans="1:4">
      <c r="A1000" s="10" t="s">
        <v>1404</v>
      </c>
      <c r="B1000" s="12" t="s">
        <v>1405</v>
      </c>
      <c r="C1000" s="12" t="s">
        <v>1845</v>
      </c>
      <c r="D1000" s="7">
        <v>4</v>
      </c>
    </row>
    <row r="1001" spans="1:4">
      <c r="A1001" s="10" t="s">
        <v>450</v>
      </c>
      <c r="B1001" s="12" t="s">
        <v>451</v>
      </c>
      <c r="C1001" s="12" t="s">
        <v>1845</v>
      </c>
      <c r="D1001" s="7">
        <v>4</v>
      </c>
    </row>
    <row r="1002" spans="1:4">
      <c r="A1002" s="10" t="s">
        <v>410</v>
      </c>
      <c r="B1002" s="12" t="s">
        <v>411</v>
      </c>
      <c r="C1002" s="12" t="s">
        <v>1846</v>
      </c>
      <c r="D1002" s="7">
        <v>8.5</v>
      </c>
    </row>
    <row r="1003" spans="1:4">
      <c r="A1003" s="10" t="s">
        <v>1245</v>
      </c>
      <c r="B1003" s="12" t="s">
        <v>1246</v>
      </c>
      <c r="C1003" s="12" t="s">
        <v>1846</v>
      </c>
      <c r="D1003" s="7">
        <v>18</v>
      </c>
    </row>
    <row r="1004" spans="1:4">
      <c r="A1004" s="10" t="s">
        <v>1549</v>
      </c>
      <c r="B1004" s="12" t="s">
        <v>1550</v>
      </c>
      <c r="C1004" s="12" t="s">
        <v>1846</v>
      </c>
      <c r="D1004" s="7">
        <v>20</v>
      </c>
    </row>
    <row r="1005" spans="1:4">
      <c r="A1005" s="10" t="s">
        <v>1668</v>
      </c>
      <c r="B1005" s="12" t="s">
        <v>1669</v>
      </c>
      <c r="C1005" s="12" t="s">
        <v>1847</v>
      </c>
      <c r="D1005" s="7">
        <v>19</v>
      </c>
    </row>
    <row r="1006" spans="1:4">
      <c r="A1006" s="10" t="s">
        <v>1437</v>
      </c>
      <c r="B1006" s="12" t="s">
        <v>1438</v>
      </c>
      <c r="C1006" s="12" t="s">
        <v>1846</v>
      </c>
      <c r="D1006" s="7">
        <v>20</v>
      </c>
    </row>
    <row r="1007" spans="1:4">
      <c r="A1007" s="10" t="s">
        <v>1396</v>
      </c>
      <c r="B1007" s="12" t="s">
        <v>1397</v>
      </c>
      <c r="C1007" s="12" t="s">
        <v>1847</v>
      </c>
      <c r="D1007" s="7">
        <v>5</v>
      </c>
    </row>
    <row r="1008" spans="1:4">
      <c r="A1008" s="10" t="s">
        <v>1396</v>
      </c>
      <c r="B1008" s="12" t="s">
        <v>1397</v>
      </c>
      <c r="C1008" s="12" t="s">
        <v>1846</v>
      </c>
      <c r="D1008" s="7">
        <v>3</v>
      </c>
    </row>
    <row r="1009" spans="1:4">
      <c r="A1009" s="10" t="s">
        <v>1396</v>
      </c>
      <c r="B1009" s="12" t="s">
        <v>1397</v>
      </c>
      <c r="C1009" s="12" t="s">
        <v>1846</v>
      </c>
      <c r="D1009" s="7">
        <v>12</v>
      </c>
    </row>
    <row r="1010" spans="1:4">
      <c r="A1010" s="10" t="s">
        <v>387</v>
      </c>
      <c r="B1010" s="12" t="s">
        <v>388</v>
      </c>
      <c r="C1010" s="12" t="s">
        <v>1846</v>
      </c>
      <c r="D1010" s="7">
        <v>18</v>
      </c>
    </row>
    <row r="1011" spans="1:4">
      <c r="A1011" s="10" t="s">
        <v>1159</v>
      </c>
      <c r="B1011" s="12" t="s">
        <v>1160</v>
      </c>
      <c r="C1011" s="12" t="s">
        <v>1846</v>
      </c>
      <c r="D1011" s="7">
        <v>18.5</v>
      </c>
    </row>
    <row r="1012" spans="1:4">
      <c r="A1012" s="10" t="s">
        <v>1000</v>
      </c>
      <c r="B1012" s="12" t="s">
        <v>1001</v>
      </c>
      <c r="C1012" s="12" t="s">
        <v>1846</v>
      </c>
      <c r="D1012" s="7">
        <v>18</v>
      </c>
    </row>
    <row r="1013" spans="1:4">
      <c r="A1013" s="10" t="s">
        <v>1274</v>
      </c>
      <c r="B1013" s="12" t="s">
        <v>1275</v>
      </c>
      <c r="C1013" s="12" t="s">
        <v>1846</v>
      </c>
      <c r="D1013" s="7">
        <v>20</v>
      </c>
    </row>
    <row r="1014" spans="1:4">
      <c r="A1014" s="10" t="s">
        <v>843</v>
      </c>
      <c r="B1014" s="12" t="s">
        <v>844</v>
      </c>
      <c r="C1014" s="12" t="s">
        <v>1846</v>
      </c>
      <c r="D1014" s="7">
        <v>14</v>
      </c>
    </row>
    <row r="1015" spans="1:4">
      <c r="A1015" s="10" t="s">
        <v>990</v>
      </c>
      <c r="B1015" s="12" t="s">
        <v>991</v>
      </c>
      <c r="C1015" s="12" t="s">
        <v>1847</v>
      </c>
      <c r="D1015" s="7">
        <v>1</v>
      </c>
    </row>
    <row r="1016" spans="1:4">
      <c r="A1016" s="10" t="s">
        <v>240</v>
      </c>
      <c r="B1016" s="12" t="s">
        <v>241</v>
      </c>
      <c r="C1016" s="12" t="s">
        <v>1846</v>
      </c>
      <c r="D1016" s="7">
        <v>20</v>
      </c>
    </row>
    <row r="1017" spans="1:4">
      <c r="A1017" s="10" t="s">
        <v>764</v>
      </c>
      <c r="B1017" s="12" t="s">
        <v>765</v>
      </c>
      <c r="C1017" s="12" t="s">
        <v>1846</v>
      </c>
      <c r="D1017" s="7">
        <v>19</v>
      </c>
    </row>
    <row r="1018" spans="1:4">
      <c r="A1018" s="10" t="s">
        <v>791</v>
      </c>
      <c r="B1018" s="12" t="s">
        <v>792</v>
      </c>
      <c r="C1018" s="12" t="s">
        <v>1846</v>
      </c>
      <c r="D1018" s="7">
        <v>20</v>
      </c>
    </row>
    <row r="1019" spans="1:4">
      <c r="A1019" s="10" t="s">
        <v>759</v>
      </c>
      <c r="B1019" s="12" t="s">
        <v>760</v>
      </c>
      <c r="C1019" s="12" t="s">
        <v>1847</v>
      </c>
      <c r="D1019" s="7">
        <v>14</v>
      </c>
    </row>
    <row r="1020" spans="1:4">
      <c r="A1020" s="10" t="s">
        <v>553</v>
      </c>
      <c r="B1020" s="12" t="s">
        <v>61</v>
      </c>
      <c r="C1020" s="12" t="s">
        <v>1847</v>
      </c>
      <c r="D1020" s="7">
        <v>17</v>
      </c>
    </row>
    <row r="1021" spans="1:4">
      <c r="A1021" s="10" t="s">
        <v>553</v>
      </c>
      <c r="B1021" s="12" t="s">
        <v>61</v>
      </c>
      <c r="C1021" s="12" t="s">
        <v>1847</v>
      </c>
      <c r="D1021" s="7">
        <v>3</v>
      </c>
    </row>
    <row r="1022" spans="1:4">
      <c r="A1022" s="10" t="s">
        <v>1199</v>
      </c>
      <c r="B1022" s="12" t="s">
        <v>36</v>
      </c>
      <c r="C1022" s="12" t="s">
        <v>1846</v>
      </c>
      <c r="D1022" s="7">
        <v>18</v>
      </c>
    </row>
    <row r="1023" spans="1:4">
      <c r="A1023" s="10" t="s">
        <v>1109</v>
      </c>
      <c r="B1023" s="12" t="s">
        <v>1110</v>
      </c>
      <c r="C1023" s="12" t="s">
        <v>1846</v>
      </c>
      <c r="D1023" s="7">
        <v>12</v>
      </c>
    </row>
    <row r="1024" spans="1:4">
      <c r="A1024" s="10" t="s">
        <v>1201</v>
      </c>
      <c r="B1024" s="12" t="s">
        <v>1202</v>
      </c>
      <c r="C1024" s="12" t="s">
        <v>1847</v>
      </c>
      <c r="D1024" s="7">
        <v>15.5</v>
      </c>
    </row>
    <row r="1025" spans="1:4">
      <c r="A1025" s="10" t="s">
        <v>332</v>
      </c>
      <c r="B1025" s="12" t="s">
        <v>333</v>
      </c>
      <c r="C1025" s="12" t="s">
        <v>1846</v>
      </c>
      <c r="D1025" s="7">
        <v>15</v>
      </c>
    </row>
    <row r="1026" spans="1:4">
      <c r="A1026" s="10" t="s">
        <v>1145</v>
      </c>
      <c r="B1026" s="12" t="s">
        <v>1146</v>
      </c>
      <c r="C1026" s="12" t="s">
        <v>1846</v>
      </c>
      <c r="D1026" s="7">
        <v>12</v>
      </c>
    </row>
    <row r="1027" spans="1:4">
      <c r="A1027" s="10" t="s">
        <v>728</v>
      </c>
      <c r="B1027" s="12" t="s">
        <v>729</v>
      </c>
      <c r="C1027" s="12" t="s">
        <v>1846</v>
      </c>
      <c r="D1027" s="7">
        <v>18</v>
      </c>
    </row>
    <row r="1028" spans="1:4">
      <c r="A1028" s="10" t="s">
        <v>738</v>
      </c>
      <c r="B1028" s="12" t="s">
        <v>739</v>
      </c>
      <c r="C1028" s="12" t="s">
        <v>1847</v>
      </c>
      <c r="D1028" s="7">
        <v>20</v>
      </c>
    </row>
    <row r="1029" spans="1:4">
      <c r="A1029" s="10" t="s">
        <v>1385</v>
      </c>
      <c r="B1029" s="12" t="s">
        <v>1386</v>
      </c>
      <c r="C1029" s="12" t="s">
        <v>1847</v>
      </c>
      <c r="D1029" s="7">
        <v>11</v>
      </c>
    </row>
    <row r="1030" spans="1:4">
      <c r="A1030" s="10" t="s">
        <v>1385</v>
      </c>
      <c r="B1030" s="12" t="s">
        <v>1386</v>
      </c>
      <c r="C1030" s="12" t="s">
        <v>1847</v>
      </c>
      <c r="D1030" s="7">
        <v>4</v>
      </c>
    </row>
    <row r="1031" spans="1:4">
      <c r="A1031" s="10" t="s">
        <v>1686</v>
      </c>
      <c r="B1031" s="12" t="s">
        <v>1687</v>
      </c>
      <c r="C1031" s="12" t="s">
        <v>1847</v>
      </c>
      <c r="D1031" s="7">
        <v>20</v>
      </c>
    </row>
    <row r="1032" spans="1:4">
      <c r="A1032" s="10" t="s">
        <v>1127</v>
      </c>
      <c r="B1032" s="12" t="s">
        <v>1128</v>
      </c>
      <c r="C1032" s="12" t="s">
        <v>1846</v>
      </c>
      <c r="D1032" s="7">
        <v>19.5</v>
      </c>
    </row>
    <row r="1033" spans="1:4">
      <c r="A1033" s="10" t="s">
        <v>1177</v>
      </c>
      <c r="B1033" s="12" t="s">
        <v>1178</v>
      </c>
      <c r="C1033" s="12" t="s">
        <v>1847</v>
      </c>
      <c r="D1033" s="7">
        <v>19</v>
      </c>
    </row>
    <row r="1034" spans="1:4">
      <c r="A1034" s="10" t="s">
        <v>207</v>
      </c>
      <c r="B1034" s="12" t="s">
        <v>208</v>
      </c>
      <c r="C1034" s="12" t="s">
        <v>1846</v>
      </c>
      <c r="D1034" s="7">
        <v>18</v>
      </c>
    </row>
    <row r="1035" spans="1:4">
      <c r="A1035" s="10" t="s">
        <v>845</v>
      </c>
      <c r="B1035" s="12" t="s">
        <v>846</v>
      </c>
      <c r="C1035" s="12" t="s">
        <v>1846</v>
      </c>
      <c r="D1035" s="7">
        <v>19.5</v>
      </c>
    </row>
    <row r="1036" spans="1:4" ht="29.1">
      <c r="A1036" s="10" t="s">
        <v>1078</v>
      </c>
      <c r="B1036" s="12" t="s">
        <v>1079</v>
      </c>
      <c r="C1036" s="12" t="s">
        <v>1844</v>
      </c>
      <c r="D1036" s="7">
        <v>1</v>
      </c>
    </row>
    <row r="1037" spans="1:4">
      <c r="A1037" s="10" t="s">
        <v>882</v>
      </c>
      <c r="B1037" s="12" t="s">
        <v>883</v>
      </c>
      <c r="C1037" s="12" t="s">
        <v>1845</v>
      </c>
      <c r="D1037" s="7">
        <v>0.5</v>
      </c>
    </row>
    <row r="1038" spans="1:4">
      <c r="A1038" s="10" t="s">
        <v>1197</v>
      </c>
      <c r="B1038" s="12" t="s">
        <v>1198</v>
      </c>
      <c r="C1038" s="12" t="s">
        <v>1846</v>
      </c>
      <c r="D1038" s="7">
        <v>20</v>
      </c>
    </row>
    <row r="1039" spans="1:4">
      <c r="A1039" s="10" t="s">
        <v>1251</v>
      </c>
      <c r="B1039" s="12" t="s">
        <v>1252</v>
      </c>
      <c r="C1039" s="12" t="s">
        <v>1845</v>
      </c>
      <c r="D1039" s="7">
        <v>4</v>
      </c>
    </row>
    <row r="1040" spans="1:4">
      <c r="A1040" s="10" t="s">
        <v>1414</v>
      </c>
      <c r="B1040" s="12" t="s">
        <v>76</v>
      </c>
      <c r="C1040" s="12" t="s">
        <v>1845</v>
      </c>
      <c r="D1040" s="7">
        <v>1</v>
      </c>
    </row>
    <row r="1041" spans="1:4" ht="29.1">
      <c r="A1041" s="10" t="s">
        <v>289</v>
      </c>
      <c r="B1041" s="12" t="s">
        <v>44</v>
      </c>
      <c r="C1041" s="12" t="s">
        <v>1844</v>
      </c>
      <c r="D1041" s="7">
        <v>6</v>
      </c>
    </row>
    <row r="1042" spans="1:4">
      <c r="A1042" s="10" t="s">
        <v>1414</v>
      </c>
      <c r="B1042" s="12" t="s">
        <v>76</v>
      </c>
      <c r="C1042" s="12" t="s">
        <v>1847</v>
      </c>
      <c r="D1042" s="7">
        <v>1.5</v>
      </c>
    </row>
    <row r="1043" spans="1:4">
      <c r="A1043" s="10" t="s">
        <v>1414</v>
      </c>
      <c r="B1043" s="12" t="s">
        <v>76</v>
      </c>
      <c r="C1043" s="12" t="s">
        <v>1847</v>
      </c>
      <c r="D1043" s="7">
        <v>14.5</v>
      </c>
    </row>
    <row r="1044" spans="1:4">
      <c r="A1044" s="10" t="s">
        <v>1593</v>
      </c>
      <c r="B1044" s="12" t="s">
        <v>1594</v>
      </c>
      <c r="C1044" s="12" t="s">
        <v>1847</v>
      </c>
      <c r="D1044" s="7">
        <v>9</v>
      </c>
    </row>
    <row r="1045" spans="1:4">
      <c r="A1045" s="10" t="s">
        <v>1593</v>
      </c>
      <c r="B1045" s="12" t="s">
        <v>1594</v>
      </c>
      <c r="C1045" s="12" t="s">
        <v>1847</v>
      </c>
      <c r="D1045" s="7">
        <v>6</v>
      </c>
    </row>
    <row r="1046" spans="1:4">
      <c r="A1046" s="10" t="s">
        <v>1414</v>
      </c>
      <c r="B1046" s="12" t="s">
        <v>76</v>
      </c>
      <c r="C1046" s="12" t="s">
        <v>1847</v>
      </c>
      <c r="D1046" s="7">
        <v>1</v>
      </c>
    </row>
    <row r="1047" spans="1:4">
      <c r="A1047" s="10" t="s">
        <v>1414</v>
      </c>
      <c r="B1047" s="12" t="s">
        <v>76</v>
      </c>
      <c r="C1047" s="12" t="s">
        <v>1847</v>
      </c>
      <c r="D1047" s="7">
        <v>2</v>
      </c>
    </row>
    <row r="1048" spans="1:4">
      <c r="A1048" s="10" t="s">
        <v>1497</v>
      </c>
      <c r="B1048" s="12" t="s">
        <v>1498</v>
      </c>
      <c r="C1048" s="12" t="s">
        <v>1846</v>
      </c>
      <c r="D1048" s="7">
        <v>2</v>
      </c>
    </row>
    <row r="1049" spans="1:4">
      <c r="A1049" s="10" t="s">
        <v>1497</v>
      </c>
      <c r="B1049" s="12" t="s">
        <v>1498</v>
      </c>
      <c r="C1049" s="12" t="s">
        <v>1846</v>
      </c>
      <c r="D1049" s="7">
        <v>15</v>
      </c>
    </row>
    <row r="1050" spans="1:4">
      <c r="A1050" s="10" t="s">
        <v>684</v>
      </c>
      <c r="B1050" s="12" t="s">
        <v>685</v>
      </c>
      <c r="C1050" s="12" t="s">
        <v>1847</v>
      </c>
      <c r="D1050" s="7">
        <v>17</v>
      </c>
    </row>
    <row r="1051" spans="1:4">
      <c r="A1051" s="10" t="s">
        <v>684</v>
      </c>
      <c r="B1051" s="12" t="s">
        <v>685</v>
      </c>
      <c r="C1051" s="12" t="s">
        <v>1847</v>
      </c>
      <c r="D1051" s="7">
        <v>3</v>
      </c>
    </row>
    <row r="1052" spans="1:4">
      <c r="A1052" s="10" t="s">
        <v>1029</v>
      </c>
      <c r="B1052" s="12" t="s">
        <v>1030</v>
      </c>
      <c r="C1052" s="12" t="s">
        <v>1846</v>
      </c>
      <c r="D1052" s="7">
        <v>16</v>
      </c>
    </row>
    <row r="1053" spans="1:4">
      <c r="A1053" s="10" t="s">
        <v>746</v>
      </c>
      <c r="B1053" s="12" t="s">
        <v>747</v>
      </c>
      <c r="C1053" s="12" t="s">
        <v>1847</v>
      </c>
      <c r="D1053" s="7">
        <v>18</v>
      </c>
    </row>
    <row r="1054" spans="1:4">
      <c r="A1054" s="10" t="s">
        <v>1439</v>
      </c>
      <c r="B1054" s="12" t="s">
        <v>1440</v>
      </c>
      <c r="C1054" s="12" t="s">
        <v>1846</v>
      </c>
      <c r="D1054" s="7">
        <v>15</v>
      </c>
    </row>
    <row r="1055" spans="1:4">
      <c r="A1055" s="10" t="s">
        <v>1195</v>
      </c>
      <c r="B1055" s="12" t="s">
        <v>1196</v>
      </c>
      <c r="C1055" s="12" t="s">
        <v>1846</v>
      </c>
      <c r="D1055" s="7">
        <v>18</v>
      </c>
    </row>
    <row r="1056" spans="1:4">
      <c r="A1056" s="10" t="s">
        <v>807</v>
      </c>
      <c r="B1056" s="12" t="s">
        <v>808</v>
      </c>
      <c r="C1056" s="12" t="s">
        <v>1845</v>
      </c>
      <c r="D1056" s="7">
        <v>1</v>
      </c>
    </row>
    <row r="1057" spans="1:4">
      <c r="A1057" s="10" t="s">
        <v>1207</v>
      </c>
      <c r="B1057" s="12" t="s">
        <v>37</v>
      </c>
      <c r="C1057" s="12" t="s">
        <v>1845</v>
      </c>
      <c r="D1057" s="7">
        <v>1</v>
      </c>
    </row>
    <row r="1058" spans="1:4">
      <c r="A1058" s="10" t="s">
        <v>1347</v>
      </c>
      <c r="B1058" s="12" t="s">
        <v>1348</v>
      </c>
      <c r="C1058" s="12" t="s">
        <v>1845</v>
      </c>
      <c r="D1058" s="7">
        <v>1</v>
      </c>
    </row>
    <row r="1059" spans="1:4">
      <c r="A1059" s="10" t="s">
        <v>1214</v>
      </c>
      <c r="B1059" s="12" t="s">
        <v>1215</v>
      </c>
      <c r="C1059" s="12" t="s">
        <v>1845</v>
      </c>
      <c r="D1059" s="7">
        <v>1</v>
      </c>
    </row>
    <row r="1060" spans="1:4">
      <c r="A1060" s="10" t="s">
        <v>807</v>
      </c>
      <c r="B1060" s="12" t="s">
        <v>808</v>
      </c>
      <c r="C1060" s="12" t="s">
        <v>1846</v>
      </c>
      <c r="D1060" s="7">
        <v>17</v>
      </c>
    </row>
    <row r="1061" spans="1:4">
      <c r="A1061" s="10" t="s">
        <v>926</v>
      </c>
      <c r="B1061" s="12" t="s">
        <v>927</v>
      </c>
      <c r="C1061" s="12" t="s">
        <v>1845</v>
      </c>
      <c r="D1061" s="7">
        <v>1.5</v>
      </c>
    </row>
    <row r="1062" spans="1:4">
      <c r="A1062" s="10" t="s">
        <v>1263</v>
      </c>
      <c r="B1062" s="12" t="s">
        <v>1264</v>
      </c>
      <c r="C1062" s="12" t="s">
        <v>1845</v>
      </c>
      <c r="D1062" s="7">
        <v>1</v>
      </c>
    </row>
    <row r="1063" spans="1:4">
      <c r="A1063" s="10" t="s">
        <v>973</v>
      </c>
      <c r="B1063" s="12" t="s">
        <v>974</v>
      </c>
      <c r="C1063" s="12" t="s">
        <v>1845</v>
      </c>
      <c r="D1063" s="7">
        <v>2</v>
      </c>
    </row>
    <row r="1064" spans="1:4">
      <c r="A1064" s="10" t="s">
        <v>710</v>
      </c>
      <c r="B1064" s="12" t="s">
        <v>711</v>
      </c>
      <c r="C1064" s="12" t="s">
        <v>1847</v>
      </c>
      <c r="D1064" s="7">
        <v>6</v>
      </c>
    </row>
    <row r="1065" spans="1:4">
      <c r="A1065" s="10" t="s">
        <v>710</v>
      </c>
      <c r="B1065" s="12" t="s">
        <v>711</v>
      </c>
      <c r="C1065" s="12" t="s">
        <v>1847</v>
      </c>
      <c r="D1065" s="7">
        <v>14</v>
      </c>
    </row>
    <row r="1066" spans="1:4">
      <c r="A1066" s="10" t="s">
        <v>1185</v>
      </c>
      <c r="B1066" s="12" t="s">
        <v>1186</v>
      </c>
      <c r="C1066" s="12" t="s">
        <v>1845</v>
      </c>
      <c r="D1066" s="7">
        <v>0.5</v>
      </c>
    </row>
    <row r="1067" spans="1:4">
      <c r="A1067" s="10" t="s">
        <v>1760</v>
      </c>
      <c r="B1067" s="12" t="s">
        <v>1761</v>
      </c>
      <c r="C1067" s="12" t="s">
        <v>1847</v>
      </c>
      <c r="D1067" s="7">
        <v>16.5</v>
      </c>
    </row>
    <row r="1068" spans="1:4">
      <c r="A1068" s="10" t="s">
        <v>142</v>
      </c>
      <c r="B1068" s="12" t="s">
        <v>143</v>
      </c>
      <c r="C1068" s="12" t="s">
        <v>1847</v>
      </c>
      <c r="D1068" s="7">
        <v>7.5</v>
      </c>
    </row>
    <row r="1069" spans="1:4">
      <c r="A1069" s="10" t="s">
        <v>494</v>
      </c>
      <c r="B1069" s="12" t="s">
        <v>495</v>
      </c>
      <c r="C1069" s="12" t="s">
        <v>1846</v>
      </c>
      <c r="D1069" s="7">
        <v>20</v>
      </c>
    </row>
    <row r="1070" spans="1:4">
      <c r="A1070" s="10" t="s">
        <v>705</v>
      </c>
      <c r="B1070" s="12" t="s">
        <v>706</v>
      </c>
      <c r="C1070" s="12" t="s">
        <v>1847</v>
      </c>
      <c r="D1070" s="7">
        <v>2.5</v>
      </c>
    </row>
    <row r="1071" spans="1:4">
      <c r="A1071" s="10" t="s">
        <v>1392</v>
      </c>
      <c r="B1071" s="12" t="s">
        <v>1393</v>
      </c>
      <c r="C1071" s="12" t="s">
        <v>1846</v>
      </c>
      <c r="D1071" s="7">
        <v>11</v>
      </c>
    </row>
    <row r="1072" spans="1:4">
      <c r="A1072" s="10" t="s">
        <v>1253</v>
      </c>
      <c r="B1072" s="12" t="s">
        <v>1254</v>
      </c>
      <c r="C1072" s="12" t="s">
        <v>1846</v>
      </c>
      <c r="D1072" s="7">
        <v>19</v>
      </c>
    </row>
    <row r="1073" spans="1:4">
      <c r="A1073" s="10" t="s">
        <v>1054</v>
      </c>
      <c r="B1073" s="12" t="s">
        <v>1055</v>
      </c>
      <c r="C1073" s="12" t="s">
        <v>1846</v>
      </c>
      <c r="D1073" s="7">
        <v>4.5</v>
      </c>
    </row>
    <row r="1074" spans="1:4">
      <c r="A1074" s="10" t="s">
        <v>1133</v>
      </c>
      <c r="B1074" s="12" t="s">
        <v>3</v>
      </c>
      <c r="C1074" s="12" t="s">
        <v>1847</v>
      </c>
      <c r="D1074" s="7">
        <v>4</v>
      </c>
    </row>
    <row r="1075" spans="1:4">
      <c r="A1075" s="10" t="s">
        <v>1133</v>
      </c>
      <c r="B1075" s="12" t="s">
        <v>3</v>
      </c>
      <c r="C1075" s="12" t="s">
        <v>1846</v>
      </c>
      <c r="D1075" s="7">
        <v>16</v>
      </c>
    </row>
    <row r="1076" spans="1:4">
      <c r="A1076" s="10" t="s">
        <v>736</v>
      </c>
      <c r="B1076" s="12" t="s">
        <v>737</v>
      </c>
      <c r="C1076" s="12" t="s">
        <v>1846</v>
      </c>
      <c r="D1076" s="7">
        <v>18</v>
      </c>
    </row>
    <row r="1077" spans="1:4">
      <c r="A1077" s="10" t="s">
        <v>1207</v>
      </c>
      <c r="B1077" s="12" t="s">
        <v>37</v>
      </c>
      <c r="C1077" s="12" t="s">
        <v>1846</v>
      </c>
      <c r="D1077" s="7">
        <v>14</v>
      </c>
    </row>
    <row r="1078" spans="1:4">
      <c r="A1078" s="10" t="s">
        <v>1207</v>
      </c>
      <c r="B1078" s="12" t="s">
        <v>37</v>
      </c>
      <c r="C1078" s="12" t="s">
        <v>1847</v>
      </c>
      <c r="D1078" s="7">
        <v>2</v>
      </c>
    </row>
    <row r="1079" spans="1:4">
      <c r="A1079" s="10" t="s">
        <v>1425</v>
      </c>
      <c r="B1079" s="12" t="s">
        <v>1426</v>
      </c>
      <c r="C1079" s="12" t="s">
        <v>1846</v>
      </c>
      <c r="D1079" s="7">
        <v>20</v>
      </c>
    </row>
    <row r="1080" spans="1:4">
      <c r="A1080" s="10" t="s">
        <v>1630</v>
      </c>
      <c r="B1080" s="12" t="s">
        <v>1631</v>
      </c>
      <c r="C1080" s="12" t="s">
        <v>1847</v>
      </c>
      <c r="D1080" s="7">
        <v>19</v>
      </c>
    </row>
    <row r="1081" spans="1:4">
      <c r="A1081" s="10" t="s">
        <v>1612</v>
      </c>
      <c r="B1081" s="12" t="s">
        <v>1613</v>
      </c>
      <c r="C1081" s="12" t="s">
        <v>1847</v>
      </c>
      <c r="D1081" s="7">
        <v>20</v>
      </c>
    </row>
    <row r="1082" spans="1:4">
      <c r="A1082" s="10" t="s">
        <v>585</v>
      </c>
      <c r="B1082" s="12" t="s">
        <v>520</v>
      </c>
      <c r="C1082" s="12" t="s">
        <v>1846</v>
      </c>
      <c r="D1082" s="7">
        <v>9</v>
      </c>
    </row>
    <row r="1083" spans="1:4">
      <c r="A1083" s="10" t="s">
        <v>585</v>
      </c>
      <c r="B1083" s="12" t="s">
        <v>520</v>
      </c>
      <c r="C1083" s="12" t="s">
        <v>1847</v>
      </c>
      <c r="D1083" s="7">
        <v>3</v>
      </c>
    </row>
    <row r="1084" spans="1:4">
      <c r="A1084" s="10" t="s">
        <v>894</v>
      </c>
      <c r="B1084" s="12" t="s">
        <v>895</v>
      </c>
      <c r="C1084" s="12" t="s">
        <v>1846</v>
      </c>
      <c r="D1084" s="7">
        <v>19</v>
      </c>
    </row>
    <row r="1085" spans="1:4">
      <c r="A1085" s="10" t="s">
        <v>894</v>
      </c>
      <c r="B1085" s="12" t="s">
        <v>895</v>
      </c>
      <c r="C1085" s="12" t="s">
        <v>1847</v>
      </c>
      <c r="D1085" s="7">
        <v>1</v>
      </c>
    </row>
    <row r="1086" spans="1:4">
      <c r="A1086" s="10" t="s">
        <v>1239</v>
      </c>
      <c r="B1086" s="12" t="s">
        <v>1240</v>
      </c>
      <c r="C1086" s="12" t="s">
        <v>1846</v>
      </c>
      <c r="D1086" s="7">
        <v>19</v>
      </c>
    </row>
    <row r="1087" spans="1:4">
      <c r="A1087" s="10" t="s">
        <v>342</v>
      </c>
      <c r="B1087" s="12" t="s">
        <v>343</v>
      </c>
      <c r="C1087" s="12" t="s">
        <v>1847</v>
      </c>
      <c r="D1087" s="7">
        <v>2</v>
      </c>
    </row>
    <row r="1088" spans="1:4">
      <c r="A1088" s="10" t="s">
        <v>242</v>
      </c>
      <c r="B1088" s="12" t="s">
        <v>243</v>
      </c>
      <c r="C1088" s="12" t="s">
        <v>1846</v>
      </c>
      <c r="D1088" s="7">
        <v>20</v>
      </c>
    </row>
    <row r="1089" spans="1:4">
      <c r="A1089" s="10" t="s">
        <v>829</v>
      </c>
      <c r="B1089" s="12" t="s">
        <v>830</v>
      </c>
      <c r="C1089" s="12" t="s">
        <v>1846</v>
      </c>
      <c r="D1089" s="7">
        <v>15</v>
      </c>
    </row>
    <row r="1090" spans="1:4">
      <c r="A1090" s="10" t="s">
        <v>1016</v>
      </c>
      <c r="B1090" s="12" t="s">
        <v>1017</v>
      </c>
      <c r="C1090" s="12" t="s">
        <v>1846</v>
      </c>
      <c r="D1090" s="7">
        <v>18</v>
      </c>
    </row>
    <row r="1091" spans="1:4">
      <c r="A1091" s="10" t="s">
        <v>624</v>
      </c>
      <c r="B1091" s="12" t="s">
        <v>625</v>
      </c>
      <c r="C1091" s="12" t="s">
        <v>1846</v>
      </c>
      <c r="D1091" s="7">
        <v>14</v>
      </c>
    </row>
    <row r="1092" spans="1:4">
      <c r="A1092" s="10" t="s">
        <v>1107</v>
      </c>
      <c r="B1092" s="12" t="s">
        <v>1108</v>
      </c>
      <c r="C1092" s="12" t="s">
        <v>1846</v>
      </c>
      <c r="D1092" s="7">
        <v>20</v>
      </c>
    </row>
    <row r="1093" spans="1:4">
      <c r="A1093" s="10" t="s">
        <v>450</v>
      </c>
      <c r="B1093" s="12" t="s">
        <v>451</v>
      </c>
      <c r="C1093" s="12" t="s">
        <v>1846</v>
      </c>
      <c r="D1093" s="7">
        <v>7</v>
      </c>
    </row>
    <row r="1094" spans="1:4">
      <c r="A1094" s="10" t="s">
        <v>450</v>
      </c>
      <c r="B1094" s="12" t="s">
        <v>451</v>
      </c>
      <c r="C1094" s="12" t="s">
        <v>1846</v>
      </c>
      <c r="D1094" s="7">
        <v>7</v>
      </c>
    </row>
    <row r="1095" spans="1:4">
      <c r="A1095" s="10" t="s">
        <v>527</v>
      </c>
      <c r="B1095" s="12" t="s">
        <v>528</v>
      </c>
      <c r="C1095" s="12" t="s">
        <v>1846</v>
      </c>
      <c r="D1095" s="7">
        <v>5</v>
      </c>
    </row>
    <row r="1096" spans="1:4">
      <c r="A1096" s="10" t="s">
        <v>527</v>
      </c>
      <c r="B1096" s="12" t="s">
        <v>528</v>
      </c>
      <c r="C1096" s="12" t="s">
        <v>1847</v>
      </c>
      <c r="D1096" s="7">
        <v>2</v>
      </c>
    </row>
    <row r="1097" spans="1:4">
      <c r="A1097" s="10" t="s">
        <v>527</v>
      </c>
      <c r="B1097" s="12" t="s">
        <v>528</v>
      </c>
      <c r="C1097" s="12" t="s">
        <v>1848</v>
      </c>
      <c r="D1097" s="7">
        <v>4</v>
      </c>
    </row>
    <row r="1098" spans="1:4">
      <c r="A1098" s="10" t="s">
        <v>527</v>
      </c>
      <c r="B1098" s="12" t="s">
        <v>528</v>
      </c>
      <c r="C1098" s="12" t="s">
        <v>1847</v>
      </c>
      <c r="D1098" s="7">
        <v>2</v>
      </c>
    </row>
    <row r="1099" spans="1:4">
      <c r="A1099" s="10" t="s">
        <v>1544</v>
      </c>
      <c r="B1099" s="12" t="s">
        <v>1545</v>
      </c>
      <c r="C1099" s="12" t="s">
        <v>1846</v>
      </c>
      <c r="D1099" s="7">
        <v>18</v>
      </c>
    </row>
    <row r="1100" spans="1:4">
      <c r="A1100" s="10" t="s">
        <v>876</v>
      </c>
      <c r="B1100" s="12" t="s">
        <v>877</v>
      </c>
      <c r="C1100" s="12" t="s">
        <v>1846</v>
      </c>
      <c r="D1100" s="7">
        <v>14</v>
      </c>
    </row>
    <row r="1101" spans="1:4" ht="29.1">
      <c r="A1101" s="10" t="s">
        <v>1327</v>
      </c>
      <c r="B1101" s="12" t="s">
        <v>1328</v>
      </c>
      <c r="C1101" s="12" t="s">
        <v>1844</v>
      </c>
      <c r="D1101" s="7">
        <v>6</v>
      </c>
    </row>
    <row r="1102" spans="1:4">
      <c r="A1102" s="10" t="s">
        <v>876</v>
      </c>
      <c r="B1102" s="12" t="s">
        <v>877</v>
      </c>
      <c r="C1102" s="12" t="s">
        <v>1847</v>
      </c>
      <c r="D1102" s="7">
        <v>6</v>
      </c>
    </row>
    <row r="1103" spans="1:4">
      <c r="A1103" s="10" t="s">
        <v>1156</v>
      </c>
      <c r="B1103" s="12" t="s">
        <v>1157</v>
      </c>
      <c r="C1103" s="12" t="s">
        <v>1845</v>
      </c>
      <c r="D1103" s="7">
        <v>4</v>
      </c>
    </row>
    <row r="1104" spans="1:4">
      <c r="A1104" s="10" t="s">
        <v>837</v>
      </c>
      <c r="B1104" s="12" t="s">
        <v>838</v>
      </c>
      <c r="C1104" s="12" t="s">
        <v>1846</v>
      </c>
      <c r="D1104" s="7">
        <v>14</v>
      </c>
    </row>
    <row r="1105" spans="1:4">
      <c r="A1105" s="10" t="s">
        <v>837</v>
      </c>
      <c r="B1105" s="12" t="s">
        <v>838</v>
      </c>
      <c r="C1105" s="12" t="s">
        <v>1847</v>
      </c>
      <c r="D1105" s="7">
        <v>5</v>
      </c>
    </row>
    <row r="1106" spans="1:4">
      <c r="A1106" s="10" t="s">
        <v>837</v>
      </c>
      <c r="B1106" s="12" t="s">
        <v>838</v>
      </c>
      <c r="C1106" s="12" t="s">
        <v>1847</v>
      </c>
      <c r="D1106" s="7">
        <v>1</v>
      </c>
    </row>
    <row r="1107" spans="1:4">
      <c r="A1107" s="10" t="s">
        <v>1349</v>
      </c>
      <c r="B1107" s="12" t="s">
        <v>1350</v>
      </c>
      <c r="C1107" s="12" t="s">
        <v>1846</v>
      </c>
      <c r="D1107" s="7">
        <v>14</v>
      </c>
    </row>
    <row r="1108" spans="1:4">
      <c r="A1108" s="10" t="s">
        <v>1349</v>
      </c>
      <c r="B1108" s="12" t="s">
        <v>1350</v>
      </c>
      <c r="C1108" s="12" t="s">
        <v>1847</v>
      </c>
      <c r="D1108" s="7">
        <v>2</v>
      </c>
    </row>
    <row r="1109" spans="1:4">
      <c r="A1109" s="10" t="s">
        <v>1662</v>
      </c>
      <c r="B1109" s="12" t="s">
        <v>1663</v>
      </c>
      <c r="C1109" s="12" t="s">
        <v>1847</v>
      </c>
      <c r="D1109" s="7">
        <v>19</v>
      </c>
    </row>
    <row r="1110" spans="1:4">
      <c r="A1110" s="10" t="s">
        <v>1095</v>
      </c>
      <c r="B1110" s="12" t="s">
        <v>1096</v>
      </c>
      <c r="C1110" s="12" t="s">
        <v>1846</v>
      </c>
      <c r="D1110" s="7">
        <v>15</v>
      </c>
    </row>
    <row r="1111" spans="1:4">
      <c r="A1111" s="10" t="s">
        <v>1799</v>
      </c>
      <c r="B1111" s="12" t="s">
        <v>1800</v>
      </c>
      <c r="C1111" s="12" t="s">
        <v>1847</v>
      </c>
      <c r="D1111" s="7">
        <v>20</v>
      </c>
    </row>
    <row r="1112" spans="1:4">
      <c r="A1112" s="10" t="s">
        <v>1247</v>
      </c>
      <c r="B1112" s="12" t="s">
        <v>1248</v>
      </c>
      <c r="C1112" s="12" t="s">
        <v>1846</v>
      </c>
      <c r="D1112" s="7">
        <v>16</v>
      </c>
    </row>
    <row r="1113" spans="1:4">
      <c r="A1113" s="10" t="s">
        <v>624</v>
      </c>
      <c r="B1113" s="12" t="s">
        <v>625</v>
      </c>
      <c r="C1113" s="12" t="s">
        <v>1847</v>
      </c>
      <c r="D1113" s="7">
        <v>6</v>
      </c>
    </row>
    <row r="1114" spans="1:4">
      <c r="A1114" s="10" t="s">
        <v>1331</v>
      </c>
      <c r="B1114" s="12" t="s">
        <v>1332</v>
      </c>
      <c r="C1114" s="12" t="s">
        <v>1847</v>
      </c>
      <c r="D1114" s="7">
        <v>14</v>
      </c>
    </row>
    <row r="1115" spans="1:4">
      <c r="A1115" s="10" t="s">
        <v>659</v>
      </c>
      <c r="B1115" s="12" t="s">
        <v>660</v>
      </c>
      <c r="C1115" s="12" t="s">
        <v>1846</v>
      </c>
      <c r="D1115" s="7">
        <v>18</v>
      </c>
    </row>
    <row r="1116" spans="1:4">
      <c r="A1116" s="10" t="s">
        <v>1738</v>
      </c>
      <c r="B1116" s="12" t="s">
        <v>1739</v>
      </c>
      <c r="C1116" s="12" t="s">
        <v>1845</v>
      </c>
      <c r="D1116" s="7">
        <v>0.5</v>
      </c>
    </row>
    <row r="1117" spans="1:4">
      <c r="A1117" s="10" t="s">
        <v>194</v>
      </c>
      <c r="B1117" s="12" t="s">
        <v>195</v>
      </c>
      <c r="C1117" s="12" t="s">
        <v>1846</v>
      </c>
      <c r="D1117" s="7">
        <v>17</v>
      </c>
    </row>
    <row r="1118" spans="1:4">
      <c r="A1118" s="10" t="s">
        <v>1145</v>
      </c>
      <c r="B1118" s="12" t="s">
        <v>1146</v>
      </c>
      <c r="C1118" s="12" t="s">
        <v>1846</v>
      </c>
      <c r="D1118" s="7">
        <v>3.5</v>
      </c>
    </row>
    <row r="1119" spans="1:4">
      <c r="A1119" s="10" t="s">
        <v>1145</v>
      </c>
      <c r="B1119" s="12" t="s">
        <v>1146</v>
      </c>
      <c r="C1119" s="12" t="s">
        <v>1846</v>
      </c>
      <c r="D1119" s="7">
        <v>1.5</v>
      </c>
    </row>
    <row r="1120" spans="1:4">
      <c r="A1120" s="10" t="s">
        <v>1538</v>
      </c>
      <c r="B1120" s="12" t="s">
        <v>1539</v>
      </c>
      <c r="C1120" s="12" t="s">
        <v>1846</v>
      </c>
      <c r="D1120" s="7">
        <v>11</v>
      </c>
    </row>
    <row r="1121" spans="1:4">
      <c r="A1121" s="10" t="s">
        <v>1204</v>
      </c>
      <c r="B1121" s="12" t="s">
        <v>1205</v>
      </c>
      <c r="C1121" s="12" t="s">
        <v>1846</v>
      </c>
      <c r="D1121" s="7">
        <v>16.5</v>
      </c>
    </row>
    <row r="1122" spans="1:4">
      <c r="A1122" s="10" t="s">
        <v>1204</v>
      </c>
      <c r="B1122" s="12" t="s">
        <v>1205</v>
      </c>
      <c r="C1122" s="12" t="s">
        <v>1847</v>
      </c>
      <c r="D1122" s="7">
        <v>0.5</v>
      </c>
    </row>
    <row r="1123" spans="1:4">
      <c r="A1123" s="10" t="s">
        <v>267</v>
      </c>
      <c r="B1123" s="12" t="s">
        <v>268</v>
      </c>
      <c r="C1123" s="12" t="s">
        <v>1847</v>
      </c>
      <c r="D1123" s="7">
        <v>4</v>
      </c>
    </row>
    <row r="1124" spans="1:4">
      <c r="A1124" s="10" t="s">
        <v>267</v>
      </c>
      <c r="B1124" s="12" t="s">
        <v>268</v>
      </c>
      <c r="C1124" s="12" t="s">
        <v>1846</v>
      </c>
      <c r="D1124" s="7">
        <v>14</v>
      </c>
    </row>
    <row r="1125" spans="1:4">
      <c r="A1125" s="10" t="s">
        <v>503</v>
      </c>
      <c r="B1125" s="12" t="s">
        <v>504</v>
      </c>
      <c r="C1125" s="12" t="s">
        <v>1846</v>
      </c>
      <c r="D1125" s="7">
        <v>1.5</v>
      </c>
    </row>
    <row r="1126" spans="1:4">
      <c r="A1126" s="10" t="s">
        <v>503</v>
      </c>
      <c r="B1126" s="12" t="s">
        <v>504</v>
      </c>
      <c r="C1126" s="12" t="s">
        <v>1846</v>
      </c>
      <c r="D1126" s="7">
        <v>15</v>
      </c>
    </row>
    <row r="1127" spans="1:4">
      <c r="A1127" s="10" t="s">
        <v>152</v>
      </c>
      <c r="B1127" s="12" t="s">
        <v>153</v>
      </c>
      <c r="C1127" s="12" t="s">
        <v>1848</v>
      </c>
      <c r="D1127" s="7">
        <v>15</v>
      </c>
    </row>
    <row r="1128" spans="1:4">
      <c r="A1128" s="10" t="s">
        <v>152</v>
      </c>
      <c r="B1128" s="12" t="s">
        <v>153</v>
      </c>
      <c r="C1128" s="12" t="s">
        <v>1847</v>
      </c>
      <c r="D1128" s="7">
        <v>1</v>
      </c>
    </row>
    <row r="1129" spans="1:4">
      <c r="A1129" s="10" t="s">
        <v>454</v>
      </c>
      <c r="B1129" s="12" t="s">
        <v>455</v>
      </c>
      <c r="C1129" s="12" t="s">
        <v>1846</v>
      </c>
      <c r="D1129" s="7">
        <v>15</v>
      </c>
    </row>
    <row r="1130" spans="1:4">
      <c r="A1130" s="10" t="s">
        <v>180</v>
      </c>
      <c r="B1130" s="12" t="s">
        <v>181</v>
      </c>
      <c r="C1130" s="12" t="s">
        <v>1846</v>
      </c>
      <c r="D1130" s="7">
        <v>12.5</v>
      </c>
    </row>
    <row r="1131" spans="1:4">
      <c r="A1131" s="10" t="s">
        <v>740</v>
      </c>
      <c r="B1131" s="12" t="s">
        <v>741</v>
      </c>
      <c r="C1131" s="12" t="s">
        <v>1846</v>
      </c>
      <c r="D1131" s="7">
        <v>15.5</v>
      </c>
    </row>
    <row r="1132" spans="1:4">
      <c r="A1132" s="10" t="s">
        <v>1462</v>
      </c>
      <c r="B1132" s="12" t="s">
        <v>1463</v>
      </c>
      <c r="C1132" s="12" t="s">
        <v>1846</v>
      </c>
      <c r="D1132" s="7">
        <v>8</v>
      </c>
    </row>
    <row r="1133" spans="1:4">
      <c r="A1133" s="10" t="s">
        <v>1462</v>
      </c>
      <c r="B1133" s="12" t="s">
        <v>1463</v>
      </c>
      <c r="C1133" s="12" t="s">
        <v>1846</v>
      </c>
      <c r="D1133" s="7">
        <v>6</v>
      </c>
    </row>
    <row r="1134" spans="1:4">
      <c r="A1134" s="10" t="s">
        <v>1462</v>
      </c>
      <c r="B1134" s="12" t="s">
        <v>1463</v>
      </c>
      <c r="C1134" s="12" t="s">
        <v>1847</v>
      </c>
      <c r="D1134" s="7">
        <v>6</v>
      </c>
    </row>
    <row r="1135" spans="1:4">
      <c r="A1135" s="10" t="s">
        <v>152</v>
      </c>
      <c r="B1135" s="12" t="s">
        <v>153</v>
      </c>
      <c r="C1135" s="12" t="s">
        <v>1847</v>
      </c>
      <c r="D1135" s="7">
        <v>4</v>
      </c>
    </row>
    <row r="1136" spans="1:4">
      <c r="A1136" s="10" t="s">
        <v>1002</v>
      </c>
      <c r="B1136" s="12" t="s">
        <v>1003</v>
      </c>
      <c r="C1136" s="12" t="s">
        <v>1846</v>
      </c>
      <c r="D1136" s="7">
        <v>20</v>
      </c>
    </row>
    <row r="1137" spans="1:4">
      <c r="A1137" s="10" t="s">
        <v>981</v>
      </c>
      <c r="B1137" s="12" t="s">
        <v>982</v>
      </c>
      <c r="C1137" s="12" t="s">
        <v>1846</v>
      </c>
      <c r="D1137" s="7">
        <v>20</v>
      </c>
    </row>
    <row r="1138" spans="1:4">
      <c r="A1138" s="10" t="s">
        <v>1303</v>
      </c>
      <c r="B1138" s="12" t="s">
        <v>1304</v>
      </c>
      <c r="C1138" s="12" t="s">
        <v>1846</v>
      </c>
      <c r="D1138" s="7">
        <v>20</v>
      </c>
    </row>
    <row r="1139" spans="1:4">
      <c r="A1139" s="10" t="s">
        <v>1404</v>
      </c>
      <c r="B1139" s="12" t="s">
        <v>1405</v>
      </c>
      <c r="C1139" s="12" t="s">
        <v>1846</v>
      </c>
      <c r="D1139" s="7">
        <v>15</v>
      </c>
    </row>
    <row r="1140" spans="1:4">
      <c r="A1140" s="10" t="s">
        <v>730</v>
      </c>
      <c r="B1140" s="12" t="s">
        <v>731</v>
      </c>
      <c r="C1140" s="12" t="s">
        <v>1846</v>
      </c>
      <c r="D1140" s="7">
        <v>10</v>
      </c>
    </row>
    <row r="1141" spans="1:4">
      <c r="A1141" s="10" t="s">
        <v>730</v>
      </c>
      <c r="B1141" s="12" t="s">
        <v>731</v>
      </c>
      <c r="C1141" s="12" t="s">
        <v>1847</v>
      </c>
      <c r="D1141" s="7">
        <v>10</v>
      </c>
    </row>
    <row r="1142" spans="1:4">
      <c r="A1142" s="10" t="s">
        <v>1774</v>
      </c>
      <c r="B1142" s="12" t="s">
        <v>1775</v>
      </c>
      <c r="C1142" s="12" t="s">
        <v>1847</v>
      </c>
      <c r="D1142" s="7">
        <v>20</v>
      </c>
    </row>
    <row r="1143" spans="1:4">
      <c r="A1143" s="10" t="s">
        <v>246</v>
      </c>
      <c r="B1143" s="12" t="s">
        <v>247</v>
      </c>
      <c r="C1143" s="12" t="s">
        <v>1847</v>
      </c>
      <c r="D1143" s="7">
        <v>6</v>
      </c>
    </row>
    <row r="1144" spans="1:4">
      <c r="A1144" s="10" t="s">
        <v>1636</v>
      </c>
      <c r="B1144" s="12" t="s">
        <v>1637</v>
      </c>
      <c r="C1144" s="12" t="s">
        <v>1847</v>
      </c>
      <c r="D1144" s="7">
        <v>20</v>
      </c>
    </row>
    <row r="1145" spans="1:4">
      <c r="A1145" s="10" t="s">
        <v>1152</v>
      </c>
      <c r="B1145" s="12" t="s">
        <v>1153</v>
      </c>
      <c r="C1145" s="12" t="s">
        <v>1846</v>
      </c>
      <c r="D1145" s="7">
        <v>18.5</v>
      </c>
    </row>
    <row r="1146" spans="1:4">
      <c r="A1146" s="10" t="s">
        <v>246</v>
      </c>
      <c r="B1146" s="12" t="s">
        <v>247</v>
      </c>
      <c r="C1146" s="12" t="s">
        <v>1847</v>
      </c>
      <c r="D1146" s="7">
        <v>5</v>
      </c>
    </row>
    <row r="1147" spans="1:4">
      <c r="A1147" s="10" t="s">
        <v>482</v>
      </c>
      <c r="B1147" s="12" t="s">
        <v>483</v>
      </c>
      <c r="C1147" s="12" t="s">
        <v>1846</v>
      </c>
      <c r="D1147" s="7">
        <v>3</v>
      </c>
    </row>
    <row r="1148" spans="1:4">
      <c r="A1148" s="10" t="s">
        <v>482</v>
      </c>
      <c r="B1148" s="12" t="s">
        <v>483</v>
      </c>
      <c r="C1148" s="12" t="s">
        <v>1847</v>
      </c>
      <c r="D1148" s="7">
        <v>4</v>
      </c>
    </row>
    <row r="1149" spans="1:4">
      <c r="A1149" s="10" t="s">
        <v>248</v>
      </c>
      <c r="B1149" s="12" t="s">
        <v>249</v>
      </c>
      <c r="C1149" s="12" t="s">
        <v>1846</v>
      </c>
      <c r="D1149" s="7">
        <v>11</v>
      </c>
    </row>
    <row r="1150" spans="1:4">
      <c r="A1150" s="10" t="s">
        <v>248</v>
      </c>
      <c r="B1150" s="12" t="s">
        <v>249</v>
      </c>
      <c r="C1150" s="12" t="s">
        <v>1847</v>
      </c>
      <c r="D1150" s="7">
        <v>4</v>
      </c>
    </row>
    <row r="1151" spans="1:4">
      <c r="A1151" s="10" t="s">
        <v>1496</v>
      </c>
      <c r="B1151" s="12" t="s">
        <v>11</v>
      </c>
      <c r="C1151" s="12" t="s">
        <v>1847</v>
      </c>
      <c r="D1151" s="7">
        <v>4</v>
      </c>
    </row>
    <row r="1152" spans="1:4">
      <c r="A1152" s="10" t="s">
        <v>1496</v>
      </c>
      <c r="B1152" s="12" t="s">
        <v>11</v>
      </c>
      <c r="C1152" s="12" t="s">
        <v>1847</v>
      </c>
      <c r="D1152" s="7">
        <v>3</v>
      </c>
    </row>
    <row r="1153" spans="1:4">
      <c r="A1153" s="10" t="s">
        <v>1496</v>
      </c>
      <c r="B1153" s="12" t="s">
        <v>11</v>
      </c>
      <c r="C1153" s="12" t="s">
        <v>1846</v>
      </c>
      <c r="D1153" s="7">
        <v>2.5</v>
      </c>
    </row>
    <row r="1154" spans="1:4">
      <c r="A1154" s="10" t="s">
        <v>1496</v>
      </c>
      <c r="B1154" s="12" t="s">
        <v>11</v>
      </c>
      <c r="C1154" s="12" t="s">
        <v>1846</v>
      </c>
      <c r="D1154" s="7">
        <v>6</v>
      </c>
    </row>
    <row r="1155" spans="1:4">
      <c r="A1155" s="10" t="s">
        <v>1797</v>
      </c>
      <c r="B1155" s="12" t="s">
        <v>1798</v>
      </c>
      <c r="C1155" s="12" t="s">
        <v>1847</v>
      </c>
      <c r="D1155" s="7">
        <v>13</v>
      </c>
    </row>
    <row r="1156" spans="1:4">
      <c r="A1156" s="10" t="s">
        <v>248</v>
      </c>
      <c r="B1156" s="12" t="s">
        <v>249</v>
      </c>
      <c r="C1156" s="12" t="s">
        <v>1847</v>
      </c>
      <c r="D1156" s="7">
        <v>5</v>
      </c>
    </row>
    <row r="1157" spans="1:4">
      <c r="A1157" s="10" t="s">
        <v>1496</v>
      </c>
      <c r="B1157" s="12" t="s">
        <v>11</v>
      </c>
      <c r="C1157" s="12" t="s">
        <v>1847</v>
      </c>
      <c r="D1157" s="7">
        <v>2</v>
      </c>
    </row>
    <row r="1158" spans="1:4">
      <c r="A1158" s="10" t="s">
        <v>1797</v>
      </c>
      <c r="B1158" s="12" t="s">
        <v>1798</v>
      </c>
      <c r="C1158" s="12" t="s">
        <v>1847</v>
      </c>
      <c r="D1158" s="7">
        <v>1</v>
      </c>
    </row>
    <row r="1159" spans="1:4">
      <c r="A1159" s="10" t="s">
        <v>896</v>
      </c>
      <c r="B1159" s="12" t="s">
        <v>897</v>
      </c>
      <c r="C1159" s="12" t="s">
        <v>1846</v>
      </c>
      <c r="D1159" s="7">
        <v>0.5</v>
      </c>
    </row>
    <row r="1160" spans="1:4">
      <c r="A1160" s="10" t="s">
        <v>896</v>
      </c>
      <c r="B1160" s="12" t="s">
        <v>897</v>
      </c>
      <c r="C1160" s="12" t="s">
        <v>1846</v>
      </c>
      <c r="D1160" s="7">
        <v>18.5</v>
      </c>
    </row>
    <row r="1161" spans="1:4">
      <c r="A1161" s="10" t="s">
        <v>896</v>
      </c>
      <c r="B1161" s="12" t="s">
        <v>897</v>
      </c>
      <c r="C1161" s="12" t="s">
        <v>1847</v>
      </c>
      <c r="D1161" s="7">
        <v>0.5</v>
      </c>
    </row>
    <row r="1162" spans="1:4">
      <c r="A1162" s="10" t="s">
        <v>141</v>
      </c>
      <c r="B1162" s="12" t="s">
        <v>33</v>
      </c>
      <c r="C1162" s="12" t="s">
        <v>1846</v>
      </c>
      <c r="D1162" s="7">
        <v>5</v>
      </c>
    </row>
    <row r="1163" spans="1:4">
      <c r="A1163" s="10" t="s">
        <v>141</v>
      </c>
      <c r="B1163" s="12" t="s">
        <v>33</v>
      </c>
      <c r="C1163" s="12" t="s">
        <v>1846</v>
      </c>
      <c r="D1163" s="7">
        <v>7</v>
      </c>
    </row>
    <row r="1164" spans="1:4">
      <c r="A1164" s="10" t="s">
        <v>141</v>
      </c>
      <c r="B1164" s="12" t="s">
        <v>33</v>
      </c>
      <c r="C1164" s="12" t="s">
        <v>1847</v>
      </c>
      <c r="D1164" s="7">
        <v>3</v>
      </c>
    </row>
    <row r="1165" spans="1:4">
      <c r="A1165" s="10" t="s">
        <v>1033</v>
      </c>
      <c r="B1165" s="12" t="s">
        <v>1034</v>
      </c>
      <c r="C1165" s="12" t="s">
        <v>1846</v>
      </c>
      <c r="D1165" s="7">
        <v>20</v>
      </c>
    </row>
    <row r="1166" spans="1:4">
      <c r="A1166" s="10" t="s">
        <v>501</v>
      </c>
      <c r="B1166" s="12" t="s">
        <v>502</v>
      </c>
      <c r="C1166" s="12" t="s">
        <v>1847</v>
      </c>
      <c r="D1166" s="7">
        <v>18.5</v>
      </c>
    </row>
    <row r="1167" spans="1:4">
      <c r="A1167" s="10" t="s">
        <v>174</v>
      </c>
      <c r="B1167" s="12" t="s">
        <v>175</v>
      </c>
      <c r="C1167" s="12" t="s">
        <v>1847</v>
      </c>
      <c r="D1167" s="7">
        <v>18</v>
      </c>
    </row>
    <row r="1168" spans="1:4">
      <c r="A1168" s="10" t="s">
        <v>174</v>
      </c>
      <c r="B1168" s="12" t="s">
        <v>175</v>
      </c>
      <c r="C1168" s="12" t="s">
        <v>1848</v>
      </c>
      <c r="D1168" s="7">
        <v>1</v>
      </c>
    </row>
    <row r="1169" spans="1:4">
      <c r="A1169" s="10" t="s">
        <v>486</v>
      </c>
      <c r="B1169" s="12" t="s">
        <v>487</v>
      </c>
      <c r="C1169" s="12" t="s">
        <v>1846</v>
      </c>
      <c r="D1169" s="7">
        <v>19</v>
      </c>
    </row>
    <row r="1170" spans="1:4">
      <c r="A1170" s="10" t="s">
        <v>144</v>
      </c>
      <c r="B1170" s="12" t="s">
        <v>145</v>
      </c>
      <c r="C1170" s="12" t="s">
        <v>1846</v>
      </c>
      <c r="D1170" s="7">
        <v>20</v>
      </c>
    </row>
    <row r="1171" spans="1:4">
      <c r="A1171" s="10" t="s">
        <v>1152</v>
      </c>
      <c r="B1171" s="12" t="s">
        <v>1153</v>
      </c>
      <c r="C1171" s="12" t="s">
        <v>1847</v>
      </c>
      <c r="D1171" s="7">
        <v>0.5</v>
      </c>
    </row>
    <row r="1172" spans="1:4">
      <c r="A1172" s="10" t="s">
        <v>548</v>
      </c>
      <c r="B1172" s="12" t="s">
        <v>549</v>
      </c>
      <c r="C1172" s="12" t="s">
        <v>1846</v>
      </c>
      <c r="D1172" s="7">
        <v>20</v>
      </c>
    </row>
    <row r="1173" spans="1:4">
      <c r="A1173" s="10" t="s">
        <v>505</v>
      </c>
      <c r="B1173" s="12" t="s">
        <v>506</v>
      </c>
      <c r="C1173" s="12" t="s">
        <v>1846</v>
      </c>
      <c r="D1173" s="7">
        <v>20</v>
      </c>
    </row>
    <row r="1174" spans="1:4">
      <c r="A1174" s="10" t="s">
        <v>918</v>
      </c>
      <c r="B1174" s="12" t="s">
        <v>919</v>
      </c>
      <c r="C1174" s="12" t="s">
        <v>1846</v>
      </c>
      <c r="D1174" s="7">
        <v>20</v>
      </c>
    </row>
    <row r="1175" spans="1:4">
      <c r="A1175" s="10" t="s">
        <v>1520</v>
      </c>
      <c r="B1175" s="12" t="s">
        <v>1521</v>
      </c>
      <c r="C1175" s="12" t="s">
        <v>1846</v>
      </c>
      <c r="D1175" s="7">
        <v>1.5</v>
      </c>
    </row>
    <row r="1176" spans="1:4">
      <c r="A1176" s="10" t="s">
        <v>1355</v>
      </c>
      <c r="B1176" s="12" t="s">
        <v>1356</v>
      </c>
      <c r="C1176" s="12" t="s">
        <v>1846</v>
      </c>
      <c r="D1176" s="7">
        <v>4</v>
      </c>
    </row>
    <row r="1177" spans="1:4">
      <c r="A1177" s="10" t="s">
        <v>1355</v>
      </c>
      <c r="B1177" s="12" t="s">
        <v>1356</v>
      </c>
      <c r="C1177" s="12" t="s">
        <v>1847</v>
      </c>
      <c r="D1177" s="7">
        <v>14.5</v>
      </c>
    </row>
    <row r="1178" spans="1:4">
      <c r="A1178" s="10" t="s">
        <v>1520</v>
      </c>
      <c r="B1178" s="12" t="s">
        <v>1521</v>
      </c>
      <c r="C1178" s="12" t="s">
        <v>1846</v>
      </c>
      <c r="D1178" s="7">
        <v>6</v>
      </c>
    </row>
    <row r="1179" spans="1:4">
      <c r="A1179" s="10" t="s">
        <v>1520</v>
      </c>
      <c r="B1179" s="12" t="s">
        <v>1521</v>
      </c>
      <c r="C1179" s="12" t="s">
        <v>1846</v>
      </c>
      <c r="D1179" s="7">
        <v>12.5</v>
      </c>
    </row>
    <row r="1180" spans="1:4">
      <c r="A1180" s="10" t="s">
        <v>441</v>
      </c>
      <c r="B1180" s="12" t="s">
        <v>442</v>
      </c>
      <c r="C1180" s="12" t="s">
        <v>1845</v>
      </c>
      <c r="D1180" s="7">
        <v>1</v>
      </c>
    </row>
    <row r="1181" spans="1:4">
      <c r="A1181" s="10" t="s">
        <v>437</v>
      </c>
      <c r="B1181" s="12" t="s">
        <v>438</v>
      </c>
      <c r="C1181" s="12" t="s">
        <v>1847</v>
      </c>
      <c r="D1181" s="7">
        <v>11</v>
      </c>
    </row>
    <row r="1182" spans="1:4">
      <c r="A1182" s="10" t="s">
        <v>788</v>
      </c>
      <c r="B1182" s="12" t="s">
        <v>789</v>
      </c>
      <c r="C1182" s="12" t="s">
        <v>1846</v>
      </c>
      <c r="D1182" s="7">
        <v>14.5</v>
      </c>
    </row>
    <row r="1183" spans="1:4">
      <c r="A1183" s="10" t="s">
        <v>936</v>
      </c>
      <c r="B1183" s="12" t="s">
        <v>937</v>
      </c>
      <c r="C1183" s="12" t="s">
        <v>1846</v>
      </c>
      <c r="D1183" s="7">
        <v>18</v>
      </c>
    </row>
    <row r="1184" spans="1:4">
      <c r="A1184" s="10" t="s">
        <v>936</v>
      </c>
      <c r="B1184" s="12" t="s">
        <v>937</v>
      </c>
      <c r="C1184" s="12" t="s">
        <v>1847</v>
      </c>
      <c r="D1184" s="7">
        <v>1</v>
      </c>
    </row>
    <row r="1185" spans="1:4" ht="29.1">
      <c r="A1185" s="10" t="s">
        <v>271</v>
      </c>
      <c r="B1185" s="12" t="s">
        <v>272</v>
      </c>
      <c r="C1185" s="12" t="s">
        <v>1844</v>
      </c>
      <c r="D1185" s="7">
        <v>3</v>
      </c>
    </row>
    <row r="1186" spans="1:4">
      <c r="A1186" s="10" t="s">
        <v>1468</v>
      </c>
      <c r="B1186" s="12" t="s">
        <v>1469</v>
      </c>
      <c r="C1186" s="12" t="s">
        <v>1843</v>
      </c>
      <c r="D1186" s="7">
        <v>10</v>
      </c>
    </row>
    <row r="1187" spans="1:4">
      <c r="A1187" s="10" t="s">
        <v>1468</v>
      </c>
      <c r="B1187" s="12" t="s">
        <v>1469</v>
      </c>
      <c r="C1187" s="12" t="s">
        <v>1846</v>
      </c>
      <c r="D1187" s="7">
        <v>10</v>
      </c>
    </row>
    <row r="1188" spans="1:4">
      <c r="A1188" s="10" t="s">
        <v>966</v>
      </c>
      <c r="B1188" s="12" t="s">
        <v>967</v>
      </c>
      <c r="C1188" s="12" t="s">
        <v>1846</v>
      </c>
      <c r="D1188" s="7">
        <v>8</v>
      </c>
    </row>
    <row r="1189" spans="1:4">
      <c r="A1189" s="10" t="s">
        <v>966</v>
      </c>
      <c r="B1189" s="12" t="s">
        <v>967</v>
      </c>
      <c r="C1189" s="12" t="s">
        <v>1846</v>
      </c>
      <c r="D1189" s="7">
        <v>12</v>
      </c>
    </row>
    <row r="1190" spans="1:4">
      <c r="A1190" s="10" t="s">
        <v>688</v>
      </c>
      <c r="B1190" s="12" t="s">
        <v>689</v>
      </c>
      <c r="C1190" s="12" t="s">
        <v>1846</v>
      </c>
      <c r="D1190" s="7">
        <v>18</v>
      </c>
    </row>
    <row r="1191" spans="1:4">
      <c r="A1191" s="10" t="s">
        <v>1454</v>
      </c>
      <c r="B1191" s="12" t="s">
        <v>32</v>
      </c>
      <c r="C1191" s="12" t="s">
        <v>1846</v>
      </c>
      <c r="D1191" s="7">
        <v>3.5</v>
      </c>
    </row>
    <row r="1192" spans="1:4">
      <c r="A1192" s="10" t="s">
        <v>1109</v>
      </c>
      <c r="B1192" s="12" t="s">
        <v>1110</v>
      </c>
      <c r="C1192" s="12" t="s">
        <v>1846</v>
      </c>
      <c r="D1192" s="7">
        <v>8</v>
      </c>
    </row>
    <row r="1193" spans="1:4">
      <c r="A1193" s="10" t="s">
        <v>688</v>
      </c>
      <c r="B1193" s="12" t="s">
        <v>689</v>
      </c>
      <c r="C1193" s="12" t="s">
        <v>1847</v>
      </c>
      <c r="D1193" s="7">
        <v>2</v>
      </c>
    </row>
    <row r="1194" spans="1:4">
      <c r="A1194" s="10" t="s">
        <v>851</v>
      </c>
      <c r="B1194" s="12" t="s">
        <v>852</v>
      </c>
      <c r="C1194" s="12" t="s">
        <v>1846</v>
      </c>
      <c r="D1194" s="7">
        <v>20</v>
      </c>
    </row>
    <row r="1195" spans="1:4">
      <c r="A1195" s="10" t="s">
        <v>302</v>
      </c>
      <c r="B1195" s="12" t="s">
        <v>303</v>
      </c>
      <c r="C1195" s="12" t="s">
        <v>1846</v>
      </c>
      <c r="D1195" s="7">
        <v>20</v>
      </c>
    </row>
    <row r="1196" spans="1:4">
      <c r="A1196" s="10" t="s">
        <v>476</v>
      </c>
      <c r="B1196" s="12" t="s">
        <v>477</v>
      </c>
      <c r="C1196" s="12" t="s">
        <v>1846</v>
      </c>
      <c r="D1196" s="7">
        <v>11</v>
      </c>
    </row>
    <row r="1197" spans="1:4">
      <c r="A1197" s="10" t="s">
        <v>1272</v>
      </c>
      <c r="B1197" s="12" t="s">
        <v>1273</v>
      </c>
      <c r="C1197" s="12" t="s">
        <v>1846</v>
      </c>
      <c r="D1197" s="7">
        <v>8</v>
      </c>
    </row>
    <row r="1198" spans="1:4">
      <c r="A1198" s="10" t="s">
        <v>1272</v>
      </c>
      <c r="B1198" s="12" t="s">
        <v>1273</v>
      </c>
      <c r="C1198" s="12" t="s">
        <v>1847</v>
      </c>
      <c r="D1198" s="7">
        <v>5</v>
      </c>
    </row>
    <row r="1199" spans="1:4">
      <c r="A1199" s="10" t="s">
        <v>1066</v>
      </c>
      <c r="B1199" s="12" t="s">
        <v>1067</v>
      </c>
      <c r="C1199" s="12" t="s">
        <v>1846</v>
      </c>
      <c r="D1199" s="7">
        <v>17</v>
      </c>
    </row>
    <row r="1200" spans="1:4">
      <c r="A1200" s="10" t="s">
        <v>1066</v>
      </c>
      <c r="B1200" s="12" t="s">
        <v>1067</v>
      </c>
      <c r="C1200" s="12" t="s">
        <v>1846</v>
      </c>
      <c r="D1200" s="7">
        <v>1</v>
      </c>
    </row>
    <row r="1201" spans="1:4">
      <c r="A1201" s="10" t="s">
        <v>655</v>
      </c>
      <c r="B1201" s="12" t="s">
        <v>656</v>
      </c>
      <c r="C1201" s="12" t="s">
        <v>1846</v>
      </c>
      <c r="D1201" s="7">
        <v>13</v>
      </c>
    </row>
    <row r="1202" spans="1:4">
      <c r="A1202" s="10" t="s">
        <v>1696</v>
      </c>
      <c r="B1202" s="12" t="s">
        <v>1697</v>
      </c>
      <c r="C1202" s="12" t="s">
        <v>1847</v>
      </c>
      <c r="D1202" s="7">
        <v>18.5</v>
      </c>
    </row>
    <row r="1203" spans="1:4">
      <c r="A1203" s="10" t="s">
        <v>1696</v>
      </c>
      <c r="B1203" s="12" t="s">
        <v>1697</v>
      </c>
      <c r="C1203" s="12" t="s">
        <v>1847</v>
      </c>
      <c r="D1203" s="7">
        <v>0.5</v>
      </c>
    </row>
    <row r="1204" spans="1:4">
      <c r="A1204" s="10" t="s">
        <v>1696</v>
      </c>
      <c r="B1204" s="12" t="s">
        <v>1697</v>
      </c>
      <c r="C1204" s="12" t="s">
        <v>1847</v>
      </c>
      <c r="D1204" s="7">
        <v>1</v>
      </c>
    </row>
    <row r="1205" spans="1:4">
      <c r="A1205" s="10" t="s">
        <v>156</v>
      </c>
      <c r="B1205" s="12" t="s">
        <v>157</v>
      </c>
      <c r="C1205" s="12" t="s">
        <v>1847</v>
      </c>
      <c r="D1205" s="7">
        <v>19</v>
      </c>
    </row>
    <row r="1206" spans="1:4">
      <c r="A1206" s="10" t="s">
        <v>437</v>
      </c>
      <c r="B1206" s="12" t="s">
        <v>438</v>
      </c>
      <c r="C1206" s="12" t="s">
        <v>1847</v>
      </c>
      <c r="D1206" s="7">
        <v>3</v>
      </c>
    </row>
    <row r="1207" spans="1:4">
      <c r="A1207" s="10" t="s">
        <v>437</v>
      </c>
      <c r="B1207" s="12" t="s">
        <v>438</v>
      </c>
      <c r="C1207" s="12" t="s">
        <v>1847</v>
      </c>
      <c r="D1207" s="7">
        <v>1</v>
      </c>
    </row>
    <row r="1208" spans="1:4">
      <c r="A1208" s="10" t="s">
        <v>336</v>
      </c>
      <c r="B1208" s="12" t="s">
        <v>337</v>
      </c>
      <c r="C1208" s="12" t="s">
        <v>1846</v>
      </c>
      <c r="D1208" s="7">
        <v>2</v>
      </c>
    </row>
    <row r="1209" spans="1:4">
      <c r="A1209" s="10" t="s">
        <v>336</v>
      </c>
      <c r="B1209" s="12" t="s">
        <v>337</v>
      </c>
      <c r="C1209" s="12" t="s">
        <v>1846</v>
      </c>
      <c r="D1209" s="7">
        <v>3</v>
      </c>
    </row>
    <row r="1210" spans="1:4">
      <c r="A1210" s="10" t="s">
        <v>336</v>
      </c>
      <c r="B1210" s="12" t="s">
        <v>337</v>
      </c>
      <c r="C1210" s="12" t="s">
        <v>1846</v>
      </c>
      <c r="D1210" s="7">
        <v>10</v>
      </c>
    </row>
    <row r="1211" spans="1:4">
      <c r="A1211" s="10" t="s">
        <v>336</v>
      </c>
      <c r="B1211" s="12" t="s">
        <v>337</v>
      </c>
      <c r="C1211" s="12" t="s">
        <v>1847</v>
      </c>
      <c r="D1211" s="7">
        <v>5</v>
      </c>
    </row>
    <row r="1212" spans="1:4">
      <c r="A1212" s="10" t="s">
        <v>1082</v>
      </c>
      <c r="B1212" s="12" t="s">
        <v>1083</v>
      </c>
      <c r="C1212" s="12" t="s">
        <v>1847</v>
      </c>
      <c r="D1212" s="7">
        <v>0.5</v>
      </c>
    </row>
    <row r="1213" spans="1:4">
      <c r="A1213" s="10" t="s">
        <v>1082</v>
      </c>
      <c r="B1213" s="12" t="s">
        <v>1083</v>
      </c>
      <c r="C1213" s="12" t="s">
        <v>1846</v>
      </c>
      <c r="D1213" s="7">
        <v>18.5</v>
      </c>
    </row>
    <row r="1214" spans="1:4">
      <c r="A1214" s="10" t="s">
        <v>742</v>
      </c>
      <c r="B1214" s="12" t="s">
        <v>743</v>
      </c>
      <c r="C1214" s="12" t="s">
        <v>1846</v>
      </c>
      <c r="D1214" s="7">
        <v>20</v>
      </c>
    </row>
    <row r="1215" spans="1:4">
      <c r="A1215" s="10" t="s">
        <v>608</v>
      </c>
      <c r="B1215" s="12" t="s">
        <v>609</v>
      </c>
      <c r="C1215" s="12" t="s">
        <v>1847</v>
      </c>
      <c r="D1215" s="7">
        <v>1</v>
      </c>
    </row>
    <row r="1216" spans="1:4">
      <c r="A1216" s="10" t="s">
        <v>1241</v>
      </c>
      <c r="B1216" s="12" t="s">
        <v>1242</v>
      </c>
      <c r="C1216" s="12" t="s">
        <v>1846</v>
      </c>
      <c r="D1216" s="7">
        <v>16</v>
      </c>
    </row>
    <row r="1217" spans="1:4">
      <c r="A1217" s="10" t="s">
        <v>1261</v>
      </c>
      <c r="B1217" s="12" t="s">
        <v>1262</v>
      </c>
      <c r="C1217" s="12" t="s">
        <v>1847</v>
      </c>
      <c r="D1217" s="7">
        <v>0.5</v>
      </c>
    </row>
    <row r="1218" spans="1:4">
      <c r="A1218" s="10" t="s">
        <v>638</v>
      </c>
      <c r="B1218" s="12" t="s">
        <v>639</v>
      </c>
      <c r="C1218" s="12" t="s">
        <v>1847</v>
      </c>
      <c r="D1218" s="7">
        <v>20</v>
      </c>
    </row>
    <row r="1219" spans="1:4">
      <c r="A1219" s="10" t="s">
        <v>970</v>
      </c>
      <c r="B1219" s="12" t="s">
        <v>971</v>
      </c>
      <c r="C1219" s="12" t="s">
        <v>1846</v>
      </c>
      <c r="D1219" s="7">
        <v>7</v>
      </c>
    </row>
    <row r="1220" spans="1:4">
      <c r="A1220" s="10" t="s">
        <v>970</v>
      </c>
      <c r="B1220" s="12" t="s">
        <v>971</v>
      </c>
      <c r="C1220" s="12" t="s">
        <v>1846</v>
      </c>
      <c r="D1220" s="7">
        <v>10</v>
      </c>
    </row>
    <row r="1221" spans="1:4">
      <c r="A1221" s="10" t="s">
        <v>970</v>
      </c>
      <c r="B1221" s="12" t="s">
        <v>971</v>
      </c>
      <c r="C1221" s="12" t="s">
        <v>1847</v>
      </c>
      <c r="D1221" s="7">
        <v>3</v>
      </c>
    </row>
    <row r="1222" spans="1:4">
      <c r="A1222" s="10" t="s">
        <v>968</v>
      </c>
      <c r="B1222" s="12" t="s">
        <v>969</v>
      </c>
      <c r="C1222" s="12" t="s">
        <v>1846</v>
      </c>
      <c r="D1222" s="7">
        <v>12.5</v>
      </c>
    </row>
    <row r="1223" spans="1:4">
      <c r="A1223" s="10" t="s">
        <v>1441</v>
      </c>
      <c r="B1223" s="12" t="s">
        <v>13</v>
      </c>
      <c r="C1223" s="12" t="s">
        <v>1846</v>
      </c>
      <c r="D1223" s="7">
        <v>16</v>
      </c>
    </row>
    <row r="1224" spans="1:4">
      <c r="A1224" s="10" t="s">
        <v>1441</v>
      </c>
      <c r="B1224" s="12" t="s">
        <v>13</v>
      </c>
      <c r="C1224" s="12" t="s">
        <v>1845</v>
      </c>
      <c r="D1224" s="7">
        <v>1</v>
      </c>
    </row>
    <row r="1225" spans="1:4">
      <c r="A1225" s="10" t="s">
        <v>1441</v>
      </c>
      <c r="B1225" s="12" t="s">
        <v>13</v>
      </c>
      <c r="C1225" s="12" t="s">
        <v>1847</v>
      </c>
      <c r="D1225" s="7">
        <v>3</v>
      </c>
    </row>
    <row r="1226" spans="1:4">
      <c r="A1226" s="10" t="s">
        <v>280</v>
      </c>
      <c r="B1226" s="12" t="s">
        <v>281</v>
      </c>
      <c r="C1226" s="12" t="s">
        <v>1846</v>
      </c>
      <c r="D1226" s="7">
        <v>20</v>
      </c>
    </row>
    <row r="1227" spans="1:4">
      <c r="A1227" s="10" t="s">
        <v>545</v>
      </c>
      <c r="B1227" s="12" t="s">
        <v>546</v>
      </c>
      <c r="C1227" s="12" t="s">
        <v>1846</v>
      </c>
      <c r="D1227" s="7">
        <v>2</v>
      </c>
    </row>
    <row r="1228" spans="1:4">
      <c r="A1228" s="10" t="s">
        <v>545</v>
      </c>
      <c r="B1228" s="12" t="s">
        <v>546</v>
      </c>
      <c r="C1228" s="12" t="s">
        <v>1846</v>
      </c>
      <c r="D1228" s="7">
        <v>9.5</v>
      </c>
    </row>
    <row r="1229" spans="1:4">
      <c r="A1229" s="10" t="s">
        <v>545</v>
      </c>
      <c r="B1229" s="12" t="s">
        <v>546</v>
      </c>
      <c r="C1229" s="12" t="s">
        <v>1846</v>
      </c>
      <c r="D1229" s="7">
        <v>0.5</v>
      </c>
    </row>
    <row r="1230" spans="1:4">
      <c r="A1230" s="10" t="s">
        <v>545</v>
      </c>
      <c r="B1230" s="12" t="s">
        <v>546</v>
      </c>
      <c r="C1230" s="12" t="s">
        <v>1847</v>
      </c>
      <c r="D1230" s="7">
        <v>2</v>
      </c>
    </row>
    <row r="1231" spans="1:4">
      <c r="A1231" s="10" t="s">
        <v>545</v>
      </c>
      <c r="B1231" s="12" t="s">
        <v>546</v>
      </c>
      <c r="C1231" s="12" t="s">
        <v>1846</v>
      </c>
      <c r="D1231" s="7">
        <v>2</v>
      </c>
    </row>
    <row r="1232" spans="1:4">
      <c r="A1232" s="10" t="s">
        <v>545</v>
      </c>
      <c r="B1232" s="12" t="s">
        <v>546</v>
      </c>
      <c r="C1232" s="12" t="s">
        <v>1846</v>
      </c>
      <c r="D1232" s="7">
        <v>4</v>
      </c>
    </row>
    <row r="1233" spans="1:4">
      <c r="A1233" s="10" t="s">
        <v>1221</v>
      </c>
      <c r="B1233" s="12" t="s">
        <v>1222</v>
      </c>
      <c r="C1233" s="12" t="s">
        <v>1846</v>
      </c>
      <c r="D1233" s="7">
        <v>17</v>
      </c>
    </row>
    <row r="1234" spans="1:4">
      <c r="A1234" s="10" t="s">
        <v>580</v>
      </c>
      <c r="B1234" s="12" t="s">
        <v>581</v>
      </c>
      <c r="C1234" s="12" t="s">
        <v>1846</v>
      </c>
      <c r="D1234" s="7">
        <v>19</v>
      </c>
    </row>
    <row r="1235" spans="1:4">
      <c r="A1235" s="10" t="s">
        <v>542</v>
      </c>
      <c r="B1235" s="12" t="s">
        <v>543</v>
      </c>
      <c r="C1235" s="12" t="s">
        <v>1846</v>
      </c>
      <c r="D1235" s="7">
        <v>10</v>
      </c>
    </row>
    <row r="1236" spans="1:4">
      <c r="A1236" s="10" t="s">
        <v>542</v>
      </c>
      <c r="B1236" s="12" t="s">
        <v>543</v>
      </c>
      <c r="C1236" s="12" t="s">
        <v>1847</v>
      </c>
      <c r="D1236" s="7">
        <v>4.5</v>
      </c>
    </row>
    <row r="1237" spans="1:4">
      <c r="A1237" s="10" t="s">
        <v>542</v>
      </c>
      <c r="B1237" s="12" t="s">
        <v>543</v>
      </c>
      <c r="C1237" s="12" t="s">
        <v>1847</v>
      </c>
      <c r="D1237" s="7">
        <v>3.5</v>
      </c>
    </row>
    <row r="1238" spans="1:4">
      <c r="A1238" s="10" t="s">
        <v>542</v>
      </c>
      <c r="B1238" s="12" t="s">
        <v>543</v>
      </c>
      <c r="C1238" s="12" t="s">
        <v>1847</v>
      </c>
      <c r="D1238" s="7">
        <v>2</v>
      </c>
    </row>
    <row r="1239" spans="1:4">
      <c r="A1239" s="10" t="s">
        <v>1149</v>
      </c>
      <c r="B1239" s="12" t="s">
        <v>75</v>
      </c>
      <c r="C1239" s="12" t="s">
        <v>1846</v>
      </c>
      <c r="D1239" s="7">
        <v>13</v>
      </c>
    </row>
    <row r="1240" spans="1:4">
      <c r="A1240" s="10" t="s">
        <v>1149</v>
      </c>
      <c r="B1240" s="12" t="s">
        <v>75</v>
      </c>
      <c r="C1240" s="12" t="s">
        <v>1847</v>
      </c>
      <c r="D1240" s="7">
        <v>3</v>
      </c>
    </row>
    <row r="1241" spans="1:4">
      <c r="A1241" s="10" t="s">
        <v>1149</v>
      </c>
      <c r="B1241" s="12" t="s">
        <v>75</v>
      </c>
      <c r="C1241" s="12" t="s">
        <v>1847</v>
      </c>
      <c r="D1241" s="7">
        <v>2</v>
      </c>
    </row>
    <row r="1242" spans="1:4">
      <c r="A1242" s="10" t="s">
        <v>265</v>
      </c>
      <c r="B1242" s="12" t="s">
        <v>266</v>
      </c>
      <c r="C1242" s="12" t="s">
        <v>1847</v>
      </c>
      <c r="D1242" s="7">
        <v>0.5</v>
      </c>
    </row>
    <row r="1243" spans="1:4">
      <c r="A1243" s="10" t="s">
        <v>720</v>
      </c>
      <c r="B1243" s="12" t="s">
        <v>721</v>
      </c>
      <c r="C1243" s="12" t="s">
        <v>1846</v>
      </c>
      <c r="D1243" s="7">
        <v>18</v>
      </c>
    </row>
    <row r="1244" spans="1:4">
      <c r="A1244" s="10" t="s">
        <v>720</v>
      </c>
      <c r="B1244" s="12" t="s">
        <v>721</v>
      </c>
      <c r="C1244" s="12" t="s">
        <v>1846</v>
      </c>
      <c r="D1244" s="7">
        <v>2</v>
      </c>
    </row>
    <row r="1245" spans="1:4">
      <c r="A1245" s="10" t="s">
        <v>657</v>
      </c>
      <c r="B1245" s="12" t="s">
        <v>658</v>
      </c>
      <c r="C1245" s="12" t="s">
        <v>1846</v>
      </c>
      <c r="D1245" s="7">
        <v>3</v>
      </c>
    </row>
    <row r="1246" spans="1:4">
      <c r="A1246" s="10" t="s">
        <v>657</v>
      </c>
      <c r="B1246" s="12" t="s">
        <v>658</v>
      </c>
      <c r="C1246" s="12" t="s">
        <v>1847</v>
      </c>
      <c r="D1246" s="7">
        <v>13.5</v>
      </c>
    </row>
    <row r="1247" spans="1:4">
      <c r="A1247" s="10" t="s">
        <v>1361</v>
      </c>
      <c r="B1247" s="12" t="s">
        <v>1362</v>
      </c>
      <c r="C1247" s="12" t="s">
        <v>1847</v>
      </c>
      <c r="D1247" s="7">
        <v>10</v>
      </c>
    </row>
    <row r="1248" spans="1:4">
      <c r="A1248" s="10" t="s">
        <v>1361</v>
      </c>
      <c r="B1248" s="12" t="s">
        <v>1362</v>
      </c>
      <c r="C1248" s="12" t="s">
        <v>1843</v>
      </c>
      <c r="D1248" s="7">
        <v>10</v>
      </c>
    </row>
    <row r="1249" spans="1:4">
      <c r="A1249" s="10" t="s">
        <v>285</v>
      </c>
      <c r="B1249" s="12" t="s">
        <v>286</v>
      </c>
      <c r="C1249" s="12" t="s">
        <v>1843</v>
      </c>
      <c r="D1249" s="7">
        <v>8</v>
      </c>
    </row>
    <row r="1250" spans="1:4">
      <c r="A1250" s="10" t="s">
        <v>285</v>
      </c>
      <c r="B1250" s="12" t="s">
        <v>286</v>
      </c>
      <c r="C1250" s="12" t="s">
        <v>1847</v>
      </c>
      <c r="D1250" s="7">
        <v>12</v>
      </c>
    </row>
    <row r="1251" spans="1:4">
      <c r="A1251" s="10" t="s">
        <v>415</v>
      </c>
      <c r="B1251" s="12" t="s">
        <v>416</v>
      </c>
      <c r="C1251" s="12" t="s">
        <v>1847</v>
      </c>
      <c r="D1251" s="7">
        <v>3</v>
      </c>
    </row>
    <row r="1252" spans="1:4">
      <c r="A1252" s="10" t="s">
        <v>1492</v>
      </c>
      <c r="B1252" s="12" t="s">
        <v>1493</v>
      </c>
      <c r="C1252" s="12" t="s">
        <v>1847</v>
      </c>
      <c r="D1252" s="7">
        <v>20</v>
      </c>
    </row>
    <row r="1253" spans="1:4">
      <c r="A1253" s="10" t="s">
        <v>1433</v>
      </c>
      <c r="B1253" s="12" t="s">
        <v>1434</v>
      </c>
      <c r="C1253" s="12" t="s">
        <v>1848</v>
      </c>
      <c r="D1253" s="7">
        <v>8</v>
      </c>
    </row>
    <row r="1254" spans="1:4">
      <c r="A1254" s="10" t="s">
        <v>1433</v>
      </c>
      <c r="B1254" s="12" t="s">
        <v>1434</v>
      </c>
      <c r="C1254" s="12" t="s">
        <v>1847</v>
      </c>
      <c r="D1254" s="7">
        <v>1</v>
      </c>
    </row>
    <row r="1255" spans="1:4">
      <c r="A1255" s="10" t="s">
        <v>752</v>
      </c>
      <c r="B1255" s="12" t="s">
        <v>753</v>
      </c>
      <c r="C1255" s="12" t="s">
        <v>1847</v>
      </c>
      <c r="D1255" s="7">
        <v>13</v>
      </c>
    </row>
    <row r="1256" spans="1:4">
      <c r="A1256" s="10" t="s">
        <v>726</v>
      </c>
      <c r="B1256" s="12" t="s">
        <v>727</v>
      </c>
      <c r="C1256" s="12" t="s">
        <v>1846</v>
      </c>
      <c r="D1256" s="7">
        <v>20</v>
      </c>
    </row>
    <row r="1257" spans="1:4">
      <c r="A1257" s="10" t="s">
        <v>888</v>
      </c>
      <c r="B1257" s="12" t="s">
        <v>889</v>
      </c>
      <c r="C1257" s="12" t="s">
        <v>1847</v>
      </c>
      <c r="D1257" s="7">
        <v>1</v>
      </c>
    </row>
    <row r="1258" spans="1:4">
      <c r="A1258" s="10" t="s">
        <v>636</v>
      </c>
      <c r="B1258" s="12" t="s">
        <v>637</v>
      </c>
      <c r="C1258" s="12" t="s">
        <v>1845</v>
      </c>
      <c r="D1258" s="7">
        <v>1</v>
      </c>
    </row>
    <row r="1259" spans="1:4">
      <c r="A1259" s="10" t="s">
        <v>636</v>
      </c>
      <c r="B1259" s="12" t="s">
        <v>637</v>
      </c>
      <c r="C1259" s="12" t="s">
        <v>1846</v>
      </c>
      <c r="D1259" s="7">
        <v>8</v>
      </c>
    </row>
    <row r="1260" spans="1:4">
      <c r="A1260" s="10" t="s">
        <v>636</v>
      </c>
      <c r="B1260" s="12" t="s">
        <v>637</v>
      </c>
      <c r="C1260" s="12" t="s">
        <v>1847</v>
      </c>
      <c r="D1260" s="7">
        <v>1</v>
      </c>
    </row>
    <row r="1261" spans="1:4">
      <c r="A1261" s="10" t="s">
        <v>636</v>
      </c>
      <c r="B1261" s="12" t="s">
        <v>637</v>
      </c>
      <c r="C1261" s="12" t="s">
        <v>1846</v>
      </c>
      <c r="D1261" s="7">
        <v>9</v>
      </c>
    </row>
    <row r="1262" spans="1:4">
      <c r="A1262" s="10" t="s">
        <v>612</v>
      </c>
      <c r="B1262" s="12" t="s">
        <v>613</v>
      </c>
      <c r="C1262" s="12" t="s">
        <v>1846</v>
      </c>
      <c r="D1262" s="7">
        <v>2</v>
      </c>
    </row>
    <row r="1263" spans="1:4">
      <c r="A1263" s="10" t="s">
        <v>612</v>
      </c>
      <c r="B1263" s="12" t="s">
        <v>613</v>
      </c>
      <c r="C1263" s="12" t="s">
        <v>1846</v>
      </c>
      <c r="D1263" s="7">
        <v>15</v>
      </c>
    </row>
    <row r="1264" spans="1:4">
      <c r="A1264" s="10" t="s">
        <v>1391</v>
      </c>
      <c r="B1264" s="12" t="s">
        <v>93</v>
      </c>
      <c r="C1264" s="12" t="s">
        <v>1847</v>
      </c>
      <c r="D1264" s="7">
        <v>20</v>
      </c>
    </row>
    <row r="1265" spans="1:4">
      <c r="A1265" s="10" t="s">
        <v>1127</v>
      </c>
      <c r="B1265" s="12" t="s">
        <v>1128</v>
      </c>
      <c r="C1265" s="12" t="s">
        <v>1845</v>
      </c>
      <c r="D1265" s="7">
        <v>0.5</v>
      </c>
    </row>
    <row r="1266" spans="1:4">
      <c r="A1266" s="10" t="s">
        <v>1712</v>
      </c>
      <c r="B1266" s="12" t="s">
        <v>1713</v>
      </c>
      <c r="C1266" s="12" t="s">
        <v>1847</v>
      </c>
      <c r="D1266" s="7">
        <v>1</v>
      </c>
    </row>
    <row r="1267" spans="1:4">
      <c r="A1267" s="10" t="s">
        <v>1614</v>
      </c>
      <c r="B1267" s="12" t="s">
        <v>1615</v>
      </c>
      <c r="C1267" s="12" t="s">
        <v>1847</v>
      </c>
      <c r="D1267" s="7">
        <v>20</v>
      </c>
    </row>
    <row r="1268" spans="1:4">
      <c r="A1268" s="10" t="s">
        <v>1041</v>
      </c>
      <c r="B1268" s="12" t="s">
        <v>1042</v>
      </c>
      <c r="C1268" s="12" t="s">
        <v>1847</v>
      </c>
      <c r="D1268" s="7">
        <v>20</v>
      </c>
    </row>
    <row r="1269" spans="1:4">
      <c r="A1269" s="10" t="s">
        <v>752</v>
      </c>
      <c r="B1269" s="12" t="s">
        <v>753</v>
      </c>
      <c r="C1269" s="12" t="s">
        <v>1846</v>
      </c>
      <c r="D1269" s="7">
        <v>6</v>
      </c>
    </row>
    <row r="1270" spans="1:4">
      <c r="A1270" s="10" t="s">
        <v>616</v>
      </c>
      <c r="B1270" s="12" t="s">
        <v>617</v>
      </c>
      <c r="C1270" s="12" t="s">
        <v>1846</v>
      </c>
      <c r="D1270" s="7">
        <v>16</v>
      </c>
    </row>
    <row r="1271" spans="1:4">
      <c r="A1271" s="10" t="s">
        <v>1139</v>
      </c>
      <c r="B1271" s="12" t="s">
        <v>95</v>
      </c>
      <c r="C1271" s="12" t="s">
        <v>1846</v>
      </c>
      <c r="D1271" s="7">
        <v>18</v>
      </c>
    </row>
    <row r="1272" spans="1:4">
      <c r="A1272" s="10" t="s">
        <v>507</v>
      </c>
      <c r="B1272" s="12" t="s">
        <v>508</v>
      </c>
      <c r="C1272" s="12" t="s">
        <v>1847</v>
      </c>
      <c r="D1272" s="7">
        <v>3</v>
      </c>
    </row>
    <row r="1273" spans="1:4">
      <c r="A1273" s="10" t="s">
        <v>507</v>
      </c>
      <c r="B1273" s="12" t="s">
        <v>508</v>
      </c>
      <c r="C1273" s="12" t="s">
        <v>1846</v>
      </c>
      <c r="D1273" s="7">
        <v>13</v>
      </c>
    </row>
    <row r="1274" spans="1:4">
      <c r="A1274" s="10" t="s">
        <v>507</v>
      </c>
      <c r="B1274" s="12" t="s">
        <v>508</v>
      </c>
      <c r="C1274" s="12" t="s">
        <v>1847</v>
      </c>
      <c r="D1274" s="7">
        <v>1.5</v>
      </c>
    </row>
    <row r="1275" spans="1:4">
      <c r="A1275" s="10" t="s">
        <v>1680</v>
      </c>
      <c r="B1275" s="12" t="s">
        <v>1681</v>
      </c>
      <c r="C1275" s="12" t="s">
        <v>1847</v>
      </c>
      <c r="D1275" s="7">
        <v>16.5</v>
      </c>
    </row>
    <row r="1276" spans="1:4">
      <c r="A1276" s="10" t="s">
        <v>233</v>
      </c>
      <c r="B1276" s="12" t="s">
        <v>234</v>
      </c>
      <c r="C1276" s="12" t="s">
        <v>1845</v>
      </c>
      <c r="D1276" s="7">
        <v>0.5</v>
      </c>
    </row>
    <row r="1277" spans="1:4">
      <c r="A1277" s="10" t="s">
        <v>562</v>
      </c>
      <c r="B1277" s="12" t="s">
        <v>563</v>
      </c>
      <c r="C1277" s="12" t="s">
        <v>1846</v>
      </c>
      <c r="D1277" s="7">
        <v>12</v>
      </c>
    </row>
    <row r="1278" spans="1:4">
      <c r="A1278" s="10" t="s">
        <v>562</v>
      </c>
      <c r="B1278" s="12" t="s">
        <v>563</v>
      </c>
      <c r="C1278" s="12" t="s">
        <v>1847</v>
      </c>
      <c r="D1278" s="7">
        <v>2</v>
      </c>
    </row>
    <row r="1279" spans="1:4">
      <c r="A1279" s="10" t="s">
        <v>233</v>
      </c>
      <c r="B1279" s="12" t="s">
        <v>234</v>
      </c>
      <c r="C1279" s="12" t="s">
        <v>1846</v>
      </c>
      <c r="D1279" s="7">
        <v>5.5</v>
      </c>
    </row>
    <row r="1280" spans="1:4">
      <c r="A1280" s="10" t="s">
        <v>662</v>
      </c>
      <c r="B1280" s="12" t="s">
        <v>663</v>
      </c>
      <c r="C1280" s="12" t="s">
        <v>1846</v>
      </c>
      <c r="D1280" s="7">
        <v>3.5</v>
      </c>
    </row>
    <row r="1281" spans="1:4">
      <c r="A1281" s="10" t="s">
        <v>562</v>
      </c>
      <c r="B1281" s="12" t="s">
        <v>563</v>
      </c>
      <c r="C1281" s="12" t="s">
        <v>1846</v>
      </c>
      <c r="D1281" s="7">
        <v>6</v>
      </c>
    </row>
    <row r="1282" spans="1:4">
      <c r="A1282" s="10" t="s">
        <v>253</v>
      </c>
      <c r="B1282" s="12" t="s">
        <v>254</v>
      </c>
      <c r="C1282" s="12" t="s">
        <v>1846</v>
      </c>
      <c r="D1282" s="7">
        <v>14</v>
      </c>
    </row>
    <row r="1283" spans="1:4">
      <c r="A1283" s="10" t="s">
        <v>253</v>
      </c>
      <c r="B1283" s="12" t="s">
        <v>254</v>
      </c>
      <c r="C1283" s="12" t="s">
        <v>1847</v>
      </c>
      <c r="D1283" s="7">
        <v>1</v>
      </c>
    </row>
    <row r="1284" spans="1:4">
      <c r="A1284" s="10" t="s">
        <v>544</v>
      </c>
      <c r="B1284" s="12" t="s">
        <v>38</v>
      </c>
      <c r="C1284" s="12" t="s">
        <v>1847</v>
      </c>
      <c r="D1284" s="7">
        <v>8</v>
      </c>
    </row>
    <row r="1285" spans="1:4">
      <c r="A1285" s="10" t="s">
        <v>544</v>
      </c>
      <c r="B1285" s="12" t="s">
        <v>38</v>
      </c>
      <c r="C1285" s="12" t="s">
        <v>1847</v>
      </c>
      <c r="D1285" s="7">
        <v>8</v>
      </c>
    </row>
    <row r="1286" spans="1:4">
      <c r="A1286" s="10" t="s">
        <v>1280</v>
      </c>
      <c r="B1286" s="12" t="s">
        <v>1281</v>
      </c>
      <c r="C1286" s="12" t="s">
        <v>1847</v>
      </c>
      <c r="D1286" s="7">
        <v>12.5</v>
      </c>
    </row>
    <row r="1287" spans="1:4">
      <c r="A1287" s="10" t="s">
        <v>662</v>
      </c>
      <c r="B1287" s="12" t="s">
        <v>663</v>
      </c>
      <c r="C1287" s="12" t="s">
        <v>1847</v>
      </c>
      <c r="D1287" s="7">
        <v>0.5</v>
      </c>
    </row>
    <row r="1288" spans="1:4">
      <c r="A1288" s="10" t="s">
        <v>662</v>
      </c>
      <c r="B1288" s="12" t="s">
        <v>663</v>
      </c>
      <c r="C1288" s="12" t="s">
        <v>1847</v>
      </c>
      <c r="D1288" s="7">
        <v>2.5</v>
      </c>
    </row>
    <row r="1289" spans="1:4">
      <c r="A1289" s="10" t="s">
        <v>1156</v>
      </c>
      <c r="B1289" s="12" t="s">
        <v>1157</v>
      </c>
      <c r="C1289" s="12" t="s">
        <v>1846</v>
      </c>
      <c r="D1289" s="7">
        <v>12</v>
      </c>
    </row>
    <row r="1290" spans="1:4">
      <c r="A1290" s="10" t="s">
        <v>1156</v>
      </c>
      <c r="B1290" s="12" t="s">
        <v>1157</v>
      </c>
      <c r="C1290" s="12" t="s">
        <v>1846</v>
      </c>
      <c r="D1290" s="7">
        <v>2</v>
      </c>
    </row>
    <row r="1291" spans="1:4">
      <c r="A1291" s="10" t="s">
        <v>324</v>
      </c>
      <c r="B1291" s="12" t="s">
        <v>325</v>
      </c>
      <c r="C1291" s="12" t="s">
        <v>1847</v>
      </c>
      <c r="D1291" s="7">
        <v>20</v>
      </c>
    </row>
    <row r="1292" spans="1:4">
      <c r="A1292" s="10" t="s">
        <v>608</v>
      </c>
      <c r="B1292" s="12" t="s">
        <v>609</v>
      </c>
      <c r="C1292" s="12" t="s">
        <v>1847</v>
      </c>
      <c r="D1292" s="7">
        <v>0.5</v>
      </c>
    </row>
    <row r="1293" spans="1:4">
      <c r="A1293" s="10" t="s">
        <v>827</v>
      </c>
      <c r="B1293" s="12" t="s">
        <v>828</v>
      </c>
      <c r="C1293" s="12" t="s">
        <v>1846</v>
      </c>
      <c r="D1293" s="7">
        <v>2.5</v>
      </c>
    </row>
    <row r="1294" spans="1:4">
      <c r="A1294" s="10" t="s">
        <v>795</v>
      </c>
      <c r="B1294" s="12" t="s">
        <v>796</v>
      </c>
      <c r="C1294" s="12" t="s">
        <v>1846</v>
      </c>
      <c r="D1294" s="7">
        <v>16.5</v>
      </c>
    </row>
    <row r="1295" spans="1:4">
      <c r="A1295" s="10" t="s">
        <v>217</v>
      </c>
      <c r="B1295" s="12" t="s">
        <v>218</v>
      </c>
      <c r="C1295" s="12" t="s">
        <v>1848</v>
      </c>
      <c r="D1295" s="7">
        <v>20</v>
      </c>
    </row>
    <row r="1296" spans="1:4">
      <c r="A1296" s="10" t="s">
        <v>159</v>
      </c>
      <c r="B1296" s="12" t="s">
        <v>160</v>
      </c>
      <c r="C1296" s="12" t="s">
        <v>1846</v>
      </c>
      <c r="D1296" s="7">
        <v>19</v>
      </c>
    </row>
    <row r="1297" spans="1:4">
      <c r="A1297" s="10" t="s">
        <v>159</v>
      </c>
      <c r="B1297" s="12" t="s">
        <v>160</v>
      </c>
      <c r="C1297" s="12" t="s">
        <v>1847</v>
      </c>
      <c r="D1297" s="7">
        <v>1</v>
      </c>
    </row>
    <row r="1298" spans="1:4">
      <c r="A1298" s="10" t="s">
        <v>850</v>
      </c>
      <c r="B1298" s="12" t="s">
        <v>2</v>
      </c>
      <c r="C1298" s="12" t="s">
        <v>1846</v>
      </c>
      <c r="D1298" s="7">
        <v>10</v>
      </c>
    </row>
    <row r="1299" spans="1:4">
      <c r="A1299" s="10" t="s">
        <v>850</v>
      </c>
      <c r="B1299" s="12" t="s">
        <v>2</v>
      </c>
      <c r="C1299" s="12" t="s">
        <v>1847</v>
      </c>
      <c r="D1299" s="7">
        <v>9</v>
      </c>
    </row>
    <row r="1300" spans="1:4">
      <c r="A1300" s="10" t="s">
        <v>1533</v>
      </c>
      <c r="B1300" s="12" t="s">
        <v>41</v>
      </c>
      <c r="C1300" s="12" t="s">
        <v>1846</v>
      </c>
      <c r="D1300" s="7">
        <v>14</v>
      </c>
    </row>
    <row r="1301" spans="1:4">
      <c r="A1301" s="10" t="s">
        <v>1533</v>
      </c>
      <c r="B1301" s="12" t="s">
        <v>41</v>
      </c>
      <c r="C1301" s="12" t="s">
        <v>1847</v>
      </c>
      <c r="D1301" s="7">
        <v>5</v>
      </c>
    </row>
    <row r="1302" spans="1:4">
      <c r="A1302" s="10" t="s">
        <v>250</v>
      </c>
      <c r="B1302" s="12" t="s">
        <v>251</v>
      </c>
      <c r="C1302" s="12" t="s">
        <v>1847</v>
      </c>
      <c r="D1302" s="7">
        <v>7</v>
      </c>
    </row>
    <row r="1303" spans="1:4">
      <c r="A1303" s="10" t="s">
        <v>250</v>
      </c>
      <c r="B1303" s="12" t="s">
        <v>251</v>
      </c>
      <c r="C1303" s="12" t="s">
        <v>1846</v>
      </c>
      <c r="D1303" s="7">
        <v>6</v>
      </c>
    </row>
    <row r="1304" spans="1:4">
      <c r="A1304" s="10" t="s">
        <v>250</v>
      </c>
      <c r="B1304" s="12" t="s">
        <v>251</v>
      </c>
      <c r="C1304" s="12" t="s">
        <v>1847</v>
      </c>
      <c r="D1304" s="7">
        <v>2</v>
      </c>
    </row>
    <row r="1305" spans="1:4">
      <c r="A1305" s="10" t="s">
        <v>1608</v>
      </c>
      <c r="B1305" s="12" t="s">
        <v>1609</v>
      </c>
      <c r="C1305" s="12" t="s">
        <v>1847</v>
      </c>
      <c r="D1305" s="7">
        <v>19</v>
      </c>
    </row>
    <row r="1306" spans="1:4">
      <c r="A1306" s="10" t="s">
        <v>1353</v>
      </c>
      <c r="B1306" s="12" t="s">
        <v>1354</v>
      </c>
      <c r="C1306" s="12" t="s">
        <v>1846</v>
      </c>
      <c r="D1306" s="7">
        <v>19.5</v>
      </c>
    </row>
    <row r="1307" spans="1:4">
      <c r="A1307" s="10" t="s">
        <v>573</v>
      </c>
      <c r="B1307" s="12" t="s">
        <v>25</v>
      </c>
      <c r="C1307" s="12" t="s">
        <v>1846</v>
      </c>
      <c r="D1307" s="7">
        <v>20</v>
      </c>
    </row>
    <row r="1308" spans="1:4">
      <c r="A1308" s="10" t="s">
        <v>149</v>
      </c>
      <c r="B1308" s="12" t="s">
        <v>89</v>
      </c>
      <c r="C1308" s="12" t="s">
        <v>1846</v>
      </c>
      <c r="D1308" s="7">
        <v>17</v>
      </c>
    </row>
    <row r="1309" spans="1:4">
      <c r="A1309" s="10" t="s">
        <v>149</v>
      </c>
      <c r="B1309" s="12" t="s">
        <v>89</v>
      </c>
      <c r="C1309" s="12" t="s">
        <v>1847</v>
      </c>
      <c r="D1309" s="7">
        <v>1</v>
      </c>
    </row>
    <row r="1310" spans="1:4">
      <c r="A1310" s="10" t="s">
        <v>149</v>
      </c>
      <c r="B1310" s="12" t="s">
        <v>89</v>
      </c>
      <c r="C1310" s="12" t="s">
        <v>1847</v>
      </c>
      <c r="D1310" s="7">
        <v>2</v>
      </c>
    </row>
    <row r="1311" spans="1:4">
      <c r="A1311" s="10" t="s">
        <v>804</v>
      </c>
      <c r="B1311" s="12" t="s">
        <v>24</v>
      </c>
      <c r="C1311" s="12" t="s">
        <v>1846</v>
      </c>
      <c r="D1311" s="7">
        <v>10</v>
      </c>
    </row>
    <row r="1312" spans="1:4">
      <c r="A1312" s="10" t="s">
        <v>670</v>
      </c>
      <c r="B1312" s="12" t="s">
        <v>671</v>
      </c>
      <c r="C1312" s="12" t="s">
        <v>1846</v>
      </c>
      <c r="D1312" s="7">
        <v>2.5</v>
      </c>
    </row>
    <row r="1313" spans="1:4">
      <c r="A1313" s="10" t="s">
        <v>150</v>
      </c>
      <c r="B1313" s="12" t="s">
        <v>151</v>
      </c>
      <c r="C1313" s="12" t="s">
        <v>1846</v>
      </c>
      <c r="D1313" s="7">
        <v>20</v>
      </c>
    </row>
    <row r="1314" spans="1:4">
      <c r="A1314" s="10" t="s">
        <v>659</v>
      </c>
      <c r="B1314" s="12" t="s">
        <v>660</v>
      </c>
      <c r="C1314" s="12" t="s">
        <v>1847</v>
      </c>
      <c r="D1314" s="7">
        <v>2</v>
      </c>
    </row>
    <row r="1315" spans="1:4">
      <c r="A1315" s="10" t="s">
        <v>353</v>
      </c>
      <c r="B1315" s="12" t="s">
        <v>14</v>
      </c>
      <c r="C1315" s="12" t="s">
        <v>1846</v>
      </c>
      <c r="D1315" s="7">
        <v>16</v>
      </c>
    </row>
    <row r="1316" spans="1:4">
      <c r="A1316" s="10" t="s">
        <v>1282</v>
      </c>
      <c r="B1316" s="12" t="s">
        <v>1283</v>
      </c>
      <c r="C1316" s="12" t="s">
        <v>1846</v>
      </c>
      <c r="D1316" s="7">
        <v>10</v>
      </c>
    </row>
    <row r="1317" spans="1:4">
      <c r="A1317" s="10" t="s">
        <v>1171</v>
      </c>
      <c r="B1317" s="12" t="s">
        <v>1172</v>
      </c>
      <c r="C1317" s="12" t="s">
        <v>1846</v>
      </c>
      <c r="D1317" s="7">
        <v>13</v>
      </c>
    </row>
    <row r="1318" spans="1:4">
      <c r="A1318" s="10" t="s">
        <v>1282</v>
      </c>
      <c r="B1318" s="12" t="s">
        <v>1283</v>
      </c>
      <c r="C1318" s="12" t="s">
        <v>1847</v>
      </c>
      <c r="D1318" s="7">
        <v>10</v>
      </c>
    </row>
    <row r="1319" spans="1:4">
      <c r="A1319" s="10" t="s">
        <v>435</v>
      </c>
      <c r="B1319" s="12" t="s">
        <v>436</v>
      </c>
      <c r="C1319" s="12" t="s">
        <v>1847</v>
      </c>
      <c r="D1319" s="7">
        <v>2.5</v>
      </c>
    </row>
    <row r="1320" spans="1:4">
      <c r="A1320" s="10" t="s">
        <v>992</v>
      </c>
      <c r="B1320" s="12" t="s">
        <v>993</v>
      </c>
      <c r="C1320" s="12" t="s">
        <v>1846</v>
      </c>
      <c r="D1320" s="7">
        <v>3</v>
      </c>
    </row>
    <row r="1321" spans="1:4">
      <c r="A1321" s="10" t="s">
        <v>992</v>
      </c>
      <c r="B1321" s="12" t="s">
        <v>993</v>
      </c>
      <c r="C1321" s="12" t="s">
        <v>1846</v>
      </c>
      <c r="D1321" s="7">
        <v>10.5</v>
      </c>
    </row>
    <row r="1322" spans="1:4">
      <c r="A1322" s="10" t="s">
        <v>1406</v>
      </c>
      <c r="B1322" s="12" t="s">
        <v>1407</v>
      </c>
      <c r="C1322" s="12" t="s">
        <v>1846</v>
      </c>
      <c r="D1322" s="7">
        <v>20</v>
      </c>
    </row>
    <row r="1323" spans="1:4">
      <c r="A1323" s="10" t="s">
        <v>353</v>
      </c>
      <c r="B1323" s="12" t="s">
        <v>14</v>
      </c>
      <c r="C1323" s="12" t="s">
        <v>1847</v>
      </c>
      <c r="D1323" s="7">
        <v>2</v>
      </c>
    </row>
    <row r="1324" spans="1:4">
      <c r="A1324" s="10" t="s">
        <v>351</v>
      </c>
      <c r="B1324" s="12" t="s">
        <v>352</v>
      </c>
      <c r="C1324" s="12" t="s">
        <v>1846</v>
      </c>
      <c r="D1324" s="7">
        <v>19</v>
      </c>
    </row>
    <row r="1325" spans="1:4">
      <c r="A1325" s="10" t="s">
        <v>1510</v>
      </c>
      <c r="B1325" s="12" t="s">
        <v>1511</v>
      </c>
      <c r="C1325" s="12" t="s">
        <v>1847</v>
      </c>
      <c r="D1325" s="7">
        <v>2.5</v>
      </c>
    </row>
    <row r="1326" spans="1:4">
      <c r="A1326" s="10" t="s">
        <v>1510</v>
      </c>
      <c r="B1326" s="12" t="s">
        <v>1511</v>
      </c>
      <c r="C1326" s="12" t="s">
        <v>1846</v>
      </c>
      <c r="D1326" s="7">
        <v>14</v>
      </c>
    </row>
    <row r="1327" spans="1:4">
      <c r="A1327" s="10" t="s">
        <v>1510</v>
      </c>
      <c r="B1327" s="12" t="s">
        <v>1511</v>
      </c>
      <c r="C1327" s="12" t="s">
        <v>1846</v>
      </c>
      <c r="D1327" s="7">
        <v>3.5</v>
      </c>
    </row>
    <row r="1328" spans="1:4">
      <c r="A1328" s="10" t="s">
        <v>825</v>
      </c>
      <c r="B1328" s="12" t="s">
        <v>826</v>
      </c>
      <c r="C1328" s="12" t="s">
        <v>1847</v>
      </c>
      <c r="D1328" s="7">
        <v>4</v>
      </c>
    </row>
    <row r="1329" spans="1:4">
      <c r="A1329" s="10" t="s">
        <v>734</v>
      </c>
      <c r="B1329" s="12" t="s">
        <v>735</v>
      </c>
      <c r="C1329" s="12" t="s">
        <v>1847</v>
      </c>
      <c r="D1329" s="7">
        <v>3</v>
      </c>
    </row>
    <row r="1330" spans="1:4">
      <c r="A1330" s="10" t="s">
        <v>734</v>
      </c>
      <c r="B1330" s="12" t="s">
        <v>735</v>
      </c>
      <c r="C1330" s="12" t="s">
        <v>1846</v>
      </c>
      <c r="D1330" s="7">
        <v>17</v>
      </c>
    </row>
    <row r="1331" spans="1:4">
      <c r="A1331" s="10" t="s">
        <v>1229</v>
      </c>
      <c r="B1331" s="12" t="s">
        <v>1230</v>
      </c>
      <c r="C1331" s="12" t="s">
        <v>1847</v>
      </c>
      <c r="D1331" s="7">
        <v>1</v>
      </c>
    </row>
    <row r="1332" spans="1:4">
      <c r="A1332" s="10" t="s">
        <v>229</v>
      </c>
      <c r="B1332" s="12" t="s">
        <v>230</v>
      </c>
      <c r="C1332" s="12" t="s">
        <v>1847</v>
      </c>
      <c r="D1332" s="7">
        <v>20</v>
      </c>
    </row>
    <row r="1333" spans="1:4">
      <c r="A1333" s="10" t="s">
        <v>1474</v>
      </c>
      <c r="B1333" s="12" t="s">
        <v>16</v>
      </c>
      <c r="C1333" s="12" t="s">
        <v>1846</v>
      </c>
      <c r="D1333" s="7">
        <v>7</v>
      </c>
    </row>
    <row r="1334" spans="1:4">
      <c r="A1334" s="10" t="s">
        <v>213</v>
      </c>
      <c r="B1334" s="12" t="s">
        <v>214</v>
      </c>
      <c r="C1334" s="12" t="s">
        <v>1846</v>
      </c>
      <c r="D1334" s="7">
        <v>18</v>
      </c>
    </row>
    <row r="1335" spans="1:4">
      <c r="A1335" s="10" t="s">
        <v>490</v>
      </c>
      <c r="B1335" s="12" t="s">
        <v>491</v>
      </c>
      <c r="C1335" s="12" t="s">
        <v>1846</v>
      </c>
      <c r="D1335" s="7">
        <v>15</v>
      </c>
    </row>
    <row r="1336" spans="1:4">
      <c r="A1336" s="10" t="s">
        <v>950</v>
      </c>
      <c r="B1336" s="12" t="s">
        <v>951</v>
      </c>
      <c r="C1336" s="12" t="s">
        <v>1846</v>
      </c>
      <c r="D1336" s="7">
        <v>20</v>
      </c>
    </row>
    <row r="1337" spans="1:4">
      <c r="A1337" s="10" t="s">
        <v>377</v>
      </c>
      <c r="B1337" s="12" t="s">
        <v>378</v>
      </c>
      <c r="C1337" s="12" t="s">
        <v>1846</v>
      </c>
      <c r="D1337" s="7">
        <v>19.5</v>
      </c>
    </row>
    <row r="1338" spans="1:4">
      <c r="A1338" s="10" t="s">
        <v>275</v>
      </c>
      <c r="B1338" s="12" t="s">
        <v>276</v>
      </c>
      <c r="C1338" s="12" t="s">
        <v>1846</v>
      </c>
      <c r="D1338" s="7">
        <v>9</v>
      </c>
    </row>
    <row r="1339" spans="1:4">
      <c r="A1339" s="10" t="s">
        <v>275</v>
      </c>
      <c r="B1339" s="12" t="s">
        <v>276</v>
      </c>
      <c r="C1339" s="12" t="s">
        <v>1847</v>
      </c>
      <c r="D1339" s="7">
        <v>1</v>
      </c>
    </row>
    <row r="1340" spans="1:4">
      <c r="A1340" s="10" t="s">
        <v>435</v>
      </c>
      <c r="B1340" s="12" t="s">
        <v>436</v>
      </c>
      <c r="C1340" s="12" t="s">
        <v>1847</v>
      </c>
      <c r="D1340" s="7">
        <v>4.5</v>
      </c>
    </row>
    <row r="1341" spans="1:4">
      <c r="A1341" s="10" t="s">
        <v>1642</v>
      </c>
      <c r="B1341" s="12" t="s">
        <v>1643</v>
      </c>
      <c r="C1341" s="12" t="s">
        <v>1847</v>
      </c>
      <c r="D1341" s="7">
        <v>18</v>
      </c>
    </row>
    <row r="1342" spans="1:4">
      <c r="A1342" s="10" t="s">
        <v>1642</v>
      </c>
      <c r="B1342" s="12" t="s">
        <v>1643</v>
      </c>
      <c r="C1342" s="12" t="s">
        <v>1847</v>
      </c>
      <c r="D1342" s="7">
        <v>1</v>
      </c>
    </row>
    <row r="1343" spans="1:4">
      <c r="A1343" s="10" t="s">
        <v>1606</v>
      </c>
      <c r="B1343" s="12" t="s">
        <v>1607</v>
      </c>
      <c r="C1343" s="12" t="s">
        <v>1847</v>
      </c>
      <c r="D1343" s="7">
        <v>20</v>
      </c>
    </row>
    <row r="1344" spans="1:4">
      <c r="A1344" s="10" t="s">
        <v>784</v>
      </c>
      <c r="B1344" s="12" t="s">
        <v>785</v>
      </c>
      <c r="C1344" s="12" t="s">
        <v>1846</v>
      </c>
      <c r="D1344" s="7">
        <v>17.5</v>
      </c>
    </row>
    <row r="1345" spans="1:4">
      <c r="A1345" s="10" t="s">
        <v>1476</v>
      </c>
      <c r="B1345" s="12" t="s">
        <v>1477</v>
      </c>
      <c r="C1345" s="12" t="s">
        <v>1846</v>
      </c>
      <c r="D1345" s="7">
        <v>2.5</v>
      </c>
    </row>
    <row r="1346" spans="1:4">
      <c r="A1346" s="10" t="s">
        <v>1476</v>
      </c>
      <c r="B1346" s="12" t="s">
        <v>1477</v>
      </c>
      <c r="C1346" s="12" t="s">
        <v>1846</v>
      </c>
      <c r="D1346" s="7">
        <v>2</v>
      </c>
    </row>
    <row r="1347" spans="1:4">
      <c r="A1347" s="10" t="s">
        <v>1476</v>
      </c>
      <c r="B1347" s="12" t="s">
        <v>1477</v>
      </c>
      <c r="C1347" s="12" t="s">
        <v>1846</v>
      </c>
      <c r="D1347" s="7">
        <v>7.5</v>
      </c>
    </row>
    <row r="1348" spans="1:4">
      <c r="A1348" s="10" t="s">
        <v>1476</v>
      </c>
      <c r="B1348" s="12" t="s">
        <v>1477</v>
      </c>
      <c r="C1348" s="12" t="s">
        <v>1847</v>
      </c>
      <c r="D1348" s="7">
        <v>1</v>
      </c>
    </row>
    <row r="1349" spans="1:4">
      <c r="A1349" s="10" t="s">
        <v>1476</v>
      </c>
      <c r="B1349" s="12" t="s">
        <v>1477</v>
      </c>
      <c r="C1349" s="12" t="s">
        <v>1847</v>
      </c>
      <c r="D1349" s="7">
        <v>2</v>
      </c>
    </row>
    <row r="1350" spans="1:4">
      <c r="A1350" s="10" t="s">
        <v>954</v>
      </c>
      <c r="B1350" s="12" t="s">
        <v>955</v>
      </c>
      <c r="C1350" s="12" t="s">
        <v>1846</v>
      </c>
      <c r="D1350" s="7">
        <v>20</v>
      </c>
    </row>
    <row r="1351" spans="1:4">
      <c r="A1351" s="10" t="s">
        <v>1797</v>
      </c>
      <c r="B1351" s="12" t="s">
        <v>1798</v>
      </c>
      <c r="C1351" s="12" t="s">
        <v>1847</v>
      </c>
      <c r="D1351" s="7">
        <v>6</v>
      </c>
    </row>
    <row r="1352" spans="1:4">
      <c r="A1352" s="10" t="s">
        <v>784</v>
      </c>
      <c r="B1352" s="12" t="s">
        <v>785</v>
      </c>
      <c r="C1352" s="12" t="s">
        <v>1847</v>
      </c>
      <c r="D1352" s="7">
        <v>1.5</v>
      </c>
    </row>
    <row r="1353" spans="1:4">
      <c r="A1353" s="10" t="s">
        <v>538</v>
      </c>
      <c r="B1353" s="12" t="s">
        <v>539</v>
      </c>
      <c r="C1353" s="12" t="s">
        <v>1846</v>
      </c>
      <c r="D1353" s="7">
        <v>9</v>
      </c>
    </row>
    <row r="1354" spans="1:4">
      <c r="A1354" s="10" t="s">
        <v>538</v>
      </c>
      <c r="B1354" s="12" t="s">
        <v>539</v>
      </c>
      <c r="C1354" s="12" t="s">
        <v>1847</v>
      </c>
      <c r="D1354" s="7">
        <v>2</v>
      </c>
    </row>
    <row r="1355" spans="1:4">
      <c r="A1355" s="10" t="s">
        <v>912</v>
      </c>
      <c r="B1355" s="12" t="s">
        <v>913</v>
      </c>
      <c r="C1355" s="12" t="s">
        <v>1846</v>
      </c>
      <c r="D1355" s="7">
        <v>20</v>
      </c>
    </row>
    <row r="1356" spans="1:4">
      <c r="A1356" s="10" t="s">
        <v>1476</v>
      </c>
      <c r="B1356" s="12" t="s">
        <v>1477</v>
      </c>
      <c r="C1356" s="12" t="s">
        <v>1845</v>
      </c>
      <c r="D1356" s="7">
        <v>1</v>
      </c>
    </row>
    <row r="1357" spans="1:4">
      <c r="A1357" s="10" t="s">
        <v>795</v>
      </c>
      <c r="B1357" s="12" t="s">
        <v>796</v>
      </c>
      <c r="C1357" s="12" t="s">
        <v>1846</v>
      </c>
      <c r="D1357" s="7">
        <v>3</v>
      </c>
    </row>
    <row r="1358" spans="1:4">
      <c r="A1358" s="10" t="s">
        <v>146</v>
      </c>
      <c r="B1358" s="12" t="s">
        <v>84</v>
      </c>
      <c r="C1358" s="12" t="s">
        <v>1845</v>
      </c>
      <c r="D1358" s="7">
        <v>1</v>
      </c>
    </row>
    <row r="1359" spans="1:4">
      <c r="A1359" s="10" t="s">
        <v>1241</v>
      </c>
      <c r="B1359" s="12" t="s">
        <v>1242</v>
      </c>
      <c r="C1359" s="12" t="s">
        <v>1847</v>
      </c>
      <c r="D1359" s="7">
        <v>4</v>
      </c>
    </row>
    <row r="1360" spans="1:4">
      <c r="A1360" s="10" t="s">
        <v>370</v>
      </c>
      <c r="B1360" s="12" t="s">
        <v>371</v>
      </c>
      <c r="C1360" s="12" t="s">
        <v>1846</v>
      </c>
      <c r="D1360" s="7">
        <v>19</v>
      </c>
    </row>
    <row r="1361" spans="1:4">
      <c r="A1361" s="10" t="s">
        <v>1398</v>
      </c>
      <c r="B1361" s="12" t="s">
        <v>1399</v>
      </c>
      <c r="C1361" s="12" t="s">
        <v>1846</v>
      </c>
      <c r="D1361" s="7">
        <v>19</v>
      </c>
    </row>
    <row r="1362" spans="1:4">
      <c r="A1362" s="10" t="s">
        <v>1768</v>
      </c>
      <c r="B1362" s="12" t="s">
        <v>1769</v>
      </c>
      <c r="C1362" s="12" t="s">
        <v>1847</v>
      </c>
      <c r="D1362" s="7">
        <v>19</v>
      </c>
    </row>
    <row r="1363" spans="1:4">
      <c r="A1363" s="10" t="s">
        <v>979</v>
      </c>
      <c r="B1363" s="12" t="s">
        <v>980</v>
      </c>
      <c r="C1363" s="12" t="s">
        <v>1846</v>
      </c>
      <c r="D1363" s="7">
        <v>8.5</v>
      </c>
    </row>
    <row r="1364" spans="1:4">
      <c r="A1364" s="10" t="s">
        <v>979</v>
      </c>
      <c r="B1364" s="12" t="s">
        <v>980</v>
      </c>
      <c r="C1364" s="12" t="s">
        <v>1847</v>
      </c>
      <c r="D1364" s="7">
        <v>1</v>
      </c>
    </row>
    <row r="1365" spans="1:4">
      <c r="A1365" s="10" t="s">
        <v>788</v>
      </c>
      <c r="B1365" s="12" t="s">
        <v>789</v>
      </c>
      <c r="C1365" s="12" t="s">
        <v>1847</v>
      </c>
      <c r="D1365" s="7">
        <v>1</v>
      </c>
    </row>
    <row r="1366" spans="1:4">
      <c r="A1366" s="10" t="s">
        <v>648</v>
      </c>
      <c r="B1366" s="12" t="s">
        <v>649</v>
      </c>
      <c r="C1366" s="12" t="s">
        <v>1846</v>
      </c>
      <c r="D1366" s="7">
        <v>4</v>
      </c>
    </row>
    <row r="1367" spans="1:4">
      <c r="A1367" s="10" t="s">
        <v>1660</v>
      </c>
      <c r="B1367" s="12" t="s">
        <v>1661</v>
      </c>
      <c r="C1367" s="12" t="s">
        <v>1847</v>
      </c>
      <c r="D1367" s="7">
        <v>19</v>
      </c>
    </row>
    <row r="1368" spans="1:4">
      <c r="A1368" s="10" t="s">
        <v>1068</v>
      </c>
      <c r="B1368" s="12" t="s">
        <v>1069</v>
      </c>
      <c r="C1368" s="12" t="s">
        <v>1846</v>
      </c>
      <c r="D1368" s="7">
        <v>20</v>
      </c>
    </row>
    <row r="1369" spans="1:4">
      <c r="A1369" s="10" t="s">
        <v>1740</v>
      </c>
      <c r="B1369" s="12" t="s">
        <v>1741</v>
      </c>
      <c r="C1369" s="12" t="s">
        <v>1847</v>
      </c>
      <c r="D1369" s="7">
        <v>20</v>
      </c>
    </row>
    <row r="1370" spans="1:4">
      <c r="A1370" s="10" t="s">
        <v>1508</v>
      </c>
      <c r="B1370" s="12" t="s">
        <v>1509</v>
      </c>
      <c r="C1370" s="12" t="s">
        <v>1847</v>
      </c>
      <c r="D1370" s="7">
        <v>3</v>
      </c>
    </row>
    <row r="1371" spans="1:4">
      <c r="A1371" s="10" t="s">
        <v>1508</v>
      </c>
      <c r="B1371" s="12" t="s">
        <v>1509</v>
      </c>
      <c r="C1371" s="12" t="s">
        <v>1846</v>
      </c>
      <c r="D1371" s="7">
        <v>8</v>
      </c>
    </row>
    <row r="1372" spans="1:4">
      <c r="A1372" s="10" t="s">
        <v>973</v>
      </c>
      <c r="B1372" s="12" t="s">
        <v>974</v>
      </c>
      <c r="C1372" s="12" t="s">
        <v>1846</v>
      </c>
      <c r="D1372" s="7">
        <v>13</v>
      </c>
    </row>
    <row r="1373" spans="1:4">
      <c r="A1373" s="10" t="s">
        <v>471</v>
      </c>
      <c r="B1373" s="12" t="s">
        <v>472</v>
      </c>
      <c r="C1373" s="12" t="s">
        <v>1847</v>
      </c>
      <c r="D1373" s="7">
        <v>3.5</v>
      </c>
    </row>
    <row r="1374" spans="1:4">
      <c r="A1374" s="10" t="s">
        <v>973</v>
      </c>
      <c r="B1374" s="12" t="s">
        <v>974</v>
      </c>
      <c r="C1374" s="12" t="s">
        <v>1847</v>
      </c>
      <c r="D1374" s="7">
        <v>1</v>
      </c>
    </row>
    <row r="1375" spans="1:4">
      <c r="A1375" s="10" t="s">
        <v>1455</v>
      </c>
      <c r="B1375" s="12" t="s">
        <v>1456</v>
      </c>
      <c r="C1375" s="12" t="s">
        <v>1847</v>
      </c>
      <c r="D1375" s="7">
        <v>0.5</v>
      </c>
    </row>
    <row r="1376" spans="1:4">
      <c r="A1376" s="10" t="s">
        <v>1450</v>
      </c>
      <c r="B1376" s="12" t="s">
        <v>1451</v>
      </c>
      <c r="C1376" s="12" t="s">
        <v>1846</v>
      </c>
      <c r="D1376" s="7">
        <v>13</v>
      </c>
    </row>
    <row r="1377" spans="1:4">
      <c r="A1377" s="10" t="s">
        <v>471</v>
      </c>
      <c r="B1377" s="12" t="s">
        <v>472</v>
      </c>
      <c r="C1377" s="12" t="s">
        <v>1846</v>
      </c>
      <c r="D1377" s="7">
        <v>7</v>
      </c>
    </row>
    <row r="1378" spans="1:4">
      <c r="A1378" s="10" t="s">
        <v>1542</v>
      </c>
      <c r="B1378" s="12" t="s">
        <v>1543</v>
      </c>
      <c r="C1378" s="12" t="s">
        <v>1846</v>
      </c>
      <c r="D1378" s="7">
        <v>20</v>
      </c>
    </row>
    <row r="1379" spans="1:4">
      <c r="A1379" s="10" t="s">
        <v>457</v>
      </c>
      <c r="B1379" s="12" t="s">
        <v>458</v>
      </c>
      <c r="C1379" s="12" t="s">
        <v>1846</v>
      </c>
      <c r="D1379" s="7">
        <v>19.5</v>
      </c>
    </row>
    <row r="1380" spans="1:4">
      <c r="A1380" s="10" t="s">
        <v>1212</v>
      </c>
      <c r="B1380" s="12" t="s">
        <v>1213</v>
      </c>
      <c r="C1380" s="12" t="s">
        <v>1847</v>
      </c>
      <c r="D1380" s="7">
        <v>20</v>
      </c>
    </row>
    <row r="1381" spans="1:4">
      <c r="A1381" s="10" t="s">
        <v>372</v>
      </c>
      <c r="B1381" s="12" t="s">
        <v>373</v>
      </c>
      <c r="C1381" s="12" t="s">
        <v>1847</v>
      </c>
      <c r="D1381" s="7">
        <v>7.5</v>
      </c>
    </row>
    <row r="1382" spans="1:4">
      <c r="A1382" s="10" t="s">
        <v>471</v>
      </c>
      <c r="B1382" s="12" t="s">
        <v>472</v>
      </c>
      <c r="C1382" s="12" t="s">
        <v>1847</v>
      </c>
      <c r="D1382" s="7">
        <v>8</v>
      </c>
    </row>
    <row r="1383" spans="1:4">
      <c r="A1383" s="10" t="s">
        <v>1608</v>
      </c>
      <c r="B1383" s="12" t="s">
        <v>1609</v>
      </c>
      <c r="C1383" s="12" t="s">
        <v>1845</v>
      </c>
      <c r="D1383" s="7">
        <v>1</v>
      </c>
    </row>
    <row r="1384" spans="1:4">
      <c r="A1384" s="10" t="s">
        <v>521</v>
      </c>
      <c r="B1384" s="12" t="s">
        <v>522</v>
      </c>
      <c r="C1384" s="12" t="s">
        <v>1846</v>
      </c>
      <c r="D1384" s="7">
        <v>19</v>
      </c>
    </row>
    <row r="1385" spans="1:4">
      <c r="A1385" s="10" t="s">
        <v>1335</v>
      </c>
      <c r="B1385" s="12" t="s">
        <v>1336</v>
      </c>
      <c r="C1385" s="12" t="s">
        <v>1848</v>
      </c>
      <c r="D1385" s="7">
        <v>11</v>
      </c>
    </row>
    <row r="1386" spans="1:4">
      <c r="A1386" s="10" t="s">
        <v>1335</v>
      </c>
      <c r="B1386" s="12" t="s">
        <v>1336</v>
      </c>
      <c r="C1386" s="12" t="s">
        <v>1847</v>
      </c>
      <c r="D1386" s="7">
        <v>9</v>
      </c>
    </row>
    <row r="1387" spans="1:4">
      <c r="A1387" s="10" t="s">
        <v>1748</v>
      </c>
      <c r="B1387" s="12" t="s">
        <v>1749</v>
      </c>
      <c r="C1387" s="12" t="s">
        <v>1847</v>
      </c>
      <c r="D1387" s="7">
        <v>1</v>
      </c>
    </row>
    <row r="1388" spans="1:4">
      <c r="A1388" s="10" t="s">
        <v>1748</v>
      </c>
      <c r="B1388" s="12" t="s">
        <v>1749</v>
      </c>
      <c r="C1388" s="12" t="s">
        <v>1847</v>
      </c>
      <c r="D1388" s="7">
        <v>14</v>
      </c>
    </row>
    <row r="1389" spans="1:4">
      <c r="A1389" s="10" t="s">
        <v>1648</v>
      </c>
      <c r="B1389" s="12" t="s">
        <v>1649</v>
      </c>
      <c r="C1389" s="12" t="s">
        <v>1847</v>
      </c>
      <c r="D1389" s="7">
        <v>20</v>
      </c>
    </row>
    <row r="1390" spans="1:4">
      <c r="A1390" s="10" t="s">
        <v>608</v>
      </c>
      <c r="B1390" s="12" t="s">
        <v>609</v>
      </c>
      <c r="C1390" s="12" t="s">
        <v>1847</v>
      </c>
      <c r="D1390" s="7">
        <v>0.5</v>
      </c>
    </row>
    <row r="1391" spans="1:4">
      <c r="A1391" s="10" t="s">
        <v>435</v>
      </c>
      <c r="B1391" s="12" t="s">
        <v>436</v>
      </c>
      <c r="C1391" s="12" t="s">
        <v>1847</v>
      </c>
      <c r="D1391" s="7">
        <v>2</v>
      </c>
    </row>
    <row r="1392" spans="1:4">
      <c r="A1392" s="10" t="s">
        <v>880</v>
      </c>
      <c r="B1392" s="12" t="s">
        <v>881</v>
      </c>
      <c r="C1392" s="12" t="s">
        <v>1843</v>
      </c>
      <c r="D1392" s="7">
        <v>8</v>
      </c>
    </row>
    <row r="1393" spans="1:4">
      <c r="A1393" s="10" t="s">
        <v>880</v>
      </c>
      <c r="B1393" s="12" t="s">
        <v>881</v>
      </c>
      <c r="C1393" s="12" t="s">
        <v>1847</v>
      </c>
      <c r="D1393" s="7">
        <v>8</v>
      </c>
    </row>
    <row r="1394" spans="1:4">
      <c r="A1394" s="10" t="s">
        <v>662</v>
      </c>
      <c r="B1394" s="12" t="s">
        <v>663</v>
      </c>
      <c r="C1394" s="12" t="s">
        <v>1846</v>
      </c>
      <c r="D1394" s="7">
        <v>13.5</v>
      </c>
    </row>
    <row r="1395" spans="1:4">
      <c r="A1395" s="10" t="s">
        <v>880</v>
      </c>
      <c r="B1395" s="12" t="s">
        <v>881</v>
      </c>
      <c r="C1395" s="12" t="s">
        <v>1847</v>
      </c>
      <c r="D1395" s="7">
        <v>4</v>
      </c>
    </row>
    <row r="1396" spans="1:4">
      <c r="A1396" s="10" t="s">
        <v>1018</v>
      </c>
      <c r="B1396" s="12" t="s">
        <v>1019</v>
      </c>
      <c r="C1396" s="12" t="s">
        <v>1843</v>
      </c>
      <c r="D1396" s="7">
        <v>8</v>
      </c>
    </row>
    <row r="1397" spans="1:4">
      <c r="A1397" s="10" t="s">
        <v>574</v>
      </c>
      <c r="B1397" s="12" t="s">
        <v>575</v>
      </c>
      <c r="C1397" s="12" t="s">
        <v>1846</v>
      </c>
      <c r="D1397" s="7">
        <v>20</v>
      </c>
    </row>
    <row r="1398" spans="1:4">
      <c r="A1398" s="10" t="s">
        <v>1018</v>
      </c>
      <c r="B1398" s="12" t="s">
        <v>1019</v>
      </c>
      <c r="C1398" s="12" t="s">
        <v>1846</v>
      </c>
      <c r="D1398" s="7">
        <v>7</v>
      </c>
    </row>
    <row r="1399" spans="1:4">
      <c r="A1399" s="10" t="s">
        <v>1018</v>
      </c>
      <c r="B1399" s="12" t="s">
        <v>1019</v>
      </c>
      <c r="C1399" s="12" t="s">
        <v>1847</v>
      </c>
      <c r="D1399" s="7">
        <v>1.5</v>
      </c>
    </row>
    <row r="1400" spans="1:4">
      <c r="A1400" s="10" t="s">
        <v>1021</v>
      </c>
      <c r="B1400" s="12" t="s">
        <v>1022</v>
      </c>
      <c r="C1400" s="12" t="s">
        <v>1847</v>
      </c>
      <c r="D1400" s="7">
        <v>4</v>
      </c>
    </row>
    <row r="1401" spans="1:4">
      <c r="A1401" s="10" t="s">
        <v>630</v>
      </c>
      <c r="B1401" s="12" t="s">
        <v>631</v>
      </c>
      <c r="C1401" s="12" t="s">
        <v>1846</v>
      </c>
      <c r="D1401" s="7">
        <v>6</v>
      </c>
    </row>
    <row r="1402" spans="1:4">
      <c r="A1402" s="10" t="s">
        <v>297</v>
      </c>
      <c r="B1402" s="12" t="s">
        <v>298</v>
      </c>
      <c r="C1402" s="12" t="s">
        <v>1846</v>
      </c>
      <c r="D1402" s="7">
        <v>17</v>
      </c>
    </row>
    <row r="1403" spans="1:4">
      <c r="A1403" s="10" t="s">
        <v>329</v>
      </c>
      <c r="B1403" s="12" t="s">
        <v>330</v>
      </c>
      <c r="C1403" s="12" t="s">
        <v>1846</v>
      </c>
      <c r="D1403" s="7">
        <v>11</v>
      </c>
    </row>
    <row r="1404" spans="1:4">
      <c r="A1404" s="10" t="s">
        <v>329</v>
      </c>
      <c r="B1404" s="12" t="s">
        <v>330</v>
      </c>
      <c r="C1404" s="12" t="s">
        <v>1847</v>
      </c>
      <c r="D1404" s="7">
        <v>7</v>
      </c>
    </row>
    <row r="1405" spans="1:4">
      <c r="A1405" s="10" t="s">
        <v>871</v>
      </c>
      <c r="B1405" s="12" t="s">
        <v>57</v>
      </c>
      <c r="C1405" s="12" t="s">
        <v>1847</v>
      </c>
      <c r="D1405" s="7">
        <v>0.5</v>
      </c>
    </row>
    <row r="1406" spans="1:4">
      <c r="A1406" s="10" t="s">
        <v>1018</v>
      </c>
      <c r="B1406" s="12" t="s">
        <v>1019</v>
      </c>
      <c r="C1406" s="12" t="s">
        <v>1847</v>
      </c>
      <c r="D1406" s="7">
        <v>2.5</v>
      </c>
    </row>
    <row r="1407" spans="1:4">
      <c r="A1407" s="10" t="s">
        <v>1123</v>
      </c>
      <c r="B1407" s="12" t="s">
        <v>1124</v>
      </c>
      <c r="C1407" s="12" t="s">
        <v>1846</v>
      </c>
      <c r="D1407" s="7">
        <v>20</v>
      </c>
    </row>
    <row r="1408" spans="1:4">
      <c r="A1408" s="10" t="s">
        <v>1546</v>
      </c>
      <c r="B1408" s="12" t="s">
        <v>1547</v>
      </c>
      <c r="C1408" s="12" t="s">
        <v>1847</v>
      </c>
      <c r="D1408" s="7">
        <v>15</v>
      </c>
    </row>
    <row r="1409" spans="1:4">
      <c r="A1409" s="10" t="s">
        <v>1431</v>
      </c>
      <c r="B1409" s="12" t="s">
        <v>1432</v>
      </c>
      <c r="C1409" s="12" t="s">
        <v>1847</v>
      </c>
      <c r="D1409" s="7">
        <v>20</v>
      </c>
    </row>
    <row r="1410" spans="1:4">
      <c r="A1410" s="10" t="s">
        <v>1131</v>
      </c>
      <c r="B1410" s="12" t="s">
        <v>1132</v>
      </c>
      <c r="C1410" s="12" t="s">
        <v>1846</v>
      </c>
      <c r="D1410" s="7">
        <v>11</v>
      </c>
    </row>
    <row r="1411" spans="1:4">
      <c r="A1411" s="10" t="s">
        <v>1474</v>
      </c>
      <c r="B1411" s="12" t="s">
        <v>16</v>
      </c>
      <c r="C1411" s="12" t="s">
        <v>1847</v>
      </c>
      <c r="D1411" s="7">
        <v>2.5</v>
      </c>
    </row>
    <row r="1412" spans="1:4">
      <c r="A1412" s="10" t="s">
        <v>1474</v>
      </c>
      <c r="B1412" s="12" t="s">
        <v>16</v>
      </c>
      <c r="C1412" s="12" t="s">
        <v>1847</v>
      </c>
      <c r="D1412" s="7">
        <v>2.5</v>
      </c>
    </row>
    <row r="1413" spans="1:4">
      <c r="A1413" s="10" t="s">
        <v>1474</v>
      </c>
      <c r="B1413" s="12" t="s">
        <v>16</v>
      </c>
      <c r="C1413" s="12" t="s">
        <v>1846</v>
      </c>
      <c r="D1413" s="7">
        <v>2</v>
      </c>
    </row>
    <row r="1414" spans="1:4">
      <c r="A1414" s="10" t="s">
        <v>1474</v>
      </c>
      <c r="B1414" s="12" t="s">
        <v>16</v>
      </c>
      <c r="C1414" s="12" t="s">
        <v>1846</v>
      </c>
      <c r="D1414" s="7">
        <v>1.5</v>
      </c>
    </row>
    <row r="1415" spans="1:4">
      <c r="A1415" s="10" t="s">
        <v>1474</v>
      </c>
      <c r="B1415" s="12" t="s">
        <v>16</v>
      </c>
      <c r="C1415" s="12" t="s">
        <v>1846</v>
      </c>
      <c r="D1415" s="7">
        <v>4.5</v>
      </c>
    </row>
    <row r="1416" spans="1:4">
      <c r="A1416" s="10" t="s">
        <v>1343</v>
      </c>
      <c r="B1416" s="12" t="s">
        <v>1344</v>
      </c>
      <c r="C1416" s="12" t="s">
        <v>1846</v>
      </c>
      <c r="D1416" s="7">
        <v>20</v>
      </c>
    </row>
    <row r="1417" spans="1:4">
      <c r="A1417" s="10" t="s">
        <v>568</v>
      </c>
      <c r="B1417" s="12" t="s">
        <v>569</v>
      </c>
      <c r="C1417" s="12" t="s">
        <v>1846</v>
      </c>
      <c r="D1417" s="7">
        <v>20</v>
      </c>
    </row>
    <row r="1418" spans="1:4">
      <c r="A1418" s="10" t="s">
        <v>1012</v>
      </c>
      <c r="B1418" s="12" t="s">
        <v>1013</v>
      </c>
      <c r="C1418" s="12" t="s">
        <v>1846</v>
      </c>
      <c r="D1418" s="7">
        <v>20</v>
      </c>
    </row>
    <row r="1419" spans="1:4">
      <c r="A1419" s="10" t="s">
        <v>1638</v>
      </c>
      <c r="B1419" s="12" t="s">
        <v>1639</v>
      </c>
      <c r="C1419" s="12" t="s">
        <v>1847</v>
      </c>
      <c r="D1419" s="7">
        <v>14</v>
      </c>
    </row>
    <row r="1420" spans="1:4">
      <c r="A1420" s="10" t="s">
        <v>1129</v>
      </c>
      <c r="B1420" s="12" t="s">
        <v>1130</v>
      </c>
      <c r="C1420" s="12" t="s">
        <v>1847</v>
      </c>
      <c r="D1420" s="7">
        <v>2</v>
      </c>
    </row>
    <row r="1421" spans="1:4">
      <c r="A1421" s="10" t="s">
        <v>465</v>
      </c>
      <c r="B1421" s="12" t="s">
        <v>466</v>
      </c>
      <c r="C1421" s="12" t="s">
        <v>1846</v>
      </c>
      <c r="D1421" s="7">
        <v>8</v>
      </c>
    </row>
    <row r="1422" spans="1:4">
      <c r="A1422" s="10" t="s">
        <v>465</v>
      </c>
      <c r="B1422" s="12" t="s">
        <v>466</v>
      </c>
      <c r="C1422" s="12" t="s">
        <v>1846</v>
      </c>
      <c r="D1422" s="7">
        <v>8</v>
      </c>
    </row>
    <row r="1423" spans="1:4">
      <c r="A1423" s="10" t="s">
        <v>1720</v>
      </c>
      <c r="B1423" s="12" t="s">
        <v>1721</v>
      </c>
      <c r="C1423" s="12" t="s">
        <v>1847</v>
      </c>
      <c r="D1423" s="7">
        <v>20</v>
      </c>
    </row>
    <row r="1424" spans="1:4">
      <c r="A1424" s="10" t="s">
        <v>465</v>
      </c>
      <c r="B1424" s="12" t="s">
        <v>466</v>
      </c>
      <c r="C1424" s="12" t="s">
        <v>1847</v>
      </c>
      <c r="D1424" s="7">
        <v>2</v>
      </c>
    </row>
    <row r="1425" spans="1:4">
      <c r="A1425" s="10" t="s">
        <v>817</v>
      </c>
      <c r="B1425" s="12" t="s">
        <v>818</v>
      </c>
      <c r="C1425" s="12" t="s">
        <v>1846</v>
      </c>
      <c r="D1425" s="7">
        <v>15</v>
      </c>
    </row>
    <row r="1426" spans="1:4">
      <c r="A1426" s="10" t="s">
        <v>273</v>
      </c>
      <c r="B1426" s="12" t="s">
        <v>274</v>
      </c>
      <c r="C1426" s="12" t="s">
        <v>1843</v>
      </c>
      <c r="D1426" s="7">
        <v>2</v>
      </c>
    </row>
    <row r="1427" spans="1:4">
      <c r="A1427" s="10" t="s">
        <v>1540</v>
      </c>
      <c r="B1427" s="12" t="s">
        <v>1541</v>
      </c>
      <c r="C1427" s="12" t="s">
        <v>1846</v>
      </c>
      <c r="D1427" s="7">
        <v>1</v>
      </c>
    </row>
    <row r="1428" spans="1:4">
      <c r="A1428" s="10" t="s">
        <v>1540</v>
      </c>
      <c r="B1428" s="12" t="s">
        <v>1541</v>
      </c>
      <c r="C1428" s="12" t="s">
        <v>1846</v>
      </c>
      <c r="D1428" s="7">
        <v>18</v>
      </c>
    </row>
    <row r="1429" spans="1:4">
      <c r="A1429" s="10" t="s">
        <v>474</v>
      </c>
      <c r="B1429" s="12" t="s">
        <v>475</v>
      </c>
      <c r="C1429" s="12" t="s">
        <v>1847</v>
      </c>
      <c r="D1429" s="7">
        <v>0.5</v>
      </c>
    </row>
    <row r="1430" spans="1:4">
      <c r="A1430" s="10" t="s">
        <v>300</v>
      </c>
      <c r="B1430" s="12" t="s">
        <v>301</v>
      </c>
      <c r="C1430" s="12" t="s">
        <v>1846</v>
      </c>
      <c r="D1430" s="7">
        <v>13</v>
      </c>
    </row>
    <row r="1431" spans="1:4">
      <c r="A1431" s="10" t="s">
        <v>1714</v>
      </c>
      <c r="B1431" s="12" t="s">
        <v>1715</v>
      </c>
      <c r="C1431" s="12" t="s">
        <v>1847</v>
      </c>
      <c r="D1431" s="7">
        <v>20</v>
      </c>
    </row>
    <row r="1432" spans="1:4">
      <c r="A1432" s="10" t="s">
        <v>1365</v>
      </c>
      <c r="B1432" s="12" t="s">
        <v>1366</v>
      </c>
      <c r="C1432" s="12" t="s">
        <v>1846</v>
      </c>
      <c r="D1432" s="7">
        <v>20</v>
      </c>
    </row>
    <row r="1433" spans="1:4">
      <c r="A1433" s="10" t="s">
        <v>190</v>
      </c>
      <c r="B1433" s="12" t="s">
        <v>191</v>
      </c>
      <c r="C1433" s="12" t="s">
        <v>1846</v>
      </c>
      <c r="D1433" s="7">
        <v>17</v>
      </c>
    </row>
    <row r="1434" spans="1:4">
      <c r="A1434" s="10" t="s">
        <v>188</v>
      </c>
      <c r="B1434" s="12" t="s">
        <v>189</v>
      </c>
      <c r="C1434" s="12" t="s">
        <v>1846</v>
      </c>
      <c r="D1434" s="7">
        <v>8</v>
      </c>
    </row>
    <row r="1435" spans="1:4">
      <c r="A1435" s="10" t="s">
        <v>853</v>
      </c>
      <c r="B1435" s="12" t="s">
        <v>854</v>
      </c>
      <c r="C1435" s="12" t="s">
        <v>1845</v>
      </c>
      <c r="D1435" s="7">
        <v>1</v>
      </c>
    </row>
    <row r="1436" spans="1:4">
      <c r="A1436" s="10" t="s">
        <v>1086</v>
      </c>
      <c r="B1436" s="12" t="s">
        <v>1087</v>
      </c>
      <c r="C1436" s="12" t="s">
        <v>1846</v>
      </c>
      <c r="D1436" s="7">
        <v>20</v>
      </c>
    </row>
    <row r="1437" spans="1:4">
      <c r="A1437" s="10" t="s">
        <v>960</v>
      </c>
      <c r="B1437" s="12" t="s">
        <v>961</v>
      </c>
      <c r="C1437" s="12" t="s">
        <v>1847</v>
      </c>
      <c r="D1437" s="7">
        <v>20</v>
      </c>
    </row>
    <row r="1438" spans="1:4">
      <c r="A1438" s="10" t="s">
        <v>622</v>
      </c>
      <c r="B1438" s="12" t="s">
        <v>623</v>
      </c>
      <c r="C1438" s="12" t="s">
        <v>1846</v>
      </c>
      <c r="D1438" s="7">
        <v>20</v>
      </c>
    </row>
    <row r="1439" spans="1:4">
      <c r="A1439" s="10" t="s">
        <v>1008</v>
      </c>
      <c r="B1439" s="12" t="s">
        <v>1009</v>
      </c>
      <c r="C1439" s="12" t="s">
        <v>1846</v>
      </c>
      <c r="D1439" s="7">
        <v>17</v>
      </c>
    </row>
    <row r="1440" spans="1:4">
      <c r="A1440" s="10" t="s">
        <v>304</v>
      </c>
      <c r="B1440" s="12" t="s">
        <v>305</v>
      </c>
      <c r="C1440" s="12" t="s">
        <v>1847</v>
      </c>
      <c r="D1440" s="7">
        <v>20</v>
      </c>
    </row>
    <row r="1441" spans="1:4">
      <c r="A1441" s="10" t="s">
        <v>1776</v>
      </c>
      <c r="B1441" s="12" t="s">
        <v>1777</v>
      </c>
      <c r="C1441" s="12" t="s">
        <v>1847</v>
      </c>
      <c r="D1441" s="7">
        <v>1</v>
      </c>
    </row>
    <row r="1442" spans="1:4">
      <c r="A1442" s="10" t="s">
        <v>259</v>
      </c>
      <c r="B1442" s="12" t="s">
        <v>260</v>
      </c>
      <c r="C1442" s="12" t="s">
        <v>1847</v>
      </c>
      <c r="D1442" s="7">
        <v>14</v>
      </c>
    </row>
    <row r="1443" spans="1:4">
      <c r="A1443" s="10" t="s">
        <v>275</v>
      </c>
      <c r="B1443" s="12" t="s">
        <v>276</v>
      </c>
      <c r="C1443" s="12" t="s">
        <v>1847</v>
      </c>
      <c r="D1443" s="7">
        <v>7</v>
      </c>
    </row>
    <row r="1444" spans="1:4">
      <c r="A1444" s="10" t="s">
        <v>665</v>
      </c>
      <c r="B1444" s="12" t="s">
        <v>48</v>
      </c>
      <c r="C1444" s="12" t="s">
        <v>1847</v>
      </c>
      <c r="D1444" s="7">
        <v>1</v>
      </c>
    </row>
    <row r="1445" spans="1:4">
      <c r="A1445" s="10" t="s">
        <v>1119</v>
      </c>
      <c r="B1445" s="12" t="s">
        <v>1120</v>
      </c>
      <c r="C1445" s="12" t="s">
        <v>1846</v>
      </c>
      <c r="D1445" s="7">
        <v>16.5</v>
      </c>
    </row>
    <row r="1446" spans="1:4">
      <c r="A1446" s="10" t="s">
        <v>1496</v>
      </c>
      <c r="B1446" s="12" t="s">
        <v>11</v>
      </c>
      <c r="C1446" s="12" t="s">
        <v>1847</v>
      </c>
      <c r="D1446" s="7">
        <v>1</v>
      </c>
    </row>
    <row r="1447" spans="1:4">
      <c r="A1447" s="10" t="s">
        <v>1135</v>
      </c>
      <c r="B1447" s="12" t="s">
        <v>70</v>
      </c>
      <c r="C1447" s="12" t="s">
        <v>1846</v>
      </c>
      <c r="D1447" s="7">
        <v>16.5</v>
      </c>
    </row>
    <row r="1448" spans="1:4">
      <c r="A1448" s="10" t="s">
        <v>1135</v>
      </c>
      <c r="B1448" s="12" t="s">
        <v>70</v>
      </c>
      <c r="C1448" s="12" t="s">
        <v>1847</v>
      </c>
      <c r="D1448" s="7">
        <v>2.5</v>
      </c>
    </row>
    <row r="1449" spans="1:4">
      <c r="A1449" s="10" t="s">
        <v>211</v>
      </c>
      <c r="B1449" s="12" t="s">
        <v>212</v>
      </c>
      <c r="C1449" s="12" t="s">
        <v>1847</v>
      </c>
      <c r="D1449" s="7">
        <v>11</v>
      </c>
    </row>
    <row r="1450" spans="1:4">
      <c r="A1450" s="10" t="s">
        <v>221</v>
      </c>
      <c r="B1450" s="12" t="s">
        <v>222</v>
      </c>
      <c r="C1450" s="12" t="s">
        <v>1848</v>
      </c>
      <c r="D1450" s="7">
        <v>20</v>
      </c>
    </row>
    <row r="1451" spans="1:4">
      <c r="A1451" s="10" t="s">
        <v>215</v>
      </c>
      <c r="B1451" s="12" t="s">
        <v>216</v>
      </c>
      <c r="C1451" s="12" t="s">
        <v>1845</v>
      </c>
      <c r="D1451" s="7">
        <v>1.5</v>
      </c>
    </row>
    <row r="1452" spans="1:4">
      <c r="A1452" s="10" t="s">
        <v>582</v>
      </c>
      <c r="B1452" s="12" t="s">
        <v>59</v>
      </c>
      <c r="C1452" s="12" t="s">
        <v>1845</v>
      </c>
      <c r="D1452" s="7">
        <v>0.5</v>
      </c>
    </row>
    <row r="1453" spans="1:4">
      <c r="A1453" s="10" t="s">
        <v>722</v>
      </c>
      <c r="B1453" s="12" t="s">
        <v>723</v>
      </c>
      <c r="C1453" s="12" t="s">
        <v>1846</v>
      </c>
      <c r="D1453" s="7">
        <v>20</v>
      </c>
    </row>
    <row r="1454" spans="1:4">
      <c r="A1454" s="10" t="s">
        <v>1260</v>
      </c>
      <c r="B1454" s="12" t="s">
        <v>92</v>
      </c>
      <c r="C1454" s="12" t="s">
        <v>1846</v>
      </c>
      <c r="D1454" s="7">
        <v>3.5</v>
      </c>
    </row>
    <row r="1455" spans="1:4">
      <c r="A1455" s="10" t="s">
        <v>1260</v>
      </c>
      <c r="B1455" s="12" t="s">
        <v>92</v>
      </c>
      <c r="C1455" s="12" t="s">
        <v>1848</v>
      </c>
      <c r="D1455" s="7">
        <v>6</v>
      </c>
    </row>
    <row r="1456" spans="1:4">
      <c r="A1456" s="10" t="s">
        <v>1260</v>
      </c>
      <c r="B1456" s="12" t="s">
        <v>92</v>
      </c>
      <c r="C1456" s="12" t="s">
        <v>1847</v>
      </c>
      <c r="D1456" s="7">
        <v>5</v>
      </c>
    </row>
    <row r="1457" spans="1:4">
      <c r="A1457" s="10" t="s">
        <v>1260</v>
      </c>
      <c r="B1457" s="12" t="s">
        <v>92</v>
      </c>
      <c r="C1457" s="12" t="s">
        <v>1847</v>
      </c>
      <c r="D1457" s="7">
        <v>5.5</v>
      </c>
    </row>
    <row r="1458" spans="1:4">
      <c r="A1458" s="10" t="s">
        <v>1484</v>
      </c>
      <c r="B1458" s="12" t="s">
        <v>1485</v>
      </c>
      <c r="C1458" s="12" t="s">
        <v>1846</v>
      </c>
      <c r="D1458" s="7">
        <v>8</v>
      </c>
    </row>
    <row r="1459" spans="1:4">
      <c r="A1459" s="10" t="s">
        <v>1484</v>
      </c>
      <c r="B1459" s="12" t="s">
        <v>1485</v>
      </c>
      <c r="C1459" s="12" t="s">
        <v>1846</v>
      </c>
      <c r="D1459" s="7">
        <v>3</v>
      </c>
    </row>
    <row r="1460" spans="1:4">
      <c r="A1460" s="10" t="s">
        <v>1484</v>
      </c>
      <c r="B1460" s="12" t="s">
        <v>1485</v>
      </c>
      <c r="C1460" s="12" t="s">
        <v>1846</v>
      </c>
      <c r="D1460" s="7">
        <v>6</v>
      </c>
    </row>
    <row r="1461" spans="1:4">
      <c r="A1461" s="10" t="s">
        <v>1484</v>
      </c>
      <c r="B1461" s="12" t="s">
        <v>1485</v>
      </c>
      <c r="C1461" s="12" t="s">
        <v>1846</v>
      </c>
      <c r="D1461" s="7">
        <v>3</v>
      </c>
    </row>
    <row r="1462" spans="1:4">
      <c r="A1462" s="10" t="s">
        <v>634</v>
      </c>
      <c r="B1462" s="12" t="s">
        <v>635</v>
      </c>
      <c r="C1462" s="12" t="s">
        <v>1846</v>
      </c>
      <c r="D1462" s="7">
        <v>11.5</v>
      </c>
    </row>
    <row r="1463" spans="1:4">
      <c r="A1463" s="10" t="s">
        <v>634</v>
      </c>
      <c r="B1463" s="12" t="s">
        <v>635</v>
      </c>
      <c r="C1463" s="12" t="s">
        <v>1846</v>
      </c>
      <c r="D1463" s="7">
        <v>8.5</v>
      </c>
    </row>
    <row r="1464" spans="1:4">
      <c r="A1464" s="10" t="s">
        <v>344</v>
      </c>
      <c r="B1464" s="12" t="s">
        <v>345</v>
      </c>
      <c r="C1464" s="12" t="s">
        <v>1846</v>
      </c>
      <c r="D1464" s="7">
        <v>15</v>
      </c>
    </row>
    <row r="1465" spans="1:4">
      <c r="A1465" s="10" t="s">
        <v>344</v>
      </c>
      <c r="B1465" s="12" t="s">
        <v>345</v>
      </c>
      <c r="C1465" s="12" t="s">
        <v>1847</v>
      </c>
      <c r="D1465" s="7">
        <v>5</v>
      </c>
    </row>
    <row r="1466" spans="1:4">
      <c r="A1466" s="10" t="s">
        <v>797</v>
      </c>
      <c r="B1466" s="12" t="s">
        <v>798</v>
      </c>
      <c r="C1466" s="12" t="s">
        <v>1846</v>
      </c>
      <c r="D1466" s="7">
        <v>8</v>
      </c>
    </row>
    <row r="1467" spans="1:4">
      <c r="A1467" s="10" t="s">
        <v>797</v>
      </c>
      <c r="B1467" s="12" t="s">
        <v>798</v>
      </c>
      <c r="C1467" s="12" t="s">
        <v>1846</v>
      </c>
      <c r="D1467" s="7">
        <v>5.5</v>
      </c>
    </row>
    <row r="1468" spans="1:4">
      <c r="A1468" s="10" t="s">
        <v>1047</v>
      </c>
      <c r="B1468" s="12" t="s">
        <v>1048</v>
      </c>
      <c r="C1468" s="12" t="s">
        <v>1846</v>
      </c>
      <c r="D1468" s="7">
        <v>20</v>
      </c>
    </row>
    <row r="1469" spans="1:4">
      <c r="A1469" s="10" t="s">
        <v>898</v>
      </c>
      <c r="B1469" s="12" t="s">
        <v>899</v>
      </c>
      <c r="C1469" s="12" t="s">
        <v>1846</v>
      </c>
      <c r="D1469" s="7">
        <v>9</v>
      </c>
    </row>
    <row r="1470" spans="1:4">
      <c r="A1470" s="10" t="s">
        <v>898</v>
      </c>
      <c r="B1470" s="12" t="s">
        <v>899</v>
      </c>
      <c r="C1470" s="12" t="s">
        <v>1847</v>
      </c>
      <c r="D1470" s="7">
        <v>9</v>
      </c>
    </row>
    <row r="1471" spans="1:4">
      <c r="A1471" s="10" t="s">
        <v>797</v>
      </c>
      <c r="B1471" s="12" t="s">
        <v>798</v>
      </c>
      <c r="C1471" s="12" t="s">
        <v>1847</v>
      </c>
      <c r="D1471" s="7">
        <v>1</v>
      </c>
    </row>
    <row r="1472" spans="1:4">
      <c r="A1472" s="10" t="s">
        <v>215</v>
      </c>
      <c r="B1472" s="12" t="s">
        <v>216</v>
      </c>
      <c r="C1472" s="12" t="s">
        <v>1846</v>
      </c>
      <c r="D1472" s="7">
        <v>16</v>
      </c>
    </row>
    <row r="1473" spans="1:4">
      <c r="A1473" s="10" t="s">
        <v>1325</v>
      </c>
      <c r="B1473" s="12" t="s">
        <v>1326</v>
      </c>
      <c r="C1473" s="12" t="s">
        <v>1846</v>
      </c>
      <c r="D1473" s="7">
        <v>11</v>
      </c>
    </row>
    <row r="1474" spans="1:4">
      <c r="A1474" s="10" t="s">
        <v>334</v>
      </c>
      <c r="B1474" s="12" t="s">
        <v>335</v>
      </c>
      <c r="C1474" s="12" t="s">
        <v>1846</v>
      </c>
      <c r="D1474" s="7">
        <v>18</v>
      </c>
    </row>
    <row r="1475" spans="1:4">
      <c r="A1475" s="10" t="s">
        <v>417</v>
      </c>
      <c r="B1475" s="12" t="s">
        <v>418</v>
      </c>
      <c r="C1475" s="12" t="s">
        <v>1847</v>
      </c>
      <c r="D1475" s="7">
        <v>20</v>
      </c>
    </row>
    <row r="1476" spans="1:4">
      <c r="A1476" s="10" t="s">
        <v>1534</v>
      </c>
      <c r="B1476" s="12" t="s">
        <v>1535</v>
      </c>
      <c r="C1476" s="12" t="s">
        <v>1847</v>
      </c>
      <c r="D1476" s="7">
        <v>15.5</v>
      </c>
    </row>
    <row r="1477" spans="1:4">
      <c r="A1477" s="10" t="s">
        <v>1470</v>
      </c>
      <c r="B1477" s="12" t="s">
        <v>1471</v>
      </c>
      <c r="C1477" s="12" t="s">
        <v>1846</v>
      </c>
      <c r="D1477" s="7">
        <v>19.5</v>
      </c>
    </row>
    <row r="1478" spans="1:4">
      <c r="A1478" s="10" t="s">
        <v>277</v>
      </c>
      <c r="B1478" s="12" t="s">
        <v>278</v>
      </c>
      <c r="C1478" s="12" t="s">
        <v>1846</v>
      </c>
      <c r="D1478" s="7">
        <v>5</v>
      </c>
    </row>
    <row r="1479" spans="1:4">
      <c r="A1479" s="10" t="s">
        <v>277</v>
      </c>
      <c r="B1479" s="12" t="s">
        <v>278</v>
      </c>
      <c r="C1479" s="12" t="s">
        <v>1846</v>
      </c>
      <c r="D1479" s="7">
        <v>3</v>
      </c>
    </row>
    <row r="1480" spans="1:4">
      <c r="A1480" s="10" t="s">
        <v>1211</v>
      </c>
      <c r="B1480" s="12" t="s">
        <v>53</v>
      </c>
      <c r="C1480" s="12" t="s">
        <v>1846</v>
      </c>
      <c r="D1480" s="7">
        <v>8</v>
      </c>
    </row>
    <row r="1481" spans="1:4">
      <c r="A1481" s="10" t="s">
        <v>1211</v>
      </c>
      <c r="B1481" s="12" t="s">
        <v>53</v>
      </c>
      <c r="C1481" s="12" t="s">
        <v>1846</v>
      </c>
      <c r="D1481" s="7">
        <v>8</v>
      </c>
    </row>
    <row r="1482" spans="1:4">
      <c r="A1482" s="10" t="s">
        <v>1211</v>
      </c>
      <c r="B1482" s="12" t="s">
        <v>53</v>
      </c>
      <c r="C1482" s="12" t="s">
        <v>1847</v>
      </c>
      <c r="D1482" s="7">
        <v>3.5</v>
      </c>
    </row>
    <row r="1483" spans="1:4">
      <c r="A1483" s="10" t="s">
        <v>277</v>
      </c>
      <c r="B1483" s="12" t="s">
        <v>278</v>
      </c>
      <c r="C1483" s="12" t="s">
        <v>1847</v>
      </c>
      <c r="D1483" s="7">
        <v>8</v>
      </c>
    </row>
    <row r="1484" spans="1:4">
      <c r="A1484" s="10" t="s">
        <v>408</v>
      </c>
      <c r="B1484" s="12" t="s">
        <v>409</v>
      </c>
      <c r="C1484" s="12" t="s">
        <v>1847</v>
      </c>
      <c r="D1484" s="7">
        <v>10</v>
      </c>
    </row>
    <row r="1485" spans="1:4">
      <c r="A1485" s="10" t="s">
        <v>408</v>
      </c>
      <c r="B1485" s="12" t="s">
        <v>409</v>
      </c>
      <c r="C1485" s="12" t="s">
        <v>1846</v>
      </c>
      <c r="D1485" s="7">
        <v>9</v>
      </c>
    </row>
    <row r="1486" spans="1:4">
      <c r="A1486" s="10" t="s">
        <v>1626</v>
      </c>
      <c r="B1486" s="12" t="s">
        <v>1627</v>
      </c>
      <c r="C1486" s="12" t="s">
        <v>1847</v>
      </c>
      <c r="D1486" s="7">
        <v>20</v>
      </c>
    </row>
    <row r="1487" spans="1:4">
      <c r="A1487" s="10" t="s">
        <v>1214</v>
      </c>
      <c r="B1487" s="12" t="s">
        <v>1215</v>
      </c>
      <c r="C1487" s="12" t="s">
        <v>1846</v>
      </c>
      <c r="D1487" s="7">
        <v>17.5</v>
      </c>
    </row>
    <row r="1488" spans="1:4">
      <c r="A1488" s="10" t="s">
        <v>456</v>
      </c>
      <c r="B1488" s="12" t="s">
        <v>361</v>
      </c>
      <c r="C1488" s="12" t="s">
        <v>1846</v>
      </c>
      <c r="D1488" s="7">
        <v>20</v>
      </c>
    </row>
    <row r="1489" spans="1:4">
      <c r="A1489" s="10" t="s">
        <v>408</v>
      </c>
      <c r="B1489" s="12" t="s">
        <v>409</v>
      </c>
      <c r="C1489" s="12" t="s">
        <v>1847</v>
      </c>
      <c r="D1489" s="7">
        <v>1</v>
      </c>
    </row>
    <row r="1490" spans="1:4">
      <c r="A1490" s="10" t="s">
        <v>1307</v>
      </c>
      <c r="B1490" s="12" t="s">
        <v>1308</v>
      </c>
      <c r="C1490" s="12" t="s">
        <v>1847</v>
      </c>
      <c r="D1490" s="7">
        <v>18.5</v>
      </c>
    </row>
    <row r="1491" spans="1:4">
      <c r="A1491" s="10" t="s">
        <v>1099</v>
      </c>
      <c r="B1491" s="12" t="s">
        <v>1100</v>
      </c>
      <c r="C1491" s="12" t="s">
        <v>1846</v>
      </c>
      <c r="D1491" s="7">
        <v>20</v>
      </c>
    </row>
    <row r="1492" spans="1:4">
      <c r="A1492" s="10" t="s">
        <v>1290</v>
      </c>
      <c r="B1492" s="12" t="s">
        <v>1291</v>
      </c>
      <c r="C1492" s="12" t="s">
        <v>1847</v>
      </c>
      <c r="D1492" s="7">
        <v>17.5</v>
      </c>
    </row>
    <row r="1493" spans="1:4">
      <c r="A1493" s="10" t="s">
        <v>1290</v>
      </c>
      <c r="B1493" s="12" t="s">
        <v>1291</v>
      </c>
      <c r="C1493" s="12" t="s">
        <v>1843</v>
      </c>
      <c r="D1493" s="7">
        <v>1.5</v>
      </c>
    </row>
    <row r="1494" spans="1:4">
      <c r="A1494" s="10" t="s">
        <v>467</v>
      </c>
      <c r="B1494" s="12" t="s">
        <v>468</v>
      </c>
      <c r="C1494" s="12" t="s">
        <v>1846</v>
      </c>
      <c r="D1494" s="7">
        <v>12</v>
      </c>
    </row>
    <row r="1495" spans="1:4">
      <c r="A1495" s="10" t="s">
        <v>467</v>
      </c>
      <c r="B1495" s="12" t="s">
        <v>468</v>
      </c>
      <c r="C1495" s="12" t="s">
        <v>1847</v>
      </c>
      <c r="D1495" s="7">
        <v>8</v>
      </c>
    </row>
    <row r="1496" spans="1:4">
      <c r="A1496" s="10" t="s">
        <v>1415</v>
      </c>
      <c r="B1496" s="12" t="s">
        <v>1416</v>
      </c>
      <c r="C1496" s="12" t="s">
        <v>1846</v>
      </c>
      <c r="D1496" s="7">
        <v>20</v>
      </c>
    </row>
    <row r="1497" spans="1:4">
      <c r="A1497" s="10" t="s">
        <v>1528</v>
      </c>
      <c r="B1497" s="12" t="s">
        <v>1529</v>
      </c>
      <c r="C1497" s="12" t="s">
        <v>1846</v>
      </c>
      <c r="D1497" s="7">
        <v>19.5</v>
      </c>
    </row>
    <row r="1498" spans="1:4">
      <c r="A1498" s="10" t="s">
        <v>958</v>
      </c>
      <c r="B1498" s="12" t="s">
        <v>959</v>
      </c>
      <c r="C1498" s="12" t="s">
        <v>1847</v>
      </c>
      <c r="D1498" s="7">
        <v>20</v>
      </c>
    </row>
    <row r="1499" spans="1:4">
      <c r="A1499" s="10" t="s">
        <v>1209</v>
      </c>
      <c r="B1499" s="12" t="s">
        <v>1210</v>
      </c>
      <c r="C1499" s="12" t="s">
        <v>1845</v>
      </c>
      <c r="D1499" s="7">
        <v>1</v>
      </c>
    </row>
    <row r="1500" spans="1:4">
      <c r="A1500" s="10" t="s">
        <v>1113</v>
      </c>
      <c r="B1500" s="12" t="s">
        <v>1114</v>
      </c>
      <c r="C1500" s="12" t="s">
        <v>1847</v>
      </c>
      <c r="D1500" s="7">
        <v>7.5</v>
      </c>
    </row>
    <row r="1501" spans="1:4">
      <c r="A1501" s="10" t="s">
        <v>1317</v>
      </c>
      <c r="B1501" s="12" t="s">
        <v>1318</v>
      </c>
      <c r="C1501" s="12" t="s">
        <v>1847</v>
      </c>
      <c r="D1501" s="7">
        <v>6</v>
      </c>
    </row>
    <row r="1502" spans="1:4">
      <c r="A1502" s="10" t="s">
        <v>516</v>
      </c>
      <c r="B1502" s="12" t="s">
        <v>517</v>
      </c>
      <c r="C1502" s="12" t="s">
        <v>1846</v>
      </c>
      <c r="D1502" s="7">
        <v>17</v>
      </c>
    </row>
    <row r="1503" spans="1:4">
      <c r="A1503" s="10" t="s">
        <v>1209</v>
      </c>
      <c r="B1503" s="12" t="s">
        <v>1210</v>
      </c>
      <c r="C1503" s="12" t="s">
        <v>1846</v>
      </c>
      <c r="D1503" s="7">
        <v>19</v>
      </c>
    </row>
    <row r="1504" spans="1:4">
      <c r="A1504" s="10" t="s">
        <v>1113</v>
      </c>
      <c r="B1504" s="12" t="s">
        <v>1114</v>
      </c>
      <c r="C1504" s="12" t="s">
        <v>1847</v>
      </c>
      <c r="D1504" s="7">
        <v>1</v>
      </c>
    </row>
    <row r="1505" spans="1:4">
      <c r="A1505" s="10" t="s">
        <v>1293</v>
      </c>
      <c r="B1505" s="12" t="s">
        <v>1294</v>
      </c>
      <c r="C1505" s="12" t="s">
        <v>1847</v>
      </c>
      <c r="D1505" s="7">
        <v>20</v>
      </c>
    </row>
    <row r="1506" spans="1:4">
      <c r="A1506" s="10" t="s">
        <v>1394</v>
      </c>
      <c r="B1506" s="12" t="s">
        <v>1395</v>
      </c>
      <c r="C1506" s="12" t="s">
        <v>1846</v>
      </c>
      <c r="D1506" s="7">
        <v>19</v>
      </c>
    </row>
    <row r="1507" spans="1:4">
      <c r="A1507" s="10" t="s">
        <v>340</v>
      </c>
      <c r="B1507" s="12" t="s">
        <v>341</v>
      </c>
      <c r="C1507" s="12" t="s">
        <v>1847</v>
      </c>
      <c r="D1507" s="7">
        <v>15</v>
      </c>
    </row>
    <row r="1508" spans="1:4">
      <c r="A1508" s="10" t="s">
        <v>1379</v>
      </c>
      <c r="B1508" s="12" t="s">
        <v>1380</v>
      </c>
      <c r="C1508" s="12" t="s">
        <v>1846</v>
      </c>
      <c r="D1508" s="7">
        <v>16</v>
      </c>
    </row>
    <row r="1509" spans="1:4">
      <c r="A1509" s="10" t="s">
        <v>819</v>
      </c>
      <c r="B1509" s="12" t="s">
        <v>820</v>
      </c>
      <c r="C1509" s="12" t="s">
        <v>1846</v>
      </c>
      <c r="D1509" s="7">
        <v>20</v>
      </c>
    </row>
    <row r="1510" spans="1:4">
      <c r="A1510" s="10" t="s">
        <v>516</v>
      </c>
      <c r="B1510" s="12" t="s">
        <v>517</v>
      </c>
      <c r="C1510" s="12" t="s">
        <v>1847</v>
      </c>
      <c r="D1510" s="7">
        <v>3</v>
      </c>
    </row>
    <row r="1511" spans="1:4">
      <c r="A1511" s="10" t="s">
        <v>1056</v>
      </c>
      <c r="B1511" s="12" t="s">
        <v>1057</v>
      </c>
      <c r="C1511" s="12" t="s">
        <v>1847</v>
      </c>
      <c r="D1511" s="7">
        <v>1</v>
      </c>
    </row>
    <row r="1512" spans="1:4">
      <c r="A1512" s="10" t="s">
        <v>1056</v>
      </c>
      <c r="B1512" s="12" t="s">
        <v>1057</v>
      </c>
      <c r="C1512" s="12" t="s">
        <v>1847</v>
      </c>
      <c r="D1512" s="7">
        <v>19</v>
      </c>
    </row>
    <row r="1513" spans="1:4">
      <c r="A1513" s="10" t="s">
        <v>786</v>
      </c>
      <c r="B1513" s="12" t="s">
        <v>787</v>
      </c>
      <c r="C1513" s="12" t="s">
        <v>1847</v>
      </c>
      <c r="D1513" s="7">
        <v>14.5</v>
      </c>
    </row>
    <row r="1514" spans="1:4">
      <c r="A1514" s="10" t="s">
        <v>554</v>
      </c>
      <c r="B1514" s="12" t="s">
        <v>555</v>
      </c>
      <c r="C1514" s="12" t="s">
        <v>1846</v>
      </c>
      <c r="D1514" s="7">
        <v>2</v>
      </c>
    </row>
    <row r="1515" spans="1:4">
      <c r="A1515" s="10" t="s">
        <v>554</v>
      </c>
      <c r="B1515" s="12" t="s">
        <v>555</v>
      </c>
      <c r="C1515" s="12" t="s">
        <v>1846</v>
      </c>
      <c r="D1515" s="7">
        <v>10</v>
      </c>
    </row>
    <row r="1516" spans="1:4">
      <c r="A1516" s="10" t="s">
        <v>554</v>
      </c>
      <c r="B1516" s="12" t="s">
        <v>555</v>
      </c>
      <c r="C1516" s="12" t="s">
        <v>1846</v>
      </c>
      <c r="D1516" s="7">
        <v>4</v>
      </c>
    </row>
    <row r="1517" spans="1:4">
      <c r="A1517" s="10" t="s">
        <v>554</v>
      </c>
      <c r="B1517" s="12" t="s">
        <v>555</v>
      </c>
      <c r="C1517" s="12" t="s">
        <v>1847</v>
      </c>
      <c r="D1517" s="7">
        <v>4</v>
      </c>
    </row>
    <row r="1518" spans="1:4">
      <c r="A1518" s="10" t="s">
        <v>786</v>
      </c>
      <c r="B1518" s="12" t="s">
        <v>787</v>
      </c>
      <c r="C1518" s="12" t="s">
        <v>1847</v>
      </c>
      <c r="D1518" s="7">
        <v>2.5</v>
      </c>
    </row>
    <row r="1519" spans="1:4">
      <c r="A1519" s="10" t="s">
        <v>1310</v>
      </c>
      <c r="B1519" s="12" t="s">
        <v>5</v>
      </c>
      <c r="C1519" s="12" t="s">
        <v>1847</v>
      </c>
      <c r="D1519" s="7">
        <v>11</v>
      </c>
    </row>
    <row r="1520" spans="1:4">
      <c r="A1520" s="10" t="s">
        <v>1522</v>
      </c>
      <c r="B1520" s="12" t="s">
        <v>1523</v>
      </c>
      <c r="C1520" s="12" t="s">
        <v>1846</v>
      </c>
      <c r="D1520" s="7">
        <v>12</v>
      </c>
    </row>
    <row r="1521" spans="1:4">
      <c r="A1521" s="10" t="s">
        <v>1522</v>
      </c>
      <c r="B1521" s="12" t="s">
        <v>1523</v>
      </c>
      <c r="C1521" s="12" t="s">
        <v>1847</v>
      </c>
      <c r="D1521" s="7">
        <v>4.5</v>
      </c>
    </row>
    <row r="1522" spans="1:4">
      <c r="A1522" s="10" t="s">
        <v>924</v>
      </c>
      <c r="B1522" s="12" t="s">
        <v>925</v>
      </c>
      <c r="C1522" s="12" t="s">
        <v>1846</v>
      </c>
      <c r="D1522" s="7">
        <v>18</v>
      </c>
    </row>
    <row r="1523" spans="1:4">
      <c r="A1523" s="10" t="s">
        <v>592</v>
      </c>
      <c r="B1523" s="12" t="s">
        <v>593</v>
      </c>
      <c r="C1523" s="12" t="s">
        <v>1847</v>
      </c>
      <c r="D1523" s="7">
        <v>2.5</v>
      </c>
    </row>
    <row r="1524" spans="1:4">
      <c r="A1524" s="10" t="s">
        <v>592</v>
      </c>
      <c r="B1524" s="12" t="s">
        <v>593</v>
      </c>
      <c r="C1524" s="12" t="s">
        <v>1846</v>
      </c>
      <c r="D1524" s="7">
        <v>10.5</v>
      </c>
    </row>
    <row r="1525" spans="1:4">
      <c r="A1525" s="10" t="s">
        <v>592</v>
      </c>
      <c r="B1525" s="12" t="s">
        <v>593</v>
      </c>
      <c r="C1525" s="12" t="s">
        <v>1847</v>
      </c>
      <c r="D1525" s="7">
        <v>6</v>
      </c>
    </row>
    <row r="1526" spans="1:4">
      <c r="A1526" s="10" t="s">
        <v>869</v>
      </c>
      <c r="B1526" s="12" t="s">
        <v>870</v>
      </c>
      <c r="C1526" s="12" t="s">
        <v>1846</v>
      </c>
      <c r="D1526" s="7">
        <v>12</v>
      </c>
    </row>
    <row r="1527" spans="1:4">
      <c r="A1527" s="10" t="s">
        <v>869</v>
      </c>
      <c r="B1527" s="12" t="s">
        <v>870</v>
      </c>
      <c r="C1527" s="12" t="s">
        <v>1846</v>
      </c>
      <c r="D1527" s="7">
        <v>8</v>
      </c>
    </row>
    <row r="1528" spans="1:4">
      <c r="A1528" s="10" t="s">
        <v>1031</v>
      </c>
      <c r="B1528" s="12" t="s">
        <v>1032</v>
      </c>
      <c r="C1528" s="12" t="s">
        <v>1846</v>
      </c>
      <c r="D1528" s="7">
        <v>20</v>
      </c>
    </row>
    <row r="1529" spans="1:4">
      <c r="A1529" s="10" t="s">
        <v>170</v>
      </c>
      <c r="B1529" s="12" t="s">
        <v>171</v>
      </c>
      <c r="C1529" s="12" t="s">
        <v>1847</v>
      </c>
      <c r="D1529" s="7">
        <v>15</v>
      </c>
    </row>
    <row r="1530" spans="1:4">
      <c r="A1530" s="10" t="s">
        <v>223</v>
      </c>
      <c r="B1530" s="12" t="s">
        <v>224</v>
      </c>
      <c r="C1530" s="12" t="s">
        <v>1847</v>
      </c>
      <c r="D1530" s="7">
        <v>6</v>
      </c>
    </row>
    <row r="1531" spans="1:4">
      <c r="A1531" s="10" t="s">
        <v>326</v>
      </c>
      <c r="B1531" s="12" t="s">
        <v>327</v>
      </c>
      <c r="C1531" s="12" t="s">
        <v>1847</v>
      </c>
      <c r="D1531" s="7">
        <v>8.5</v>
      </c>
    </row>
    <row r="1532" spans="1:4">
      <c r="A1532" s="10" t="s">
        <v>975</v>
      </c>
      <c r="B1532" s="12" t="s">
        <v>976</v>
      </c>
      <c r="C1532" s="12" t="s">
        <v>1847</v>
      </c>
      <c r="D1532" s="7">
        <v>12</v>
      </c>
    </row>
    <row r="1533" spans="1:4">
      <c r="A1533" s="10" t="s">
        <v>975</v>
      </c>
      <c r="B1533" s="12" t="s">
        <v>976</v>
      </c>
      <c r="C1533" s="12" t="s">
        <v>1847</v>
      </c>
      <c r="D1533" s="7">
        <v>8</v>
      </c>
    </row>
    <row r="1534" spans="1:4">
      <c r="A1534" s="10" t="s">
        <v>1369</v>
      </c>
      <c r="B1534" s="12" t="s">
        <v>1370</v>
      </c>
      <c r="C1534" s="12" t="s">
        <v>1848</v>
      </c>
      <c r="D1534" s="7">
        <v>0.5</v>
      </c>
    </row>
    <row r="1535" spans="1:4">
      <c r="A1535" s="10" t="s">
        <v>628</v>
      </c>
      <c r="B1535" s="12" t="s">
        <v>629</v>
      </c>
      <c r="C1535" s="12" t="s">
        <v>1846</v>
      </c>
      <c r="D1535" s="7">
        <v>13</v>
      </c>
    </row>
    <row r="1536" spans="1:4">
      <c r="A1536" s="10" t="s">
        <v>708</v>
      </c>
      <c r="B1536" s="12" t="s">
        <v>709</v>
      </c>
      <c r="C1536" s="12" t="s">
        <v>1847</v>
      </c>
      <c r="D1536" s="7">
        <v>19</v>
      </c>
    </row>
    <row r="1537" spans="1:4">
      <c r="A1537" s="10" t="s">
        <v>708</v>
      </c>
      <c r="B1537" s="12" t="s">
        <v>709</v>
      </c>
      <c r="C1537" s="12" t="s">
        <v>1847</v>
      </c>
      <c r="D1537" s="7">
        <v>1</v>
      </c>
    </row>
    <row r="1538" spans="1:4">
      <c r="A1538" s="10" t="s">
        <v>227</v>
      </c>
      <c r="B1538" s="12" t="s">
        <v>228</v>
      </c>
      <c r="C1538" s="12" t="s">
        <v>1846</v>
      </c>
      <c r="D1538" s="7">
        <v>20</v>
      </c>
    </row>
    <row r="1539" spans="1:4">
      <c r="A1539" s="10" t="s">
        <v>1006</v>
      </c>
      <c r="B1539" s="12" t="s">
        <v>1007</v>
      </c>
      <c r="C1539" s="12" t="s">
        <v>1846</v>
      </c>
      <c r="D1539" s="7">
        <v>2</v>
      </c>
    </row>
    <row r="1540" spans="1:4">
      <c r="A1540" s="10" t="s">
        <v>541</v>
      </c>
      <c r="B1540" s="12" t="s">
        <v>98</v>
      </c>
      <c r="C1540" s="12" t="s">
        <v>1848</v>
      </c>
      <c r="D1540" s="7">
        <v>20</v>
      </c>
    </row>
    <row r="1541" spans="1:4">
      <c r="A1541" s="10" t="s">
        <v>405</v>
      </c>
      <c r="B1541" s="12" t="s">
        <v>406</v>
      </c>
      <c r="C1541" s="12" t="s">
        <v>1846</v>
      </c>
      <c r="D1541" s="7">
        <v>15.5</v>
      </c>
    </row>
    <row r="1542" spans="1:4">
      <c r="A1542" s="10" t="s">
        <v>219</v>
      </c>
      <c r="B1542" s="12" t="s">
        <v>220</v>
      </c>
      <c r="C1542" s="12" t="s">
        <v>1846</v>
      </c>
      <c r="D1542" s="7">
        <v>20</v>
      </c>
    </row>
    <row r="1543" spans="1:4">
      <c r="A1543" s="10" t="s">
        <v>1551</v>
      </c>
      <c r="B1543" s="12" t="s">
        <v>1552</v>
      </c>
      <c r="C1543" s="12" t="s">
        <v>1846</v>
      </c>
      <c r="D1543" s="7">
        <v>18.5</v>
      </c>
    </row>
    <row r="1544" spans="1:4">
      <c r="A1544" s="10" t="s">
        <v>873</v>
      </c>
      <c r="B1544" s="12" t="s">
        <v>874</v>
      </c>
      <c r="C1544" s="12" t="s">
        <v>1847</v>
      </c>
      <c r="D1544" s="7">
        <v>1</v>
      </c>
    </row>
    <row r="1545" spans="1:4">
      <c r="A1545" s="10" t="s">
        <v>873</v>
      </c>
      <c r="B1545" s="12" t="s">
        <v>874</v>
      </c>
      <c r="C1545" s="12" t="s">
        <v>1846</v>
      </c>
      <c r="D1545" s="7">
        <v>18</v>
      </c>
    </row>
    <row r="1546" spans="1:4">
      <c r="A1546" s="10" t="s">
        <v>1690</v>
      </c>
      <c r="B1546" s="12" t="s">
        <v>1691</v>
      </c>
      <c r="C1546" s="12" t="s">
        <v>1847</v>
      </c>
      <c r="D1546" s="7">
        <v>20</v>
      </c>
    </row>
    <row r="1547" spans="1:4">
      <c r="A1547" s="10" t="s">
        <v>498</v>
      </c>
      <c r="B1547" s="12" t="s">
        <v>97</v>
      </c>
      <c r="C1547" s="12" t="s">
        <v>1847</v>
      </c>
      <c r="D1547" s="7">
        <v>14.5</v>
      </c>
    </row>
    <row r="1548" spans="1:4">
      <c r="A1548" s="10" t="s">
        <v>498</v>
      </c>
      <c r="B1548" s="12" t="s">
        <v>97</v>
      </c>
      <c r="C1548" s="12" t="s">
        <v>1847</v>
      </c>
      <c r="D1548" s="7">
        <v>2</v>
      </c>
    </row>
    <row r="1549" spans="1:4">
      <c r="A1549" s="10" t="s">
        <v>498</v>
      </c>
      <c r="B1549" s="12" t="s">
        <v>97</v>
      </c>
      <c r="C1549" s="12" t="s">
        <v>1847</v>
      </c>
      <c r="D1549" s="7">
        <v>2.5</v>
      </c>
    </row>
    <row r="1550" spans="1:4">
      <c r="A1550" s="10" t="s">
        <v>405</v>
      </c>
      <c r="B1550" s="12" t="s">
        <v>406</v>
      </c>
      <c r="C1550" s="12" t="s">
        <v>1847</v>
      </c>
      <c r="D1550" s="7">
        <v>4</v>
      </c>
    </row>
    <row r="1551" spans="1:4">
      <c r="A1551" s="10" t="s">
        <v>1150</v>
      </c>
      <c r="B1551" s="12" t="s">
        <v>1151</v>
      </c>
      <c r="C1551" s="12" t="s">
        <v>1846</v>
      </c>
      <c r="D1551" s="7">
        <v>3</v>
      </c>
    </row>
    <row r="1552" spans="1:4">
      <c r="A1552" s="10" t="s">
        <v>1150</v>
      </c>
      <c r="B1552" s="12" t="s">
        <v>1151</v>
      </c>
      <c r="C1552" s="12" t="s">
        <v>1846</v>
      </c>
      <c r="D1552" s="7">
        <v>7.5</v>
      </c>
    </row>
    <row r="1553" spans="1:4">
      <c r="A1553" s="10" t="s">
        <v>667</v>
      </c>
      <c r="B1553" s="12" t="s">
        <v>91</v>
      </c>
      <c r="C1553" s="12" t="s">
        <v>1847</v>
      </c>
      <c r="D1553" s="7">
        <v>1</v>
      </c>
    </row>
    <row r="1554" spans="1:4">
      <c r="A1554" s="10" t="s">
        <v>667</v>
      </c>
      <c r="B1554" s="12" t="s">
        <v>91</v>
      </c>
      <c r="C1554" s="12" t="s">
        <v>1847</v>
      </c>
      <c r="D1554" s="7">
        <v>3</v>
      </c>
    </row>
    <row r="1555" spans="1:4">
      <c r="A1555" s="10" t="s">
        <v>667</v>
      </c>
      <c r="B1555" s="12" t="s">
        <v>91</v>
      </c>
      <c r="C1555" s="12" t="s">
        <v>1847</v>
      </c>
      <c r="D1555" s="7">
        <v>16</v>
      </c>
    </row>
    <row r="1556" spans="1:4">
      <c r="A1556" s="10" t="s">
        <v>1466</v>
      </c>
      <c r="B1556" s="12" t="s">
        <v>4</v>
      </c>
      <c r="C1556" s="12" t="s">
        <v>1847</v>
      </c>
      <c r="D1556" s="7">
        <v>2.5</v>
      </c>
    </row>
    <row r="1557" spans="1:4">
      <c r="A1557" s="10" t="s">
        <v>1466</v>
      </c>
      <c r="B1557" s="12" t="s">
        <v>4</v>
      </c>
      <c r="C1557" s="12" t="s">
        <v>1847</v>
      </c>
      <c r="D1557" s="7">
        <v>3</v>
      </c>
    </row>
    <row r="1558" spans="1:4">
      <c r="A1558" s="10" t="s">
        <v>1466</v>
      </c>
      <c r="B1558" s="12" t="s">
        <v>4</v>
      </c>
      <c r="C1558" s="12" t="s">
        <v>1847</v>
      </c>
      <c r="D1558" s="7">
        <v>1.5</v>
      </c>
    </row>
    <row r="1559" spans="1:4">
      <c r="A1559" s="10" t="s">
        <v>1466</v>
      </c>
      <c r="B1559" s="12" t="s">
        <v>4</v>
      </c>
      <c r="C1559" s="12" t="s">
        <v>1847</v>
      </c>
      <c r="D1559" s="7">
        <v>13</v>
      </c>
    </row>
    <row r="1560" spans="1:4">
      <c r="A1560" s="10" t="s">
        <v>864</v>
      </c>
      <c r="B1560" s="12" t="s">
        <v>865</v>
      </c>
      <c r="C1560" s="12" t="s">
        <v>1846</v>
      </c>
      <c r="D1560" s="7">
        <v>0.5</v>
      </c>
    </row>
    <row r="1561" spans="1:4">
      <c r="A1561" s="10" t="s">
        <v>1150</v>
      </c>
      <c r="B1561" s="12" t="s">
        <v>1151</v>
      </c>
      <c r="C1561" s="12" t="s">
        <v>1847</v>
      </c>
      <c r="D1561" s="7">
        <v>4.5</v>
      </c>
    </row>
    <row r="1562" spans="1:4">
      <c r="A1562" s="10" t="s">
        <v>962</v>
      </c>
      <c r="B1562" s="12" t="s">
        <v>963</v>
      </c>
      <c r="C1562" s="12" t="s">
        <v>1846</v>
      </c>
      <c r="D1562" s="7">
        <v>16</v>
      </c>
    </row>
    <row r="1563" spans="1:4">
      <c r="A1563" s="10" t="s">
        <v>962</v>
      </c>
      <c r="B1563" s="12" t="s">
        <v>963</v>
      </c>
      <c r="C1563" s="12" t="s">
        <v>1846</v>
      </c>
      <c r="D1563" s="7">
        <v>4</v>
      </c>
    </row>
    <row r="1564" spans="1:4">
      <c r="A1564" s="10" t="s">
        <v>1105</v>
      </c>
      <c r="B1564" s="12" t="s">
        <v>1106</v>
      </c>
      <c r="C1564" s="12" t="s">
        <v>1846</v>
      </c>
      <c r="D1564" s="7">
        <v>19.5</v>
      </c>
    </row>
    <row r="1565" spans="1:4">
      <c r="A1565" s="10" t="s">
        <v>1105</v>
      </c>
      <c r="B1565" s="12" t="s">
        <v>1106</v>
      </c>
      <c r="C1565" s="12" t="s">
        <v>1847</v>
      </c>
      <c r="D1565" s="7">
        <v>0.5</v>
      </c>
    </row>
    <row r="1566" spans="1:4">
      <c r="A1566" s="10" t="s">
        <v>610</v>
      </c>
      <c r="B1566" s="12" t="s">
        <v>611</v>
      </c>
      <c r="C1566" s="12" t="s">
        <v>1846</v>
      </c>
      <c r="D1566" s="7">
        <v>1.5</v>
      </c>
    </row>
    <row r="1567" spans="1:4">
      <c r="A1567" s="10" t="s">
        <v>610</v>
      </c>
      <c r="B1567" s="12" t="s">
        <v>611</v>
      </c>
      <c r="C1567" s="12" t="s">
        <v>1846</v>
      </c>
      <c r="D1567" s="7">
        <v>2</v>
      </c>
    </row>
    <row r="1568" spans="1:4">
      <c r="A1568" s="10" t="s">
        <v>610</v>
      </c>
      <c r="B1568" s="12" t="s">
        <v>611</v>
      </c>
      <c r="C1568" s="12" t="s">
        <v>1847</v>
      </c>
      <c r="D1568" s="7">
        <v>6.5</v>
      </c>
    </row>
    <row r="1569" spans="1:4">
      <c r="A1569" s="10" t="s">
        <v>610</v>
      </c>
      <c r="B1569" s="12" t="s">
        <v>611</v>
      </c>
      <c r="C1569" s="12" t="s">
        <v>1846</v>
      </c>
      <c r="D1569" s="7">
        <v>5</v>
      </c>
    </row>
    <row r="1570" spans="1:4">
      <c r="A1570" s="10" t="s">
        <v>1190</v>
      </c>
      <c r="B1570" s="12" t="s">
        <v>1191</v>
      </c>
      <c r="C1570" s="12" t="s">
        <v>1846</v>
      </c>
      <c r="D1570" s="7">
        <v>20</v>
      </c>
    </row>
    <row r="1571" spans="1:4">
      <c r="A1571" s="10" t="s">
        <v>630</v>
      </c>
      <c r="B1571" s="12" t="s">
        <v>631</v>
      </c>
      <c r="C1571" s="12" t="s">
        <v>1847</v>
      </c>
      <c r="D1571" s="7">
        <v>14</v>
      </c>
    </row>
    <row r="1572" spans="1:4">
      <c r="A1572" s="10" t="s">
        <v>653</v>
      </c>
      <c r="B1572" s="12" t="s">
        <v>654</v>
      </c>
      <c r="C1572" s="12" t="s">
        <v>1846</v>
      </c>
      <c r="D1572" s="7">
        <v>20</v>
      </c>
    </row>
    <row r="1573" spans="1:4">
      <c r="A1573" s="10" t="s">
        <v>257</v>
      </c>
      <c r="B1573" s="12" t="s">
        <v>258</v>
      </c>
      <c r="C1573" s="12" t="s">
        <v>1847</v>
      </c>
      <c r="D1573" s="7">
        <v>17.5</v>
      </c>
    </row>
    <row r="1574" spans="1:4">
      <c r="A1574" s="10" t="s">
        <v>427</v>
      </c>
      <c r="B1574" s="12" t="s">
        <v>428</v>
      </c>
      <c r="C1574" s="12" t="s">
        <v>1846</v>
      </c>
      <c r="D1574" s="7">
        <v>1</v>
      </c>
    </row>
    <row r="1575" spans="1:4">
      <c r="A1575" s="10" t="s">
        <v>427</v>
      </c>
      <c r="B1575" s="12" t="s">
        <v>428</v>
      </c>
      <c r="C1575" s="12" t="s">
        <v>1847</v>
      </c>
      <c r="D1575" s="7">
        <v>5</v>
      </c>
    </row>
    <row r="1576" spans="1:4">
      <c r="A1576" s="10" t="s">
        <v>920</v>
      </c>
      <c r="B1576" s="12" t="s">
        <v>921</v>
      </c>
      <c r="C1576" s="12" t="s">
        <v>1846</v>
      </c>
      <c r="D1576" s="7">
        <v>10</v>
      </c>
    </row>
    <row r="1577" spans="1:4">
      <c r="A1577" s="10" t="s">
        <v>920</v>
      </c>
      <c r="B1577" s="12" t="s">
        <v>921</v>
      </c>
      <c r="C1577" s="12" t="s">
        <v>1846</v>
      </c>
      <c r="D1577" s="7">
        <v>10</v>
      </c>
    </row>
    <row r="1578" spans="1:4">
      <c r="A1578" s="10" t="s">
        <v>257</v>
      </c>
      <c r="B1578" s="12" t="s">
        <v>258</v>
      </c>
      <c r="C1578" s="12" t="s">
        <v>1847</v>
      </c>
      <c r="D1578" s="7">
        <v>0.5</v>
      </c>
    </row>
    <row r="1579" spans="1:4">
      <c r="A1579" s="10" t="s">
        <v>1064</v>
      </c>
      <c r="B1579" s="12" t="s">
        <v>1065</v>
      </c>
      <c r="C1579" s="12" t="s">
        <v>1846</v>
      </c>
      <c r="D1579" s="7">
        <v>20</v>
      </c>
    </row>
    <row r="1580" spans="1:4">
      <c r="A1580" s="10" t="s">
        <v>421</v>
      </c>
      <c r="B1580" s="12" t="s">
        <v>422</v>
      </c>
      <c r="C1580" s="12" t="s">
        <v>1847</v>
      </c>
      <c r="D1580" s="7">
        <v>18</v>
      </c>
    </row>
    <row r="1581" spans="1:4">
      <c r="A1581" s="10" t="s">
        <v>172</v>
      </c>
      <c r="B1581" s="12" t="s">
        <v>173</v>
      </c>
      <c r="C1581" s="12" t="s">
        <v>1847</v>
      </c>
      <c r="D1581" s="7">
        <v>20</v>
      </c>
    </row>
    <row r="1582" spans="1:4">
      <c r="A1582" s="10" t="s">
        <v>180</v>
      </c>
      <c r="B1582" s="12" t="s">
        <v>181</v>
      </c>
      <c r="C1582" s="12" t="s">
        <v>1846</v>
      </c>
      <c r="D1582" s="7">
        <v>7.5</v>
      </c>
    </row>
    <row r="1583" spans="1:4">
      <c r="A1583" s="10" t="s">
        <v>1379</v>
      </c>
      <c r="B1583" s="12" t="s">
        <v>1380</v>
      </c>
      <c r="C1583" s="12" t="s">
        <v>1846</v>
      </c>
      <c r="D1583" s="7">
        <v>3</v>
      </c>
    </row>
    <row r="1584" spans="1:4">
      <c r="A1584" s="10" t="s">
        <v>902</v>
      </c>
      <c r="B1584" s="12" t="s">
        <v>903</v>
      </c>
      <c r="C1584" s="12" t="s">
        <v>1846</v>
      </c>
      <c r="D1584" s="7">
        <v>7</v>
      </c>
    </row>
    <row r="1585" spans="1:4">
      <c r="A1585" s="10" t="s">
        <v>902</v>
      </c>
      <c r="B1585" s="12" t="s">
        <v>903</v>
      </c>
      <c r="C1585" s="12" t="s">
        <v>1846</v>
      </c>
      <c r="D1585" s="7">
        <v>2.5</v>
      </c>
    </row>
    <row r="1586" spans="1:4">
      <c r="A1586" s="10" t="s">
        <v>536</v>
      </c>
      <c r="B1586" s="12" t="s">
        <v>537</v>
      </c>
      <c r="C1586" s="12" t="s">
        <v>1846</v>
      </c>
      <c r="D1586" s="7">
        <v>20</v>
      </c>
    </row>
    <row r="1587" spans="1:4">
      <c r="A1587" s="10" t="s">
        <v>864</v>
      </c>
      <c r="B1587" s="12" t="s">
        <v>865</v>
      </c>
      <c r="C1587" s="12" t="s">
        <v>1847</v>
      </c>
      <c r="D1587" s="7">
        <v>1</v>
      </c>
    </row>
    <row r="1588" spans="1:4">
      <c r="A1588" s="10" t="s">
        <v>864</v>
      </c>
      <c r="B1588" s="12" t="s">
        <v>865</v>
      </c>
      <c r="C1588" s="12" t="s">
        <v>1846</v>
      </c>
      <c r="D1588" s="7">
        <v>13</v>
      </c>
    </row>
    <row r="1589" spans="1:4">
      <c r="A1589" s="10" t="s">
        <v>902</v>
      </c>
      <c r="B1589" s="12" t="s">
        <v>903</v>
      </c>
      <c r="C1589" s="12" t="s">
        <v>1846</v>
      </c>
      <c r="D1589" s="7">
        <v>2</v>
      </c>
    </row>
    <row r="1590" spans="1:4">
      <c r="A1590" s="10" t="s">
        <v>902</v>
      </c>
      <c r="B1590" s="12" t="s">
        <v>903</v>
      </c>
      <c r="C1590" s="12" t="s">
        <v>1847</v>
      </c>
      <c r="D1590" s="7">
        <v>8.5</v>
      </c>
    </row>
    <row r="1591" spans="1:4">
      <c r="A1591" s="10" t="s">
        <v>596</v>
      </c>
      <c r="B1591" s="12" t="s">
        <v>597</v>
      </c>
      <c r="C1591" s="12" t="s">
        <v>1847</v>
      </c>
      <c r="D1591" s="7">
        <v>3.5</v>
      </c>
    </row>
    <row r="1592" spans="1:4">
      <c r="A1592" s="10" t="s">
        <v>1534</v>
      </c>
      <c r="B1592" s="12" t="s">
        <v>1535</v>
      </c>
      <c r="C1592" s="12" t="s">
        <v>1846</v>
      </c>
      <c r="D1592" s="7">
        <v>4.5</v>
      </c>
    </row>
    <row r="1593" spans="1:4">
      <c r="A1593" s="10" t="s">
        <v>1514</v>
      </c>
      <c r="B1593" s="12" t="s">
        <v>1515</v>
      </c>
      <c r="C1593" s="12" t="s">
        <v>1846</v>
      </c>
      <c r="D1593" s="7">
        <v>18</v>
      </c>
    </row>
    <row r="1594" spans="1:4">
      <c r="A1594" s="10" t="s">
        <v>1514</v>
      </c>
      <c r="B1594" s="12" t="s">
        <v>1515</v>
      </c>
      <c r="C1594" s="12" t="s">
        <v>1847</v>
      </c>
      <c r="D1594" s="7">
        <v>2</v>
      </c>
    </row>
    <row r="1595" spans="1:4">
      <c r="A1595" s="10" t="s">
        <v>184</v>
      </c>
      <c r="B1595" s="12" t="s">
        <v>185</v>
      </c>
      <c r="C1595" s="12" t="s">
        <v>1846</v>
      </c>
      <c r="D1595" s="7">
        <v>20</v>
      </c>
    </row>
    <row r="1596" spans="1:4">
      <c r="A1596" s="10" t="s">
        <v>413</v>
      </c>
      <c r="B1596" s="12" t="s">
        <v>414</v>
      </c>
      <c r="C1596" s="12" t="s">
        <v>1846</v>
      </c>
      <c r="D1596" s="7">
        <v>19</v>
      </c>
    </row>
    <row r="1597" spans="1:4">
      <c r="A1597" s="10" t="s">
        <v>596</v>
      </c>
      <c r="B1597" s="12" t="s">
        <v>597</v>
      </c>
      <c r="C1597" s="12" t="s">
        <v>1847</v>
      </c>
      <c r="D1597" s="7">
        <v>0.5</v>
      </c>
    </row>
    <row r="1598" spans="1:4">
      <c r="A1598" s="10" t="s">
        <v>1423</v>
      </c>
      <c r="B1598" s="12" t="s">
        <v>1424</v>
      </c>
      <c r="C1598" s="12" t="s">
        <v>1846</v>
      </c>
      <c r="D1598" s="7">
        <v>20</v>
      </c>
    </row>
    <row r="1599" spans="1:4">
      <c r="A1599" s="10" t="s">
        <v>596</v>
      </c>
      <c r="B1599" s="12" t="s">
        <v>597</v>
      </c>
      <c r="C1599" s="12" t="s">
        <v>1847</v>
      </c>
      <c r="D1599" s="7">
        <v>3</v>
      </c>
    </row>
    <row r="1600" spans="1:4">
      <c r="A1600" s="10" t="s">
        <v>868</v>
      </c>
      <c r="B1600" s="12" t="s">
        <v>47</v>
      </c>
      <c r="C1600" s="12" t="s">
        <v>1846</v>
      </c>
      <c r="D1600" s="7">
        <v>8</v>
      </c>
    </row>
    <row r="1601" spans="1:4">
      <c r="A1601" s="10" t="s">
        <v>868</v>
      </c>
      <c r="B1601" s="12" t="s">
        <v>47</v>
      </c>
      <c r="C1601" s="12" t="s">
        <v>1846</v>
      </c>
      <c r="D1601" s="7">
        <v>8.5</v>
      </c>
    </row>
    <row r="1602" spans="1:4">
      <c r="A1602" s="10" t="s">
        <v>868</v>
      </c>
      <c r="B1602" s="12" t="s">
        <v>47</v>
      </c>
      <c r="C1602" s="12" t="s">
        <v>1847</v>
      </c>
      <c r="D1602" s="7">
        <v>1</v>
      </c>
    </row>
    <row r="1603" spans="1:4">
      <c r="A1603" s="10" t="s">
        <v>868</v>
      </c>
      <c r="B1603" s="12" t="s">
        <v>47</v>
      </c>
      <c r="C1603" s="12" t="s">
        <v>1847</v>
      </c>
      <c r="D1603" s="7">
        <v>2</v>
      </c>
    </row>
    <row r="1604" spans="1:4">
      <c r="A1604" s="10" t="s">
        <v>1618</v>
      </c>
      <c r="B1604" s="12" t="s">
        <v>1619</v>
      </c>
      <c r="C1604" s="12" t="s">
        <v>1847</v>
      </c>
      <c r="D1604" s="7">
        <v>20</v>
      </c>
    </row>
    <row r="1605" spans="1:4">
      <c r="A1605" s="10" t="s">
        <v>744</v>
      </c>
      <c r="B1605" s="12" t="s">
        <v>745</v>
      </c>
      <c r="C1605" s="12" t="s">
        <v>1846</v>
      </c>
      <c r="D1605" s="7">
        <v>20</v>
      </c>
    </row>
    <row r="1606" spans="1:4">
      <c r="A1606" s="10" t="s">
        <v>1026</v>
      </c>
      <c r="B1606" s="12" t="s">
        <v>1027</v>
      </c>
      <c r="C1606" s="12" t="s">
        <v>1846</v>
      </c>
      <c r="D1606" s="7">
        <v>17</v>
      </c>
    </row>
    <row r="1607" spans="1:4">
      <c r="A1607" s="10" t="s">
        <v>968</v>
      </c>
      <c r="B1607" s="12" t="s">
        <v>969</v>
      </c>
      <c r="C1607" s="12" t="s">
        <v>1846</v>
      </c>
      <c r="D1607" s="7">
        <v>6.5</v>
      </c>
    </row>
    <row r="1608" spans="1:4">
      <c r="A1608" s="10" t="s">
        <v>908</v>
      </c>
      <c r="B1608" s="12" t="s">
        <v>909</v>
      </c>
      <c r="C1608" s="12" t="s">
        <v>1846</v>
      </c>
      <c r="D1608" s="7">
        <v>20</v>
      </c>
    </row>
    <row r="1609" spans="1:4">
      <c r="A1609" s="10" t="s">
        <v>942</v>
      </c>
      <c r="B1609" s="12" t="s">
        <v>943</v>
      </c>
      <c r="C1609" s="12" t="s">
        <v>1847</v>
      </c>
      <c r="D1609" s="7">
        <v>13</v>
      </c>
    </row>
    <row r="1610" spans="1:4">
      <c r="A1610" s="10" t="s">
        <v>942</v>
      </c>
      <c r="B1610" s="12" t="s">
        <v>943</v>
      </c>
      <c r="C1610" s="12" t="s">
        <v>1847</v>
      </c>
      <c r="D1610" s="7">
        <v>5</v>
      </c>
    </row>
    <row r="1611" spans="1:4">
      <c r="A1611" s="10" t="s">
        <v>201</v>
      </c>
      <c r="B1611" s="12" t="s">
        <v>202</v>
      </c>
      <c r="C1611" s="12" t="s">
        <v>1846</v>
      </c>
      <c r="D1611" s="7">
        <v>3</v>
      </c>
    </row>
    <row r="1612" spans="1:4">
      <c r="A1612" s="10" t="s">
        <v>1524</v>
      </c>
      <c r="B1612" s="12" t="s">
        <v>35</v>
      </c>
      <c r="C1612" s="12" t="s">
        <v>1846</v>
      </c>
      <c r="D1612" s="7">
        <v>4</v>
      </c>
    </row>
    <row r="1613" spans="1:4">
      <c r="A1613" s="10" t="s">
        <v>1524</v>
      </c>
      <c r="B1613" s="12" t="s">
        <v>35</v>
      </c>
      <c r="C1613" s="12" t="s">
        <v>1847</v>
      </c>
      <c r="D1613" s="7">
        <v>10</v>
      </c>
    </row>
    <row r="1614" spans="1:4">
      <c r="A1614" s="10" t="s">
        <v>1524</v>
      </c>
      <c r="B1614" s="12" t="s">
        <v>35</v>
      </c>
      <c r="C1614" s="12" t="s">
        <v>1847</v>
      </c>
      <c r="D1614" s="7">
        <v>4</v>
      </c>
    </row>
    <row r="1615" spans="1:4">
      <c r="A1615" s="10" t="s">
        <v>1524</v>
      </c>
      <c r="B1615" s="12" t="s">
        <v>35</v>
      </c>
      <c r="C1615" s="12" t="s">
        <v>1847</v>
      </c>
      <c r="D1615" s="7">
        <v>2</v>
      </c>
    </row>
    <row r="1616" spans="1:4">
      <c r="A1616" s="10" t="s">
        <v>427</v>
      </c>
      <c r="B1616" s="12" t="s">
        <v>428</v>
      </c>
      <c r="C1616" s="12" t="s">
        <v>1847</v>
      </c>
      <c r="D1616" s="7">
        <v>4</v>
      </c>
    </row>
    <row r="1617" spans="1:4">
      <c r="A1617" s="10" t="s">
        <v>604</v>
      </c>
      <c r="B1617" s="12" t="s">
        <v>605</v>
      </c>
      <c r="C1617" s="12" t="s">
        <v>1846</v>
      </c>
      <c r="D1617" s="7">
        <v>18</v>
      </c>
    </row>
    <row r="1618" spans="1:4">
      <c r="A1618" s="10" t="s">
        <v>1587</v>
      </c>
      <c r="B1618" s="12" t="s">
        <v>1588</v>
      </c>
      <c r="C1618" s="12" t="s">
        <v>1847</v>
      </c>
      <c r="D1618" s="7">
        <v>19</v>
      </c>
    </row>
    <row r="1619" spans="1:4">
      <c r="A1619" s="10" t="s">
        <v>459</v>
      </c>
      <c r="B1619" s="12" t="s">
        <v>460</v>
      </c>
      <c r="C1619" s="12" t="s">
        <v>1846</v>
      </c>
      <c r="D1619" s="7">
        <v>1</v>
      </c>
    </row>
    <row r="1620" spans="1:4">
      <c r="A1620" s="10" t="s">
        <v>459</v>
      </c>
      <c r="B1620" s="12" t="s">
        <v>460</v>
      </c>
      <c r="C1620" s="12" t="s">
        <v>1846</v>
      </c>
      <c r="D1620" s="7">
        <v>15</v>
      </c>
    </row>
    <row r="1621" spans="1:4">
      <c r="A1621" s="10" t="s">
        <v>983</v>
      </c>
      <c r="B1621" s="12" t="s">
        <v>984</v>
      </c>
      <c r="C1621" s="12" t="s">
        <v>1847</v>
      </c>
      <c r="D1621" s="7">
        <v>20</v>
      </c>
    </row>
    <row r="1622" spans="1:4">
      <c r="A1622" s="10" t="s">
        <v>692</v>
      </c>
      <c r="B1622" s="12" t="s">
        <v>29</v>
      </c>
      <c r="C1622" s="12" t="s">
        <v>1846</v>
      </c>
      <c r="D1622" s="7">
        <v>12</v>
      </c>
    </row>
    <row r="1623" spans="1:4">
      <c r="A1623" s="10" t="s">
        <v>692</v>
      </c>
      <c r="B1623" s="12" t="s">
        <v>29</v>
      </c>
      <c r="C1623" s="12" t="s">
        <v>1847</v>
      </c>
      <c r="D1623" s="7">
        <v>4</v>
      </c>
    </row>
    <row r="1624" spans="1:4">
      <c r="A1624" s="10" t="s">
        <v>1221</v>
      </c>
      <c r="B1624" s="12" t="s">
        <v>1222</v>
      </c>
      <c r="C1624" s="12" t="s">
        <v>1846</v>
      </c>
      <c r="D1624" s="7">
        <v>3</v>
      </c>
    </row>
    <row r="1625" spans="1:4">
      <c r="A1625" s="10" t="s">
        <v>1111</v>
      </c>
      <c r="B1625" s="12" t="s">
        <v>1112</v>
      </c>
      <c r="C1625" s="12" t="s">
        <v>1847</v>
      </c>
      <c r="D1625" s="7">
        <v>0.5</v>
      </c>
    </row>
    <row r="1626" spans="1:4">
      <c r="A1626" s="10" t="s">
        <v>1111</v>
      </c>
      <c r="B1626" s="12" t="s">
        <v>1112</v>
      </c>
      <c r="C1626" s="12" t="s">
        <v>1846</v>
      </c>
      <c r="D1626" s="7">
        <v>2.5</v>
      </c>
    </row>
    <row r="1627" spans="1:4">
      <c r="A1627" s="10" t="s">
        <v>1111</v>
      </c>
      <c r="B1627" s="12" t="s">
        <v>1112</v>
      </c>
      <c r="C1627" s="12" t="s">
        <v>1846</v>
      </c>
      <c r="D1627" s="7">
        <v>4</v>
      </c>
    </row>
    <row r="1628" spans="1:4">
      <c r="A1628" s="10" t="s">
        <v>1111</v>
      </c>
      <c r="B1628" s="12" t="s">
        <v>1112</v>
      </c>
      <c r="C1628" s="12" t="s">
        <v>1846</v>
      </c>
      <c r="D1628" s="7">
        <v>12</v>
      </c>
    </row>
    <row r="1629" spans="1:4">
      <c r="A1629" s="10" t="s">
        <v>1084</v>
      </c>
      <c r="B1629" s="12" t="s">
        <v>1085</v>
      </c>
      <c r="C1629" s="12" t="s">
        <v>1847</v>
      </c>
      <c r="D1629" s="7">
        <v>20</v>
      </c>
    </row>
    <row r="1630" spans="1:4">
      <c r="A1630" s="10" t="s">
        <v>259</v>
      </c>
      <c r="B1630" s="12" t="s">
        <v>260</v>
      </c>
      <c r="C1630" s="12" t="s">
        <v>1846</v>
      </c>
      <c r="D1630" s="7">
        <v>4</v>
      </c>
    </row>
    <row r="1631" spans="1:4">
      <c r="A1631" s="10" t="s">
        <v>578</v>
      </c>
      <c r="B1631" s="12" t="s">
        <v>579</v>
      </c>
      <c r="C1631" s="12" t="s">
        <v>1847</v>
      </c>
      <c r="D1631" s="7">
        <v>1</v>
      </c>
    </row>
    <row r="1632" spans="1:4">
      <c r="A1632" s="10" t="s">
        <v>261</v>
      </c>
      <c r="B1632" s="12" t="s">
        <v>262</v>
      </c>
      <c r="C1632" s="12" t="s">
        <v>1846</v>
      </c>
      <c r="D1632" s="7">
        <v>2.5</v>
      </c>
    </row>
    <row r="1633" spans="1:4">
      <c r="A1633" s="10" t="s">
        <v>261</v>
      </c>
      <c r="B1633" s="12" t="s">
        <v>262</v>
      </c>
      <c r="C1633" s="12" t="s">
        <v>1847</v>
      </c>
      <c r="D1633" s="7">
        <v>16.5</v>
      </c>
    </row>
    <row r="1634" spans="1:4">
      <c r="A1634" s="10" t="s">
        <v>1452</v>
      </c>
      <c r="B1634" s="12" t="s">
        <v>1453</v>
      </c>
      <c r="C1634" s="12" t="s">
        <v>1846</v>
      </c>
      <c r="D1634" s="7">
        <v>3.5</v>
      </c>
    </row>
    <row r="1635" spans="1:4">
      <c r="A1635" s="10" t="s">
        <v>1452</v>
      </c>
      <c r="B1635" s="12" t="s">
        <v>1453</v>
      </c>
      <c r="C1635" s="12" t="s">
        <v>1847</v>
      </c>
      <c r="D1635" s="7">
        <v>16.5</v>
      </c>
    </row>
    <row r="1636" spans="1:4">
      <c r="A1636" s="10" t="s">
        <v>847</v>
      </c>
      <c r="B1636" s="12" t="s">
        <v>848</v>
      </c>
      <c r="C1636" s="12" t="s">
        <v>1846</v>
      </c>
      <c r="D1636" s="7">
        <v>19</v>
      </c>
    </row>
    <row r="1637" spans="1:4">
      <c r="A1637" s="10" t="s">
        <v>1402</v>
      </c>
      <c r="B1637" s="12" t="s">
        <v>1403</v>
      </c>
      <c r="C1637" s="12" t="s">
        <v>1847</v>
      </c>
      <c r="D1637" s="7">
        <v>4</v>
      </c>
    </row>
    <row r="1638" spans="1:4">
      <c r="A1638" s="10" t="s">
        <v>847</v>
      </c>
      <c r="B1638" s="12" t="s">
        <v>848</v>
      </c>
      <c r="C1638" s="12" t="s">
        <v>1847</v>
      </c>
      <c r="D1638" s="7">
        <v>1</v>
      </c>
    </row>
    <row r="1639" spans="1:4">
      <c r="A1639" s="10" t="s">
        <v>572</v>
      </c>
      <c r="B1639" s="12" t="s">
        <v>62</v>
      </c>
      <c r="C1639" s="12" t="s">
        <v>1846</v>
      </c>
      <c r="D1639" s="7">
        <v>16</v>
      </c>
    </row>
    <row r="1640" spans="1:4">
      <c r="A1640" s="10" t="s">
        <v>572</v>
      </c>
      <c r="B1640" s="12" t="s">
        <v>62</v>
      </c>
      <c r="C1640" s="12" t="s">
        <v>1847</v>
      </c>
      <c r="D1640" s="7">
        <v>1</v>
      </c>
    </row>
    <row r="1641" spans="1:4">
      <c r="A1641" s="10" t="s">
        <v>1470</v>
      </c>
      <c r="B1641" s="12" t="s">
        <v>1471</v>
      </c>
      <c r="C1641" s="12" t="s">
        <v>1847</v>
      </c>
      <c r="D1641" s="7">
        <v>0.5</v>
      </c>
    </row>
    <row r="1642" spans="1:4">
      <c r="A1642" s="10" t="s">
        <v>786</v>
      </c>
      <c r="B1642" s="12" t="s">
        <v>787</v>
      </c>
      <c r="C1642" s="12" t="s">
        <v>1846</v>
      </c>
      <c r="D1642" s="7">
        <v>3</v>
      </c>
    </row>
    <row r="1643" spans="1:4">
      <c r="A1643" s="10" t="s">
        <v>1525</v>
      </c>
      <c r="B1643" s="12" t="s">
        <v>1526</v>
      </c>
      <c r="C1643" s="12" t="s">
        <v>1846</v>
      </c>
      <c r="D1643" s="7">
        <v>19</v>
      </c>
    </row>
    <row r="1644" spans="1:4">
      <c r="A1644" s="10" t="s">
        <v>445</v>
      </c>
      <c r="B1644" s="12" t="s">
        <v>446</v>
      </c>
      <c r="C1644" s="12" t="s">
        <v>1847</v>
      </c>
      <c r="D1644" s="7">
        <v>20</v>
      </c>
    </row>
    <row r="1645" spans="1:4">
      <c r="A1645" s="10" t="s">
        <v>614</v>
      </c>
      <c r="B1645" s="12" t="s">
        <v>615</v>
      </c>
      <c r="C1645" s="12" t="s">
        <v>1846</v>
      </c>
      <c r="D1645" s="7">
        <v>9</v>
      </c>
    </row>
    <row r="1646" spans="1:4">
      <c r="A1646" s="10" t="s">
        <v>1531</v>
      </c>
      <c r="B1646" s="12" t="s">
        <v>1532</v>
      </c>
      <c r="C1646" s="12" t="s">
        <v>1847</v>
      </c>
      <c r="D1646" s="7">
        <v>1</v>
      </c>
    </row>
    <row r="1647" spans="1:4">
      <c r="A1647" s="10" t="s">
        <v>1531</v>
      </c>
      <c r="B1647" s="12" t="s">
        <v>1532</v>
      </c>
      <c r="C1647" s="12" t="s">
        <v>1846</v>
      </c>
      <c r="D1647" s="7">
        <v>16</v>
      </c>
    </row>
    <row r="1648" spans="1:4">
      <c r="A1648" s="10" t="s">
        <v>1531</v>
      </c>
      <c r="B1648" s="12" t="s">
        <v>1532</v>
      </c>
      <c r="C1648" s="12" t="s">
        <v>1847</v>
      </c>
      <c r="D1648" s="7">
        <v>3</v>
      </c>
    </row>
    <row r="1649" spans="1:4">
      <c r="A1649" s="10" t="s">
        <v>614</v>
      </c>
      <c r="B1649" s="12" t="s">
        <v>615</v>
      </c>
      <c r="C1649" s="12" t="s">
        <v>1847</v>
      </c>
      <c r="D1649" s="7">
        <v>2</v>
      </c>
    </row>
    <row r="1650" spans="1:4">
      <c r="A1650" s="10" t="s">
        <v>295</v>
      </c>
      <c r="B1650" s="12" t="s">
        <v>296</v>
      </c>
      <c r="C1650" s="12" t="s">
        <v>1846</v>
      </c>
      <c r="D1650" s="7">
        <v>18</v>
      </c>
    </row>
    <row r="1651" spans="1:4">
      <c r="A1651" s="10" t="s">
        <v>427</v>
      </c>
      <c r="B1651" s="12" t="s">
        <v>428</v>
      </c>
      <c r="C1651" s="12" t="s">
        <v>1847</v>
      </c>
      <c r="D1651" s="7">
        <v>7.5</v>
      </c>
    </row>
    <row r="1652" spans="1:4">
      <c r="A1652" s="10" t="s">
        <v>463</v>
      </c>
      <c r="B1652" s="12" t="s">
        <v>464</v>
      </c>
      <c r="C1652" s="12" t="s">
        <v>1846</v>
      </c>
      <c r="D1652" s="7">
        <v>20</v>
      </c>
    </row>
    <row r="1653" spans="1:4">
      <c r="A1653" s="10" t="s">
        <v>718</v>
      </c>
      <c r="B1653" s="12" t="s">
        <v>719</v>
      </c>
      <c r="C1653" s="12" t="s">
        <v>1847</v>
      </c>
      <c r="D1653" s="7">
        <v>14</v>
      </c>
    </row>
    <row r="1654" spans="1:4">
      <c r="A1654" s="10" t="s">
        <v>1597</v>
      </c>
      <c r="B1654" s="12" t="s">
        <v>1598</v>
      </c>
      <c r="C1654" s="12" t="s">
        <v>1847</v>
      </c>
      <c r="D1654" s="7">
        <v>12</v>
      </c>
    </row>
    <row r="1655" spans="1:4">
      <c r="A1655" s="10" t="s">
        <v>872</v>
      </c>
      <c r="B1655" s="12" t="s">
        <v>51</v>
      </c>
      <c r="C1655" s="12" t="s">
        <v>1846</v>
      </c>
      <c r="D1655" s="7">
        <v>13</v>
      </c>
    </row>
    <row r="1656" spans="1:4">
      <c r="A1656" s="10" t="s">
        <v>668</v>
      </c>
      <c r="B1656" s="12" t="s">
        <v>669</v>
      </c>
      <c r="C1656" s="12" t="s">
        <v>1846</v>
      </c>
      <c r="D1656" s="7">
        <v>20</v>
      </c>
    </row>
    <row r="1657" spans="1:4">
      <c r="A1657" s="10" t="s">
        <v>1263</v>
      </c>
      <c r="B1657" s="12" t="s">
        <v>1264</v>
      </c>
      <c r="C1657" s="12" t="s">
        <v>1847</v>
      </c>
      <c r="D1657" s="7">
        <v>19</v>
      </c>
    </row>
    <row r="1658" spans="1:4">
      <c r="A1658" s="10" t="s">
        <v>771</v>
      </c>
      <c r="B1658" s="12" t="s">
        <v>772</v>
      </c>
      <c r="C1658" s="12" t="s">
        <v>1846</v>
      </c>
      <c r="D1658" s="7">
        <v>20</v>
      </c>
    </row>
    <row r="1659" spans="1:4">
      <c r="A1659" s="10" t="s">
        <v>862</v>
      </c>
      <c r="B1659" s="12" t="s">
        <v>863</v>
      </c>
      <c r="C1659" s="12" t="s">
        <v>1846</v>
      </c>
      <c r="D1659" s="7">
        <v>20</v>
      </c>
    </row>
    <row r="1660" spans="1:4">
      <c r="A1660" s="10" t="s">
        <v>1223</v>
      </c>
      <c r="B1660" s="12" t="s">
        <v>1224</v>
      </c>
      <c r="C1660" s="12" t="s">
        <v>1846</v>
      </c>
      <c r="D1660" s="7">
        <v>8.5</v>
      </c>
    </row>
    <row r="1661" spans="1:4">
      <c r="A1661" s="10" t="s">
        <v>1223</v>
      </c>
      <c r="B1661" s="12" t="s">
        <v>1224</v>
      </c>
      <c r="C1661" s="12" t="s">
        <v>1846</v>
      </c>
      <c r="D1661" s="7">
        <v>9</v>
      </c>
    </row>
    <row r="1662" spans="1:4">
      <c r="A1662" s="10" t="s">
        <v>588</v>
      </c>
      <c r="B1662" s="12" t="s">
        <v>589</v>
      </c>
      <c r="C1662" s="12" t="s">
        <v>1847</v>
      </c>
      <c r="D1662" s="7">
        <v>5</v>
      </c>
    </row>
    <row r="1663" spans="1:4">
      <c r="A1663" s="10" t="s">
        <v>588</v>
      </c>
      <c r="B1663" s="12" t="s">
        <v>589</v>
      </c>
      <c r="C1663" s="12" t="s">
        <v>1847</v>
      </c>
      <c r="D1663" s="7">
        <v>15</v>
      </c>
    </row>
    <row r="1664" spans="1:4">
      <c r="A1664" s="10" t="s">
        <v>948</v>
      </c>
      <c r="B1664" s="12" t="s">
        <v>949</v>
      </c>
      <c r="C1664" s="12" t="s">
        <v>1846</v>
      </c>
      <c r="D1664" s="7">
        <v>20</v>
      </c>
    </row>
    <row r="1665" spans="1:4">
      <c r="A1665" s="10" t="s">
        <v>1091</v>
      </c>
      <c r="B1665" s="12" t="s">
        <v>1092</v>
      </c>
      <c r="C1665" s="12" t="s">
        <v>1846</v>
      </c>
      <c r="D1665" s="7">
        <v>20</v>
      </c>
    </row>
    <row r="1666" spans="1:4">
      <c r="A1666" s="10" t="s">
        <v>815</v>
      </c>
      <c r="B1666" s="12" t="s">
        <v>816</v>
      </c>
      <c r="C1666" s="12" t="s">
        <v>1846</v>
      </c>
      <c r="D1666" s="7">
        <v>20</v>
      </c>
    </row>
    <row r="1667" spans="1:4">
      <c r="A1667" s="10" t="s">
        <v>1284</v>
      </c>
      <c r="B1667" s="12" t="s">
        <v>1285</v>
      </c>
      <c r="C1667" s="12" t="s">
        <v>1846</v>
      </c>
      <c r="D1667" s="7">
        <v>20</v>
      </c>
    </row>
    <row r="1668" spans="1:4">
      <c r="A1668" s="10" t="s">
        <v>922</v>
      </c>
      <c r="B1668" s="12" t="s">
        <v>923</v>
      </c>
      <c r="C1668" s="12" t="s">
        <v>1846</v>
      </c>
      <c r="D1668" s="7">
        <v>20</v>
      </c>
    </row>
    <row r="1669" spans="1:4">
      <c r="A1669" s="10" t="s">
        <v>1412</v>
      </c>
      <c r="B1669" s="12" t="s">
        <v>1413</v>
      </c>
      <c r="C1669" s="12" t="s">
        <v>1846</v>
      </c>
      <c r="D1669" s="7">
        <v>19.5</v>
      </c>
    </row>
    <row r="1670" spans="1:4">
      <c r="A1670" s="10" t="s">
        <v>1457</v>
      </c>
      <c r="B1670" s="12" t="s">
        <v>1458</v>
      </c>
      <c r="C1670" s="12" t="s">
        <v>1846</v>
      </c>
      <c r="D1670" s="7">
        <v>1</v>
      </c>
    </row>
    <row r="1671" spans="1:4">
      <c r="A1671" s="10" t="s">
        <v>712</v>
      </c>
      <c r="B1671" s="12" t="s">
        <v>713</v>
      </c>
      <c r="C1671" s="12" t="s">
        <v>1846</v>
      </c>
      <c r="D1671" s="7">
        <v>19.5</v>
      </c>
    </row>
    <row r="1672" spans="1:4">
      <c r="A1672" s="10" t="s">
        <v>872</v>
      </c>
      <c r="B1672" s="12" t="s">
        <v>51</v>
      </c>
      <c r="C1672" s="12" t="s">
        <v>1847</v>
      </c>
      <c r="D1672" s="7">
        <v>1</v>
      </c>
    </row>
    <row r="1673" spans="1:4">
      <c r="A1673" s="10" t="s">
        <v>514</v>
      </c>
      <c r="B1673" s="12" t="s">
        <v>515</v>
      </c>
      <c r="C1673" s="12" t="s">
        <v>1846</v>
      </c>
      <c r="D1673" s="7">
        <v>10</v>
      </c>
    </row>
    <row r="1674" spans="1:4">
      <c r="A1674" s="10" t="s">
        <v>514</v>
      </c>
      <c r="B1674" s="12" t="s">
        <v>515</v>
      </c>
      <c r="C1674" s="12" t="s">
        <v>1846</v>
      </c>
      <c r="D1674" s="7">
        <v>10</v>
      </c>
    </row>
    <row r="1675" spans="1:4">
      <c r="A1675" s="10" t="s">
        <v>1377</v>
      </c>
      <c r="B1675" s="12" t="s">
        <v>1378</v>
      </c>
      <c r="C1675" s="12" t="s">
        <v>1846</v>
      </c>
      <c r="D1675" s="7">
        <v>20</v>
      </c>
    </row>
    <row r="1676" spans="1:4">
      <c r="A1676" s="10" t="s">
        <v>1460</v>
      </c>
      <c r="B1676" s="12" t="s">
        <v>1461</v>
      </c>
      <c r="C1676" s="12" t="s">
        <v>1847</v>
      </c>
      <c r="D1676" s="7">
        <v>3.5</v>
      </c>
    </row>
    <row r="1677" spans="1:4">
      <c r="A1677" s="10" t="s">
        <v>1460</v>
      </c>
      <c r="B1677" s="12" t="s">
        <v>1461</v>
      </c>
      <c r="C1677" s="12" t="s">
        <v>1846</v>
      </c>
      <c r="D1677" s="7">
        <v>1.5</v>
      </c>
    </row>
    <row r="1678" spans="1:4">
      <c r="A1678" s="10" t="s">
        <v>529</v>
      </c>
      <c r="B1678" s="12" t="s">
        <v>30</v>
      </c>
      <c r="C1678" s="12" t="s">
        <v>1847</v>
      </c>
      <c r="D1678" s="7">
        <v>20</v>
      </c>
    </row>
    <row r="1679" spans="1:4">
      <c r="A1679" s="10" t="s">
        <v>1136</v>
      </c>
      <c r="B1679" s="12" t="s">
        <v>56</v>
      </c>
      <c r="C1679" s="12" t="s">
        <v>1846</v>
      </c>
      <c r="D1679" s="7">
        <v>10</v>
      </c>
    </row>
    <row r="1680" spans="1:4">
      <c r="A1680" s="10" t="s">
        <v>1103</v>
      </c>
      <c r="B1680" s="12" t="s">
        <v>1104</v>
      </c>
      <c r="C1680" s="12" t="s">
        <v>1846</v>
      </c>
      <c r="D1680" s="7">
        <v>9</v>
      </c>
    </row>
    <row r="1681" spans="1:4">
      <c r="A1681" s="10" t="s">
        <v>1305</v>
      </c>
      <c r="B1681" s="12" t="s">
        <v>1306</v>
      </c>
      <c r="C1681" s="12" t="s">
        <v>1846</v>
      </c>
      <c r="D1681" s="7">
        <v>12.5</v>
      </c>
    </row>
    <row r="1682" spans="1:4">
      <c r="A1682" s="10" t="s">
        <v>231</v>
      </c>
      <c r="B1682" s="12" t="s">
        <v>232</v>
      </c>
      <c r="C1682" s="12" t="s">
        <v>1846</v>
      </c>
      <c r="D1682" s="7">
        <v>17</v>
      </c>
    </row>
    <row r="1683" spans="1:4">
      <c r="A1683" s="10" t="s">
        <v>1258</v>
      </c>
      <c r="B1683" s="12" t="s">
        <v>1259</v>
      </c>
      <c r="C1683" s="12" t="s">
        <v>1845</v>
      </c>
      <c r="D1683" s="7">
        <v>2</v>
      </c>
    </row>
    <row r="1684" spans="1:4">
      <c r="A1684" s="10" t="s">
        <v>1610</v>
      </c>
      <c r="B1684" s="12" t="s">
        <v>1611</v>
      </c>
      <c r="C1684" s="12" t="s">
        <v>1847</v>
      </c>
      <c r="D1684" s="7">
        <v>19</v>
      </c>
    </row>
    <row r="1685" spans="1:4">
      <c r="A1685" s="10" t="s">
        <v>1400</v>
      </c>
      <c r="B1685" s="12" t="s">
        <v>1401</v>
      </c>
      <c r="C1685" s="12" t="s">
        <v>1846</v>
      </c>
      <c r="D1685" s="7">
        <v>20</v>
      </c>
    </row>
    <row r="1686" spans="1:4">
      <c r="A1686" s="10" t="s">
        <v>686</v>
      </c>
      <c r="B1686" s="12" t="s">
        <v>687</v>
      </c>
      <c r="C1686" s="12" t="s">
        <v>1846</v>
      </c>
      <c r="D1686" s="7">
        <v>20</v>
      </c>
    </row>
    <row r="1687" spans="1:4">
      <c r="A1687" s="10" t="s">
        <v>1292</v>
      </c>
      <c r="B1687" s="12" t="s">
        <v>74</v>
      </c>
      <c r="C1687" s="12" t="s">
        <v>1847</v>
      </c>
      <c r="D1687" s="7">
        <v>1</v>
      </c>
    </row>
    <row r="1688" spans="1:4">
      <c r="A1688" s="10" t="s">
        <v>1292</v>
      </c>
      <c r="B1688" s="12" t="s">
        <v>74</v>
      </c>
      <c r="C1688" s="12" t="s">
        <v>1847</v>
      </c>
      <c r="D1688" s="7">
        <v>15</v>
      </c>
    </row>
    <row r="1689" spans="1:4">
      <c r="A1689" s="10" t="s">
        <v>1292</v>
      </c>
      <c r="B1689" s="12" t="s">
        <v>74</v>
      </c>
      <c r="C1689" s="12" t="s">
        <v>1843</v>
      </c>
      <c r="D1689" s="7">
        <v>4</v>
      </c>
    </row>
    <row r="1690" spans="1:4">
      <c r="A1690" s="10" t="s">
        <v>1421</v>
      </c>
      <c r="B1690" s="12" t="s">
        <v>1422</v>
      </c>
      <c r="C1690" s="12" t="s">
        <v>1847</v>
      </c>
      <c r="D1690" s="7">
        <v>10.5</v>
      </c>
    </row>
    <row r="1691" spans="1:4">
      <c r="A1691" s="10" t="s">
        <v>1078</v>
      </c>
      <c r="B1691" s="12" t="s">
        <v>1079</v>
      </c>
      <c r="C1691" s="12" t="s">
        <v>1847</v>
      </c>
      <c r="D1691" s="7">
        <v>16.5</v>
      </c>
    </row>
    <row r="1692" spans="1:4">
      <c r="A1692" s="10" t="s">
        <v>1341</v>
      </c>
      <c r="B1692" s="12" t="s">
        <v>1342</v>
      </c>
      <c r="C1692" s="12" t="s">
        <v>1846</v>
      </c>
      <c r="D1692" s="7">
        <v>14</v>
      </c>
    </row>
    <row r="1693" spans="1:4">
      <c r="A1693" s="10" t="s">
        <v>1341</v>
      </c>
      <c r="B1693" s="12" t="s">
        <v>1342</v>
      </c>
      <c r="C1693" s="12" t="s">
        <v>1847</v>
      </c>
      <c r="D1693" s="7">
        <v>6</v>
      </c>
    </row>
    <row r="1694" spans="1:4">
      <c r="A1694" s="10" t="s">
        <v>244</v>
      </c>
      <c r="B1694" s="12" t="s">
        <v>245</v>
      </c>
      <c r="C1694" s="12" t="s">
        <v>1846</v>
      </c>
      <c r="D1694" s="7">
        <v>20</v>
      </c>
    </row>
    <row r="1695" spans="1:4">
      <c r="A1695" s="10" t="s">
        <v>996</v>
      </c>
      <c r="B1695" s="12" t="s">
        <v>997</v>
      </c>
      <c r="C1695" s="12" t="s">
        <v>1847</v>
      </c>
      <c r="D1695" s="7">
        <v>1</v>
      </c>
    </row>
    <row r="1696" spans="1:4">
      <c r="A1696" s="10" t="s">
        <v>1502</v>
      </c>
      <c r="B1696" s="12" t="s">
        <v>7</v>
      </c>
      <c r="C1696" s="12" t="s">
        <v>1846</v>
      </c>
      <c r="D1696" s="7">
        <v>19.5</v>
      </c>
    </row>
    <row r="1697" spans="1:4">
      <c r="A1697" s="10" t="s">
        <v>1502</v>
      </c>
      <c r="B1697" s="12" t="s">
        <v>7</v>
      </c>
      <c r="C1697" s="12" t="s">
        <v>1847</v>
      </c>
      <c r="D1697" s="7">
        <v>0.5</v>
      </c>
    </row>
    <row r="1698" spans="1:4">
      <c r="A1698" s="10" t="s">
        <v>1503</v>
      </c>
      <c r="B1698" s="12" t="s">
        <v>1504</v>
      </c>
      <c r="C1698" s="12" t="s">
        <v>1846</v>
      </c>
      <c r="D1698" s="7">
        <v>14</v>
      </c>
    </row>
    <row r="1699" spans="1:4">
      <c r="A1699" s="10" t="s">
        <v>1503</v>
      </c>
      <c r="B1699" s="12" t="s">
        <v>1504</v>
      </c>
      <c r="C1699" s="12" t="s">
        <v>1847</v>
      </c>
      <c r="D1699" s="7">
        <v>6</v>
      </c>
    </row>
    <row r="1700" spans="1:4">
      <c r="A1700" s="10" t="s">
        <v>1692</v>
      </c>
      <c r="B1700" s="12" t="s">
        <v>1693</v>
      </c>
      <c r="C1700" s="12" t="s">
        <v>1847</v>
      </c>
      <c r="D1700" s="7">
        <v>0.5</v>
      </c>
    </row>
    <row r="1701" spans="1:4">
      <c r="A1701" s="10" t="s">
        <v>1692</v>
      </c>
      <c r="B1701" s="12" t="s">
        <v>1693</v>
      </c>
      <c r="C1701" s="12" t="s">
        <v>1847</v>
      </c>
      <c r="D1701" s="7">
        <v>15.5</v>
      </c>
    </row>
    <row r="1702" spans="1:4">
      <c r="A1702" s="10" t="s">
        <v>1464</v>
      </c>
      <c r="B1702" s="12" t="s">
        <v>1465</v>
      </c>
      <c r="C1702" s="12" t="s">
        <v>1846</v>
      </c>
      <c r="D1702" s="7">
        <v>2</v>
      </c>
    </row>
    <row r="1703" spans="1:4">
      <c r="A1703" s="10" t="s">
        <v>1464</v>
      </c>
      <c r="B1703" s="12" t="s">
        <v>1465</v>
      </c>
      <c r="C1703" s="12" t="s">
        <v>1847</v>
      </c>
      <c r="D1703" s="7">
        <v>15</v>
      </c>
    </row>
    <row r="1704" spans="1:4">
      <c r="A1704" s="10" t="s">
        <v>1189</v>
      </c>
      <c r="B1704" s="12" t="s">
        <v>68</v>
      </c>
      <c r="C1704" s="12" t="s">
        <v>1847</v>
      </c>
      <c r="D1704" s="7">
        <v>2.5</v>
      </c>
    </row>
    <row r="1705" spans="1:4">
      <c r="A1705" s="10" t="s">
        <v>1189</v>
      </c>
      <c r="B1705" s="12" t="s">
        <v>68</v>
      </c>
      <c r="C1705" s="12" t="s">
        <v>1847</v>
      </c>
      <c r="D1705" s="7">
        <v>9</v>
      </c>
    </row>
    <row r="1706" spans="1:4">
      <c r="A1706" s="10" t="s">
        <v>1339</v>
      </c>
      <c r="B1706" s="12" t="s">
        <v>1340</v>
      </c>
      <c r="C1706" s="12" t="s">
        <v>1846</v>
      </c>
      <c r="D1706" s="7">
        <v>10</v>
      </c>
    </row>
    <row r="1707" spans="1:4">
      <c r="A1707" s="10" t="s">
        <v>381</v>
      </c>
      <c r="B1707" s="12" t="s">
        <v>382</v>
      </c>
      <c r="C1707" s="12" t="s">
        <v>1846</v>
      </c>
      <c r="D1707" s="7">
        <v>9.5</v>
      </c>
    </row>
    <row r="1708" spans="1:4">
      <c r="A1708" s="10" t="s">
        <v>1339</v>
      </c>
      <c r="B1708" s="12" t="s">
        <v>1340</v>
      </c>
      <c r="C1708" s="12" t="s">
        <v>1847</v>
      </c>
      <c r="D1708" s="7">
        <v>8.5</v>
      </c>
    </row>
    <row r="1709" spans="1:4">
      <c r="A1709" s="10" t="s">
        <v>1097</v>
      </c>
      <c r="B1709" s="12" t="s">
        <v>1098</v>
      </c>
      <c r="C1709" s="12" t="s">
        <v>1847</v>
      </c>
      <c r="D1709" s="7">
        <v>0.5</v>
      </c>
    </row>
    <row r="1710" spans="1:4">
      <c r="A1710" s="10" t="s">
        <v>1097</v>
      </c>
      <c r="B1710" s="12" t="s">
        <v>1098</v>
      </c>
      <c r="C1710" s="12" t="s">
        <v>1846</v>
      </c>
      <c r="D1710" s="7">
        <v>19.5</v>
      </c>
    </row>
    <row r="1711" spans="1:4">
      <c r="A1711" s="10" t="s">
        <v>695</v>
      </c>
      <c r="B1711" s="12" t="s">
        <v>34</v>
      </c>
      <c r="C1711" s="12" t="s">
        <v>1846</v>
      </c>
      <c r="D1711" s="7">
        <v>3</v>
      </c>
    </row>
    <row r="1712" spans="1:4">
      <c r="A1712" s="10" t="s">
        <v>695</v>
      </c>
      <c r="B1712" s="12" t="s">
        <v>34</v>
      </c>
      <c r="C1712" s="12" t="s">
        <v>1846</v>
      </c>
      <c r="D1712" s="7">
        <v>1</v>
      </c>
    </row>
    <row r="1713" spans="1:4">
      <c r="A1713" s="10" t="s">
        <v>695</v>
      </c>
      <c r="B1713" s="12" t="s">
        <v>34</v>
      </c>
      <c r="C1713" s="12" t="s">
        <v>1846</v>
      </c>
      <c r="D1713" s="7">
        <v>1</v>
      </c>
    </row>
    <row r="1714" spans="1:4">
      <c r="A1714" s="10" t="s">
        <v>695</v>
      </c>
      <c r="B1714" s="12" t="s">
        <v>34</v>
      </c>
      <c r="C1714" s="12" t="s">
        <v>1846</v>
      </c>
      <c r="D1714" s="7">
        <v>1</v>
      </c>
    </row>
    <row r="1715" spans="1:4">
      <c r="A1715" s="10" t="s">
        <v>695</v>
      </c>
      <c r="B1715" s="12" t="s">
        <v>34</v>
      </c>
      <c r="C1715" s="12" t="s">
        <v>1847</v>
      </c>
      <c r="D1715" s="7">
        <v>5</v>
      </c>
    </row>
    <row r="1716" spans="1:4">
      <c r="A1716" s="10" t="s">
        <v>695</v>
      </c>
      <c r="B1716" s="12" t="s">
        <v>34</v>
      </c>
      <c r="C1716" s="12" t="s">
        <v>1847</v>
      </c>
      <c r="D1716" s="7">
        <v>3</v>
      </c>
    </row>
    <row r="1717" spans="1:4">
      <c r="A1717" s="10" t="s">
        <v>695</v>
      </c>
      <c r="B1717" s="12" t="s">
        <v>34</v>
      </c>
      <c r="C1717" s="12" t="s">
        <v>1847</v>
      </c>
      <c r="D1717" s="7">
        <v>6</v>
      </c>
    </row>
    <row r="1718" spans="1:4">
      <c r="A1718" s="10" t="s">
        <v>1460</v>
      </c>
      <c r="B1718" s="12" t="s">
        <v>1461</v>
      </c>
      <c r="C1718" s="12" t="s">
        <v>1847</v>
      </c>
      <c r="D1718" s="7">
        <v>9</v>
      </c>
    </row>
    <row r="1719" spans="1:4">
      <c r="A1719" s="10" t="s">
        <v>773</v>
      </c>
      <c r="B1719" s="12" t="s">
        <v>78</v>
      </c>
      <c r="C1719" s="12" t="s">
        <v>1847</v>
      </c>
      <c r="D1719" s="7">
        <v>1</v>
      </c>
    </row>
    <row r="1720" spans="1:4">
      <c r="A1720" s="10" t="s">
        <v>775</v>
      </c>
      <c r="B1720" s="12" t="s">
        <v>776</v>
      </c>
      <c r="C1720" s="12" t="s">
        <v>1846</v>
      </c>
      <c r="D1720" s="7">
        <v>17</v>
      </c>
    </row>
    <row r="1721" spans="1:4">
      <c r="A1721" s="10" t="s">
        <v>1189</v>
      </c>
      <c r="B1721" s="12" t="s">
        <v>68</v>
      </c>
      <c r="C1721" s="12" t="s">
        <v>1847</v>
      </c>
      <c r="D1721" s="7">
        <v>1</v>
      </c>
    </row>
    <row r="1722" spans="1:4">
      <c r="A1722" s="10" t="s">
        <v>1189</v>
      </c>
      <c r="B1722" s="12" t="s">
        <v>68</v>
      </c>
      <c r="C1722" s="12" t="s">
        <v>1846</v>
      </c>
      <c r="D1722" s="7">
        <v>7.5</v>
      </c>
    </row>
    <row r="1723" spans="1:4">
      <c r="A1723" s="10" t="s">
        <v>775</v>
      </c>
      <c r="B1723" s="12" t="s">
        <v>776</v>
      </c>
      <c r="C1723" s="12" t="s">
        <v>1847</v>
      </c>
      <c r="D1723" s="7">
        <v>1.5</v>
      </c>
    </row>
    <row r="1724" spans="1:4">
      <c r="A1724" s="10" t="s">
        <v>938</v>
      </c>
      <c r="B1724" s="12" t="s">
        <v>939</v>
      </c>
      <c r="C1724" s="12" t="s">
        <v>1847</v>
      </c>
      <c r="D1724" s="7">
        <v>18.5</v>
      </c>
    </row>
    <row r="1725" spans="1:4">
      <c r="A1725" s="10" t="s">
        <v>938</v>
      </c>
      <c r="B1725" s="12" t="s">
        <v>939</v>
      </c>
      <c r="C1725" s="12" t="s">
        <v>1848</v>
      </c>
      <c r="D1725" s="7">
        <v>1.5</v>
      </c>
    </row>
    <row r="1726" spans="1:4">
      <c r="A1726" s="10" t="s">
        <v>1640</v>
      </c>
      <c r="B1726" s="12" t="s">
        <v>1641</v>
      </c>
      <c r="C1726" s="12" t="s">
        <v>1847</v>
      </c>
      <c r="D1726" s="7">
        <v>19</v>
      </c>
    </row>
    <row r="1727" spans="1:4">
      <c r="A1727" s="10" t="s">
        <v>1257</v>
      </c>
      <c r="B1727" s="12" t="s">
        <v>60</v>
      </c>
      <c r="C1727" s="12" t="s">
        <v>1847</v>
      </c>
      <c r="D1727" s="7">
        <v>15</v>
      </c>
    </row>
    <row r="1728" spans="1:4">
      <c r="A1728" s="10" t="s">
        <v>1257</v>
      </c>
      <c r="B1728" s="12" t="s">
        <v>60</v>
      </c>
      <c r="C1728" s="12" t="s">
        <v>1847</v>
      </c>
      <c r="D1728" s="7">
        <v>5</v>
      </c>
    </row>
    <row r="1729" spans="1:4">
      <c r="A1729" s="10" t="s">
        <v>754</v>
      </c>
      <c r="B1729" s="12" t="s">
        <v>755</v>
      </c>
      <c r="C1729" s="12" t="s">
        <v>1846</v>
      </c>
      <c r="D1729" s="7">
        <v>11</v>
      </c>
    </row>
    <row r="1730" spans="1:4">
      <c r="A1730" s="10" t="s">
        <v>346</v>
      </c>
      <c r="B1730" s="12" t="s">
        <v>347</v>
      </c>
      <c r="C1730" s="12" t="s">
        <v>1847</v>
      </c>
      <c r="D1730" s="7">
        <v>17.5</v>
      </c>
    </row>
    <row r="1731" spans="1:4">
      <c r="A1731" s="10" t="s">
        <v>598</v>
      </c>
      <c r="B1731" s="12" t="s">
        <v>599</v>
      </c>
      <c r="C1731" s="12" t="s">
        <v>1846</v>
      </c>
      <c r="D1731" s="7">
        <v>11</v>
      </c>
    </row>
    <row r="1732" spans="1:4">
      <c r="A1732" s="10" t="s">
        <v>410</v>
      </c>
      <c r="B1732" s="12" t="s">
        <v>411</v>
      </c>
      <c r="C1732" s="12" t="s">
        <v>1847</v>
      </c>
      <c r="D1732" s="7">
        <v>5.5</v>
      </c>
    </row>
    <row r="1733" spans="1:4">
      <c r="A1733" s="10" t="s">
        <v>410</v>
      </c>
      <c r="B1733" s="12" t="s">
        <v>411</v>
      </c>
      <c r="C1733" s="12" t="s">
        <v>1846</v>
      </c>
      <c r="D1733" s="7">
        <v>3</v>
      </c>
    </row>
    <row r="1734" spans="1:4">
      <c r="A1734" s="10" t="s">
        <v>775</v>
      </c>
      <c r="B1734" s="12" t="s">
        <v>776</v>
      </c>
      <c r="C1734" s="12" t="s">
        <v>1847</v>
      </c>
      <c r="D1734" s="7">
        <v>1</v>
      </c>
    </row>
    <row r="1735" spans="1:4">
      <c r="A1735" s="10" t="s">
        <v>886</v>
      </c>
      <c r="B1735" s="12" t="s">
        <v>887</v>
      </c>
      <c r="C1735" s="12" t="s">
        <v>1846</v>
      </c>
      <c r="D1735" s="7">
        <v>19</v>
      </c>
    </row>
    <row r="1736" spans="1:4">
      <c r="A1736" s="10" t="s">
        <v>448</v>
      </c>
      <c r="B1736" s="12" t="s">
        <v>449</v>
      </c>
      <c r="C1736" s="12" t="s">
        <v>1846</v>
      </c>
      <c r="D1736" s="7">
        <v>20</v>
      </c>
    </row>
    <row r="1737" spans="1:4">
      <c r="A1737" s="10" t="s">
        <v>1486</v>
      </c>
      <c r="B1737" s="12" t="s">
        <v>1487</v>
      </c>
      <c r="C1737" s="12" t="s">
        <v>1846</v>
      </c>
      <c r="D1737" s="7">
        <v>19</v>
      </c>
    </row>
    <row r="1738" spans="1:4">
      <c r="A1738" s="10" t="s">
        <v>289</v>
      </c>
      <c r="B1738" s="12" t="s">
        <v>44</v>
      </c>
      <c r="C1738" s="12" t="s">
        <v>1846</v>
      </c>
      <c r="D1738" s="7">
        <v>11</v>
      </c>
    </row>
    <row r="1739" spans="1:4">
      <c r="A1739" s="10" t="s">
        <v>289</v>
      </c>
      <c r="B1739" s="12" t="s">
        <v>44</v>
      </c>
      <c r="C1739" s="12" t="s">
        <v>1847</v>
      </c>
      <c r="D1739" s="7">
        <v>1</v>
      </c>
    </row>
    <row r="1740" spans="1:4">
      <c r="A1740" s="10" t="s">
        <v>1722</v>
      </c>
      <c r="B1740" s="12" t="s">
        <v>1723</v>
      </c>
      <c r="C1740" s="12" t="s">
        <v>1847</v>
      </c>
      <c r="D1740" s="7">
        <v>3</v>
      </c>
    </row>
    <row r="1741" spans="1:4">
      <c r="A1741" s="10" t="s">
        <v>1722</v>
      </c>
      <c r="B1741" s="12" t="s">
        <v>1723</v>
      </c>
      <c r="C1741" s="12" t="s">
        <v>1847</v>
      </c>
      <c r="D1741" s="7">
        <v>17</v>
      </c>
    </row>
    <row r="1742" spans="1:4">
      <c r="A1742" s="10" t="s">
        <v>1163</v>
      </c>
      <c r="B1742" s="12" t="s">
        <v>1164</v>
      </c>
      <c r="C1742" s="12" t="s">
        <v>1847</v>
      </c>
      <c r="D1742" s="7">
        <v>0.5</v>
      </c>
    </row>
    <row r="1743" spans="1:4">
      <c r="A1743" s="10" t="s">
        <v>1163</v>
      </c>
      <c r="B1743" s="12" t="s">
        <v>1164</v>
      </c>
      <c r="C1743" s="12" t="s">
        <v>1846</v>
      </c>
      <c r="D1743" s="7">
        <v>12.5</v>
      </c>
    </row>
    <row r="1744" spans="1:4">
      <c r="A1744" s="10" t="s">
        <v>196</v>
      </c>
      <c r="B1744" s="12" t="s">
        <v>197</v>
      </c>
      <c r="C1744" s="12" t="s">
        <v>1847</v>
      </c>
      <c r="D1744" s="7">
        <v>15</v>
      </c>
    </row>
    <row r="1745" spans="1:4">
      <c r="A1745" s="10" t="s">
        <v>678</v>
      </c>
      <c r="B1745" s="12" t="s">
        <v>679</v>
      </c>
      <c r="C1745" s="12" t="s">
        <v>1847</v>
      </c>
      <c r="D1745" s="7">
        <v>3.5</v>
      </c>
    </row>
    <row r="1746" spans="1:4">
      <c r="A1746" s="10" t="s">
        <v>678</v>
      </c>
      <c r="B1746" s="12" t="s">
        <v>679</v>
      </c>
      <c r="C1746" s="12" t="s">
        <v>1847</v>
      </c>
      <c r="D1746" s="7">
        <v>8.5</v>
      </c>
    </row>
    <row r="1747" spans="1:4">
      <c r="A1747" s="10" t="s">
        <v>678</v>
      </c>
      <c r="B1747" s="12" t="s">
        <v>679</v>
      </c>
      <c r="C1747" s="12" t="s">
        <v>1847</v>
      </c>
      <c r="D1747" s="7">
        <v>7.5</v>
      </c>
    </row>
    <row r="1748" spans="1:4">
      <c r="A1748" s="10" t="s">
        <v>439</v>
      </c>
      <c r="B1748" s="12" t="s">
        <v>440</v>
      </c>
      <c r="C1748" s="12" t="s">
        <v>1846</v>
      </c>
      <c r="D1748" s="7">
        <v>5</v>
      </c>
    </row>
    <row r="1749" spans="1:4">
      <c r="A1749" s="10" t="s">
        <v>439</v>
      </c>
      <c r="B1749" s="12" t="s">
        <v>440</v>
      </c>
      <c r="C1749" s="12" t="s">
        <v>1846</v>
      </c>
      <c r="D1749" s="7">
        <v>7.5</v>
      </c>
    </row>
    <row r="1750" spans="1:4">
      <c r="A1750" s="10" t="s">
        <v>439</v>
      </c>
      <c r="B1750" s="12" t="s">
        <v>440</v>
      </c>
      <c r="C1750" s="12" t="s">
        <v>1847</v>
      </c>
      <c r="D1750" s="7">
        <v>7.5</v>
      </c>
    </row>
    <row r="1751" spans="1:4">
      <c r="A1751" s="10" t="s">
        <v>1616</v>
      </c>
      <c r="B1751" s="12" t="s">
        <v>1617</v>
      </c>
      <c r="C1751" s="12" t="s">
        <v>1847</v>
      </c>
      <c r="D1751" s="7">
        <v>19</v>
      </c>
    </row>
    <row r="1752" spans="1:4">
      <c r="A1752" s="10" t="s">
        <v>196</v>
      </c>
      <c r="B1752" s="12" t="s">
        <v>197</v>
      </c>
      <c r="C1752" s="12" t="s">
        <v>1846</v>
      </c>
      <c r="D1752" s="7">
        <v>5</v>
      </c>
    </row>
    <row r="1753" spans="1:4">
      <c r="A1753" s="10" t="s">
        <v>598</v>
      </c>
      <c r="B1753" s="12" t="s">
        <v>599</v>
      </c>
      <c r="C1753" s="12" t="s">
        <v>1846</v>
      </c>
      <c r="D1753" s="7">
        <v>4</v>
      </c>
    </row>
    <row r="1754" spans="1:4">
      <c r="A1754" s="10" t="s">
        <v>1043</v>
      </c>
      <c r="B1754" s="12" t="s">
        <v>1044</v>
      </c>
      <c r="C1754" s="12" t="s">
        <v>1847</v>
      </c>
      <c r="D1754" s="7">
        <v>0.5</v>
      </c>
    </row>
    <row r="1755" spans="1:4">
      <c r="A1755" s="10" t="s">
        <v>1710</v>
      </c>
      <c r="B1755" s="12" t="s">
        <v>1711</v>
      </c>
      <c r="C1755" s="12" t="s">
        <v>1847</v>
      </c>
      <c r="D1755" s="7">
        <v>1</v>
      </c>
    </row>
    <row r="1756" spans="1:4">
      <c r="A1756" s="10" t="s">
        <v>1710</v>
      </c>
      <c r="B1756" s="12" t="s">
        <v>1711</v>
      </c>
      <c r="C1756" s="12" t="s">
        <v>1847</v>
      </c>
      <c r="D1756" s="7">
        <v>19</v>
      </c>
    </row>
    <row r="1757" spans="1:4">
      <c r="A1757" s="10" t="s">
        <v>598</v>
      </c>
      <c r="B1757" s="12" t="s">
        <v>599</v>
      </c>
      <c r="C1757" s="12" t="s">
        <v>1847</v>
      </c>
      <c r="D1757" s="7">
        <v>4</v>
      </c>
    </row>
    <row r="1758" spans="1:4">
      <c r="A1758" s="10" t="s">
        <v>1499</v>
      </c>
      <c r="B1758" s="12" t="s">
        <v>1500</v>
      </c>
      <c r="C1758" s="12" t="s">
        <v>1846</v>
      </c>
      <c r="D1758" s="7">
        <v>10</v>
      </c>
    </row>
    <row r="1759" spans="1:4">
      <c r="A1759" s="10" t="s">
        <v>698</v>
      </c>
      <c r="B1759" s="12" t="s">
        <v>699</v>
      </c>
      <c r="C1759" s="12" t="s">
        <v>1846</v>
      </c>
      <c r="D1759" s="7">
        <v>1</v>
      </c>
    </row>
    <row r="1760" spans="1:4">
      <c r="A1760" s="10" t="s">
        <v>698</v>
      </c>
      <c r="B1760" s="12" t="s">
        <v>699</v>
      </c>
      <c r="C1760" s="12" t="s">
        <v>1847</v>
      </c>
      <c r="D1760" s="7">
        <v>17</v>
      </c>
    </row>
    <row r="1761" spans="1:4">
      <c r="A1761" s="10" t="s">
        <v>1724</v>
      </c>
      <c r="B1761" s="12" t="s">
        <v>1725</v>
      </c>
      <c r="C1761" s="12" t="s">
        <v>1847</v>
      </c>
      <c r="D1761" s="7">
        <v>20</v>
      </c>
    </row>
    <row r="1762" spans="1:4">
      <c r="A1762" s="10" t="s">
        <v>864</v>
      </c>
      <c r="B1762" s="12" t="s">
        <v>865</v>
      </c>
      <c r="C1762" s="12" t="s">
        <v>1846</v>
      </c>
      <c r="D1762" s="7">
        <v>5.5</v>
      </c>
    </row>
    <row r="1763" spans="1:4">
      <c r="A1763" s="10" t="s">
        <v>952</v>
      </c>
      <c r="B1763" s="12" t="s">
        <v>953</v>
      </c>
      <c r="C1763" s="12" t="s">
        <v>1846</v>
      </c>
      <c r="D1763" s="7">
        <v>17</v>
      </c>
    </row>
    <row r="1764" spans="1:4">
      <c r="A1764" s="10" t="s">
        <v>326</v>
      </c>
      <c r="B1764" s="12" t="s">
        <v>327</v>
      </c>
      <c r="C1764" s="12" t="s">
        <v>1846</v>
      </c>
      <c r="D1764" s="7">
        <v>9</v>
      </c>
    </row>
    <row r="1765" spans="1:4">
      <c r="A1765" s="10" t="s">
        <v>1129</v>
      </c>
      <c r="B1765" s="12" t="s">
        <v>1130</v>
      </c>
      <c r="C1765" s="12" t="s">
        <v>1846</v>
      </c>
      <c r="D1765" s="7">
        <v>0.5</v>
      </c>
    </row>
    <row r="1766" spans="1:4">
      <c r="A1766" s="10" t="s">
        <v>1129</v>
      </c>
      <c r="B1766" s="12" t="s">
        <v>1130</v>
      </c>
      <c r="C1766" s="12" t="s">
        <v>1846</v>
      </c>
      <c r="D1766" s="7">
        <v>17.5</v>
      </c>
    </row>
    <row r="1767" spans="1:4">
      <c r="A1767" s="10" t="s">
        <v>441</v>
      </c>
      <c r="B1767" s="12" t="s">
        <v>442</v>
      </c>
      <c r="C1767" s="12" t="s">
        <v>1846</v>
      </c>
      <c r="D1767" s="7">
        <v>10</v>
      </c>
    </row>
    <row r="1768" spans="1:4">
      <c r="A1768" s="10" t="s">
        <v>1183</v>
      </c>
      <c r="B1768" s="12" t="s">
        <v>1184</v>
      </c>
      <c r="C1768" s="12" t="s">
        <v>1846</v>
      </c>
      <c r="D1768" s="7">
        <v>12</v>
      </c>
    </row>
    <row r="1769" spans="1:4">
      <c r="A1769" s="10" t="s">
        <v>1183</v>
      </c>
      <c r="B1769" s="12" t="s">
        <v>1184</v>
      </c>
      <c r="C1769" s="12" t="s">
        <v>1847</v>
      </c>
      <c r="D1769" s="7">
        <v>7</v>
      </c>
    </row>
    <row r="1770" spans="1:4">
      <c r="A1770" s="10" t="s">
        <v>389</v>
      </c>
      <c r="B1770" s="12" t="s">
        <v>22</v>
      </c>
      <c r="C1770" s="12" t="s">
        <v>1846</v>
      </c>
      <c r="D1770" s="7">
        <v>15.5</v>
      </c>
    </row>
    <row r="1771" spans="1:4">
      <c r="A1771" s="10" t="s">
        <v>551</v>
      </c>
      <c r="B1771" s="12" t="s">
        <v>552</v>
      </c>
      <c r="C1771" s="12" t="s">
        <v>1846</v>
      </c>
      <c r="D1771" s="7">
        <v>4</v>
      </c>
    </row>
    <row r="1772" spans="1:4">
      <c r="A1772" s="10" t="s">
        <v>551</v>
      </c>
      <c r="B1772" s="12" t="s">
        <v>552</v>
      </c>
      <c r="C1772" s="12" t="s">
        <v>1846</v>
      </c>
      <c r="D1772" s="7">
        <v>4</v>
      </c>
    </row>
    <row r="1773" spans="1:4">
      <c r="A1773" s="10" t="s">
        <v>389</v>
      </c>
      <c r="B1773" s="12" t="s">
        <v>22</v>
      </c>
      <c r="C1773" s="12" t="s">
        <v>1847</v>
      </c>
      <c r="D1773" s="7">
        <v>2</v>
      </c>
    </row>
    <row r="1774" spans="1:4">
      <c r="A1774" s="10" t="s">
        <v>389</v>
      </c>
      <c r="B1774" s="12" t="s">
        <v>22</v>
      </c>
      <c r="C1774" s="12" t="s">
        <v>1847</v>
      </c>
      <c r="D1774" s="7">
        <v>0.5</v>
      </c>
    </row>
    <row r="1775" spans="1:4">
      <c r="A1775" s="10" t="s">
        <v>389</v>
      </c>
      <c r="B1775" s="12" t="s">
        <v>22</v>
      </c>
      <c r="C1775" s="12" t="s">
        <v>1847</v>
      </c>
      <c r="D1775" s="7">
        <v>2</v>
      </c>
    </row>
    <row r="1776" spans="1:4">
      <c r="A1776" s="10" t="s">
        <v>1371</v>
      </c>
      <c r="B1776" s="12" t="s">
        <v>1372</v>
      </c>
      <c r="C1776" s="12" t="s">
        <v>1846</v>
      </c>
      <c r="D1776" s="7">
        <v>18</v>
      </c>
    </row>
    <row r="1777" spans="1:4">
      <c r="A1777" s="10" t="s">
        <v>1371</v>
      </c>
      <c r="B1777" s="12" t="s">
        <v>1372</v>
      </c>
      <c r="C1777" s="12" t="s">
        <v>1847</v>
      </c>
      <c r="D1777" s="7">
        <v>1</v>
      </c>
    </row>
    <row r="1778" spans="1:4">
      <c r="A1778" s="10" t="s">
        <v>878</v>
      </c>
      <c r="B1778" s="12" t="s">
        <v>879</v>
      </c>
      <c r="C1778" s="12" t="s">
        <v>1846</v>
      </c>
      <c r="D1778" s="7">
        <v>18</v>
      </c>
    </row>
    <row r="1779" spans="1:4">
      <c r="A1779" s="10" t="s">
        <v>1371</v>
      </c>
      <c r="B1779" s="12" t="s">
        <v>1372</v>
      </c>
      <c r="C1779" s="12" t="s">
        <v>1847</v>
      </c>
      <c r="D1779" s="7">
        <v>1</v>
      </c>
    </row>
    <row r="1780" spans="1:4">
      <c r="A1780" s="10" t="s">
        <v>362</v>
      </c>
      <c r="B1780" s="12" t="s">
        <v>363</v>
      </c>
      <c r="C1780" s="12" t="s">
        <v>1846</v>
      </c>
      <c r="D1780" s="7">
        <v>10</v>
      </c>
    </row>
    <row r="1781" spans="1:4">
      <c r="A1781" s="10" t="s">
        <v>1329</v>
      </c>
      <c r="B1781" s="12" t="s">
        <v>1330</v>
      </c>
      <c r="C1781" s="12" t="s">
        <v>1847</v>
      </c>
      <c r="D1781" s="7">
        <v>20</v>
      </c>
    </row>
    <row r="1782" spans="1:4">
      <c r="A1782" s="10" t="s">
        <v>362</v>
      </c>
      <c r="B1782" s="12" t="s">
        <v>363</v>
      </c>
      <c r="C1782" s="12" t="s">
        <v>1847</v>
      </c>
      <c r="D1782" s="7">
        <v>8</v>
      </c>
    </row>
    <row r="1783" spans="1:4">
      <c r="A1783" s="10" t="s">
        <v>368</v>
      </c>
      <c r="B1783" s="12" t="s">
        <v>369</v>
      </c>
      <c r="C1783" s="12" t="s">
        <v>1846</v>
      </c>
      <c r="D1783" s="7">
        <v>18</v>
      </c>
    </row>
    <row r="1784" spans="1:4">
      <c r="A1784" s="10" t="s">
        <v>1183</v>
      </c>
      <c r="B1784" s="12" t="s">
        <v>1184</v>
      </c>
      <c r="C1784" s="12" t="s">
        <v>1847</v>
      </c>
      <c r="D1784" s="7">
        <v>1</v>
      </c>
    </row>
    <row r="1785" spans="1:4">
      <c r="A1785" s="10" t="s">
        <v>1402</v>
      </c>
      <c r="B1785" s="12" t="s">
        <v>1403</v>
      </c>
      <c r="C1785" s="12" t="s">
        <v>1846</v>
      </c>
      <c r="D1785" s="7">
        <v>16</v>
      </c>
    </row>
    <row r="1786" spans="1:4">
      <c r="A1786" s="10" t="s">
        <v>1194</v>
      </c>
      <c r="B1786" s="12" t="s">
        <v>81</v>
      </c>
      <c r="C1786" s="12" t="s">
        <v>1846</v>
      </c>
      <c r="D1786" s="7">
        <v>19</v>
      </c>
    </row>
    <row r="1787" spans="1:4">
      <c r="A1787" s="10" t="s">
        <v>1088</v>
      </c>
      <c r="B1787" s="12" t="s">
        <v>82</v>
      </c>
      <c r="C1787" s="12" t="s">
        <v>1847</v>
      </c>
      <c r="D1787" s="7">
        <v>4</v>
      </c>
    </row>
    <row r="1788" spans="1:4">
      <c r="A1788" s="10" t="s">
        <v>1088</v>
      </c>
      <c r="B1788" s="12" t="s">
        <v>82</v>
      </c>
      <c r="C1788" s="12" t="s">
        <v>1847</v>
      </c>
      <c r="D1788" s="7">
        <v>4.5</v>
      </c>
    </row>
    <row r="1789" spans="1:4">
      <c r="A1789" s="10" t="s">
        <v>1194</v>
      </c>
      <c r="B1789" s="12" t="s">
        <v>81</v>
      </c>
      <c r="C1789" s="12" t="s">
        <v>1847</v>
      </c>
      <c r="D1789" s="7">
        <v>1</v>
      </c>
    </row>
    <row r="1790" spans="1:4">
      <c r="A1790" s="10" t="s">
        <v>1051</v>
      </c>
      <c r="B1790" s="12" t="s">
        <v>1052</v>
      </c>
      <c r="C1790" s="12" t="s">
        <v>1847</v>
      </c>
      <c r="D1790" s="7">
        <v>4</v>
      </c>
    </row>
    <row r="1791" spans="1:4">
      <c r="A1791" s="10" t="s">
        <v>271</v>
      </c>
      <c r="B1791" s="12" t="s">
        <v>272</v>
      </c>
      <c r="C1791" s="12" t="s">
        <v>1847</v>
      </c>
      <c r="D1791" s="7">
        <v>5</v>
      </c>
    </row>
    <row r="1792" spans="1:4">
      <c r="A1792" s="10" t="s">
        <v>1088</v>
      </c>
      <c r="B1792" s="12" t="s">
        <v>82</v>
      </c>
      <c r="C1792" s="12" t="s">
        <v>1847</v>
      </c>
      <c r="D1792" s="7">
        <v>8</v>
      </c>
    </row>
    <row r="1793" spans="1:4">
      <c r="A1793" s="10" t="s">
        <v>271</v>
      </c>
      <c r="B1793" s="12" t="s">
        <v>272</v>
      </c>
      <c r="C1793" s="12" t="s">
        <v>1847</v>
      </c>
      <c r="D1793" s="7">
        <v>11</v>
      </c>
    </row>
    <row r="1794" spans="1:4">
      <c r="A1794" s="10" t="s">
        <v>1522</v>
      </c>
      <c r="B1794" s="12" t="s">
        <v>1523</v>
      </c>
      <c r="C1794" s="12" t="s">
        <v>1846</v>
      </c>
      <c r="D1794" s="7">
        <v>0.5</v>
      </c>
    </row>
    <row r="1795" spans="1:4">
      <c r="A1795" s="10" t="s">
        <v>910</v>
      </c>
      <c r="B1795" s="12" t="s">
        <v>911</v>
      </c>
      <c r="C1795" s="12" t="s">
        <v>1846</v>
      </c>
      <c r="D1795" s="7">
        <v>10</v>
      </c>
    </row>
    <row r="1796" spans="1:4">
      <c r="A1796" s="10" t="s">
        <v>910</v>
      </c>
      <c r="B1796" s="12" t="s">
        <v>911</v>
      </c>
      <c r="C1796" s="12" t="s">
        <v>1846</v>
      </c>
      <c r="D1796" s="7">
        <v>10</v>
      </c>
    </row>
    <row r="1797" spans="1:4">
      <c r="A1797" s="10" t="s">
        <v>1076</v>
      </c>
      <c r="B1797" s="12" t="s">
        <v>1077</v>
      </c>
      <c r="C1797" s="12" t="s">
        <v>1846</v>
      </c>
      <c r="D1797" s="7">
        <v>10</v>
      </c>
    </row>
    <row r="1798" spans="1:4">
      <c r="A1798" s="10" t="s">
        <v>1076</v>
      </c>
      <c r="B1798" s="12" t="s">
        <v>1077</v>
      </c>
      <c r="C1798" s="12" t="s">
        <v>1846</v>
      </c>
      <c r="D1798" s="7">
        <v>0.5</v>
      </c>
    </row>
    <row r="1799" spans="1:4">
      <c r="A1799" s="10" t="s">
        <v>1522</v>
      </c>
      <c r="B1799" s="12" t="s">
        <v>1523</v>
      </c>
      <c r="C1799" s="12" t="s">
        <v>1847</v>
      </c>
      <c r="D1799" s="7">
        <v>3</v>
      </c>
    </row>
    <row r="1800" spans="1:4">
      <c r="A1800" s="10" t="s">
        <v>1051</v>
      </c>
      <c r="B1800" s="12" t="s">
        <v>1052</v>
      </c>
      <c r="C1800" s="12" t="s">
        <v>1847</v>
      </c>
      <c r="D1800" s="7">
        <v>8</v>
      </c>
    </row>
    <row r="1801" spans="1:4">
      <c r="A1801" s="10" t="s">
        <v>1051</v>
      </c>
      <c r="B1801" s="12" t="s">
        <v>1052</v>
      </c>
      <c r="C1801" s="12" t="s">
        <v>1847</v>
      </c>
      <c r="D1801" s="7">
        <v>5.5</v>
      </c>
    </row>
    <row r="1802" spans="1:4">
      <c r="A1802" s="10" t="s">
        <v>1076</v>
      </c>
      <c r="B1802" s="12" t="s">
        <v>1077</v>
      </c>
      <c r="C1802" s="12" t="s">
        <v>1847</v>
      </c>
      <c r="D1802" s="7">
        <v>0.5</v>
      </c>
    </row>
    <row r="1803" spans="1:4">
      <c r="A1803" s="10" t="s">
        <v>390</v>
      </c>
      <c r="B1803" s="12" t="s">
        <v>391</v>
      </c>
      <c r="C1803" s="12" t="s">
        <v>1846</v>
      </c>
      <c r="D1803" s="7">
        <v>16</v>
      </c>
    </row>
    <row r="1804" spans="1:4">
      <c r="A1804" s="10" t="s">
        <v>1446</v>
      </c>
      <c r="B1804" s="12" t="s">
        <v>45</v>
      </c>
      <c r="C1804" s="12" t="s">
        <v>1846</v>
      </c>
      <c r="D1804" s="7">
        <v>8</v>
      </c>
    </row>
    <row r="1805" spans="1:4">
      <c r="A1805" s="10" t="s">
        <v>1446</v>
      </c>
      <c r="B1805" s="12" t="s">
        <v>45</v>
      </c>
      <c r="C1805" s="12" t="s">
        <v>1846</v>
      </c>
      <c r="D1805" s="7">
        <v>2</v>
      </c>
    </row>
    <row r="1806" spans="1:4">
      <c r="A1806" s="10" t="s">
        <v>1446</v>
      </c>
      <c r="B1806" s="12" t="s">
        <v>45</v>
      </c>
      <c r="C1806" s="12" t="s">
        <v>1847</v>
      </c>
      <c r="D1806" s="7">
        <v>3</v>
      </c>
    </row>
    <row r="1807" spans="1:4">
      <c r="A1807" s="10" t="s">
        <v>1446</v>
      </c>
      <c r="B1807" s="12" t="s">
        <v>45</v>
      </c>
      <c r="C1807" s="12" t="s">
        <v>1847</v>
      </c>
      <c r="D1807" s="7">
        <v>5</v>
      </c>
    </row>
    <row r="1808" spans="1:4">
      <c r="A1808" s="10" t="s">
        <v>1051</v>
      </c>
      <c r="B1808" s="12" t="s">
        <v>1052</v>
      </c>
      <c r="C1808" s="12" t="s">
        <v>1847</v>
      </c>
      <c r="D1808" s="7">
        <v>0.5</v>
      </c>
    </row>
    <row r="1809" spans="1:4">
      <c r="A1809" s="10" t="s">
        <v>1051</v>
      </c>
      <c r="B1809" s="12" t="s">
        <v>1052</v>
      </c>
      <c r="C1809" s="12" t="s">
        <v>1847</v>
      </c>
      <c r="D1809" s="7">
        <v>2</v>
      </c>
    </row>
    <row r="1810" spans="1:4">
      <c r="A1810" s="10" t="s">
        <v>390</v>
      </c>
      <c r="B1810" s="12" t="s">
        <v>391</v>
      </c>
      <c r="C1810" s="12" t="s">
        <v>1847</v>
      </c>
      <c r="D1810" s="7">
        <v>4</v>
      </c>
    </row>
    <row r="1811" spans="1:4">
      <c r="A1811" s="10" t="s">
        <v>354</v>
      </c>
      <c r="B1811" s="12" t="s">
        <v>355</v>
      </c>
      <c r="C1811" s="12" t="s">
        <v>1846</v>
      </c>
      <c r="D1811" s="7">
        <v>20</v>
      </c>
    </row>
    <row r="1812" spans="1:4">
      <c r="A1812" s="10" t="s">
        <v>551</v>
      </c>
      <c r="B1812" s="12" t="s">
        <v>552</v>
      </c>
      <c r="C1812" s="12" t="s">
        <v>1847</v>
      </c>
      <c r="D1812" s="7">
        <v>12</v>
      </c>
    </row>
    <row r="1813" spans="1:4">
      <c r="A1813" s="10" t="s">
        <v>906</v>
      </c>
      <c r="B1813" s="12" t="s">
        <v>907</v>
      </c>
      <c r="C1813" s="12" t="s">
        <v>1847</v>
      </c>
      <c r="D1813" s="7">
        <v>4</v>
      </c>
    </row>
    <row r="1814" spans="1:4">
      <c r="A1814" s="10" t="s">
        <v>1373</v>
      </c>
      <c r="B1814" s="12" t="s">
        <v>1374</v>
      </c>
      <c r="C1814" s="12" t="s">
        <v>1847</v>
      </c>
      <c r="D1814" s="7">
        <v>20</v>
      </c>
    </row>
    <row r="1815" spans="1:4">
      <c r="A1815" s="10" t="s">
        <v>1243</v>
      </c>
      <c r="B1815" s="12" t="s">
        <v>1244</v>
      </c>
      <c r="C1815" s="12" t="s">
        <v>1847</v>
      </c>
      <c r="D1815" s="7">
        <v>19</v>
      </c>
    </row>
    <row r="1816" spans="1:4">
      <c r="A1816" s="10" t="s">
        <v>643</v>
      </c>
      <c r="B1816" s="12" t="s">
        <v>19</v>
      </c>
      <c r="C1816" s="12" t="s">
        <v>1846</v>
      </c>
      <c r="D1816" s="7">
        <v>1</v>
      </c>
    </row>
    <row r="1817" spans="1:4">
      <c r="A1817" s="10" t="s">
        <v>643</v>
      </c>
      <c r="B1817" s="12" t="s">
        <v>19</v>
      </c>
      <c r="C1817" s="12" t="s">
        <v>1846</v>
      </c>
      <c r="D1817" s="7">
        <v>8</v>
      </c>
    </row>
    <row r="1818" spans="1:4">
      <c r="A1818" s="10" t="s">
        <v>293</v>
      </c>
      <c r="B1818" s="12" t="s">
        <v>294</v>
      </c>
      <c r="C1818" s="12" t="s">
        <v>1846</v>
      </c>
      <c r="D1818" s="7">
        <v>18</v>
      </c>
    </row>
    <row r="1819" spans="1:4">
      <c r="A1819" s="10" t="s">
        <v>643</v>
      </c>
      <c r="B1819" s="12" t="s">
        <v>19</v>
      </c>
      <c r="C1819" s="12" t="s">
        <v>1847</v>
      </c>
      <c r="D1819" s="7">
        <v>2</v>
      </c>
    </row>
    <row r="1820" spans="1:4">
      <c r="A1820" s="10" t="s">
        <v>926</v>
      </c>
      <c r="B1820" s="12" t="s">
        <v>927</v>
      </c>
      <c r="C1820" s="12" t="s">
        <v>1846</v>
      </c>
      <c r="D1820" s="7">
        <v>17</v>
      </c>
    </row>
    <row r="1821" spans="1:4">
      <c r="A1821" s="10" t="s">
        <v>1718</v>
      </c>
      <c r="B1821" s="12" t="s">
        <v>1719</v>
      </c>
      <c r="C1821" s="12" t="s">
        <v>1847</v>
      </c>
      <c r="D1821" s="7">
        <v>19</v>
      </c>
    </row>
    <row r="1822" spans="1:4">
      <c r="A1822" s="10" t="s">
        <v>1206</v>
      </c>
      <c r="B1822" s="12" t="s">
        <v>1053</v>
      </c>
      <c r="C1822" s="12" t="s">
        <v>1846</v>
      </c>
      <c r="D1822" s="7">
        <v>19</v>
      </c>
    </row>
    <row r="1823" spans="1:4">
      <c r="A1823" s="10" t="s">
        <v>1206</v>
      </c>
      <c r="B1823" s="12" t="s">
        <v>1053</v>
      </c>
      <c r="C1823" s="12" t="s">
        <v>1847</v>
      </c>
      <c r="D1823" s="7">
        <v>1</v>
      </c>
    </row>
    <row r="1824" spans="1:4">
      <c r="A1824" s="10" t="s">
        <v>1530</v>
      </c>
      <c r="B1824" s="12" t="s">
        <v>15</v>
      </c>
      <c r="C1824" s="12" t="s">
        <v>1846</v>
      </c>
      <c r="D1824" s="7">
        <v>19</v>
      </c>
    </row>
    <row r="1825" spans="1:4">
      <c r="A1825" s="10" t="s">
        <v>1530</v>
      </c>
      <c r="B1825" s="12" t="s">
        <v>15</v>
      </c>
      <c r="C1825" s="12" t="s">
        <v>1847</v>
      </c>
      <c r="D1825" s="7">
        <v>1</v>
      </c>
    </row>
    <row r="1826" spans="1:4">
      <c r="A1826" s="10" t="s">
        <v>906</v>
      </c>
      <c r="B1826" s="12" t="s">
        <v>907</v>
      </c>
      <c r="C1826" s="12" t="s">
        <v>1846</v>
      </c>
      <c r="D1826" s="7">
        <v>16</v>
      </c>
    </row>
    <row r="1827" spans="1:4">
      <c r="A1827" s="10" t="s">
        <v>1419</v>
      </c>
      <c r="B1827" s="12" t="s">
        <v>1420</v>
      </c>
      <c r="C1827" s="12" t="s">
        <v>1846</v>
      </c>
      <c r="D1827" s="7">
        <v>12</v>
      </c>
    </row>
    <row r="1828" spans="1:4">
      <c r="A1828" s="10" t="s">
        <v>1297</v>
      </c>
      <c r="B1828" s="12" t="s">
        <v>1298</v>
      </c>
      <c r="C1828" s="12" t="s">
        <v>1846</v>
      </c>
      <c r="D1828" s="7">
        <v>3</v>
      </c>
    </row>
    <row r="1829" spans="1:4">
      <c r="A1829" s="10" t="s">
        <v>1297</v>
      </c>
      <c r="B1829" s="12" t="s">
        <v>1298</v>
      </c>
      <c r="C1829" s="12" t="s">
        <v>1846</v>
      </c>
      <c r="D1829" s="7">
        <v>1</v>
      </c>
    </row>
    <row r="1830" spans="1:4">
      <c r="A1830" s="10" t="s">
        <v>1297</v>
      </c>
      <c r="B1830" s="12" t="s">
        <v>1298</v>
      </c>
      <c r="C1830" s="12" t="s">
        <v>1846</v>
      </c>
      <c r="D1830" s="7">
        <v>1.5</v>
      </c>
    </row>
    <row r="1831" spans="1:4">
      <c r="A1831" s="10" t="s">
        <v>1297</v>
      </c>
      <c r="B1831" s="12" t="s">
        <v>1298</v>
      </c>
      <c r="C1831" s="12" t="s">
        <v>1846</v>
      </c>
      <c r="D1831" s="7">
        <v>4.5</v>
      </c>
    </row>
    <row r="1832" spans="1:4">
      <c r="A1832" s="10" t="s">
        <v>1297</v>
      </c>
      <c r="B1832" s="12" t="s">
        <v>1298</v>
      </c>
      <c r="C1832" s="12" t="s">
        <v>1846</v>
      </c>
      <c r="D1832" s="7">
        <v>1</v>
      </c>
    </row>
    <row r="1833" spans="1:4">
      <c r="A1833" s="10" t="s">
        <v>1297</v>
      </c>
      <c r="B1833" s="12" t="s">
        <v>1298</v>
      </c>
      <c r="C1833" s="12" t="s">
        <v>1846</v>
      </c>
      <c r="D1833" s="7">
        <v>3</v>
      </c>
    </row>
    <row r="1834" spans="1:4">
      <c r="A1834" s="10" t="s">
        <v>1297</v>
      </c>
      <c r="B1834" s="12" t="s">
        <v>1298</v>
      </c>
      <c r="C1834" s="12" t="s">
        <v>1846</v>
      </c>
      <c r="D1834" s="7">
        <v>3</v>
      </c>
    </row>
    <row r="1835" spans="1:4">
      <c r="A1835" s="10" t="s">
        <v>1115</v>
      </c>
      <c r="B1835" s="12" t="s">
        <v>1116</v>
      </c>
      <c r="C1835" s="12" t="s">
        <v>1846</v>
      </c>
      <c r="D1835" s="7">
        <v>1</v>
      </c>
    </row>
    <row r="1836" spans="1:4">
      <c r="A1836" s="10" t="s">
        <v>1595</v>
      </c>
      <c r="B1836" s="12" t="s">
        <v>1596</v>
      </c>
      <c r="C1836" s="12" t="s">
        <v>1847</v>
      </c>
      <c r="D1836" s="7">
        <v>17</v>
      </c>
    </row>
    <row r="1837" spans="1:4">
      <c r="A1837" s="10" t="s">
        <v>1595</v>
      </c>
      <c r="B1837" s="12" t="s">
        <v>1596</v>
      </c>
      <c r="C1837" s="12" t="s">
        <v>1847</v>
      </c>
      <c r="D1837" s="7">
        <v>2</v>
      </c>
    </row>
    <row r="1838" spans="1:4">
      <c r="A1838" s="10" t="s">
        <v>696</v>
      </c>
      <c r="B1838" s="12" t="s">
        <v>697</v>
      </c>
      <c r="C1838" s="12" t="s">
        <v>1846</v>
      </c>
      <c r="D1838" s="7">
        <v>20</v>
      </c>
    </row>
    <row r="1839" spans="1:4">
      <c r="A1839" s="10" t="s">
        <v>1115</v>
      </c>
      <c r="B1839" s="12" t="s">
        <v>1116</v>
      </c>
      <c r="C1839" s="12" t="s">
        <v>1847</v>
      </c>
      <c r="D1839" s="7">
        <v>17</v>
      </c>
    </row>
    <row r="1840" spans="1:4">
      <c r="A1840" s="10" t="s">
        <v>156</v>
      </c>
      <c r="B1840" s="12" t="s">
        <v>157</v>
      </c>
      <c r="C1840" s="12" t="s">
        <v>1845</v>
      </c>
      <c r="D1840" s="7">
        <v>1</v>
      </c>
    </row>
    <row r="1841" spans="1:4">
      <c r="A1841" s="10" t="s">
        <v>1297</v>
      </c>
      <c r="B1841" s="12" t="s">
        <v>1298</v>
      </c>
      <c r="C1841" s="12" t="s">
        <v>1846</v>
      </c>
      <c r="D1841" s="7">
        <v>3</v>
      </c>
    </row>
    <row r="1842" spans="1:4">
      <c r="A1842" s="10" t="s">
        <v>1280</v>
      </c>
      <c r="B1842" s="12" t="s">
        <v>1281</v>
      </c>
      <c r="C1842" s="12" t="s">
        <v>1845</v>
      </c>
      <c r="D1842" s="7">
        <v>1</v>
      </c>
    </row>
    <row r="1843" spans="1:4">
      <c r="A1843" s="10" t="s">
        <v>1270</v>
      </c>
      <c r="B1843" s="12" t="s">
        <v>1271</v>
      </c>
      <c r="C1843" s="12" t="s">
        <v>1843</v>
      </c>
      <c r="D1843" s="7">
        <v>10</v>
      </c>
    </row>
    <row r="1844" spans="1:4">
      <c r="A1844" s="10" t="s">
        <v>1270</v>
      </c>
      <c r="B1844" s="12" t="s">
        <v>1271</v>
      </c>
      <c r="C1844" s="12" t="s">
        <v>1847</v>
      </c>
      <c r="D1844" s="7">
        <v>10</v>
      </c>
    </row>
    <row r="1845" spans="1:4">
      <c r="A1845" s="10" t="s">
        <v>1490</v>
      </c>
      <c r="B1845" s="12" t="s">
        <v>1491</v>
      </c>
      <c r="C1845" s="12" t="s">
        <v>1847</v>
      </c>
      <c r="D1845" s="7">
        <v>13</v>
      </c>
    </row>
    <row r="1846" spans="1:4">
      <c r="A1846" s="10" t="s">
        <v>1313</v>
      </c>
      <c r="B1846" s="12" t="s">
        <v>1314</v>
      </c>
      <c r="C1846" s="12" t="s">
        <v>1846</v>
      </c>
      <c r="D1846" s="7">
        <v>19.5</v>
      </c>
    </row>
    <row r="1847" spans="1:4">
      <c r="A1847" s="10" t="s">
        <v>1518</v>
      </c>
      <c r="B1847" s="12" t="s">
        <v>1519</v>
      </c>
      <c r="C1847" s="12" t="s">
        <v>1846</v>
      </c>
      <c r="D1847" s="7">
        <v>18</v>
      </c>
    </row>
    <row r="1848" spans="1:4">
      <c r="A1848" s="10" t="s">
        <v>1322</v>
      </c>
      <c r="B1848" s="12" t="s">
        <v>1323</v>
      </c>
      <c r="C1848" s="12" t="s">
        <v>1847</v>
      </c>
      <c r="D1848" s="7">
        <v>8</v>
      </c>
    </row>
    <row r="1849" spans="1:4">
      <c r="A1849" s="10" t="s">
        <v>1322</v>
      </c>
      <c r="B1849" s="12" t="s">
        <v>1323</v>
      </c>
      <c r="C1849" s="12" t="s">
        <v>1847</v>
      </c>
      <c r="D1849" s="7">
        <v>0.5</v>
      </c>
    </row>
    <row r="1850" spans="1:4">
      <c r="A1850" s="10" t="s">
        <v>1322</v>
      </c>
      <c r="B1850" s="12" t="s">
        <v>1323</v>
      </c>
      <c r="C1850" s="12" t="s">
        <v>1847</v>
      </c>
      <c r="D1850" s="7">
        <v>11.5</v>
      </c>
    </row>
    <row r="1851" spans="1:4">
      <c r="A1851" s="10" t="s">
        <v>437</v>
      </c>
      <c r="B1851" s="12" t="s">
        <v>438</v>
      </c>
      <c r="C1851" s="12" t="s">
        <v>1847</v>
      </c>
      <c r="D1851" s="7">
        <v>5</v>
      </c>
    </row>
    <row r="1852" spans="1:4">
      <c r="A1852" s="10" t="s">
        <v>393</v>
      </c>
      <c r="B1852" s="12" t="s">
        <v>394</v>
      </c>
      <c r="C1852" s="12" t="s">
        <v>1846</v>
      </c>
      <c r="D1852" s="7">
        <v>19</v>
      </c>
    </row>
    <row r="1853" spans="1:4">
      <c r="A1853" s="10" t="s">
        <v>1419</v>
      </c>
      <c r="B1853" s="12" t="s">
        <v>1420</v>
      </c>
      <c r="C1853" s="12" t="s">
        <v>1847</v>
      </c>
      <c r="D1853" s="7">
        <v>8</v>
      </c>
    </row>
    <row r="1854" spans="1:4">
      <c r="A1854" s="10" t="s">
        <v>692</v>
      </c>
      <c r="B1854" s="12" t="s">
        <v>29</v>
      </c>
      <c r="C1854" s="12" t="s">
        <v>1846</v>
      </c>
      <c r="D1854" s="7">
        <v>2</v>
      </c>
    </row>
    <row r="1855" spans="1:4">
      <c r="A1855" s="10" t="s">
        <v>692</v>
      </c>
      <c r="B1855" s="12" t="s">
        <v>29</v>
      </c>
      <c r="C1855" s="12" t="s">
        <v>1847</v>
      </c>
      <c r="D1855" s="7">
        <v>2</v>
      </c>
    </row>
    <row r="1856" spans="1:4">
      <c r="A1856" s="10" t="s">
        <v>567</v>
      </c>
      <c r="B1856" s="12" t="s">
        <v>8</v>
      </c>
      <c r="C1856" s="12" t="s">
        <v>1846</v>
      </c>
      <c r="D1856" s="7">
        <v>12.5</v>
      </c>
    </row>
    <row r="1857" spans="1:4">
      <c r="A1857" s="10" t="s">
        <v>567</v>
      </c>
      <c r="B1857" s="12" t="s">
        <v>8</v>
      </c>
      <c r="C1857" s="12" t="s">
        <v>1847</v>
      </c>
      <c r="D1857" s="7">
        <v>2.5</v>
      </c>
    </row>
    <row r="1858" spans="1:4">
      <c r="A1858" s="10" t="s">
        <v>567</v>
      </c>
      <c r="B1858" s="12" t="s">
        <v>8</v>
      </c>
      <c r="C1858" s="12" t="s">
        <v>1847</v>
      </c>
      <c r="D1858" s="7">
        <v>2.5</v>
      </c>
    </row>
    <row r="1859" spans="1:4">
      <c r="A1859" s="10" t="s">
        <v>567</v>
      </c>
      <c r="B1859" s="12" t="s">
        <v>8</v>
      </c>
      <c r="C1859" s="12" t="s">
        <v>1847</v>
      </c>
      <c r="D1859" s="7">
        <v>2.5</v>
      </c>
    </row>
    <row r="1860" spans="1:4">
      <c r="A1860" s="10" t="s">
        <v>558</v>
      </c>
      <c r="B1860" s="12" t="s">
        <v>559</v>
      </c>
      <c r="C1860" s="12" t="s">
        <v>1846</v>
      </c>
      <c r="D1860" s="7">
        <v>10.5</v>
      </c>
    </row>
    <row r="1861" spans="1:4">
      <c r="A1861" s="10" t="s">
        <v>314</v>
      </c>
      <c r="B1861" s="12" t="s">
        <v>315</v>
      </c>
      <c r="C1861" s="12" t="s">
        <v>1846</v>
      </c>
      <c r="D1861" s="7">
        <v>18</v>
      </c>
    </row>
    <row r="1862" spans="1:4">
      <c r="A1862" s="10" t="s">
        <v>1506</v>
      </c>
      <c r="B1862" s="12" t="s">
        <v>1507</v>
      </c>
      <c r="C1862" s="12" t="s">
        <v>1843</v>
      </c>
      <c r="D1862" s="7">
        <v>4</v>
      </c>
    </row>
    <row r="1863" spans="1:4">
      <c r="A1863" s="10" t="s">
        <v>1506</v>
      </c>
      <c r="B1863" s="12" t="s">
        <v>1507</v>
      </c>
      <c r="C1863" s="12" t="s">
        <v>1847</v>
      </c>
      <c r="D1863" s="7">
        <v>4</v>
      </c>
    </row>
    <row r="1864" spans="1:4">
      <c r="A1864" s="10" t="s">
        <v>1506</v>
      </c>
      <c r="B1864" s="12" t="s">
        <v>1507</v>
      </c>
      <c r="C1864" s="12" t="s">
        <v>1847</v>
      </c>
      <c r="D1864" s="7">
        <v>7</v>
      </c>
    </row>
    <row r="1865" spans="1:4">
      <c r="A1865" s="10" t="s">
        <v>928</v>
      </c>
      <c r="B1865" s="12" t="s">
        <v>929</v>
      </c>
      <c r="C1865" s="12" t="s">
        <v>1847</v>
      </c>
      <c r="D1865" s="7">
        <v>20</v>
      </c>
    </row>
    <row r="1866" spans="1:4">
      <c r="A1866" s="10" t="s">
        <v>1506</v>
      </c>
      <c r="B1866" s="12" t="s">
        <v>1507</v>
      </c>
      <c r="C1866" s="12" t="s">
        <v>1847</v>
      </c>
      <c r="D1866" s="7">
        <v>5</v>
      </c>
    </row>
    <row r="1867" spans="1:4" ht="29.1">
      <c r="A1867" s="10" t="s">
        <v>1494</v>
      </c>
      <c r="B1867" s="12" t="s">
        <v>1495</v>
      </c>
      <c r="C1867" s="12" t="s">
        <v>1844</v>
      </c>
      <c r="D1867" s="7">
        <v>1</v>
      </c>
    </row>
    <row r="1868" spans="1:4">
      <c r="A1868" s="10" t="s">
        <v>1208</v>
      </c>
      <c r="B1868" s="12" t="s">
        <v>73</v>
      </c>
      <c r="C1868" s="12" t="s">
        <v>1847</v>
      </c>
      <c r="D1868" s="7">
        <v>1.5</v>
      </c>
    </row>
    <row r="1869" spans="1:4">
      <c r="A1869" s="10" t="s">
        <v>1475</v>
      </c>
      <c r="B1869" s="12" t="s">
        <v>12</v>
      </c>
      <c r="C1869" s="12" t="s">
        <v>1846</v>
      </c>
      <c r="D1869" s="7">
        <v>17</v>
      </c>
    </row>
    <row r="1870" spans="1:4">
      <c r="A1870" s="10" t="s">
        <v>1475</v>
      </c>
      <c r="B1870" s="12" t="s">
        <v>12</v>
      </c>
      <c r="C1870" s="12" t="s">
        <v>1847</v>
      </c>
      <c r="D1870" s="7">
        <v>3</v>
      </c>
    </row>
    <row r="1871" spans="1:4">
      <c r="A1871" s="10" t="s">
        <v>1494</v>
      </c>
      <c r="B1871" s="12" t="s">
        <v>1495</v>
      </c>
      <c r="C1871" s="12" t="s">
        <v>1846</v>
      </c>
      <c r="D1871" s="7">
        <v>3.5</v>
      </c>
    </row>
    <row r="1872" spans="1:4">
      <c r="A1872" s="10" t="s">
        <v>1494</v>
      </c>
      <c r="B1872" s="12" t="s">
        <v>1495</v>
      </c>
      <c r="C1872" s="12" t="s">
        <v>1846</v>
      </c>
      <c r="D1872" s="7">
        <v>1.5</v>
      </c>
    </row>
    <row r="1873" spans="1:4">
      <c r="A1873" s="10" t="s">
        <v>1494</v>
      </c>
      <c r="B1873" s="12" t="s">
        <v>1495</v>
      </c>
      <c r="C1873" s="12" t="s">
        <v>1846</v>
      </c>
      <c r="D1873" s="7">
        <v>9</v>
      </c>
    </row>
    <row r="1874" spans="1:4">
      <c r="A1874" s="10" t="s">
        <v>1494</v>
      </c>
      <c r="B1874" s="12" t="s">
        <v>1495</v>
      </c>
      <c r="C1874" s="12" t="s">
        <v>1846</v>
      </c>
      <c r="D1874" s="7">
        <v>4</v>
      </c>
    </row>
    <row r="1875" spans="1:4">
      <c r="A1875" s="10" t="s">
        <v>1494</v>
      </c>
      <c r="B1875" s="12" t="s">
        <v>1495</v>
      </c>
      <c r="C1875" s="12" t="s">
        <v>1847</v>
      </c>
      <c r="D1875" s="7">
        <v>1</v>
      </c>
    </row>
    <row r="1876" spans="1:4">
      <c r="A1876" s="10" t="s">
        <v>1023</v>
      </c>
      <c r="B1876" s="12" t="s">
        <v>1024</v>
      </c>
      <c r="C1876" s="12" t="s">
        <v>1846</v>
      </c>
      <c r="D1876" s="7">
        <v>10</v>
      </c>
    </row>
    <row r="1877" spans="1:4">
      <c r="A1877" s="10" t="s">
        <v>1023</v>
      </c>
      <c r="B1877" s="12" t="s">
        <v>1024</v>
      </c>
      <c r="C1877" s="12" t="s">
        <v>1847</v>
      </c>
      <c r="D1877" s="7">
        <v>1</v>
      </c>
    </row>
    <row r="1878" spans="1:4">
      <c r="A1878" s="10" t="s">
        <v>316</v>
      </c>
      <c r="B1878" s="12" t="s">
        <v>317</v>
      </c>
      <c r="C1878" s="12" t="s">
        <v>1846</v>
      </c>
      <c r="D1878" s="7">
        <v>20</v>
      </c>
    </row>
    <row r="1879" spans="1:4">
      <c r="A1879" s="10" t="s">
        <v>1074</v>
      </c>
      <c r="B1879" s="12" t="s">
        <v>1075</v>
      </c>
      <c r="C1879" s="12" t="s">
        <v>1846</v>
      </c>
      <c r="D1879" s="7">
        <v>4</v>
      </c>
    </row>
    <row r="1880" spans="1:4">
      <c r="A1880" s="10" t="s">
        <v>1074</v>
      </c>
      <c r="B1880" s="12" t="s">
        <v>1075</v>
      </c>
      <c r="C1880" s="12" t="s">
        <v>1846</v>
      </c>
      <c r="D1880" s="7">
        <v>16</v>
      </c>
    </row>
    <row r="1881" spans="1:4">
      <c r="A1881" s="10" t="s">
        <v>1269</v>
      </c>
      <c r="B1881" s="12" t="s">
        <v>6</v>
      </c>
      <c r="C1881" s="12" t="s">
        <v>1847</v>
      </c>
      <c r="D1881" s="7">
        <v>6</v>
      </c>
    </row>
    <row r="1882" spans="1:4">
      <c r="A1882" s="10" t="s">
        <v>1269</v>
      </c>
      <c r="B1882" s="12" t="s">
        <v>6</v>
      </c>
      <c r="C1882" s="12" t="s">
        <v>1847</v>
      </c>
      <c r="D1882" s="7">
        <v>14</v>
      </c>
    </row>
    <row r="1883" spans="1:4">
      <c r="A1883" s="10" t="s">
        <v>891</v>
      </c>
      <c r="B1883" s="12" t="s">
        <v>892</v>
      </c>
      <c r="C1883" s="12" t="s">
        <v>1846</v>
      </c>
      <c r="D1883" s="7">
        <v>19</v>
      </c>
    </row>
    <row r="1884" spans="1:4">
      <c r="A1884" s="10" t="s">
        <v>1516</v>
      </c>
      <c r="B1884" s="12" t="s">
        <v>1517</v>
      </c>
      <c r="C1884" s="12" t="s">
        <v>1846</v>
      </c>
      <c r="D1884" s="7">
        <v>20</v>
      </c>
    </row>
    <row r="1885" spans="1:4">
      <c r="A1885" s="10" t="s">
        <v>891</v>
      </c>
      <c r="B1885" s="12" t="s">
        <v>892</v>
      </c>
      <c r="C1885" s="12" t="s">
        <v>1847</v>
      </c>
      <c r="D1885" s="7">
        <v>1</v>
      </c>
    </row>
    <row r="1886" spans="1:4">
      <c r="A1886" s="10" t="s">
        <v>403</v>
      </c>
      <c r="B1886" s="12" t="s">
        <v>404</v>
      </c>
      <c r="C1886" s="12" t="s">
        <v>1846</v>
      </c>
      <c r="D1886" s="7">
        <v>20</v>
      </c>
    </row>
    <row r="1887" spans="1:4">
      <c r="A1887" s="10" t="s">
        <v>533</v>
      </c>
      <c r="B1887" s="12" t="s">
        <v>46</v>
      </c>
      <c r="C1887" s="12" t="s">
        <v>1846</v>
      </c>
      <c r="D1887" s="7">
        <v>4</v>
      </c>
    </row>
    <row r="1888" spans="1:4">
      <c r="A1888" s="10" t="s">
        <v>533</v>
      </c>
      <c r="B1888" s="12" t="s">
        <v>46</v>
      </c>
      <c r="C1888" s="12" t="s">
        <v>1846</v>
      </c>
      <c r="D1888" s="7">
        <v>5</v>
      </c>
    </row>
    <row r="1889" spans="1:4">
      <c r="A1889" s="10" t="s">
        <v>558</v>
      </c>
      <c r="B1889" s="12" t="s">
        <v>559</v>
      </c>
      <c r="C1889" s="12" t="s">
        <v>1843</v>
      </c>
      <c r="D1889" s="7">
        <v>9.5</v>
      </c>
    </row>
    <row r="1890" spans="1:4">
      <c r="A1890" s="10" t="s">
        <v>533</v>
      </c>
      <c r="B1890" s="12" t="s">
        <v>46</v>
      </c>
      <c r="C1890" s="12" t="s">
        <v>1846</v>
      </c>
      <c r="D1890" s="7">
        <v>2</v>
      </c>
    </row>
    <row r="1891" spans="1:4">
      <c r="A1891" s="10" t="s">
        <v>533</v>
      </c>
      <c r="B1891" s="12" t="s">
        <v>46</v>
      </c>
      <c r="C1891" s="12" t="s">
        <v>1847</v>
      </c>
      <c r="D1891" s="7">
        <v>5</v>
      </c>
    </row>
    <row r="1892" spans="1:4">
      <c r="A1892" s="10" t="s">
        <v>533</v>
      </c>
      <c r="B1892" s="12" t="s">
        <v>46</v>
      </c>
      <c r="C1892" s="12" t="s">
        <v>1847</v>
      </c>
      <c r="D1892" s="7">
        <v>4</v>
      </c>
    </row>
    <row r="1893" spans="1:4">
      <c r="A1893" s="10" t="s">
        <v>1479</v>
      </c>
      <c r="B1893" s="12" t="s">
        <v>54</v>
      </c>
      <c r="C1893" s="12" t="s">
        <v>1846</v>
      </c>
      <c r="D1893" s="7">
        <v>9</v>
      </c>
    </row>
    <row r="1894" spans="1:4">
      <c r="A1894" s="10" t="s">
        <v>1479</v>
      </c>
      <c r="B1894" s="12" t="s">
        <v>54</v>
      </c>
      <c r="C1894" s="12" t="s">
        <v>1846</v>
      </c>
      <c r="D1894" s="7">
        <v>2</v>
      </c>
    </row>
    <row r="1895" spans="1:4">
      <c r="A1895" s="10" t="s">
        <v>1479</v>
      </c>
      <c r="B1895" s="12" t="s">
        <v>54</v>
      </c>
      <c r="C1895" s="12" t="s">
        <v>1847</v>
      </c>
      <c r="D1895" s="7">
        <v>7</v>
      </c>
    </row>
    <row r="1896" spans="1:4">
      <c r="A1896" s="10" t="s">
        <v>1467</v>
      </c>
      <c r="B1896" s="12" t="s">
        <v>31</v>
      </c>
      <c r="C1896" s="12" t="s">
        <v>1846</v>
      </c>
      <c r="D1896" s="7">
        <v>4.5</v>
      </c>
    </row>
    <row r="1897" spans="1:4">
      <c r="A1897" s="10" t="s">
        <v>1467</v>
      </c>
      <c r="B1897" s="12" t="s">
        <v>31</v>
      </c>
      <c r="C1897" s="12" t="s">
        <v>1846</v>
      </c>
      <c r="D1897" s="7">
        <v>1</v>
      </c>
    </row>
    <row r="1898" spans="1:4">
      <c r="A1898" s="10" t="s">
        <v>1467</v>
      </c>
      <c r="B1898" s="12" t="s">
        <v>31</v>
      </c>
      <c r="C1898" s="12" t="s">
        <v>1847</v>
      </c>
      <c r="D1898" s="7">
        <v>8.5</v>
      </c>
    </row>
    <row r="1899" spans="1:4">
      <c r="A1899" s="10" t="s">
        <v>1467</v>
      </c>
      <c r="B1899" s="12" t="s">
        <v>31</v>
      </c>
      <c r="C1899" s="12" t="s">
        <v>1847</v>
      </c>
      <c r="D1899" s="7">
        <v>6</v>
      </c>
    </row>
    <row r="1900" spans="1:4">
      <c r="A1900" s="10" t="s">
        <v>419</v>
      </c>
      <c r="B1900" s="12" t="s">
        <v>420</v>
      </c>
      <c r="C1900" s="12" t="s">
        <v>1846</v>
      </c>
      <c r="D1900" s="7">
        <v>19</v>
      </c>
    </row>
    <row r="1901" spans="1:4">
      <c r="A1901" s="10" t="s">
        <v>1286</v>
      </c>
      <c r="B1901" s="12" t="s">
        <v>1287</v>
      </c>
      <c r="C1901" s="12" t="s">
        <v>1846</v>
      </c>
      <c r="D1901" s="7">
        <v>20</v>
      </c>
    </row>
    <row r="1902" spans="1:4">
      <c r="A1902" s="10" t="s">
        <v>841</v>
      </c>
      <c r="B1902" s="12" t="s">
        <v>842</v>
      </c>
      <c r="C1902" s="12" t="s">
        <v>1846</v>
      </c>
      <c r="D1902" s="7">
        <v>19</v>
      </c>
    </row>
    <row r="1903" spans="1:4">
      <c r="A1903" s="10" t="s">
        <v>956</v>
      </c>
      <c r="B1903" s="12" t="s">
        <v>957</v>
      </c>
      <c r="C1903" s="12" t="s">
        <v>1846</v>
      </c>
      <c r="D1903" s="7">
        <v>20</v>
      </c>
    </row>
    <row r="1904" spans="1:4">
      <c r="A1904" s="10" t="s">
        <v>441</v>
      </c>
      <c r="B1904" s="12" t="s">
        <v>442</v>
      </c>
      <c r="C1904" s="12" t="s">
        <v>1846</v>
      </c>
      <c r="D1904" s="7">
        <v>7</v>
      </c>
    </row>
    <row r="1905" spans="1:4">
      <c r="A1905" s="10" t="s">
        <v>182</v>
      </c>
      <c r="B1905" s="12" t="s">
        <v>183</v>
      </c>
      <c r="C1905" s="12" t="s">
        <v>1846</v>
      </c>
      <c r="D1905" s="7">
        <v>20</v>
      </c>
    </row>
    <row r="1906" spans="1:4">
      <c r="A1906" s="10" t="s">
        <v>988</v>
      </c>
      <c r="B1906" s="12" t="s">
        <v>989</v>
      </c>
      <c r="C1906" s="12" t="s">
        <v>1847</v>
      </c>
      <c r="D1906" s="7">
        <v>10</v>
      </c>
    </row>
    <row r="1907" spans="1:4">
      <c r="A1907" s="10" t="s">
        <v>988</v>
      </c>
      <c r="B1907" s="12" t="s">
        <v>989</v>
      </c>
      <c r="C1907" s="12" t="s">
        <v>1846</v>
      </c>
      <c r="D1907" s="7">
        <v>2</v>
      </c>
    </row>
    <row r="1908" spans="1:4">
      <c r="A1908" s="10" t="s">
        <v>338</v>
      </c>
      <c r="B1908" s="12" t="s">
        <v>339</v>
      </c>
      <c r="C1908" s="12" t="s">
        <v>1847</v>
      </c>
      <c r="D1908" s="7">
        <v>2.5</v>
      </c>
    </row>
    <row r="1909" spans="1:4">
      <c r="A1909" s="10" t="s">
        <v>338</v>
      </c>
      <c r="B1909" s="12" t="s">
        <v>339</v>
      </c>
      <c r="C1909" s="12" t="s">
        <v>1846</v>
      </c>
      <c r="D1909" s="7">
        <v>4</v>
      </c>
    </row>
    <row r="1910" spans="1:4">
      <c r="A1910" s="10" t="s">
        <v>338</v>
      </c>
      <c r="B1910" s="12" t="s">
        <v>339</v>
      </c>
      <c r="C1910" s="12" t="s">
        <v>1846</v>
      </c>
      <c r="D1910" s="7">
        <v>7</v>
      </c>
    </row>
    <row r="1911" spans="1:4">
      <c r="A1911" s="10" t="s">
        <v>338</v>
      </c>
      <c r="B1911" s="12" t="s">
        <v>339</v>
      </c>
      <c r="C1911" s="12" t="s">
        <v>1847</v>
      </c>
      <c r="D1911" s="7">
        <v>6.5</v>
      </c>
    </row>
    <row r="1912" spans="1:4">
      <c r="A1912" s="10" t="s">
        <v>397</v>
      </c>
      <c r="B1912" s="12" t="s">
        <v>398</v>
      </c>
      <c r="C1912" s="12" t="s">
        <v>1846</v>
      </c>
      <c r="D1912" s="7">
        <v>18</v>
      </c>
    </row>
    <row r="1913" spans="1:4">
      <c r="A1913" s="10" t="s">
        <v>1219</v>
      </c>
      <c r="B1913" s="12" t="s">
        <v>1220</v>
      </c>
      <c r="C1913" s="12" t="s">
        <v>1846</v>
      </c>
      <c r="D1913" s="7">
        <v>19</v>
      </c>
    </row>
    <row r="1914" spans="1:4">
      <c r="A1914" s="10" t="s">
        <v>1387</v>
      </c>
      <c r="B1914" s="12" t="s">
        <v>1388</v>
      </c>
      <c r="C1914" s="12" t="s">
        <v>1846</v>
      </c>
      <c r="D1914" s="7">
        <v>13.5</v>
      </c>
    </row>
    <row r="1915" spans="1:4">
      <c r="A1915" s="10" t="s">
        <v>1528</v>
      </c>
      <c r="B1915" s="12" t="s">
        <v>1529</v>
      </c>
      <c r="C1915" s="12" t="s">
        <v>1847</v>
      </c>
      <c r="D1915" s="7">
        <v>0.5</v>
      </c>
    </row>
    <row r="1916" spans="1:4">
      <c r="A1916" s="10" t="s">
        <v>547</v>
      </c>
      <c r="B1916" s="12" t="s">
        <v>28</v>
      </c>
      <c r="C1916" s="12" t="s">
        <v>1846</v>
      </c>
      <c r="D1916" s="7">
        <v>16</v>
      </c>
    </row>
    <row r="1917" spans="1:4">
      <c r="A1917" s="10" t="s">
        <v>547</v>
      </c>
      <c r="B1917" s="12" t="s">
        <v>28</v>
      </c>
      <c r="C1917" s="12" t="s">
        <v>1847</v>
      </c>
      <c r="D1917" s="7">
        <v>4</v>
      </c>
    </row>
    <row r="1918" spans="1:4">
      <c r="A1918" s="10" t="s">
        <v>443</v>
      </c>
      <c r="B1918" s="12" t="s">
        <v>444</v>
      </c>
      <c r="C1918" s="12" t="s">
        <v>1847</v>
      </c>
      <c r="D1918" s="7">
        <v>20</v>
      </c>
    </row>
    <row r="1919" spans="1:4">
      <c r="A1919" s="10" t="s">
        <v>672</v>
      </c>
      <c r="B1919" s="12" t="s">
        <v>673</v>
      </c>
      <c r="C1919" s="12" t="s">
        <v>1846</v>
      </c>
      <c r="D1919" s="7">
        <v>17</v>
      </c>
    </row>
    <row r="1920" spans="1:4">
      <c r="A1920" s="10" t="s">
        <v>1444</v>
      </c>
      <c r="B1920" s="12" t="s">
        <v>1445</v>
      </c>
      <c r="C1920" s="12" t="s">
        <v>1847</v>
      </c>
      <c r="D1920" s="7">
        <v>2</v>
      </c>
    </row>
    <row r="1921" spans="1:4">
      <c r="A1921" s="10" t="s">
        <v>168</v>
      </c>
      <c r="B1921" s="12" t="s">
        <v>169</v>
      </c>
      <c r="C1921" s="12" t="s">
        <v>1847</v>
      </c>
      <c r="D1921" s="7">
        <v>20</v>
      </c>
    </row>
    <row r="1922" spans="1:4">
      <c r="A1922" s="10" t="s">
        <v>1272</v>
      </c>
      <c r="B1922" s="12" t="s">
        <v>1273</v>
      </c>
      <c r="C1922" s="12" t="s">
        <v>1847</v>
      </c>
      <c r="D1922" s="7">
        <v>2</v>
      </c>
    </row>
    <row r="1923" spans="1:4">
      <c r="A1923" s="10" t="s">
        <v>843</v>
      </c>
      <c r="B1923" s="12" t="s">
        <v>844</v>
      </c>
      <c r="C1923" s="12" t="s">
        <v>1847</v>
      </c>
      <c r="D1923" s="7">
        <v>6</v>
      </c>
    </row>
    <row r="1924" spans="1:4">
      <c r="A1924" s="10" t="s">
        <v>1313</v>
      </c>
      <c r="B1924" s="12" t="s">
        <v>1314</v>
      </c>
      <c r="C1924" s="12" t="s">
        <v>1845</v>
      </c>
      <c r="D1924" s="7">
        <v>0.5</v>
      </c>
    </row>
    <row r="1925" spans="1:4">
      <c r="A1925" s="10" t="s">
        <v>1347</v>
      </c>
      <c r="B1925" s="12" t="s">
        <v>1348</v>
      </c>
      <c r="C1925" s="12" t="s">
        <v>1846</v>
      </c>
      <c r="D1925" s="7">
        <v>19</v>
      </c>
    </row>
    <row r="1926" spans="1:4" ht="29.1">
      <c r="A1926" s="10" t="s">
        <v>1233</v>
      </c>
      <c r="B1926" s="12" t="s">
        <v>1234</v>
      </c>
      <c r="C1926" s="12" t="s">
        <v>1844</v>
      </c>
      <c r="D1926" s="7">
        <v>0.5</v>
      </c>
    </row>
    <row r="1927" spans="1:4">
      <c r="A1927" s="10" t="s">
        <v>1610</v>
      </c>
      <c r="B1927" s="12" t="s">
        <v>1611</v>
      </c>
      <c r="C1927" s="12" t="s">
        <v>1845</v>
      </c>
      <c r="D1927" s="7">
        <v>1</v>
      </c>
    </row>
    <row r="1928" spans="1:4">
      <c r="A1928" s="10" t="s">
        <v>1389</v>
      </c>
      <c r="B1928" s="12" t="s">
        <v>1390</v>
      </c>
      <c r="C1928" s="12" t="s">
        <v>1846</v>
      </c>
      <c r="D1928" s="7">
        <v>19</v>
      </c>
    </row>
    <row r="1929" spans="1:4">
      <c r="A1929" s="10" t="s">
        <v>900</v>
      </c>
      <c r="B1929" s="12" t="s">
        <v>901</v>
      </c>
      <c r="C1929" s="12" t="s">
        <v>1847</v>
      </c>
      <c r="D1929" s="7">
        <v>11</v>
      </c>
    </row>
    <row r="1930" spans="1:4" ht="29.1">
      <c r="A1930" s="10" t="s">
        <v>1448</v>
      </c>
      <c r="B1930" s="12" t="s">
        <v>1449</v>
      </c>
      <c r="C1930" s="12" t="s">
        <v>1844</v>
      </c>
      <c r="D1930" s="7">
        <v>16</v>
      </c>
    </row>
    <row r="1931" spans="1:4" ht="29.1">
      <c r="A1931" s="10" t="s">
        <v>381</v>
      </c>
      <c r="B1931" s="12" t="s">
        <v>382</v>
      </c>
      <c r="C1931" s="12" t="s">
        <v>1844</v>
      </c>
      <c r="D1931" s="7">
        <v>5.5</v>
      </c>
    </row>
    <row r="1932" spans="1:4" ht="29.1">
      <c r="A1932" s="10" t="s">
        <v>146</v>
      </c>
      <c r="B1932" s="12" t="s">
        <v>84</v>
      </c>
      <c r="C1932" s="12" t="s">
        <v>1844</v>
      </c>
      <c r="D1932" s="7">
        <v>19</v>
      </c>
    </row>
    <row r="1933" spans="1:4" ht="29.1">
      <c r="A1933" s="10" t="s">
        <v>284</v>
      </c>
      <c r="B1933" s="12" t="s">
        <v>43</v>
      </c>
      <c r="C1933" s="12" t="s">
        <v>1844</v>
      </c>
      <c r="D1933" s="7">
        <v>20</v>
      </c>
    </row>
    <row r="1934" spans="1:4" ht="29.1">
      <c r="A1934" s="10" t="s">
        <v>1652</v>
      </c>
      <c r="B1934" s="12" t="s">
        <v>1653</v>
      </c>
      <c r="C1934" s="12" t="s">
        <v>1844</v>
      </c>
      <c r="D1934" s="7">
        <v>20</v>
      </c>
    </row>
    <row r="1935" spans="1:4" ht="29.1">
      <c r="A1935" s="10" t="s">
        <v>225</v>
      </c>
      <c r="B1935" s="12" t="s">
        <v>39</v>
      </c>
      <c r="C1935" s="12" t="s">
        <v>1844</v>
      </c>
      <c r="D1935" s="7">
        <v>19</v>
      </c>
    </row>
    <row r="1936" spans="1:4" ht="29.1">
      <c r="A1936" s="10" t="s">
        <v>163</v>
      </c>
      <c r="B1936" s="12" t="s">
        <v>164</v>
      </c>
      <c r="C1936" s="12" t="s">
        <v>1844</v>
      </c>
      <c r="D1936" s="7">
        <v>19</v>
      </c>
    </row>
    <row r="1937" spans="1:4">
      <c r="A1937" s="10" t="s">
        <v>614</v>
      </c>
      <c r="B1937" s="12" t="s">
        <v>615</v>
      </c>
      <c r="C1937" s="12" t="s">
        <v>1846</v>
      </c>
      <c r="D1937" s="7">
        <v>9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C31B7-425C-432C-9F73-5A791FC96FB5}">
  <sheetPr>
    <tabColor theme="0" tint="-0.249977111117893"/>
  </sheetPr>
  <dimension ref="A1:H725"/>
  <sheetViews>
    <sheetView workbookViewId="0">
      <selection activeCell="A2" sqref="A2"/>
    </sheetView>
  </sheetViews>
  <sheetFormatPr defaultColWidth="11.375" defaultRowHeight="14.45"/>
  <cols>
    <col min="1" max="1" width="17.5" customWidth="1"/>
    <col min="2" max="2" width="28.375" customWidth="1"/>
    <col min="3" max="3" width="33" customWidth="1"/>
    <col min="6" max="6" width="14.875" customWidth="1"/>
    <col min="8" max="8" width="16.125" customWidth="1"/>
  </cols>
  <sheetData>
    <row r="1" spans="1:8">
      <c r="A1" s="9" t="s">
        <v>1841</v>
      </c>
      <c r="B1" s="9" t="s">
        <v>1849</v>
      </c>
      <c r="C1" s="9" t="s">
        <v>1578</v>
      </c>
      <c r="D1" s="14" t="s">
        <v>1850</v>
      </c>
      <c r="E1" s="14" t="s">
        <v>1851</v>
      </c>
      <c r="F1" s="14" t="s">
        <v>1852</v>
      </c>
      <c r="G1" s="14" t="s">
        <v>1853</v>
      </c>
      <c r="H1" s="14" t="s">
        <v>1854</v>
      </c>
    </row>
    <row r="2" spans="1:8">
      <c r="A2" s="7" t="s">
        <v>1359</v>
      </c>
      <c r="B2" s="7" t="s">
        <v>1360</v>
      </c>
      <c r="C2" s="7" t="s">
        <v>15</v>
      </c>
      <c r="D2" s="7">
        <f>SUMIFS(Tableau4[Montant imputé],Tableau4[Matricule cabinet],Tableau5[[#This Row],[Matricule cabinet]],Tableau4[Type d''imputation],"sale order")</f>
        <v>0</v>
      </c>
      <c r="E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" s="7">
        <f>SUMIFS(Tableau4[Montant imputé],Tableau4[Matricule cabinet],Tableau5[[#This Row],[Matricule cabinet]],Tableau4[Type d''imputation],"leave")</f>
        <v>0</v>
      </c>
      <c r="G2" s="7">
        <f>SUMIFS(Tableau4[Montant imputé],Tableau4[Matricule cabinet],Tableau5[[#This Row],[Matricule cabinet]],Tableau4[Type d''imputation],"absence")</f>
        <v>0</v>
      </c>
      <c r="H2" s="7">
        <f>SUM(Tableau5[[#This Row],[B WK]:[Unpaid leave WK]])</f>
        <v>20</v>
      </c>
    </row>
    <row r="3" spans="1:8">
      <c r="A3" s="7" t="s">
        <v>1086</v>
      </c>
      <c r="B3" s="7" t="s">
        <v>1087</v>
      </c>
      <c r="C3" s="7" t="s">
        <v>51</v>
      </c>
      <c r="D3" s="7">
        <f>SUMIFS(Tableau4[Montant imputé],Tableau4[Matricule cabinet],Tableau5[[#This Row],[Matricule cabinet]],Tableau4[Type d''imputation],"sale order")</f>
        <v>20</v>
      </c>
      <c r="E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" s="7">
        <f>SUMIFS(Tableau4[Montant imputé],Tableau4[Matricule cabinet],Tableau5[[#This Row],[Matricule cabinet]],Tableau4[Type d''imputation],"leave")</f>
        <v>0</v>
      </c>
      <c r="G3" s="7">
        <f>SUMIFS(Tableau4[Montant imputé],Tableau4[Matricule cabinet],Tableau5[[#This Row],[Matricule cabinet]],Tableau4[Type d''imputation],"absence")</f>
        <v>0</v>
      </c>
      <c r="H3" s="7">
        <f>SUM(Tableau5[[#This Row],[B WK]:[Unpaid leave WK]])</f>
        <v>20</v>
      </c>
    </row>
    <row r="4" spans="1:8">
      <c r="A4" s="7" t="s">
        <v>648</v>
      </c>
      <c r="B4" s="7" t="s">
        <v>649</v>
      </c>
      <c r="C4" s="7" t="s">
        <v>37</v>
      </c>
      <c r="D4" s="7">
        <f>SUMIFS(Tableau4[Montant imputé],Tableau4[Matricule cabinet],Tableau5[[#This Row],[Matricule cabinet]],Tableau4[Type d''imputation],"sale order")</f>
        <v>4</v>
      </c>
      <c r="E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</v>
      </c>
      <c r="F4" s="7">
        <f>SUMIFS(Tableau4[Montant imputé],Tableau4[Matricule cabinet],Tableau5[[#This Row],[Matricule cabinet]],Tableau4[Type d''imputation],"leave")</f>
        <v>0</v>
      </c>
      <c r="G4" s="7">
        <f>SUMIFS(Tableau4[Montant imputé],Tableau4[Matricule cabinet],Tableau5[[#This Row],[Matricule cabinet]],Tableau4[Type d''imputation],"absence")</f>
        <v>0</v>
      </c>
      <c r="H4" s="7">
        <f>SUM(Tableau5[[#This Row],[B WK]:[Unpaid leave WK]])</f>
        <v>20</v>
      </c>
    </row>
    <row r="5" spans="1:8">
      <c r="A5" s="7" t="s">
        <v>1179</v>
      </c>
      <c r="B5" s="7" t="s">
        <v>1180</v>
      </c>
      <c r="C5" s="7" t="s">
        <v>51</v>
      </c>
      <c r="D5" s="7">
        <f>SUMIFS(Tableau4[Montant imputé],Tableau4[Matricule cabinet],Tableau5[[#This Row],[Matricule cabinet]],Tableau4[Type d''imputation],"sale order")</f>
        <v>15.5</v>
      </c>
      <c r="E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4.5</v>
      </c>
      <c r="F5" s="7">
        <f>SUMIFS(Tableau4[Montant imputé],Tableau4[Matricule cabinet],Tableau5[[#This Row],[Matricule cabinet]],Tableau4[Type d''imputation],"leave")</f>
        <v>0</v>
      </c>
      <c r="G5" s="7">
        <f>SUMIFS(Tableau4[Montant imputé],Tableau4[Matricule cabinet],Tableau5[[#This Row],[Matricule cabinet]],Tableau4[Type d''imputation],"absence")</f>
        <v>0</v>
      </c>
      <c r="H5" s="7">
        <f>SUM(Tableau5[[#This Row],[B WK]:[Unpaid leave WK]])</f>
        <v>20</v>
      </c>
    </row>
    <row r="6" spans="1:8">
      <c r="A6" s="7" t="s">
        <v>908</v>
      </c>
      <c r="B6" s="7" t="s">
        <v>909</v>
      </c>
      <c r="C6" s="7" t="s">
        <v>66</v>
      </c>
      <c r="D6" s="7">
        <f>SUMIFS(Tableau4[Montant imputé],Tableau4[Matricule cabinet],Tableau5[[#This Row],[Matricule cabinet]],Tableau4[Type d''imputation],"sale order")</f>
        <v>20</v>
      </c>
      <c r="E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" s="7">
        <f>SUMIFS(Tableau4[Montant imputé],Tableau4[Matricule cabinet],Tableau5[[#This Row],[Matricule cabinet]],Tableau4[Type d''imputation],"leave")</f>
        <v>0</v>
      </c>
      <c r="G6" s="7">
        <f>SUMIFS(Tableau4[Montant imputé],Tableau4[Matricule cabinet],Tableau5[[#This Row],[Matricule cabinet]],Tableau4[Type d''imputation],"absence")</f>
        <v>0</v>
      </c>
      <c r="H6" s="7">
        <f>SUM(Tableau5[[#This Row],[B WK]:[Unpaid leave WK]])</f>
        <v>20</v>
      </c>
    </row>
    <row r="7" spans="1:8">
      <c r="A7" s="7" t="s">
        <v>170</v>
      </c>
      <c r="B7" s="7" t="s">
        <v>171</v>
      </c>
      <c r="C7" s="7" t="s">
        <v>72</v>
      </c>
      <c r="D7" s="7">
        <f>SUMIFS(Tableau4[Montant imputé],Tableau4[Matricule cabinet],Tableau5[[#This Row],[Matricule cabinet]],Tableau4[Type d''imputation],"sale order")</f>
        <v>0</v>
      </c>
      <c r="E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7" s="7">
        <f>SUMIFS(Tableau4[Montant imputé],Tableau4[Matricule cabinet],Tableau5[[#This Row],[Matricule cabinet]],Tableau4[Type d''imputation],"leave")</f>
        <v>0</v>
      </c>
      <c r="G7" s="7">
        <f>SUMIFS(Tableau4[Montant imputé],Tableau4[Matricule cabinet],Tableau5[[#This Row],[Matricule cabinet]],Tableau4[Type d''imputation],"absence")</f>
        <v>0</v>
      </c>
      <c r="H7" s="7">
        <f>SUM(Tableau5[[#This Row],[B WK]:[Unpaid leave WK]])</f>
        <v>20</v>
      </c>
    </row>
    <row r="8" spans="1:8">
      <c r="A8" s="7" t="s">
        <v>250</v>
      </c>
      <c r="B8" s="7" t="s">
        <v>251</v>
      </c>
      <c r="C8" s="7" t="s">
        <v>19</v>
      </c>
      <c r="D8" s="7">
        <f>SUMIFS(Tableau4[Montant imputé],Tableau4[Matricule cabinet],Tableau5[[#This Row],[Matricule cabinet]],Tableau4[Type d''imputation],"sale order")</f>
        <v>6</v>
      </c>
      <c r="E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8" s="7">
        <f>SUMIFS(Tableau4[Montant imputé],Tableau4[Matricule cabinet],Tableau5[[#This Row],[Matricule cabinet]],Tableau4[Type d''imputation],"leave")</f>
        <v>5</v>
      </c>
      <c r="G8" s="7">
        <f>SUMIFS(Tableau4[Montant imputé],Tableau4[Matricule cabinet],Tableau5[[#This Row],[Matricule cabinet]],Tableau4[Type d''imputation],"absence")</f>
        <v>0</v>
      </c>
      <c r="H8" s="7">
        <f>SUM(Tableau5[[#This Row],[B WK]:[Unpaid leave WK]])</f>
        <v>20</v>
      </c>
    </row>
    <row r="9" spans="1:8">
      <c r="A9" s="7" t="s">
        <v>983</v>
      </c>
      <c r="B9" s="7" t="s">
        <v>984</v>
      </c>
      <c r="C9" s="7" t="s">
        <v>57</v>
      </c>
      <c r="D9" s="7">
        <f>SUMIFS(Tableau4[Montant imputé],Tableau4[Matricule cabinet],Tableau5[[#This Row],[Matricule cabinet]],Tableau4[Type d''imputation],"sale order")</f>
        <v>0</v>
      </c>
      <c r="E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9" s="7">
        <f>SUMIFS(Tableau4[Montant imputé],Tableau4[Matricule cabinet],Tableau5[[#This Row],[Matricule cabinet]],Tableau4[Type d''imputation],"leave")</f>
        <v>0</v>
      </c>
      <c r="G9" s="7">
        <f>SUMIFS(Tableau4[Montant imputé],Tableau4[Matricule cabinet],Tableau5[[#This Row],[Matricule cabinet]],Tableau4[Type d''imputation],"absence")</f>
        <v>0</v>
      </c>
      <c r="H9" s="7">
        <f>SUM(Tableau5[[#This Row],[B WK]:[Unpaid leave WK]])</f>
        <v>20</v>
      </c>
    </row>
    <row r="10" spans="1:8">
      <c r="A10" s="7" t="s">
        <v>1115</v>
      </c>
      <c r="B10" s="7" t="s">
        <v>1116</v>
      </c>
      <c r="C10" s="7" t="s">
        <v>73</v>
      </c>
      <c r="D10" s="7">
        <f>SUMIFS(Tableau4[Montant imputé],Tableau4[Matricule cabinet],Tableau5[[#This Row],[Matricule cabinet]],Tableau4[Type d''imputation],"sale order")</f>
        <v>1</v>
      </c>
      <c r="E1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17</v>
      </c>
      <c r="F10" s="7">
        <f>SUMIFS(Tableau4[Montant imputé],Tableau4[Matricule cabinet],Tableau5[[#This Row],[Matricule cabinet]],Tableau4[Type d''imputation],"leave")</f>
        <v>2</v>
      </c>
      <c r="G10" s="7">
        <f>SUMIFS(Tableau4[Montant imputé],Tableau4[Matricule cabinet],Tableau5[[#This Row],[Matricule cabinet]],Tableau4[Type d''imputation],"absence")</f>
        <v>0</v>
      </c>
      <c r="H10" s="7">
        <f>SUM(Tableau5[[#This Row],[B WK]:[Unpaid leave WK]])</f>
        <v>20</v>
      </c>
    </row>
    <row r="11" spans="1:8">
      <c r="A11" s="7" t="s">
        <v>1452</v>
      </c>
      <c r="B11" s="7" t="s">
        <v>1453</v>
      </c>
      <c r="C11" s="7" t="s">
        <v>72</v>
      </c>
      <c r="D11" s="7">
        <f>SUMIFS(Tableau4[Montant imputé],Tableau4[Matricule cabinet],Tableau5[[#This Row],[Matricule cabinet]],Tableau4[Type d''imputation],"sale order")</f>
        <v>3.5</v>
      </c>
      <c r="E1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16.5</v>
      </c>
      <c r="F11" s="7">
        <f>SUMIFS(Tableau4[Montant imputé],Tableau4[Matricule cabinet],Tableau5[[#This Row],[Matricule cabinet]],Tableau4[Type d''imputation],"leave")</f>
        <v>0</v>
      </c>
      <c r="G11" s="7">
        <f>SUMIFS(Tableau4[Montant imputé],Tableau4[Matricule cabinet],Tableau5[[#This Row],[Matricule cabinet]],Tableau4[Type d''imputation],"absence")</f>
        <v>0</v>
      </c>
      <c r="H11" s="7">
        <f>SUM(Tableau5[[#This Row],[B WK]:[Unpaid leave WK]])</f>
        <v>20</v>
      </c>
    </row>
    <row r="12" spans="1:8">
      <c r="A12" s="7" t="s">
        <v>1361</v>
      </c>
      <c r="B12" s="7" t="s">
        <v>1362</v>
      </c>
      <c r="C12" s="7" t="s">
        <v>15</v>
      </c>
      <c r="D12" s="7">
        <f>SUMIFS(Tableau4[Montant imputé],Tableau4[Matricule cabinet],Tableau5[[#This Row],[Matricule cabinet]],Tableau4[Type d''imputation],"sale order")</f>
        <v>0</v>
      </c>
      <c r="E1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</v>
      </c>
      <c r="F12" s="7">
        <f>SUMIFS(Tableau4[Montant imputé],Tableau4[Matricule cabinet],Tableau5[[#This Row],[Matricule cabinet]],Tableau4[Type d''imputation],"leave")</f>
        <v>0</v>
      </c>
      <c r="G12" s="7">
        <f>SUMIFS(Tableau4[Montant imputé],Tableau4[Matricule cabinet],Tableau5[[#This Row],[Matricule cabinet]],Tableau4[Type d''imputation],"absence")</f>
        <v>10</v>
      </c>
      <c r="H12" s="7">
        <f>SUM(Tableau5[[#This Row],[B WK]:[Unpaid leave WK]])</f>
        <v>20</v>
      </c>
    </row>
    <row r="13" spans="1:8">
      <c r="A13" s="7" t="s">
        <v>1317</v>
      </c>
      <c r="B13" s="7" t="s">
        <v>1318</v>
      </c>
      <c r="C13" s="7" t="s">
        <v>59</v>
      </c>
      <c r="D13" s="7">
        <f>SUMIFS(Tableau4[Montant imputé],Tableau4[Matricule cabinet],Tableau5[[#This Row],[Matricule cabinet]],Tableau4[Type d''imputation],"sale order")</f>
        <v>0</v>
      </c>
      <c r="E1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13" s="7">
        <f>SUMIFS(Tableau4[Montant imputé],Tableau4[Matricule cabinet],Tableau5[[#This Row],[Matricule cabinet]],Tableau4[Type d''imputation],"leave")</f>
        <v>0</v>
      </c>
      <c r="G13" s="7">
        <f>SUMIFS(Tableau4[Montant imputé],Tableau4[Matricule cabinet],Tableau5[[#This Row],[Matricule cabinet]],Tableau4[Type d''imputation],"absence")</f>
        <v>0</v>
      </c>
      <c r="H13" s="7">
        <f>SUM(Tableau5[[#This Row],[B WK]:[Unpaid leave WK]])</f>
        <v>20</v>
      </c>
    </row>
    <row r="14" spans="1:8">
      <c r="A14" s="7" t="s">
        <v>1031</v>
      </c>
      <c r="B14" s="7" t="s">
        <v>1032</v>
      </c>
      <c r="C14" s="7" t="s">
        <v>44</v>
      </c>
      <c r="D14" s="7">
        <f>SUMIFS(Tableau4[Montant imputé],Tableau4[Matricule cabinet],Tableau5[[#This Row],[Matricule cabinet]],Tableau4[Type d''imputation],"sale order")</f>
        <v>20</v>
      </c>
      <c r="E1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4" s="7">
        <f>SUMIFS(Tableau4[Montant imputé],Tableau4[Matricule cabinet],Tableau5[[#This Row],[Matricule cabinet]],Tableau4[Type d''imputation],"leave")</f>
        <v>0</v>
      </c>
      <c r="G14" s="7">
        <f>SUMIFS(Tableau4[Montant imputé],Tableau4[Matricule cabinet],Tableau5[[#This Row],[Matricule cabinet]],Tableau4[Type d''imputation],"absence")</f>
        <v>0</v>
      </c>
      <c r="H14" s="7">
        <f>SUM(Tableau5[[#This Row],[B WK]:[Unpaid leave WK]])</f>
        <v>20</v>
      </c>
    </row>
    <row r="15" spans="1:8">
      <c r="A15" s="7" t="s">
        <v>882</v>
      </c>
      <c r="B15" s="7" t="s">
        <v>883</v>
      </c>
      <c r="C15" s="7" t="s">
        <v>14</v>
      </c>
      <c r="D15" s="7">
        <f>SUMIFS(Tableau4[Montant imputé],Tableau4[Matricule cabinet],Tableau5[[#This Row],[Matricule cabinet]],Tableau4[Type d''imputation],"sale order")</f>
        <v>19.5</v>
      </c>
      <c r="E1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5" s="7">
        <f>SUMIFS(Tableau4[Montant imputé],Tableau4[Matricule cabinet],Tableau5[[#This Row],[Matricule cabinet]],Tableau4[Type d''imputation],"leave")</f>
        <v>0.5</v>
      </c>
      <c r="G15" s="7">
        <f>SUMIFS(Tableau4[Montant imputé],Tableau4[Matricule cabinet],Tableau5[[#This Row],[Matricule cabinet]],Tableau4[Type d''imputation],"absence")</f>
        <v>0</v>
      </c>
      <c r="H15" s="7">
        <f>SUM(Tableau5[[#This Row],[B WK]:[Unpaid leave WK]])</f>
        <v>20</v>
      </c>
    </row>
    <row r="16" spans="1:8">
      <c r="A16" s="7" t="s">
        <v>680</v>
      </c>
      <c r="B16" s="7" t="s">
        <v>681</v>
      </c>
      <c r="C16" s="7" t="s">
        <v>72</v>
      </c>
      <c r="D16" s="7">
        <f>SUMIFS(Tableau4[Montant imputé],Tableau4[Matricule cabinet],Tableau5[[#This Row],[Matricule cabinet]],Tableau4[Type d''imputation],"sale order")</f>
        <v>0</v>
      </c>
      <c r="E1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16" s="7">
        <f>SUMIFS(Tableau4[Montant imputé],Tableau4[Matricule cabinet],Tableau5[[#This Row],[Matricule cabinet]],Tableau4[Type d''imputation],"leave")</f>
        <v>0</v>
      </c>
      <c r="G16" s="7">
        <f>SUMIFS(Tableau4[Montant imputé],Tableau4[Matricule cabinet],Tableau5[[#This Row],[Matricule cabinet]],Tableau4[Type d''imputation],"absence")</f>
        <v>0</v>
      </c>
      <c r="H16" s="7">
        <f>SUM(Tableau5[[#This Row],[B WK]:[Unpaid leave WK]])</f>
        <v>20</v>
      </c>
    </row>
    <row r="17" spans="1:8">
      <c r="A17" s="7" t="s">
        <v>940</v>
      </c>
      <c r="B17" s="7" t="s">
        <v>941</v>
      </c>
      <c r="C17" s="7" t="s">
        <v>45</v>
      </c>
      <c r="D17" s="7">
        <f>SUMIFS(Tableau4[Montant imputé],Tableau4[Matricule cabinet],Tableau5[[#This Row],[Matricule cabinet]],Tableau4[Type d''imputation],"sale order")</f>
        <v>18</v>
      </c>
      <c r="E1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7" s="7">
        <f>SUMIFS(Tableau4[Montant imputé],Tableau4[Matricule cabinet],Tableau5[[#This Row],[Matricule cabinet]],Tableau4[Type d''imputation],"leave")</f>
        <v>2</v>
      </c>
      <c r="G17" s="7">
        <f>SUMIFS(Tableau4[Montant imputé],Tableau4[Matricule cabinet],Tableau5[[#This Row],[Matricule cabinet]],Tableau4[Type d''imputation],"absence")</f>
        <v>0</v>
      </c>
      <c r="H17" s="7">
        <f>SUM(Tableau5[[#This Row],[B WK]:[Unpaid leave WK]])</f>
        <v>20</v>
      </c>
    </row>
    <row r="18" spans="1:8">
      <c r="A18" s="7" t="s">
        <v>297</v>
      </c>
      <c r="B18" s="7" t="s">
        <v>298</v>
      </c>
      <c r="C18" s="7" t="s">
        <v>17</v>
      </c>
      <c r="D18" s="7">
        <f>SUMIFS(Tableau4[Montant imputé],Tableau4[Matricule cabinet],Tableau5[[#This Row],[Matricule cabinet]],Tableau4[Type d''imputation],"sale order")</f>
        <v>17</v>
      </c>
      <c r="E1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8" s="7">
        <f>SUMIFS(Tableau4[Montant imputé],Tableau4[Matricule cabinet],Tableau5[[#This Row],[Matricule cabinet]],Tableau4[Type d''imputation],"leave")</f>
        <v>3</v>
      </c>
      <c r="G18" s="7">
        <f>SUMIFS(Tableau4[Montant imputé],Tableau4[Matricule cabinet],Tableau5[[#This Row],[Matricule cabinet]],Tableau4[Type d''imputation],"absence")</f>
        <v>0</v>
      </c>
      <c r="H18" s="7">
        <f>SUM(Tableau5[[#This Row],[B WK]:[Unpaid leave WK]])</f>
        <v>20</v>
      </c>
    </row>
    <row r="19" spans="1:8">
      <c r="A19" s="7" t="s">
        <v>910</v>
      </c>
      <c r="B19" s="7" t="s">
        <v>911</v>
      </c>
      <c r="C19" s="7" t="s">
        <v>66</v>
      </c>
      <c r="D19" s="7">
        <f>SUMIFS(Tableau4[Montant imputé],Tableau4[Matricule cabinet],Tableau5[[#This Row],[Matricule cabinet]],Tableau4[Type d''imputation],"sale order")</f>
        <v>20</v>
      </c>
      <c r="E1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9" s="7">
        <f>SUMIFS(Tableau4[Montant imputé],Tableau4[Matricule cabinet],Tableau5[[#This Row],[Matricule cabinet]],Tableau4[Type d''imputation],"leave")</f>
        <v>0</v>
      </c>
      <c r="G19" s="7">
        <f>SUMIFS(Tableau4[Montant imputé],Tableau4[Matricule cabinet],Tableau5[[#This Row],[Matricule cabinet]],Tableau4[Type d''imputation],"absence")</f>
        <v>0</v>
      </c>
      <c r="H19" s="7">
        <f>SUM(Tableau5[[#This Row],[B WK]:[Unpaid leave WK]])</f>
        <v>20</v>
      </c>
    </row>
    <row r="20" spans="1:8">
      <c r="A20" s="7" t="s">
        <v>829</v>
      </c>
      <c r="B20" s="7" t="s">
        <v>830</v>
      </c>
      <c r="C20" s="7" t="s">
        <v>12</v>
      </c>
      <c r="D20" s="7">
        <f>SUMIFS(Tableau4[Montant imputé],Tableau4[Matricule cabinet],Tableau5[[#This Row],[Matricule cabinet]],Tableau4[Type d''imputation],"sale order")</f>
        <v>15</v>
      </c>
      <c r="E2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0" s="7">
        <f>SUMIFS(Tableau4[Montant imputé],Tableau4[Matricule cabinet],Tableau5[[#This Row],[Matricule cabinet]],Tableau4[Type d''imputation],"leave")</f>
        <v>5</v>
      </c>
      <c r="G20" s="7">
        <f>SUMIFS(Tableau4[Montant imputé],Tableau4[Matricule cabinet],Tableau5[[#This Row],[Matricule cabinet]],Tableau4[Type d''imputation],"absence")</f>
        <v>0</v>
      </c>
      <c r="H20" s="7">
        <f>SUM(Tableau5[[#This Row],[B WK]:[Unpaid leave WK]])</f>
        <v>20</v>
      </c>
    </row>
    <row r="21" spans="1:8">
      <c r="A21" s="7" t="s">
        <v>551</v>
      </c>
      <c r="B21" s="7" t="s">
        <v>552</v>
      </c>
      <c r="C21" s="7" t="s">
        <v>30</v>
      </c>
      <c r="D21" s="7">
        <f>SUMIFS(Tableau4[Montant imputé],Tableau4[Matricule cabinet],Tableau5[[#This Row],[Matricule cabinet]],Tableau4[Type d''imputation],"sale order")</f>
        <v>8</v>
      </c>
      <c r="E2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12</v>
      </c>
      <c r="F21" s="7">
        <f>SUMIFS(Tableau4[Montant imputé],Tableau4[Matricule cabinet],Tableau5[[#This Row],[Matricule cabinet]],Tableau4[Type d''imputation],"leave")</f>
        <v>0</v>
      </c>
      <c r="G21" s="7">
        <f>SUMIFS(Tableau4[Montant imputé],Tableau4[Matricule cabinet],Tableau5[[#This Row],[Matricule cabinet]],Tableau4[Type d''imputation],"absence")</f>
        <v>0</v>
      </c>
      <c r="H21" s="7">
        <f>SUM(Tableau5[[#This Row],[B WK]:[Unpaid leave WK]])</f>
        <v>20</v>
      </c>
    </row>
    <row r="22" spans="1:8">
      <c r="A22" s="7" t="s">
        <v>1064</v>
      </c>
      <c r="B22" s="7" t="s">
        <v>1065</v>
      </c>
      <c r="C22" s="7" t="s">
        <v>37</v>
      </c>
      <c r="D22" s="7">
        <f>SUMIFS(Tableau4[Montant imputé],Tableau4[Matricule cabinet],Tableau5[[#This Row],[Matricule cabinet]],Tableau4[Type d''imputation],"sale order")</f>
        <v>20</v>
      </c>
      <c r="E2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2" s="7">
        <f>SUMIFS(Tableau4[Montant imputé],Tableau4[Matricule cabinet],Tableau5[[#This Row],[Matricule cabinet]],Tableau4[Type d''imputation],"leave")</f>
        <v>0</v>
      </c>
      <c r="G22" s="7">
        <f>SUMIFS(Tableau4[Montant imputé],Tableau4[Matricule cabinet],Tableau5[[#This Row],[Matricule cabinet]],Tableau4[Type d''imputation],"absence")</f>
        <v>0</v>
      </c>
      <c r="H22" s="7">
        <f>SUM(Tableau5[[#This Row],[B WK]:[Unpaid leave WK]])</f>
        <v>20</v>
      </c>
    </row>
    <row r="23" spans="1:8">
      <c r="A23" s="7" t="s">
        <v>1066</v>
      </c>
      <c r="B23" s="7" t="s">
        <v>1067</v>
      </c>
      <c r="C23" s="7" t="s">
        <v>37</v>
      </c>
      <c r="D23" s="7">
        <f>SUMIFS(Tableau4[Montant imputé],Tableau4[Matricule cabinet],Tableau5[[#This Row],[Matricule cabinet]],Tableau4[Type d''imputation],"sale order")</f>
        <v>18</v>
      </c>
      <c r="E2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3" s="7">
        <f>SUMIFS(Tableau4[Montant imputé],Tableau4[Matricule cabinet],Tableau5[[#This Row],[Matricule cabinet]],Tableau4[Type d''imputation],"leave")</f>
        <v>2</v>
      </c>
      <c r="G23" s="7">
        <f>SUMIFS(Tableau4[Montant imputé],Tableau4[Matricule cabinet],Tableau5[[#This Row],[Matricule cabinet]],Tableau4[Type d''imputation],"absence")</f>
        <v>0</v>
      </c>
      <c r="H23" s="7">
        <f>SUM(Tableau5[[#This Row],[B WK]:[Unpaid leave WK]])</f>
        <v>20</v>
      </c>
    </row>
    <row r="24" spans="1:8">
      <c r="A24" s="7" t="s">
        <v>1363</v>
      </c>
      <c r="B24" s="7" t="s">
        <v>1364</v>
      </c>
      <c r="C24" s="7" t="s">
        <v>15</v>
      </c>
      <c r="D24" s="7">
        <f>SUMIFS(Tableau4[Montant imputé],Tableau4[Matricule cabinet],Tableau5[[#This Row],[Matricule cabinet]],Tableau4[Type d''imputation],"sale order")</f>
        <v>19</v>
      </c>
      <c r="E2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4" s="7">
        <f>SUMIFS(Tableau4[Montant imputé],Tableau4[Matricule cabinet],Tableau5[[#This Row],[Matricule cabinet]],Tableau4[Type d''imputation],"leave")</f>
        <v>1</v>
      </c>
      <c r="G24" s="7">
        <f>SUMIFS(Tableau4[Montant imputé],Tableau4[Matricule cabinet],Tableau5[[#This Row],[Matricule cabinet]],Tableau4[Type d''imputation],"absence")</f>
        <v>0</v>
      </c>
      <c r="H24" s="7">
        <f>SUM(Tableau5[[#This Row],[B WK]:[Unpaid leave WK]])</f>
        <v>20</v>
      </c>
    </row>
    <row r="25" spans="1:8">
      <c r="A25" s="7" t="s">
        <v>1117</v>
      </c>
      <c r="B25" s="7" t="s">
        <v>1118</v>
      </c>
      <c r="C25" s="7" t="s">
        <v>73</v>
      </c>
      <c r="D25" s="7">
        <f>SUMIFS(Tableau4[Montant imputé],Tableau4[Matricule cabinet],Tableau5[[#This Row],[Matricule cabinet]],Tableau4[Type d''imputation],"sale order")</f>
        <v>0</v>
      </c>
      <c r="E2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25" s="7">
        <f>SUMIFS(Tableau4[Montant imputé],Tableau4[Matricule cabinet],Tableau5[[#This Row],[Matricule cabinet]],Tableau4[Type d''imputation],"leave")</f>
        <v>1</v>
      </c>
      <c r="G25" s="7">
        <f>SUMIFS(Tableau4[Montant imputé],Tableau4[Matricule cabinet],Tableau5[[#This Row],[Matricule cabinet]],Tableau4[Type d''imputation],"absence")</f>
        <v>0</v>
      </c>
      <c r="H25" s="7">
        <f>SUM(Tableau5[[#This Row],[B WK]:[Unpaid leave WK]])</f>
        <v>20</v>
      </c>
    </row>
    <row r="26" spans="1:8">
      <c r="A26" s="7" t="s">
        <v>1331</v>
      </c>
      <c r="B26" s="7" t="s">
        <v>1332</v>
      </c>
      <c r="C26" s="7" t="s">
        <v>35</v>
      </c>
      <c r="D26" s="7">
        <f>SUMIFS(Tableau4[Montant imputé],Tableau4[Matricule cabinet],Tableau5[[#This Row],[Matricule cabinet]],Tableau4[Type d''imputation],"sale order")</f>
        <v>0</v>
      </c>
      <c r="E2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26" s="7">
        <f>SUMIFS(Tableau4[Montant imputé],Tableau4[Matricule cabinet],Tableau5[[#This Row],[Matricule cabinet]],Tableau4[Type d''imputation],"leave")</f>
        <v>6</v>
      </c>
      <c r="G26" s="7">
        <f>SUMIFS(Tableau4[Montant imputé],Tableau4[Matricule cabinet],Tableau5[[#This Row],[Matricule cabinet]],Tableau4[Type d''imputation],"absence")</f>
        <v>0</v>
      </c>
      <c r="H26" s="7">
        <f>SUM(Tableau5[[#This Row],[B WK]:[Unpaid leave WK]])</f>
        <v>20</v>
      </c>
    </row>
    <row r="27" spans="1:8">
      <c r="A27" s="7" t="s">
        <v>516</v>
      </c>
      <c r="B27" s="7" t="s">
        <v>517</v>
      </c>
      <c r="C27" s="7" t="s">
        <v>57</v>
      </c>
      <c r="D27" s="7">
        <f>SUMIFS(Tableau4[Montant imputé],Tableau4[Matricule cabinet],Tableau5[[#This Row],[Matricule cabinet]],Tableau4[Type d''imputation],"sale order")</f>
        <v>17</v>
      </c>
      <c r="E2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27" s="7">
        <f>SUMIFS(Tableau4[Montant imputé],Tableau4[Matricule cabinet],Tableau5[[#This Row],[Matricule cabinet]],Tableau4[Type d''imputation],"leave")</f>
        <v>0</v>
      </c>
      <c r="G27" s="7">
        <f>SUMIFS(Tableau4[Montant imputé],Tableau4[Matricule cabinet],Tableau5[[#This Row],[Matricule cabinet]],Tableau4[Type d''imputation],"absence")</f>
        <v>0</v>
      </c>
      <c r="H27" s="7">
        <f>SUM(Tableau5[[#This Row],[B WK]:[Unpaid leave WK]])</f>
        <v>20</v>
      </c>
    </row>
    <row r="28" spans="1:8">
      <c r="A28" s="7" t="s">
        <v>217</v>
      </c>
      <c r="B28" s="7" t="s">
        <v>218</v>
      </c>
      <c r="C28" s="7" t="s">
        <v>52</v>
      </c>
      <c r="D28" s="7">
        <f>SUMIFS(Tableau4[Montant imputé],Tableau4[Matricule cabinet],Tableau5[[#This Row],[Matricule cabinet]],Tableau4[Type d''imputation],"sale order")</f>
        <v>0</v>
      </c>
      <c r="E2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8" s="7">
        <f>SUMIFS(Tableau4[Montant imputé],Tableau4[Matricule cabinet],Tableau5[[#This Row],[Matricule cabinet]],Tableau4[Type d''imputation],"leave")</f>
        <v>0</v>
      </c>
      <c r="G28" s="7">
        <f>SUMIFS(Tableau4[Montant imputé],Tableau4[Matricule cabinet],Tableau5[[#This Row],[Matricule cabinet]],Tableau4[Type d''imputation],"absence")</f>
        <v>0</v>
      </c>
      <c r="H28" s="7">
        <f>SUM(Tableau5[[#This Row],[B WK]:[Unpaid leave WK]])</f>
        <v>20</v>
      </c>
    </row>
    <row r="29" spans="1:8">
      <c r="A29" s="7" t="s">
        <v>568</v>
      </c>
      <c r="B29" s="7" t="s">
        <v>569</v>
      </c>
      <c r="C29" s="7" t="s">
        <v>29</v>
      </c>
      <c r="D29" s="7">
        <f>SUMIFS(Tableau4[Montant imputé],Tableau4[Matricule cabinet],Tableau5[[#This Row],[Matricule cabinet]],Tableau4[Type d''imputation],"sale order")</f>
        <v>20</v>
      </c>
      <c r="E2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9" s="7">
        <f>SUMIFS(Tableau4[Montant imputé],Tableau4[Matricule cabinet],Tableau5[[#This Row],[Matricule cabinet]],Tableau4[Type d''imputation],"leave")</f>
        <v>0</v>
      </c>
      <c r="G29" s="7">
        <f>SUMIFS(Tableau4[Montant imputé],Tableau4[Matricule cabinet],Tableau5[[#This Row],[Matricule cabinet]],Tableau4[Type d''imputation],"absence")</f>
        <v>0</v>
      </c>
      <c r="H29" s="7">
        <f>SUM(Tableau5[[#This Row],[B WK]:[Unpaid leave WK]])</f>
        <v>20</v>
      </c>
    </row>
    <row r="30" spans="1:8">
      <c r="A30" s="7" t="s">
        <v>1033</v>
      </c>
      <c r="B30" s="7" t="s">
        <v>1034</v>
      </c>
      <c r="C30" s="7" t="s">
        <v>44</v>
      </c>
      <c r="D30" s="7">
        <f>SUMIFS(Tableau4[Montant imputé],Tableau4[Matricule cabinet],Tableau5[[#This Row],[Matricule cabinet]],Tableau4[Type d''imputation],"sale order")</f>
        <v>20</v>
      </c>
      <c r="E3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0" s="7">
        <f>SUMIFS(Tableau4[Montant imputé],Tableau4[Matricule cabinet],Tableau5[[#This Row],[Matricule cabinet]],Tableau4[Type d''imputation],"leave")</f>
        <v>0</v>
      </c>
      <c r="G30" s="7">
        <f>SUMIFS(Tableau4[Montant imputé],Tableau4[Matricule cabinet],Tableau5[[#This Row],[Matricule cabinet]],Tableau4[Type d''imputation],"absence")</f>
        <v>0</v>
      </c>
      <c r="H30" s="7">
        <f>SUM(Tableau5[[#This Row],[B WK]:[Unpaid leave WK]])</f>
        <v>20</v>
      </c>
    </row>
    <row r="31" spans="1:8">
      <c r="A31" s="7" t="s">
        <v>990</v>
      </c>
      <c r="B31" s="7" t="s">
        <v>991</v>
      </c>
      <c r="C31" s="7" t="s">
        <v>96</v>
      </c>
      <c r="D31" s="7">
        <f>SUMIFS(Tableau4[Montant imputé],Tableau4[Matricule cabinet],Tableau5[[#This Row],[Matricule cabinet]],Tableau4[Type d''imputation],"sale order")</f>
        <v>19</v>
      </c>
      <c r="E3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31" s="7">
        <f>SUMIFS(Tableau4[Montant imputé],Tableau4[Matricule cabinet],Tableau5[[#This Row],[Matricule cabinet]],Tableau4[Type d''imputation],"leave")</f>
        <v>0</v>
      </c>
      <c r="G31" s="7">
        <f>SUMIFS(Tableau4[Montant imputé],Tableau4[Matricule cabinet],Tableau5[[#This Row],[Matricule cabinet]],Tableau4[Type d''imputation],"absence")</f>
        <v>0</v>
      </c>
      <c r="H31" s="7">
        <f>SUM(Tableau5[[#This Row],[B WK]:[Unpaid leave WK]])</f>
        <v>20</v>
      </c>
    </row>
    <row r="32" spans="1:8">
      <c r="A32" s="7" t="s">
        <v>718</v>
      </c>
      <c r="B32" s="7" t="s">
        <v>719</v>
      </c>
      <c r="C32" s="7" t="s">
        <v>74</v>
      </c>
      <c r="D32" s="7">
        <f>SUMIFS(Tableau4[Montant imputé],Tableau4[Matricule cabinet],Tableau5[[#This Row],[Matricule cabinet]],Tableau4[Type d''imputation],"sale order")</f>
        <v>0</v>
      </c>
      <c r="E3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32" s="7">
        <f>SUMIFS(Tableau4[Montant imputé],Tableau4[Matricule cabinet],Tableau5[[#This Row],[Matricule cabinet]],Tableau4[Type d''imputation],"leave")</f>
        <v>6</v>
      </c>
      <c r="G32" s="7">
        <f>SUMIFS(Tableau4[Montant imputé],Tableau4[Matricule cabinet],Tableau5[[#This Row],[Matricule cabinet]],Tableau4[Type d''imputation],"absence")</f>
        <v>0</v>
      </c>
      <c r="H32" s="7">
        <f>SUM(Tableau5[[#This Row],[B WK]:[Unpaid leave WK]])</f>
        <v>20</v>
      </c>
    </row>
    <row r="33" spans="1:8">
      <c r="A33" s="7" t="s">
        <v>570</v>
      </c>
      <c r="B33" s="7" t="s">
        <v>571</v>
      </c>
      <c r="C33" s="7" t="s">
        <v>29</v>
      </c>
      <c r="D33" s="7">
        <f>SUMIFS(Tableau4[Montant imputé],Tableau4[Matricule cabinet],Tableau5[[#This Row],[Matricule cabinet]],Tableau4[Type d''imputation],"sale order")</f>
        <v>20</v>
      </c>
      <c r="E3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3" s="7">
        <f>SUMIFS(Tableau4[Montant imputé],Tableau4[Matricule cabinet],Tableau5[[#This Row],[Matricule cabinet]],Tableau4[Type d''imputation],"leave")</f>
        <v>0</v>
      </c>
      <c r="G33" s="7">
        <f>SUMIFS(Tableau4[Montant imputé],Tableau4[Matricule cabinet],Tableau5[[#This Row],[Matricule cabinet]],Tableau4[Type d''imputation],"absence")</f>
        <v>0</v>
      </c>
      <c r="H33" s="7">
        <f>SUM(Tableau5[[#This Row],[B WK]:[Unpaid leave WK]])</f>
        <v>20</v>
      </c>
    </row>
    <row r="34" spans="1:8">
      <c r="A34" s="7" t="s">
        <v>720</v>
      </c>
      <c r="B34" s="7" t="s">
        <v>721</v>
      </c>
      <c r="C34" s="7" t="s">
        <v>25</v>
      </c>
      <c r="D34" s="7">
        <f>SUMIFS(Tableau4[Montant imputé],Tableau4[Matricule cabinet],Tableau5[[#This Row],[Matricule cabinet]],Tableau4[Type d''imputation],"sale order")</f>
        <v>20</v>
      </c>
      <c r="E3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4" s="7">
        <f>SUMIFS(Tableau4[Montant imputé],Tableau4[Matricule cabinet],Tableau5[[#This Row],[Matricule cabinet]],Tableau4[Type d''imputation],"leave")</f>
        <v>0</v>
      </c>
      <c r="G34" s="7">
        <f>SUMIFS(Tableau4[Montant imputé],Tableau4[Matricule cabinet],Tableau5[[#This Row],[Matricule cabinet]],Tableau4[Type d''imputation],"absence")</f>
        <v>0</v>
      </c>
      <c r="H34" s="7">
        <f>SUM(Tableau5[[#This Row],[B WK]:[Unpaid leave WK]])</f>
        <v>20</v>
      </c>
    </row>
    <row r="35" spans="1:8">
      <c r="A35" s="7" t="s">
        <v>1257</v>
      </c>
      <c r="B35" s="7" t="s">
        <v>60</v>
      </c>
      <c r="C35" s="7" t="s">
        <v>28</v>
      </c>
      <c r="D35" s="7">
        <f>SUMIFS(Tableau4[Montant imputé],Tableau4[Matricule cabinet],Tableau5[[#This Row],[Matricule cabinet]],Tableau4[Type d''imputation],"sale order")</f>
        <v>0</v>
      </c>
      <c r="E3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5" s="7">
        <f>SUMIFS(Tableau4[Montant imputé],Tableau4[Matricule cabinet],Tableau5[[#This Row],[Matricule cabinet]],Tableau4[Type d''imputation],"leave")</f>
        <v>0</v>
      </c>
      <c r="G35" s="7">
        <f>SUMIFS(Tableau4[Montant imputé],Tableau4[Matricule cabinet],Tableau5[[#This Row],[Matricule cabinet]],Tableau4[Type d''imputation],"absence")</f>
        <v>0</v>
      </c>
      <c r="H35" s="7">
        <f>SUM(Tableau5[[#This Row],[B WK]:[Unpaid leave WK]])</f>
        <v>20</v>
      </c>
    </row>
    <row r="36" spans="1:8">
      <c r="A36" s="7" t="s">
        <v>880</v>
      </c>
      <c r="B36" s="7" t="s">
        <v>881</v>
      </c>
      <c r="C36" s="7" t="s">
        <v>14</v>
      </c>
      <c r="D36" s="7">
        <f>SUMIFS(Tableau4[Montant imputé],Tableau4[Matricule cabinet],Tableau5[[#This Row],[Matricule cabinet]],Tableau4[Type d''imputation],"sale order")</f>
        <v>0</v>
      </c>
      <c r="E3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12</v>
      </c>
      <c r="F36" s="7">
        <f>SUMIFS(Tableau4[Montant imputé],Tableau4[Matricule cabinet],Tableau5[[#This Row],[Matricule cabinet]],Tableau4[Type d''imputation],"leave")</f>
        <v>0</v>
      </c>
      <c r="G36" s="7">
        <f>SUMIFS(Tableau4[Montant imputé],Tableau4[Matricule cabinet],Tableau5[[#This Row],[Matricule cabinet]],Tableau4[Type d''imputation],"absence")</f>
        <v>8</v>
      </c>
      <c r="H36" s="7">
        <f>SUM(Tableau5[[#This Row],[B WK]:[Unpaid leave WK]])</f>
        <v>20</v>
      </c>
    </row>
    <row r="37" spans="1:8">
      <c r="A37" s="7" t="s">
        <v>847</v>
      </c>
      <c r="B37" s="7" t="s">
        <v>848</v>
      </c>
      <c r="C37" s="7" t="s">
        <v>36</v>
      </c>
      <c r="D37" s="7">
        <f>SUMIFS(Tableau4[Montant imputé],Tableau4[Matricule cabinet],Tableau5[[#This Row],[Matricule cabinet]],Tableau4[Type d''imputation],"sale order")</f>
        <v>19</v>
      </c>
      <c r="E3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37" s="7">
        <f>SUMIFS(Tableau4[Montant imputé],Tableau4[Matricule cabinet],Tableau5[[#This Row],[Matricule cabinet]],Tableau4[Type d''imputation],"leave")</f>
        <v>0</v>
      </c>
      <c r="G37" s="7">
        <f>SUMIFS(Tableau4[Montant imputé],Tableau4[Matricule cabinet],Tableau5[[#This Row],[Matricule cabinet]],Tableau4[Type d''imputation],"absence")</f>
        <v>0</v>
      </c>
      <c r="H37" s="7">
        <f>SUM(Tableau5[[#This Row],[B WK]:[Unpaid leave WK]])</f>
        <v>20</v>
      </c>
    </row>
    <row r="38" spans="1:8">
      <c r="A38" s="7" t="s">
        <v>177</v>
      </c>
      <c r="B38" s="7" t="s">
        <v>178</v>
      </c>
      <c r="C38" s="7" t="s">
        <v>47</v>
      </c>
      <c r="D38" s="7">
        <f>SUMIFS(Tableau4[Montant imputé],Tableau4[Matricule cabinet],Tableau5[[#This Row],[Matricule cabinet]],Tableau4[Type d''imputation],"sale order")</f>
        <v>0</v>
      </c>
      <c r="E3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8" s="7">
        <f>SUMIFS(Tableau4[Montant imputé],Tableau4[Matricule cabinet],Tableau5[[#This Row],[Matricule cabinet]],Tableau4[Type d''imputation],"leave")</f>
        <v>0</v>
      </c>
      <c r="G38" s="7">
        <f>SUMIFS(Tableau4[Montant imputé],Tableau4[Matricule cabinet],Tableau5[[#This Row],[Matricule cabinet]],Tableau4[Type d''imputation],"absence")</f>
        <v>0</v>
      </c>
      <c r="H38" s="7">
        <f>SUM(Tableau5[[#This Row],[B WK]:[Unpaid leave WK]])</f>
        <v>20</v>
      </c>
    </row>
    <row r="39" spans="1:8">
      <c r="A39" s="7" t="s">
        <v>973</v>
      </c>
      <c r="B39" s="7" t="s">
        <v>974</v>
      </c>
      <c r="C39" s="7" t="s">
        <v>55</v>
      </c>
      <c r="D39" s="7">
        <f>SUMIFS(Tableau4[Montant imputé],Tableau4[Matricule cabinet],Tableau5[[#This Row],[Matricule cabinet]],Tableau4[Type d''imputation],"sale order")</f>
        <v>13</v>
      </c>
      <c r="E3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39" s="7">
        <f>SUMIFS(Tableau4[Montant imputé],Tableau4[Matricule cabinet],Tableau5[[#This Row],[Matricule cabinet]],Tableau4[Type d''imputation],"leave")</f>
        <v>6</v>
      </c>
      <c r="G39" s="7">
        <f>SUMIFS(Tableau4[Montant imputé],Tableau4[Matricule cabinet],Tableau5[[#This Row],[Matricule cabinet]],Tableau4[Type d''imputation],"absence")</f>
        <v>0</v>
      </c>
      <c r="H39" s="7">
        <f>SUM(Tableau5[[#This Row],[B WK]:[Unpaid leave WK]])</f>
        <v>20</v>
      </c>
    </row>
    <row r="40" spans="1:8">
      <c r="A40" s="7" t="s">
        <v>1518</v>
      </c>
      <c r="B40" s="7" t="s">
        <v>1519</v>
      </c>
      <c r="C40" s="7" t="s">
        <v>8</v>
      </c>
      <c r="D40" s="7">
        <f>SUMIFS(Tableau4[Montant imputé],Tableau4[Matricule cabinet],Tableau5[[#This Row],[Matricule cabinet]],Tableau4[Type d''imputation],"sale order")</f>
        <v>18</v>
      </c>
      <c r="E4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0" s="7">
        <f>SUMIFS(Tableau4[Montant imputé],Tableau4[Matricule cabinet],Tableau5[[#This Row],[Matricule cabinet]],Tableau4[Type d''imputation],"leave")</f>
        <v>2</v>
      </c>
      <c r="G40" s="7">
        <f>SUMIFS(Tableau4[Montant imputé],Tableau4[Matricule cabinet],Tableau5[[#This Row],[Matricule cabinet]],Tableau4[Type d''imputation],"absence")</f>
        <v>0</v>
      </c>
      <c r="H40" s="7">
        <f>SUM(Tableau5[[#This Row],[B WK]:[Unpaid leave WK]])</f>
        <v>20</v>
      </c>
    </row>
    <row r="41" spans="1:8">
      <c r="A41" s="7" t="s">
        <v>850</v>
      </c>
      <c r="B41" s="7" t="s">
        <v>2</v>
      </c>
      <c r="C41" s="7" t="s">
        <v>36</v>
      </c>
      <c r="D41" s="7">
        <f>SUMIFS(Tableau4[Montant imputé],Tableau4[Matricule cabinet],Tableau5[[#This Row],[Matricule cabinet]],Tableau4[Type d''imputation],"sale order")</f>
        <v>10</v>
      </c>
      <c r="E4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41" s="7">
        <f>SUMIFS(Tableau4[Montant imputé],Tableau4[Matricule cabinet],Tableau5[[#This Row],[Matricule cabinet]],Tableau4[Type d''imputation],"leave")</f>
        <v>1</v>
      </c>
      <c r="G41" s="7">
        <f>SUMIFS(Tableau4[Montant imputé],Tableau4[Matricule cabinet],Tableau5[[#This Row],[Matricule cabinet]],Tableau4[Type d''imputation],"absence")</f>
        <v>0</v>
      </c>
      <c r="H41" s="7">
        <f>SUM(Tableau5[[#This Row],[B WK]:[Unpaid leave WK]])</f>
        <v>20</v>
      </c>
    </row>
    <row r="42" spans="1:8">
      <c r="A42" s="7" t="s">
        <v>1088</v>
      </c>
      <c r="B42" s="7" t="s">
        <v>82</v>
      </c>
      <c r="C42" s="7" t="s">
        <v>13</v>
      </c>
      <c r="D42" s="7">
        <f>SUMIFS(Tableau4[Montant imputé],Tableau4[Matricule cabinet],Tableau5[[#This Row],[Matricule cabinet]],Tableau4[Type d''imputation],"sale order")</f>
        <v>0.5</v>
      </c>
      <c r="E4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19.5</v>
      </c>
      <c r="F42" s="7">
        <f>SUMIFS(Tableau4[Montant imputé],Tableau4[Matricule cabinet],Tableau5[[#This Row],[Matricule cabinet]],Tableau4[Type d''imputation],"leave")</f>
        <v>0</v>
      </c>
      <c r="G42" s="7">
        <f>SUMIFS(Tableau4[Montant imputé],Tableau4[Matricule cabinet],Tableau5[[#This Row],[Matricule cabinet]],Tableau4[Type d''imputation],"absence")</f>
        <v>0</v>
      </c>
      <c r="H42" s="7">
        <f>SUM(Tableau5[[#This Row],[B WK]:[Unpaid leave WK]])</f>
        <v>20</v>
      </c>
    </row>
    <row r="43" spans="1:8">
      <c r="A43" s="7" t="s">
        <v>1365</v>
      </c>
      <c r="B43" s="7" t="s">
        <v>1366</v>
      </c>
      <c r="C43" s="7" t="s">
        <v>15</v>
      </c>
      <c r="D43" s="7">
        <f>SUMIFS(Tableau4[Montant imputé],Tableau4[Matricule cabinet],Tableau5[[#This Row],[Matricule cabinet]],Tableau4[Type d''imputation],"sale order")</f>
        <v>20</v>
      </c>
      <c r="E4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3" s="7">
        <f>SUMIFS(Tableau4[Montant imputé],Tableau4[Matricule cabinet],Tableau5[[#This Row],[Matricule cabinet]],Tableau4[Type d''imputation],"leave")</f>
        <v>0</v>
      </c>
      <c r="G43" s="7">
        <f>SUMIFS(Tableau4[Montant imputé],Tableau4[Matricule cabinet],Tableau5[[#This Row],[Matricule cabinet]],Tableau4[Type d''imputation],"absence")</f>
        <v>0</v>
      </c>
      <c r="H43" s="7">
        <f>SUM(Tableau5[[#This Row],[B WK]:[Unpaid leave WK]])</f>
        <v>20</v>
      </c>
    </row>
    <row r="44" spans="1:8">
      <c r="A44" s="7" t="s">
        <v>868</v>
      </c>
      <c r="B44" s="7" t="s">
        <v>47</v>
      </c>
      <c r="C44" s="7" t="s">
        <v>34</v>
      </c>
      <c r="D44" s="7">
        <f>SUMIFS(Tableau4[Montant imputé],Tableau4[Matricule cabinet],Tableau5[[#This Row],[Matricule cabinet]],Tableau4[Type d''imputation],"sale order")</f>
        <v>16.5</v>
      </c>
      <c r="E4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44" s="7">
        <f>SUMIFS(Tableau4[Montant imputé],Tableau4[Matricule cabinet],Tableau5[[#This Row],[Matricule cabinet]],Tableau4[Type d''imputation],"leave")</f>
        <v>0.5</v>
      </c>
      <c r="G44" s="7">
        <f>SUMIFS(Tableau4[Montant imputé],Tableau4[Matricule cabinet],Tableau5[[#This Row],[Matricule cabinet]],Tableau4[Type d''imputation],"absence")</f>
        <v>0</v>
      </c>
      <c r="H44" s="7">
        <f>SUM(Tableau5[[#This Row],[B WK]:[Unpaid leave WK]])</f>
        <v>20</v>
      </c>
    </row>
    <row r="45" spans="1:8">
      <c r="A45" s="7" t="s">
        <v>938</v>
      </c>
      <c r="B45" s="7" t="s">
        <v>939</v>
      </c>
      <c r="C45" s="7" t="s">
        <v>98</v>
      </c>
      <c r="D45" s="7">
        <f>SUMIFS(Tableau4[Montant imputé],Tableau4[Matricule cabinet],Tableau5[[#This Row],[Matricule cabinet]],Tableau4[Type d''imputation],"sale order")</f>
        <v>0</v>
      </c>
      <c r="E4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5" s="7">
        <f>SUMIFS(Tableau4[Montant imputé],Tableau4[Matricule cabinet],Tableau5[[#This Row],[Matricule cabinet]],Tableau4[Type d''imputation],"leave")</f>
        <v>0</v>
      </c>
      <c r="G45" s="7">
        <f>SUMIFS(Tableau4[Montant imputé],Tableau4[Matricule cabinet],Tableau5[[#This Row],[Matricule cabinet]],Tableau4[Type d''imputation],"absence")</f>
        <v>0</v>
      </c>
      <c r="H45" s="7">
        <f>SUM(Tableau5[[#This Row],[B WK]:[Unpaid leave WK]])</f>
        <v>20</v>
      </c>
    </row>
    <row r="46" spans="1:8">
      <c r="A46" s="7" t="s">
        <v>1496</v>
      </c>
      <c r="B46" s="7" t="s">
        <v>11</v>
      </c>
      <c r="C46" s="7" t="s">
        <v>48</v>
      </c>
      <c r="D46" s="7">
        <f>SUMIFS(Tableau4[Montant imputé],Tableau4[Matricule cabinet],Tableau5[[#This Row],[Matricule cabinet]],Tableau4[Type d''imputation],"sale order")</f>
        <v>8.5</v>
      </c>
      <c r="E4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</v>
      </c>
      <c r="F46" s="7">
        <f>SUMIFS(Tableau4[Montant imputé],Tableau4[Matricule cabinet],Tableau5[[#This Row],[Matricule cabinet]],Tableau4[Type d''imputation],"leave")</f>
        <v>1.5</v>
      </c>
      <c r="G46" s="7">
        <f>SUMIFS(Tableau4[Montant imputé],Tableau4[Matricule cabinet],Tableau5[[#This Row],[Matricule cabinet]],Tableau4[Type d''imputation],"absence")</f>
        <v>0</v>
      </c>
      <c r="H46" s="7">
        <f>SUM(Tableau5[[#This Row],[B WK]:[Unpaid leave WK]])</f>
        <v>20</v>
      </c>
    </row>
    <row r="47" spans="1:8">
      <c r="A47" s="7" t="s">
        <v>1339</v>
      </c>
      <c r="B47" s="7" t="s">
        <v>1340</v>
      </c>
      <c r="C47" s="7" t="s">
        <v>53</v>
      </c>
      <c r="D47" s="7">
        <f>SUMIFS(Tableau4[Montant imputé],Tableau4[Matricule cabinet],Tableau5[[#This Row],[Matricule cabinet]],Tableau4[Type d''imputation],"sale order")</f>
        <v>10</v>
      </c>
      <c r="E4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8.5</v>
      </c>
      <c r="F47" s="7">
        <f>SUMIFS(Tableau4[Montant imputé],Tableau4[Matricule cabinet],Tableau5[[#This Row],[Matricule cabinet]],Tableau4[Type d''imputation],"leave")</f>
        <v>1.5</v>
      </c>
      <c r="G47" s="7">
        <f>SUMIFS(Tableau4[Montant imputé],Tableau4[Matricule cabinet],Tableau5[[#This Row],[Matricule cabinet]],Tableau4[Type d''imputation],"absence")</f>
        <v>0</v>
      </c>
      <c r="H47" s="7">
        <f>SUM(Tableau5[[#This Row],[B WK]:[Unpaid leave WK]])</f>
        <v>20</v>
      </c>
    </row>
    <row r="48" spans="1:8">
      <c r="A48" s="7" t="s">
        <v>1119</v>
      </c>
      <c r="B48" s="7" t="s">
        <v>1120</v>
      </c>
      <c r="C48" s="7" t="s">
        <v>73</v>
      </c>
      <c r="D48" s="7">
        <f>SUMIFS(Tableau4[Montant imputé],Tableau4[Matricule cabinet],Tableau5[[#This Row],[Matricule cabinet]],Tableau4[Type d''imputation],"sale order")</f>
        <v>16.5</v>
      </c>
      <c r="E4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8" s="7">
        <f>SUMIFS(Tableau4[Montant imputé],Tableau4[Matricule cabinet],Tableau5[[#This Row],[Matricule cabinet]],Tableau4[Type d''imputation],"leave")</f>
        <v>3.5</v>
      </c>
      <c r="G48" s="7">
        <f>SUMIFS(Tableau4[Montant imputé],Tableau4[Matricule cabinet],Tableau5[[#This Row],[Matricule cabinet]],Tableau4[Type d''imputation],"absence")</f>
        <v>0</v>
      </c>
      <c r="H48" s="7">
        <f>SUM(Tableau5[[#This Row],[B WK]:[Unpaid leave WK]])</f>
        <v>20</v>
      </c>
    </row>
    <row r="49" spans="1:8">
      <c r="A49" s="7" t="s">
        <v>1054</v>
      </c>
      <c r="B49" s="7" t="s">
        <v>1055</v>
      </c>
      <c r="C49" s="7" t="s">
        <v>67</v>
      </c>
      <c r="D49" s="7">
        <f>SUMIFS(Tableau4[Montant imputé],Tableau4[Matricule cabinet],Tableau5[[#This Row],[Matricule cabinet]],Tableau4[Type d''imputation],"sale order")</f>
        <v>14.5</v>
      </c>
      <c r="E4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49" s="7">
        <f>SUMIFS(Tableau4[Montant imputé],Tableau4[Matricule cabinet],Tableau5[[#This Row],[Matricule cabinet]],Tableau4[Type d''imputation],"leave")</f>
        <v>4.5</v>
      </c>
      <c r="G49" s="7">
        <f>SUMIFS(Tableau4[Montant imputé],Tableau4[Matricule cabinet],Tableau5[[#This Row],[Matricule cabinet]],Tableau4[Type d''imputation],"absence")</f>
        <v>0</v>
      </c>
      <c r="H49" s="7">
        <f>SUM(Tableau5[[#This Row],[B WK]:[Unpaid leave WK]])</f>
        <v>20</v>
      </c>
    </row>
    <row r="50" spans="1:8">
      <c r="A50" s="7" t="s">
        <v>1181</v>
      </c>
      <c r="B50" s="7" t="s">
        <v>1182</v>
      </c>
      <c r="C50" s="7" t="s">
        <v>55</v>
      </c>
      <c r="D50" s="7">
        <f>SUMIFS(Tableau4[Montant imputé],Tableau4[Matricule cabinet],Tableau5[[#This Row],[Matricule cabinet]],Tableau4[Type d''imputation],"sale order")</f>
        <v>18</v>
      </c>
      <c r="E5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0" s="7">
        <f>SUMIFS(Tableau4[Montant imputé],Tableau4[Matricule cabinet],Tableau5[[#This Row],[Matricule cabinet]],Tableau4[Type d''imputation],"leave")</f>
        <v>2</v>
      </c>
      <c r="G50" s="7">
        <f>SUMIFS(Tableau4[Montant imputé],Tableau4[Matricule cabinet],Tableau5[[#This Row],[Matricule cabinet]],Tableau4[Type d''imputation],"absence")</f>
        <v>0</v>
      </c>
      <c r="H50" s="7">
        <f>SUM(Tableau5[[#This Row],[B WK]:[Unpaid leave WK]])</f>
        <v>20</v>
      </c>
    </row>
    <row r="51" spans="1:8">
      <c r="A51" s="7" t="s">
        <v>362</v>
      </c>
      <c r="B51" s="7" t="s">
        <v>363</v>
      </c>
      <c r="C51" s="7" t="s">
        <v>67</v>
      </c>
      <c r="D51" s="7">
        <f>SUMIFS(Tableau4[Montant imputé],Tableau4[Matricule cabinet],Tableau5[[#This Row],[Matricule cabinet]],Tableau4[Type d''imputation],"sale order")</f>
        <v>10</v>
      </c>
      <c r="E5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51" s="7">
        <f>SUMIFS(Tableau4[Montant imputé],Tableau4[Matricule cabinet],Tableau5[[#This Row],[Matricule cabinet]],Tableau4[Type d''imputation],"leave")</f>
        <v>2</v>
      </c>
      <c r="G51" s="7">
        <f>SUMIFS(Tableau4[Montant imputé],Tableau4[Matricule cabinet],Tableau5[[#This Row],[Matricule cabinet]],Tableau4[Type d''imputation],"absence")</f>
        <v>0</v>
      </c>
      <c r="H51" s="7">
        <f>SUM(Tableau5[[#This Row],[B WK]:[Unpaid leave WK]])</f>
        <v>20</v>
      </c>
    </row>
    <row r="52" spans="1:8">
      <c r="A52" s="7" t="s">
        <v>336</v>
      </c>
      <c r="B52" s="7" t="s">
        <v>337</v>
      </c>
      <c r="C52" s="7" t="s">
        <v>54</v>
      </c>
      <c r="D52" s="7">
        <f>SUMIFS(Tableau4[Montant imputé],Tableau4[Matricule cabinet],Tableau5[[#This Row],[Matricule cabinet]],Tableau4[Type d''imputation],"sale order")</f>
        <v>15</v>
      </c>
      <c r="E5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5</v>
      </c>
      <c r="F52" s="7">
        <f>SUMIFS(Tableau4[Montant imputé],Tableau4[Matricule cabinet],Tableau5[[#This Row],[Matricule cabinet]],Tableau4[Type d''imputation],"leave")</f>
        <v>0</v>
      </c>
      <c r="G52" s="7">
        <f>SUMIFS(Tableau4[Montant imputé],Tableau4[Matricule cabinet],Tableau5[[#This Row],[Matricule cabinet]],Tableau4[Type d''imputation],"absence")</f>
        <v>0</v>
      </c>
      <c r="H52" s="7">
        <f>SUM(Tableau5[[#This Row],[B WK]:[Unpaid leave WK]])</f>
        <v>20</v>
      </c>
    </row>
    <row r="53" spans="1:8">
      <c r="A53" s="7" t="s">
        <v>793</v>
      </c>
      <c r="B53" s="7" t="s">
        <v>52</v>
      </c>
      <c r="C53" s="7" t="s">
        <v>16</v>
      </c>
      <c r="D53" s="7">
        <f>SUMIFS(Tableau4[Montant imputé],Tableau4[Matricule cabinet],Tableau5[[#This Row],[Matricule cabinet]],Tableau4[Type d''imputation],"sale order")</f>
        <v>6</v>
      </c>
      <c r="E5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3" s="7">
        <f>SUMIFS(Tableau4[Montant imputé],Tableau4[Matricule cabinet],Tableau5[[#This Row],[Matricule cabinet]],Tableau4[Type d''imputation],"leave")</f>
        <v>14</v>
      </c>
      <c r="G53" s="7">
        <f>SUMIFS(Tableau4[Montant imputé],Tableau4[Matricule cabinet],Tableau5[[#This Row],[Matricule cabinet]],Tableau4[Type d''imputation],"absence")</f>
        <v>0</v>
      </c>
      <c r="H53" s="7">
        <f>SUM(Tableau5[[#This Row],[B WK]:[Unpaid leave WK]])</f>
        <v>20</v>
      </c>
    </row>
    <row r="54" spans="1:8">
      <c r="A54" s="7" t="s">
        <v>467</v>
      </c>
      <c r="B54" s="7" t="s">
        <v>468</v>
      </c>
      <c r="C54" s="7" t="s">
        <v>21</v>
      </c>
      <c r="D54" s="7">
        <f>SUMIFS(Tableau4[Montant imputé],Tableau4[Matricule cabinet],Tableau5[[#This Row],[Matricule cabinet]],Tableau4[Type d''imputation],"sale order")</f>
        <v>12</v>
      </c>
      <c r="E5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54" s="7">
        <f>SUMIFS(Tableau4[Montant imputé],Tableau4[Matricule cabinet],Tableau5[[#This Row],[Matricule cabinet]],Tableau4[Type d''imputation],"leave")</f>
        <v>0</v>
      </c>
      <c r="G54" s="7">
        <f>SUMIFS(Tableau4[Montant imputé],Tableau4[Matricule cabinet],Tableau5[[#This Row],[Matricule cabinet]],Tableau4[Type d''imputation],"absence")</f>
        <v>0</v>
      </c>
      <c r="H54" s="7">
        <f>SUM(Tableau5[[#This Row],[B WK]:[Unpaid leave WK]])</f>
        <v>20</v>
      </c>
    </row>
    <row r="55" spans="1:8">
      <c r="A55" s="7" t="s">
        <v>1435</v>
      </c>
      <c r="B55" s="7" t="s">
        <v>1436</v>
      </c>
      <c r="C55" s="7" t="s">
        <v>23</v>
      </c>
      <c r="D55" s="7">
        <f>SUMIFS(Tableau4[Montant imputé],Tableau4[Matricule cabinet],Tableau5[[#This Row],[Matricule cabinet]],Tableau4[Type d''imputation],"sale order")</f>
        <v>0</v>
      </c>
      <c r="E5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5" s="7">
        <f>SUMIFS(Tableau4[Montant imputé],Tableau4[Matricule cabinet],Tableau5[[#This Row],[Matricule cabinet]],Tableau4[Type d''imputation],"leave")</f>
        <v>0</v>
      </c>
      <c r="G55" s="7">
        <f>SUMIFS(Tableau4[Montant imputé],Tableau4[Matricule cabinet],Tableau5[[#This Row],[Matricule cabinet]],Tableau4[Type d''imputation],"absence")</f>
        <v>0</v>
      </c>
      <c r="H55" s="7">
        <f>SUM(Tableau5[[#This Row],[B WK]:[Unpaid leave WK]])</f>
        <v>20</v>
      </c>
    </row>
    <row r="56" spans="1:8">
      <c r="A56" s="7" t="s">
        <v>703</v>
      </c>
      <c r="B56" s="7" t="s">
        <v>704</v>
      </c>
      <c r="C56" s="7" t="s">
        <v>75</v>
      </c>
      <c r="D56" s="7">
        <f>SUMIFS(Tableau4[Montant imputé],Tableau4[Matricule cabinet],Tableau5[[#This Row],[Matricule cabinet]],Tableau4[Type d''imputation],"sale order")</f>
        <v>20</v>
      </c>
      <c r="E5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6" s="7">
        <f>SUMIFS(Tableau4[Montant imputé],Tableau4[Matricule cabinet],Tableau5[[#This Row],[Matricule cabinet]],Tableau4[Type d''imputation],"leave")</f>
        <v>0</v>
      </c>
      <c r="G56" s="7">
        <f>SUMIFS(Tableau4[Montant imputé],Tableau4[Matricule cabinet],Tableau5[[#This Row],[Matricule cabinet]],Tableau4[Type d''imputation],"absence")</f>
        <v>0</v>
      </c>
      <c r="H56" s="7">
        <f>SUM(Tableau5[[#This Row],[B WK]:[Unpaid leave WK]])</f>
        <v>20</v>
      </c>
    </row>
    <row r="57" spans="1:8">
      <c r="A57" s="7" t="s">
        <v>1406</v>
      </c>
      <c r="B57" s="7" t="s">
        <v>1407</v>
      </c>
      <c r="C57" s="7" t="s">
        <v>32</v>
      </c>
      <c r="D57" s="7">
        <f>SUMIFS(Tableau4[Montant imputé],Tableau4[Matricule cabinet],Tableau5[[#This Row],[Matricule cabinet]],Tableau4[Type d''imputation],"sale order")</f>
        <v>20</v>
      </c>
      <c r="E5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7" s="7">
        <f>SUMIFS(Tableau4[Montant imputé],Tableau4[Matricule cabinet],Tableau5[[#This Row],[Matricule cabinet]],Tableau4[Type d''imputation],"leave")</f>
        <v>0</v>
      </c>
      <c r="G57" s="7">
        <f>SUMIFS(Tableau4[Montant imputé],Tableau4[Matricule cabinet],Tableau5[[#This Row],[Matricule cabinet]],Tableau4[Type d''imputation],"absence")</f>
        <v>0</v>
      </c>
      <c r="H57" s="7">
        <f>SUM(Tableau5[[#This Row],[B WK]:[Unpaid leave WK]])</f>
        <v>20</v>
      </c>
    </row>
    <row r="58" spans="1:8">
      <c r="A58" s="7" t="s">
        <v>1319</v>
      </c>
      <c r="B58" s="7" t="s">
        <v>1320</v>
      </c>
      <c r="C58" s="7" t="s">
        <v>59</v>
      </c>
      <c r="D58" s="7">
        <f>SUMIFS(Tableau4[Montant imputé],Tableau4[Matricule cabinet],Tableau5[[#This Row],[Matricule cabinet]],Tableau4[Type d''imputation],"sale order")</f>
        <v>19.5</v>
      </c>
      <c r="E5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8" s="7">
        <f>SUMIFS(Tableau4[Montant imputé],Tableau4[Matricule cabinet],Tableau5[[#This Row],[Matricule cabinet]],Tableau4[Type d''imputation],"leave")</f>
        <v>0.5</v>
      </c>
      <c r="G58" s="7">
        <f>SUMIFS(Tableau4[Montant imputé],Tableau4[Matricule cabinet],Tableau5[[#This Row],[Matricule cabinet]],Tableau4[Type d''imputation],"absence")</f>
        <v>0</v>
      </c>
      <c r="H58" s="7">
        <f>SUM(Tableau5[[#This Row],[B WK]:[Unpaid leave WK]])</f>
        <v>20</v>
      </c>
    </row>
    <row r="59" spans="1:8">
      <c r="A59" s="7" t="s">
        <v>572</v>
      </c>
      <c r="B59" s="7" t="s">
        <v>62</v>
      </c>
      <c r="C59" s="7" t="s">
        <v>29</v>
      </c>
      <c r="D59" s="7">
        <f>SUMIFS(Tableau4[Montant imputé],Tableau4[Matricule cabinet],Tableau5[[#This Row],[Matricule cabinet]],Tableau4[Type d''imputation],"sale order")</f>
        <v>16</v>
      </c>
      <c r="E5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59" s="7">
        <f>SUMIFS(Tableau4[Montant imputé],Tableau4[Matricule cabinet],Tableau5[[#This Row],[Matricule cabinet]],Tableau4[Type d''imputation],"leave")</f>
        <v>3</v>
      </c>
      <c r="G59" s="7">
        <f>SUMIFS(Tableau4[Montant imputé],Tableau4[Matricule cabinet],Tableau5[[#This Row],[Matricule cabinet]],Tableau4[Type d''imputation],"absence")</f>
        <v>0</v>
      </c>
      <c r="H59" s="7">
        <f>SUM(Tableau5[[#This Row],[B WK]:[Unpaid leave WK]])</f>
        <v>20</v>
      </c>
    </row>
    <row r="60" spans="1:8">
      <c r="A60" s="7" t="s">
        <v>300</v>
      </c>
      <c r="B60" s="7" t="s">
        <v>301</v>
      </c>
      <c r="C60" s="7" t="s">
        <v>17</v>
      </c>
      <c r="D60" s="7">
        <f>SUMIFS(Tableau4[Montant imputé],Tableau4[Matricule cabinet],Tableau5[[#This Row],[Matricule cabinet]],Tableau4[Type d''imputation],"sale order")</f>
        <v>13</v>
      </c>
      <c r="E6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0" s="7">
        <f>SUMIFS(Tableau4[Montant imputé],Tableau4[Matricule cabinet],Tableau5[[#This Row],[Matricule cabinet]],Tableau4[Type d''imputation],"leave")</f>
        <v>7</v>
      </c>
      <c r="G60" s="7">
        <f>SUMIFS(Tableau4[Montant imputé],Tableau4[Matricule cabinet],Tableau5[[#This Row],[Matricule cabinet]],Tableau4[Type d''imputation],"absence")</f>
        <v>0</v>
      </c>
      <c r="H60" s="7">
        <f>SUM(Tableau5[[#This Row],[B WK]:[Unpaid leave WK]])</f>
        <v>20</v>
      </c>
    </row>
    <row r="61" spans="1:8">
      <c r="A61" s="7" t="s">
        <v>381</v>
      </c>
      <c r="B61" s="7" t="s">
        <v>382</v>
      </c>
      <c r="C61" s="7" t="s">
        <v>39</v>
      </c>
      <c r="D61" s="7">
        <f>SUMIFS(Tableau4[Montant imputé],Tableau4[Matricule cabinet],Tableau5[[#This Row],[Matricule cabinet]],Tableau4[Type d''imputation],"sale order")</f>
        <v>9.5</v>
      </c>
      <c r="E6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5.5</v>
      </c>
      <c r="F61" s="7">
        <f>SUMIFS(Tableau4[Montant imputé],Tableau4[Matricule cabinet],Tableau5[[#This Row],[Matricule cabinet]],Tableau4[Type d''imputation],"leave")</f>
        <v>5</v>
      </c>
      <c r="G61" s="7">
        <f>SUMIFS(Tableau4[Montant imputé],Tableau4[Matricule cabinet],Tableau5[[#This Row],[Matricule cabinet]],Tableau4[Type d''imputation],"absence")</f>
        <v>0</v>
      </c>
      <c r="H61" s="7">
        <f>SUM(Tableau5[[#This Row],[B WK]:[Unpaid leave WK]])</f>
        <v>20</v>
      </c>
    </row>
    <row r="62" spans="1:8">
      <c r="A62" s="7" t="s">
        <v>146</v>
      </c>
      <c r="B62" s="7" t="s">
        <v>84</v>
      </c>
      <c r="C62" s="7" t="s">
        <v>31</v>
      </c>
      <c r="D62" s="7">
        <f>SUMIFS(Tableau4[Montant imputé],Tableau4[Matricule cabinet],Tableau5[[#This Row],[Matricule cabinet]],Tableau4[Type d''imputation],"sale order")</f>
        <v>0</v>
      </c>
      <c r="E6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62" s="7">
        <f>SUMIFS(Tableau4[Montant imputé],Tableau4[Matricule cabinet],Tableau5[[#This Row],[Matricule cabinet]],Tableau4[Type d''imputation],"leave")</f>
        <v>1</v>
      </c>
      <c r="G62" s="7">
        <f>SUMIFS(Tableau4[Montant imputé],Tableau4[Matricule cabinet],Tableau5[[#This Row],[Matricule cabinet]],Tableau4[Type d''imputation],"absence")</f>
        <v>0</v>
      </c>
      <c r="H62" s="7">
        <f>SUM(Tableau5[[#This Row],[B WK]:[Unpaid leave WK]])</f>
        <v>20</v>
      </c>
    </row>
    <row r="63" spans="1:8">
      <c r="A63" s="7" t="s">
        <v>1183</v>
      </c>
      <c r="B63" s="7" t="s">
        <v>1184</v>
      </c>
      <c r="C63" s="7" t="s">
        <v>55</v>
      </c>
      <c r="D63" s="7">
        <f>SUMIFS(Tableau4[Montant imputé],Tableau4[Matricule cabinet],Tableau5[[#This Row],[Matricule cabinet]],Tableau4[Type d''imputation],"sale order")</f>
        <v>12</v>
      </c>
      <c r="E6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63" s="7">
        <f>SUMIFS(Tableau4[Montant imputé],Tableau4[Matricule cabinet],Tableau5[[#This Row],[Matricule cabinet]],Tableau4[Type d''imputation],"leave")</f>
        <v>0</v>
      </c>
      <c r="G63" s="7">
        <f>SUMIFS(Tableau4[Montant imputé],Tableau4[Matricule cabinet],Tableau5[[#This Row],[Matricule cabinet]],Tableau4[Type d''imputation],"absence")</f>
        <v>0</v>
      </c>
      <c r="H63" s="7">
        <f>SUM(Tableau5[[#This Row],[B WK]:[Unpaid leave WK]])</f>
        <v>20</v>
      </c>
    </row>
    <row r="64" spans="1:8">
      <c r="A64" s="7" t="s">
        <v>588</v>
      </c>
      <c r="B64" s="7" t="s">
        <v>589</v>
      </c>
      <c r="C64" s="7" t="s">
        <v>76</v>
      </c>
      <c r="D64" s="7">
        <f>SUMIFS(Tableau4[Montant imputé],Tableau4[Matricule cabinet],Tableau5[[#This Row],[Matricule cabinet]],Tableau4[Type d''imputation],"sale order")</f>
        <v>0</v>
      </c>
      <c r="E6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64" s="7">
        <f>SUMIFS(Tableau4[Montant imputé],Tableau4[Matricule cabinet],Tableau5[[#This Row],[Matricule cabinet]],Tableau4[Type d''imputation],"leave")</f>
        <v>0</v>
      </c>
      <c r="G64" s="7">
        <f>SUMIFS(Tableau4[Montant imputé],Tableau4[Matricule cabinet],Tableau5[[#This Row],[Matricule cabinet]],Tableau4[Type d''imputation],"absence")</f>
        <v>0</v>
      </c>
      <c r="H64" s="7">
        <f>SUM(Tableau5[[#This Row],[B WK]:[Unpaid leave WK]])</f>
        <v>20</v>
      </c>
    </row>
    <row r="65" spans="1:8">
      <c r="A65" s="7" t="s">
        <v>912</v>
      </c>
      <c r="B65" s="7" t="s">
        <v>913</v>
      </c>
      <c r="C65" s="7" t="s">
        <v>66</v>
      </c>
      <c r="D65" s="7">
        <f>SUMIFS(Tableau4[Montant imputé],Tableau4[Matricule cabinet],Tableau5[[#This Row],[Matricule cabinet]],Tableau4[Type d''imputation],"sale order")</f>
        <v>20</v>
      </c>
      <c r="E6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5" s="7">
        <f>SUMIFS(Tableau4[Montant imputé],Tableau4[Matricule cabinet],Tableau5[[#This Row],[Matricule cabinet]],Tableau4[Type d''imputation],"leave")</f>
        <v>0</v>
      </c>
      <c r="G65" s="7">
        <f>SUMIFS(Tableau4[Montant imputé],Tableau4[Matricule cabinet],Tableau5[[#This Row],[Matricule cabinet]],Tableau4[Type d''imputation],"absence")</f>
        <v>0</v>
      </c>
      <c r="H65" s="7">
        <f>SUM(Tableau5[[#This Row],[B WK]:[Unpaid leave WK]])</f>
        <v>20</v>
      </c>
    </row>
    <row r="66" spans="1:8">
      <c r="A66" s="7" t="s">
        <v>364</v>
      </c>
      <c r="B66" s="7" t="s">
        <v>365</v>
      </c>
      <c r="C66" s="7" t="s">
        <v>67</v>
      </c>
      <c r="D66" s="7">
        <f>SUMIFS(Tableau4[Montant imputé],Tableau4[Matricule cabinet],Tableau5[[#This Row],[Matricule cabinet]],Tableau4[Type d''imputation],"sale order")</f>
        <v>20</v>
      </c>
      <c r="E6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6" s="7">
        <f>SUMIFS(Tableau4[Montant imputé],Tableau4[Matricule cabinet],Tableau5[[#This Row],[Matricule cabinet]],Tableau4[Type d''imputation],"leave")</f>
        <v>0</v>
      </c>
      <c r="G66" s="7">
        <f>SUMIFS(Tableau4[Montant imputé],Tableau4[Matricule cabinet],Tableau5[[#This Row],[Matricule cabinet]],Tableau4[Type d''imputation],"absence")</f>
        <v>0</v>
      </c>
      <c r="H66" s="7">
        <f>SUM(Tableau5[[#This Row],[B WK]:[Unpaid leave WK]])</f>
        <v>20</v>
      </c>
    </row>
    <row r="67" spans="1:8">
      <c r="A67" s="7" t="s">
        <v>1133</v>
      </c>
      <c r="B67" s="7" t="s">
        <v>3</v>
      </c>
      <c r="C67" s="7" t="s">
        <v>543</v>
      </c>
      <c r="D67" s="7">
        <f>SUMIFS(Tableau4[Montant imputé],Tableau4[Matricule cabinet],Tableau5[[#This Row],[Matricule cabinet]],Tableau4[Type d''imputation],"sale order")</f>
        <v>16</v>
      </c>
      <c r="E6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67" s="7">
        <f>SUMIFS(Tableau4[Montant imputé],Tableau4[Matricule cabinet],Tableau5[[#This Row],[Matricule cabinet]],Tableau4[Type d''imputation],"leave")</f>
        <v>0</v>
      </c>
      <c r="G67" s="7">
        <f>SUMIFS(Tableau4[Montant imputé],Tableau4[Matricule cabinet],Tableau5[[#This Row],[Matricule cabinet]],Tableau4[Type d''imputation],"absence")</f>
        <v>0</v>
      </c>
      <c r="H67" s="7">
        <f>SUM(Tableau5[[#This Row],[B WK]:[Unpaid leave WK]])</f>
        <v>20</v>
      </c>
    </row>
    <row r="68" spans="1:8">
      <c r="A68" s="7" t="s">
        <v>914</v>
      </c>
      <c r="B68" s="7" t="s">
        <v>915</v>
      </c>
      <c r="C68" s="7" t="s">
        <v>66</v>
      </c>
      <c r="D68" s="7">
        <f>SUMIFS(Tableau4[Montant imputé],Tableau4[Matricule cabinet],Tableau5[[#This Row],[Matricule cabinet]],Tableau4[Type d''imputation],"sale order")</f>
        <v>15</v>
      </c>
      <c r="E6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8" s="7">
        <f>SUMIFS(Tableau4[Montant imputé],Tableau4[Matricule cabinet],Tableau5[[#This Row],[Matricule cabinet]],Tableau4[Type d''imputation],"leave")</f>
        <v>5</v>
      </c>
      <c r="G68" s="7">
        <f>SUMIFS(Tableau4[Montant imputé],Tableau4[Matricule cabinet],Tableau5[[#This Row],[Matricule cabinet]],Tableau4[Type d''imputation],"absence")</f>
        <v>0</v>
      </c>
      <c r="H68" s="7">
        <f>SUM(Tableau5[[#This Row],[B WK]:[Unpaid leave WK]])</f>
        <v>20</v>
      </c>
    </row>
    <row r="69" spans="1:8">
      <c r="A69" s="7" t="s">
        <v>1134</v>
      </c>
      <c r="B69" s="7" t="s">
        <v>17</v>
      </c>
      <c r="C69" s="7" t="s">
        <v>543</v>
      </c>
      <c r="D69" s="7">
        <f>SUMIFS(Tableau4[Montant imputé],Tableau4[Matricule cabinet],Tableau5[[#This Row],[Matricule cabinet]],Tableau4[Type d''imputation],"sale order")</f>
        <v>5</v>
      </c>
      <c r="E6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15</v>
      </c>
      <c r="F69" s="7">
        <f>SUMIFS(Tableau4[Montant imputé],Tableau4[Matricule cabinet],Tableau5[[#This Row],[Matricule cabinet]],Tableau4[Type d''imputation],"leave")</f>
        <v>0</v>
      </c>
      <c r="G69" s="7">
        <f>SUMIFS(Tableau4[Montant imputé],Tableau4[Matricule cabinet],Tableau5[[#This Row],[Matricule cabinet]],Tableau4[Type d''imputation],"absence")</f>
        <v>0</v>
      </c>
      <c r="H69" s="7">
        <f>SUM(Tableau5[[#This Row],[B WK]:[Unpaid leave WK]])</f>
        <v>20</v>
      </c>
    </row>
    <row r="70" spans="1:8">
      <c r="A70" s="7" t="s">
        <v>480</v>
      </c>
      <c r="B70" s="7" t="s">
        <v>481</v>
      </c>
      <c r="C70" s="7" t="s">
        <v>33</v>
      </c>
      <c r="D70" s="7">
        <f>SUMIFS(Tableau4[Montant imputé],Tableau4[Matricule cabinet],Tableau5[[#This Row],[Matricule cabinet]],Tableau4[Type d''imputation],"sale order")</f>
        <v>0</v>
      </c>
      <c r="E7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70" s="7">
        <f>SUMIFS(Tableau4[Montant imputé],Tableau4[Matricule cabinet],Tableau5[[#This Row],[Matricule cabinet]],Tableau4[Type d''imputation],"leave")</f>
        <v>0</v>
      </c>
      <c r="G70" s="7">
        <f>SUMIFS(Tableau4[Montant imputé],Tableau4[Matricule cabinet],Tableau5[[#This Row],[Matricule cabinet]],Tableau4[Type d''imputation],"absence")</f>
        <v>0</v>
      </c>
      <c r="H70" s="7">
        <f>SUM(Tableau5[[#This Row],[B WK]:[Unpaid leave WK]])</f>
        <v>20</v>
      </c>
    </row>
    <row r="71" spans="1:8">
      <c r="A71" s="7" t="s">
        <v>1297</v>
      </c>
      <c r="B71" s="7" t="s">
        <v>1298</v>
      </c>
      <c r="C71" s="7" t="s">
        <v>41</v>
      </c>
      <c r="D71" s="7">
        <f>SUMIFS(Tableau4[Montant imputé],Tableau4[Matricule cabinet],Tableau5[[#This Row],[Matricule cabinet]],Tableau4[Type d''imputation],"sale order")</f>
        <v>20</v>
      </c>
      <c r="E7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71" s="7">
        <f>SUMIFS(Tableau4[Montant imputé],Tableau4[Matricule cabinet],Tableau5[[#This Row],[Matricule cabinet]],Tableau4[Type d''imputation],"leave")</f>
        <v>0</v>
      </c>
      <c r="G71" s="7">
        <f>SUMIFS(Tableau4[Montant imputé],Tableau4[Matricule cabinet],Tableau5[[#This Row],[Matricule cabinet]],Tableau4[Type d''imputation],"absence")</f>
        <v>0</v>
      </c>
      <c r="H71" s="7">
        <f>SUM(Tableau5[[#This Row],[B WK]:[Unpaid leave WK]])</f>
        <v>20</v>
      </c>
    </row>
    <row r="72" spans="1:8">
      <c r="A72" s="7" t="s">
        <v>174</v>
      </c>
      <c r="B72" s="7" t="s">
        <v>175</v>
      </c>
      <c r="C72" s="7" t="s">
        <v>95</v>
      </c>
      <c r="D72" s="7">
        <f>SUMIFS(Tableau4[Montant imputé],Tableau4[Matricule cabinet],Tableau5[[#This Row],[Matricule cabinet]],Tableau4[Type d''imputation],"sale order")</f>
        <v>0</v>
      </c>
      <c r="E7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72" s="7">
        <f>SUMIFS(Tableau4[Montant imputé],Tableau4[Matricule cabinet],Tableau5[[#This Row],[Matricule cabinet]],Tableau4[Type d''imputation],"leave")</f>
        <v>1</v>
      </c>
      <c r="G72" s="7">
        <f>SUMIFS(Tableau4[Montant imputé],Tableau4[Matricule cabinet],Tableau5[[#This Row],[Matricule cabinet]],Tableau4[Type d''imputation],"absence")</f>
        <v>0</v>
      </c>
      <c r="H72" s="7">
        <f>SUM(Tableau5[[#This Row],[B WK]:[Unpaid leave WK]])</f>
        <v>20</v>
      </c>
    </row>
    <row r="73" spans="1:8">
      <c r="A73" s="7" t="s">
        <v>1058</v>
      </c>
      <c r="B73" s="7" t="s">
        <v>1059</v>
      </c>
      <c r="C73" s="7" t="s">
        <v>77</v>
      </c>
      <c r="D73" s="7">
        <f>SUMIFS(Tableau4[Montant imputé],Tableau4[Matricule cabinet],Tableau5[[#This Row],[Matricule cabinet]],Tableau4[Type d''imputation],"sale order")</f>
        <v>0</v>
      </c>
      <c r="E7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73" s="7">
        <f>SUMIFS(Tableau4[Montant imputé],Tableau4[Matricule cabinet],Tableau5[[#This Row],[Matricule cabinet]],Tableau4[Type d''imputation],"leave")</f>
        <v>0</v>
      </c>
      <c r="G73" s="7">
        <f>SUMIFS(Tableau4[Montant imputé],Tableau4[Matricule cabinet],Tableau5[[#This Row],[Matricule cabinet]],Tableau4[Type d''imputation],"absence")</f>
        <v>0</v>
      </c>
      <c r="H73" s="7">
        <f>SUM(Tableau5[[#This Row],[B WK]:[Unpaid leave WK]])</f>
        <v>20</v>
      </c>
    </row>
    <row r="74" spans="1:8">
      <c r="A74" s="7" t="s">
        <v>320</v>
      </c>
      <c r="B74" s="7" t="s">
        <v>321</v>
      </c>
      <c r="C74" s="7" t="s">
        <v>64</v>
      </c>
      <c r="D74" s="7">
        <f>SUMIFS(Tableau4[Montant imputé],Tableau4[Matricule cabinet],Tableau5[[#This Row],[Matricule cabinet]],Tableau4[Type d''imputation],"sale order")</f>
        <v>0</v>
      </c>
      <c r="E7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74" s="7">
        <f>SUMIFS(Tableau4[Montant imputé],Tableau4[Matricule cabinet],Tableau5[[#This Row],[Matricule cabinet]],Tableau4[Type d''imputation],"leave")</f>
        <v>0</v>
      </c>
      <c r="G74" s="7">
        <f>SUMIFS(Tableau4[Montant imputé],Tableau4[Matricule cabinet],Tableau5[[#This Row],[Matricule cabinet]],Tableau4[Type d''imputation],"absence")</f>
        <v>0</v>
      </c>
      <c r="H74" s="7">
        <f>SUM(Tableau5[[#This Row],[B WK]:[Unpaid leave WK]])</f>
        <v>20</v>
      </c>
    </row>
    <row r="75" spans="1:8">
      <c r="A75" s="7" t="s">
        <v>728</v>
      </c>
      <c r="B75" s="7" t="s">
        <v>729</v>
      </c>
      <c r="C75" s="7" t="s">
        <v>25</v>
      </c>
      <c r="D75" s="7">
        <f>SUMIFS(Tableau4[Montant imputé],Tableau4[Matricule cabinet],Tableau5[[#This Row],[Matricule cabinet]],Tableau4[Type d''imputation],"sale order")</f>
        <v>18</v>
      </c>
      <c r="E7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75" s="7">
        <f>SUMIFS(Tableau4[Montant imputé],Tableau4[Matricule cabinet],Tableau5[[#This Row],[Matricule cabinet]],Tableau4[Type d''imputation],"leave")</f>
        <v>2</v>
      </c>
      <c r="G75" s="7">
        <f>SUMIFS(Tableau4[Montant imputé],Tableau4[Matricule cabinet],Tableau5[[#This Row],[Matricule cabinet]],Tableau4[Type d''imputation],"absence")</f>
        <v>0</v>
      </c>
      <c r="H75" s="7">
        <f>SUM(Tableau5[[#This Row],[B WK]:[Unpaid leave WK]])</f>
        <v>20</v>
      </c>
    </row>
    <row r="76" spans="1:8">
      <c r="A76" s="7" t="s">
        <v>359</v>
      </c>
      <c r="B76" s="7" t="s">
        <v>360</v>
      </c>
      <c r="C76" s="7" t="s">
        <v>361</v>
      </c>
      <c r="D76" s="7">
        <f>SUMIFS(Tableau4[Montant imputé],Tableau4[Matricule cabinet],Tableau5[[#This Row],[Matricule cabinet]],Tableau4[Type d''imputation],"sale order")</f>
        <v>15</v>
      </c>
      <c r="E7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5</v>
      </c>
      <c r="F76" s="7">
        <f>SUMIFS(Tableau4[Montant imputé],Tableau4[Matricule cabinet],Tableau5[[#This Row],[Matricule cabinet]],Tableau4[Type d''imputation],"leave")</f>
        <v>0</v>
      </c>
      <c r="G76" s="7">
        <f>SUMIFS(Tableau4[Montant imputé],Tableau4[Matricule cabinet],Tableau5[[#This Row],[Matricule cabinet]],Tableau4[Type d''imputation],"absence")</f>
        <v>0</v>
      </c>
      <c r="H76" s="7">
        <f>SUM(Tableau5[[#This Row],[B WK]:[Unpaid leave WK]])</f>
        <v>20</v>
      </c>
    </row>
    <row r="77" spans="1:8">
      <c r="A77" s="7" t="s">
        <v>273</v>
      </c>
      <c r="B77" s="7" t="s">
        <v>274</v>
      </c>
      <c r="C77" s="7" t="s">
        <v>3</v>
      </c>
      <c r="D77" s="7">
        <f>SUMIFS(Tableau4[Montant imputé],Tableau4[Matricule cabinet],Tableau5[[#This Row],[Matricule cabinet]],Tableau4[Type d''imputation],"sale order")</f>
        <v>0</v>
      </c>
      <c r="E7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18</v>
      </c>
      <c r="F77" s="7">
        <f>SUMIFS(Tableau4[Montant imputé],Tableau4[Matricule cabinet],Tableau5[[#This Row],[Matricule cabinet]],Tableau4[Type d''imputation],"leave")</f>
        <v>0</v>
      </c>
      <c r="G77" s="7">
        <f>SUMIFS(Tableau4[Montant imputé],Tableau4[Matricule cabinet],Tableau5[[#This Row],[Matricule cabinet]],Tableau4[Type d''imputation],"absence")</f>
        <v>2</v>
      </c>
      <c r="H77" s="7">
        <f>SUM(Tableau5[[#This Row],[B WK]:[Unpaid leave WK]])</f>
        <v>20</v>
      </c>
    </row>
    <row r="78" spans="1:8">
      <c r="A78" s="7" t="s">
        <v>1408</v>
      </c>
      <c r="B78" s="7" t="s">
        <v>1409</v>
      </c>
      <c r="C78" s="7" t="s">
        <v>32</v>
      </c>
      <c r="D78" s="7">
        <f>SUMIFS(Tableau4[Montant imputé],Tableau4[Matricule cabinet],Tableau5[[#This Row],[Matricule cabinet]],Tableau4[Type d''imputation],"sale order")</f>
        <v>16</v>
      </c>
      <c r="E7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78" s="7">
        <f>SUMIFS(Tableau4[Montant imputé],Tableau4[Matricule cabinet],Tableau5[[#This Row],[Matricule cabinet]],Tableau4[Type d''imputation],"leave")</f>
        <v>4</v>
      </c>
      <c r="G78" s="7">
        <f>SUMIFS(Tableau4[Montant imputé],Tableau4[Matricule cabinet],Tableau5[[#This Row],[Matricule cabinet]],Tableau4[Type d''imputation],"absence")</f>
        <v>0</v>
      </c>
      <c r="H78" s="7">
        <f>SUM(Tableau5[[#This Row],[B WK]:[Unpaid leave WK]])</f>
        <v>20</v>
      </c>
    </row>
    <row r="79" spans="1:8">
      <c r="A79" s="7" t="s">
        <v>236</v>
      </c>
      <c r="B79" s="7" t="s">
        <v>237</v>
      </c>
      <c r="C79" s="7" t="s">
        <v>62</v>
      </c>
      <c r="D79" s="7">
        <f>SUMIFS(Tableau4[Montant imputé],Tableau4[Matricule cabinet],Tableau5[[#This Row],[Matricule cabinet]],Tableau4[Type d''imputation],"sale order")</f>
        <v>20</v>
      </c>
      <c r="E7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79" s="7">
        <f>SUMIFS(Tableau4[Montant imputé],Tableau4[Matricule cabinet],Tableau5[[#This Row],[Matricule cabinet]],Tableau4[Type d''imputation],"leave")</f>
        <v>0</v>
      </c>
      <c r="G79" s="7">
        <f>SUMIFS(Tableau4[Montant imputé],Tableau4[Matricule cabinet],Tableau5[[#This Row],[Matricule cabinet]],Tableau4[Type d''imputation],"absence")</f>
        <v>0</v>
      </c>
      <c r="H79" s="7">
        <f>SUM(Tableau5[[#This Row],[B WK]:[Unpaid leave WK]])</f>
        <v>20</v>
      </c>
    </row>
    <row r="80" spans="1:8">
      <c r="A80" s="7" t="s">
        <v>1018</v>
      </c>
      <c r="B80" s="7" t="s">
        <v>1019</v>
      </c>
      <c r="C80" s="7" t="s">
        <v>54</v>
      </c>
      <c r="D80" s="7">
        <f>SUMIFS(Tableau4[Montant imputé],Tableau4[Matricule cabinet],Tableau5[[#This Row],[Matricule cabinet]],Tableau4[Type d''imputation],"sale order")</f>
        <v>7</v>
      </c>
      <c r="E8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80" s="7">
        <f>SUMIFS(Tableau4[Montant imputé],Tableau4[Matricule cabinet],Tableau5[[#This Row],[Matricule cabinet]],Tableau4[Type d''imputation],"leave")</f>
        <v>1</v>
      </c>
      <c r="G80" s="7">
        <f>SUMIFS(Tableau4[Montant imputé],Tableau4[Matricule cabinet],Tableau5[[#This Row],[Matricule cabinet]],Tableau4[Type d''imputation],"absence")</f>
        <v>8</v>
      </c>
      <c r="H80" s="7">
        <f>SUM(Tableau5[[#This Row],[B WK]:[Unpaid leave WK]])</f>
        <v>20</v>
      </c>
    </row>
    <row r="81" spans="1:8">
      <c r="A81" s="7" t="s">
        <v>1068</v>
      </c>
      <c r="B81" s="7" t="s">
        <v>1069</v>
      </c>
      <c r="C81" s="7" t="s">
        <v>37</v>
      </c>
      <c r="D81" s="7">
        <f>SUMIFS(Tableau4[Montant imputé],Tableau4[Matricule cabinet],Tableau5[[#This Row],[Matricule cabinet]],Tableau4[Type d''imputation],"sale order")</f>
        <v>20</v>
      </c>
      <c r="E8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81" s="7">
        <f>SUMIFS(Tableau4[Montant imputé],Tableau4[Matricule cabinet],Tableau5[[#This Row],[Matricule cabinet]],Tableau4[Type d''imputation],"leave")</f>
        <v>0</v>
      </c>
      <c r="G81" s="7">
        <f>SUMIFS(Tableau4[Montant imputé],Tableau4[Matricule cabinet],Tableau5[[#This Row],[Matricule cabinet]],Tableau4[Type d''imputation],"absence")</f>
        <v>0</v>
      </c>
      <c r="H81" s="7">
        <f>SUM(Tableau5[[#This Row],[B WK]:[Unpaid leave WK]])</f>
        <v>20</v>
      </c>
    </row>
    <row r="82" spans="1:8">
      <c r="A82" s="7" t="s">
        <v>447</v>
      </c>
      <c r="B82" s="7" t="s">
        <v>64</v>
      </c>
      <c r="C82" s="7" t="s">
        <v>70</v>
      </c>
      <c r="D82" s="7">
        <f>SUMIFS(Tableau4[Montant imputé],Tableau4[Matricule cabinet],Tableau5[[#This Row],[Matricule cabinet]],Tableau4[Type d''imputation],"sale order")</f>
        <v>20</v>
      </c>
      <c r="E8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82" s="7">
        <f>SUMIFS(Tableau4[Montant imputé],Tableau4[Matricule cabinet],Tableau5[[#This Row],[Matricule cabinet]],Tableau4[Type d''imputation],"leave")</f>
        <v>0</v>
      </c>
      <c r="G82" s="7">
        <f>SUMIFS(Tableau4[Montant imputé],Tableau4[Matricule cabinet],Tableau5[[#This Row],[Matricule cabinet]],Tableau4[Type d''imputation],"absence")</f>
        <v>0</v>
      </c>
      <c r="H82" s="7">
        <f>SUM(Tableau5[[#This Row],[B WK]:[Unpaid leave WK]])</f>
        <v>20</v>
      </c>
    </row>
    <row r="83" spans="1:8">
      <c r="A83" s="7" t="s">
        <v>1270</v>
      </c>
      <c r="B83" s="7" t="s">
        <v>1271</v>
      </c>
      <c r="C83" s="7" t="s">
        <v>27</v>
      </c>
      <c r="D83" s="7">
        <f>SUMIFS(Tableau4[Montant imputé],Tableau4[Matricule cabinet],Tableau5[[#This Row],[Matricule cabinet]],Tableau4[Type d''imputation],"sale order")</f>
        <v>0</v>
      </c>
      <c r="E8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</v>
      </c>
      <c r="F83" s="7">
        <f>SUMIFS(Tableau4[Montant imputé],Tableau4[Matricule cabinet],Tableau5[[#This Row],[Matricule cabinet]],Tableau4[Type d''imputation],"leave")</f>
        <v>0</v>
      </c>
      <c r="G83" s="7">
        <f>SUMIFS(Tableau4[Montant imputé],Tableau4[Matricule cabinet],Tableau5[[#This Row],[Matricule cabinet]],Tableau4[Type d''imputation],"absence")</f>
        <v>10</v>
      </c>
      <c r="H83" s="7">
        <f>SUM(Tableau5[[#This Row],[B WK]:[Unpaid leave WK]])</f>
        <v>20</v>
      </c>
    </row>
    <row r="84" spans="1:8">
      <c r="A84" s="7" t="s">
        <v>1510</v>
      </c>
      <c r="B84" s="7" t="s">
        <v>1511</v>
      </c>
      <c r="C84" s="7" t="s">
        <v>39</v>
      </c>
      <c r="D84" s="7">
        <f>SUMIFS(Tableau4[Montant imputé],Tableau4[Matricule cabinet],Tableau5[[#This Row],[Matricule cabinet]],Tableau4[Type d''imputation],"sale order")</f>
        <v>17.5</v>
      </c>
      <c r="E8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2.5</v>
      </c>
      <c r="F84" s="7">
        <f>SUMIFS(Tableau4[Montant imputé],Tableau4[Matricule cabinet],Tableau5[[#This Row],[Matricule cabinet]],Tableau4[Type d''imputation],"leave")</f>
        <v>0</v>
      </c>
      <c r="G84" s="7">
        <f>SUMIFS(Tableau4[Montant imputé],Tableau4[Matricule cabinet],Tableau5[[#This Row],[Matricule cabinet]],Tableau4[Type d''imputation],"absence")</f>
        <v>0</v>
      </c>
      <c r="H84" s="7">
        <f>SUM(Tableau5[[#This Row],[B WK]:[Unpaid leave WK]])</f>
        <v>20</v>
      </c>
    </row>
    <row r="85" spans="1:8">
      <c r="A85" s="7" t="s">
        <v>1377</v>
      </c>
      <c r="B85" s="7" t="s">
        <v>1378</v>
      </c>
      <c r="C85" s="7" t="s">
        <v>78</v>
      </c>
      <c r="D85" s="7">
        <f>SUMIFS(Tableau4[Montant imputé],Tableau4[Matricule cabinet],Tableau5[[#This Row],[Matricule cabinet]],Tableau4[Type d''imputation],"sale order")</f>
        <v>20</v>
      </c>
      <c r="E8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85" s="7">
        <f>SUMIFS(Tableau4[Montant imputé],Tableau4[Matricule cabinet],Tableau5[[#This Row],[Matricule cabinet]],Tableau4[Type d''imputation],"leave")</f>
        <v>0</v>
      </c>
      <c r="G85" s="7">
        <f>SUMIFS(Tableau4[Montant imputé],Tableau4[Matricule cabinet],Tableau5[[#This Row],[Matricule cabinet]],Tableau4[Type d''imputation],"absence")</f>
        <v>0</v>
      </c>
      <c r="H85" s="7">
        <f>SUM(Tableau5[[#This Row],[B WK]:[Unpaid leave WK]])</f>
        <v>20</v>
      </c>
    </row>
    <row r="86" spans="1:8">
      <c r="A86" s="7" t="s">
        <v>1392</v>
      </c>
      <c r="B86" s="7" t="s">
        <v>1393</v>
      </c>
      <c r="C86" s="7" t="s">
        <v>95</v>
      </c>
      <c r="D86" s="7">
        <f>SUMIFS(Tableau4[Montant imputé],Tableau4[Matricule cabinet],Tableau5[[#This Row],[Matricule cabinet]],Tableau4[Type d''imputation],"sale order")</f>
        <v>11</v>
      </c>
      <c r="E8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86" s="7">
        <f>SUMIFS(Tableau4[Montant imputé],Tableau4[Matricule cabinet],Tableau5[[#This Row],[Matricule cabinet]],Tableau4[Type d''imputation],"leave")</f>
        <v>9</v>
      </c>
      <c r="G86" s="7">
        <f>SUMIFS(Tableau4[Montant imputé],Tableau4[Matricule cabinet],Tableau5[[#This Row],[Matricule cabinet]],Tableau4[Type d''imputation],"absence")</f>
        <v>0</v>
      </c>
      <c r="H86" s="7">
        <f>SUM(Tableau5[[#This Row],[B WK]:[Unpaid leave WK]])</f>
        <v>20</v>
      </c>
    </row>
    <row r="87" spans="1:8">
      <c r="A87" s="7" t="s">
        <v>135</v>
      </c>
      <c r="B87" s="7" t="s">
        <v>136</v>
      </c>
      <c r="C87" s="7" t="s">
        <v>60</v>
      </c>
      <c r="D87" s="7">
        <f>SUMIFS(Tableau4[Montant imputé],Tableau4[Matricule cabinet],Tableau5[[#This Row],[Matricule cabinet]],Tableau4[Type d''imputation],"sale order")</f>
        <v>19</v>
      </c>
      <c r="E8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87" s="7">
        <f>SUMIFS(Tableau4[Montant imputé],Tableau4[Matricule cabinet],Tableau5[[#This Row],[Matricule cabinet]],Tableau4[Type d''imputation],"leave")</f>
        <v>1</v>
      </c>
      <c r="G87" s="7">
        <f>SUMIFS(Tableau4[Montant imputé],Tableau4[Matricule cabinet],Tableau5[[#This Row],[Matricule cabinet]],Tableau4[Type d''imputation],"absence")</f>
        <v>0</v>
      </c>
      <c r="H87" s="7">
        <f>SUM(Tableau5[[#This Row],[B WK]:[Unpaid leave WK]])</f>
        <v>20</v>
      </c>
    </row>
    <row r="88" spans="1:8">
      <c r="A88" s="7" t="s">
        <v>261</v>
      </c>
      <c r="B88" s="7" t="s">
        <v>262</v>
      </c>
      <c r="C88" s="7" t="s">
        <v>14</v>
      </c>
      <c r="D88" s="7">
        <f>SUMIFS(Tableau4[Montant imputé],Tableau4[Matricule cabinet],Tableau5[[#This Row],[Matricule cabinet]],Tableau4[Type d''imputation],"sale order")</f>
        <v>2.5</v>
      </c>
      <c r="E8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16.5</v>
      </c>
      <c r="F88" s="7">
        <f>SUMIFS(Tableau4[Montant imputé],Tableau4[Matricule cabinet],Tableau5[[#This Row],[Matricule cabinet]],Tableau4[Type d''imputation],"leave")</f>
        <v>1</v>
      </c>
      <c r="G88" s="7">
        <f>SUMIFS(Tableau4[Montant imputé],Tableau4[Matricule cabinet],Tableau5[[#This Row],[Matricule cabinet]],Tableau4[Type d''imputation],"absence")</f>
        <v>0</v>
      </c>
      <c r="H88" s="7">
        <f>SUM(Tableau5[[#This Row],[B WK]:[Unpaid leave WK]])</f>
        <v>20</v>
      </c>
    </row>
    <row r="89" spans="1:8">
      <c r="A89" s="7" t="s">
        <v>1425</v>
      </c>
      <c r="B89" s="7" t="s">
        <v>1426</v>
      </c>
      <c r="C89" s="7" t="s">
        <v>10</v>
      </c>
      <c r="D89" s="7">
        <f>SUMIFS(Tableau4[Montant imputé],Tableau4[Matricule cabinet],Tableau5[[#This Row],[Matricule cabinet]],Tableau4[Type d''imputation],"sale order")</f>
        <v>20</v>
      </c>
      <c r="E8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89" s="7">
        <f>SUMIFS(Tableau4[Montant imputé],Tableau4[Matricule cabinet],Tableau5[[#This Row],[Matricule cabinet]],Tableau4[Type d''imputation],"leave")</f>
        <v>0</v>
      </c>
      <c r="G89" s="7">
        <f>SUMIFS(Tableau4[Montant imputé],Tableau4[Matricule cabinet],Tableau5[[#This Row],[Matricule cabinet]],Tableau4[Type d''imputation],"absence")</f>
        <v>0</v>
      </c>
      <c r="H89" s="7">
        <f>SUM(Tableau5[[#This Row],[B WK]:[Unpaid leave WK]])</f>
        <v>20</v>
      </c>
    </row>
    <row r="90" spans="1:8">
      <c r="A90" s="7" t="s">
        <v>825</v>
      </c>
      <c r="B90" s="7" t="s">
        <v>826</v>
      </c>
      <c r="C90" s="7" t="s">
        <v>11</v>
      </c>
      <c r="D90" s="7">
        <f>SUMIFS(Tableau4[Montant imputé],Tableau4[Matricule cabinet],Tableau5[[#This Row],[Matricule cabinet]],Tableau4[Type d''imputation],"sale order")</f>
        <v>6</v>
      </c>
      <c r="E9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13</v>
      </c>
      <c r="F90" s="7">
        <f>SUMIFS(Tableau4[Montant imputé],Tableau4[Matricule cabinet],Tableau5[[#This Row],[Matricule cabinet]],Tableau4[Type d''imputation],"leave")</f>
        <v>1</v>
      </c>
      <c r="G90" s="7">
        <f>SUMIFS(Tableau4[Montant imputé],Tableau4[Matricule cabinet],Tableau5[[#This Row],[Matricule cabinet]],Tableau4[Type d''imputation],"absence")</f>
        <v>0</v>
      </c>
      <c r="H90" s="7">
        <f>SUM(Tableau5[[#This Row],[B WK]:[Unpaid leave WK]])</f>
        <v>20</v>
      </c>
    </row>
    <row r="91" spans="1:8">
      <c r="A91" s="7" t="s">
        <v>219</v>
      </c>
      <c r="B91" s="7" t="s">
        <v>220</v>
      </c>
      <c r="C91" s="7" t="s">
        <v>52</v>
      </c>
      <c r="D91" s="7">
        <f>SUMIFS(Tableau4[Montant imputé],Tableau4[Matricule cabinet],Tableau5[[#This Row],[Matricule cabinet]],Tableau4[Type d''imputation],"sale order")</f>
        <v>20</v>
      </c>
      <c r="E9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91" s="7">
        <f>SUMIFS(Tableau4[Montant imputé],Tableau4[Matricule cabinet],Tableau5[[#This Row],[Matricule cabinet]],Tableau4[Type d''imputation],"leave")</f>
        <v>0</v>
      </c>
      <c r="G91" s="7">
        <f>SUMIFS(Tableau4[Montant imputé],Tableau4[Matricule cabinet],Tableau5[[#This Row],[Matricule cabinet]],Tableau4[Type d''imputation],"absence")</f>
        <v>0</v>
      </c>
      <c r="H91" s="7">
        <f>SUM(Tableau5[[#This Row],[B WK]:[Unpaid leave WK]])</f>
        <v>20</v>
      </c>
    </row>
    <row r="92" spans="1:8">
      <c r="A92" s="7" t="s">
        <v>998</v>
      </c>
      <c r="B92" s="7" t="s">
        <v>999</v>
      </c>
      <c r="C92" s="7" t="s">
        <v>577</v>
      </c>
      <c r="D92" s="7">
        <f>SUMIFS(Tableau4[Montant imputé],Tableau4[Matricule cabinet],Tableau5[[#This Row],[Matricule cabinet]],Tableau4[Type d''imputation],"sale order")</f>
        <v>20</v>
      </c>
      <c r="E9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92" s="7">
        <f>SUMIFS(Tableau4[Montant imputé],Tableau4[Matricule cabinet],Tableau5[[#This Row],[Matricule cabinet]],Tableau4[Type d''imputation],"leave")</f>
        <v>0</v>
      </c>
      <c r="G92" s="7">
        <f>SUMIFS(Tableau4[Montant imputé],Tableau4[Matricule cabinet],Tableau5[[#This Row],[Matricule cabinet]],Tableau4[Type d''imputation],"absence")</f>
        <v>0</v>
      </c>
      <c r="H92" s="7">
        <f>SUM(Tableau5[[#This Row],[B WK]:[Unpaid leave WK]])</f>
        <v>20</v>
      </c>
    </row>
    <row r="93" spans="1:8">
      <c r="A93" s="7" t="s">
        <v>1185</v>
      </c>
      <c r="B93" s="7" t="s">
        <v>1186</v>
      </c>
      <c r="C93" s="7" t="s">
        <v>80</v>
      </c>
      <c r="D93" s="7">
        <f>SUMIFS(Tableau4[Montant imputé],Tableau4[Matricule cabinet],Tableau5[[#This Row],[Matricule cabinet]],Tableau4[Type d''imputation],"sale order")</f>
        <v>19</v>
      </c>
      <c r="E9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93" s="7">
        <f>SUMIFS(Tableau4[Montant imputé],Tableau4[Matricule cabinet],Tableau5[[#This Row],[Matricule cabinet]],Tableau4[Type d''imputation],"leave")</f>
        <v>0.5</v>
      </c>
      <c r="G93" s="7">
        <f>SUMIFS(Tableau4[Montant imputé],Tableau4[Matricule cabinet],Tableau5[[#This Row],[Matricule cabinet]],Tableau4[Type d''imputation],"absence")</f>
        <v>0</v>
      </c>
      <c r="H93" s="7">
        <f>SUM(Tableau5[[#This Row],[B WK]:[Unpaid leave WK]])</f>
        <v>20</v>
      </c>
    </row>
    <row r="94" spans="1:8">
      <c r="A94" s="7" t="s">
        <v>1280</v>
      </c>
      <c r="B94" s="7" t="s">
        <v>1281</v>
      </c>
      <c r="C94" s="7" t="s">
        <v>33</v>
      </c>
      <c r="D94" s="7">
        <f>SUMIFS(Tableau4[Montant imputé],Tableau4[Matricule cabinet],Tableau5[[#This Row],[Matricule cabinet]],Tableau4[Type d''imputation],"sale order")</f>
        <v>4.5</v>
      </c>
      <c r="E9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12.5</v>
      </c>
      <c r="F94" s="7">
        <f>SUMIFS(Tableau4[Montant imputé],Tableau4[Matricule cabinet],Tableau5[[#This Row],[Matricule cabinet]],Tableau4[Type d''imputation],"leave")</f>
        <v>3</v>
      </c>
      <c r="G94" s="7">
        <f>SUMIFS(Tableau4[Montant imputé],Tableau4[Matricule cabinet],Tableau5[[#This Row],[Matricule cabinet]],Tableau4[Type d''imputation],"absence")</f>
        <v>0</v>
      </c>
      <c r="H94" s="7">
        <f>SUM(Tableau5[[#This Row],[B WK]:[Unpaid leave WK]])</f>
        <v>20</v>
      </c>
    </row>
    <row r="95" spans="1:8">
      <c r="A95" s="7" t="s">
        <v>1439</v>
      </c>
      <c r="B95" s="7" t="s">
        <v>1440</v>
      </c>
      <c r="C95" s="7" t="s">
        <v>520</v>
      </c>
      <c r="D95" s="7">
        <f>SUMIFS(Tableau4[Montant imputé],Tableau4[Matricule cabinet],Tableau5[[#This Row],[Matricule cabinet]],Tableau4[Type d''imputation],"sale order")</f>
        <v>15</v>
      </c>
      <c r="E9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95" s="7">
        <f>SUMIFS(Tableau4[Montant imputé],Tableau4[Matricule cabinet],Tableau5[[#This Row],[Matricule cabinet]],Tableau4[Type d''imputation],"leave")</f>
        <v>5</v>
      </c>
      <c r="G95" s="7">
        <f>SUMIFS(Tableau4[Montant imputé],Tableau4[Matricule cabinet],Tableau5[[#This Row],[Matricule cabinet]],Tableau4[Type d''imputation],"absence")</f>
        <v>0</v>
      </c>
      <c r="H95" s="7">
        <f>SUM(Tableau5[[#This Row],[B WK]:[Unpaid leave WK]])</f>
        <v>20</v>
      </c>
    </row>
    <row r="96" spans="1:8">
      <c r="A96" s="7" t="s">
        <v>1272</v>
      </c>
      <c r="B96" s="7" t="s">
        <v>1273</v>
      </c>
      <c r="C96" s="7" t="s">
        <v>27</v>
      </c>
      <c r="D96" s="7">
        <f>SUMIFS(Tableau4[Montant imputé],Tableau4[Matricule cabinet],Tableau5[[#This Row],[Matricule cabinet]],Tableau4[Type d''imputation],"sale order")</f>
        <v>8</v>
      </c>
      <c r="E9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</v>
      </c>
      <c r="F96" s="7">
        <f>SUMIFS(Tableau4[Montant imputé],Tableau4[Matricule cabinet],Tableau5[[#This Row],[Matricule cabinet]],Tableau4[Type d''imputation],"leave")</f>
        <v>5</v>
      </c>
      <c r="G96" s="7">
        <f>SUMIFS(Tableau4[Montant imputé],Tableau4[Matricule cabinet],Tableau5[[#This Row],[Matricule cabinet]],Tableau4[Type d''imputation],"absence")</f>
        <v>0</v>
      </c>
      <c r="H96" s="7">
        <f>SUM(Tableau5[[#This Row],[B WK]:[Unpaid leave WK]])</f>
        <v>20</v>
      </c>
    </row>
    <row r="97" spans="1:8">
      <c r="A97" s="7" t="s">
        <v>1212</v>
      </c>
      <c r="B97" s="7" t="s">
        <v>1213</v>
      </c>
      <c r="C97" s="7" t="s">
        <v>81</v>
      </c>
      <c r="D97" s="7">
        <f>SUMIFS(Tableau4[Montant imputé],Tableau4[Matricule cabinet],Tableau5[[#This Row],[Matricule cabinet]],Tableau4[Type d''imputation],"sale order")</f>
        <v>0</v>
      </c>
      <c r="E9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97" s="7">
        <f>SUMIFS(Tableau4[Montant imputé],Tableau4[Matricule cabinet],Tableau5[[#This Row],[Matricule cabinet]],Tableau4[Type d''imputation],"leave")</f>
        <v>0</v>
      </c>
      <c r="G97" s="7">
        <f>SUMIFS(Tableau4[Montant imputé],Tableau4[Matricule cabinet],Tableau5[[#This Row],[Matricule cabinet]],Tableau4[Type d''imputation],"absence")</f>
        <v>0</v>
      </c>
      <c r="H97" s="7">
        <f>SUM(Tableau5[[#This Row],[B WK]:[Unpaid leave WK]])</f>
        <v>20</v>
      </c>
    </row>
    <row r="98" spans="1:8">
      <c r="A98" s="7" t="s">
        <v>401</v>
      </c>
      <c r="B98" s="7" t="s">
        <v>402</v>
      </c>
      <c r="C98" s="7" t="s">
        <v>21</v>
      </c>
      <c r="D98" s="7">
        <f>SUMIFS(Tableau4[Montant imputé],Tableau4[Matricule cabinet],Tableau5[[#This Row],[Matricule cabinet]],Tableau4[Type d''imputation],"sale order")</f>
        <v>20</v>
      </c>
      <c r="E9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98" s="7">
        <f>SUMIFS(Tableau4[Montant imputé],Tableau4[Matricule cabinet],Tableau5[[#This Row],[Matricule cabinet]],Tableau4[Type d''imputation],"leave")</f>
        <v>0</v>
      </c>
      <c r="G98" s="7">
        <f>SUMIFS(Tableau4[Montant imputé],Tableau4[Matricule cabinet],Tableau5[[#This Row],[Matricule cabinet]],Tableau4[Type d''imputation],"absence")</f>
        <v>0</v>
      </c>
      <c r="H98" s="7">
        <f>SUM(Tableau5[[#This Row],[B WK]:[Unpaid leave WK]])</f>
        <v>20</v>
      </c>
    </row>
    <row r="99" spans="1:8">
      <c r="A99" s="7" t="s">
        <v>886</v>
      </c>
      <c r="B99" s="7" t="s">
        <v>887</v>
      </c>
      <c r="C99" s="7" t="s">
        <v>14</v>
      </c>
      <c r="D99" s="7">
        <f>SUMIFS(Tableau4[Montant imputé],Tableau4[Matricule cabinet],Tableau5[[#This Row],[Matricule cabinet]],Tableau4[Type d''imputation],"sale order")</f>
        <v>19</v>
      </c>
      <c r="E9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99" s="7">
        <f>SUMIFS(Tableau4[Montant imputé],Tableau4[Matricule cabinet],Tableau5[[#This Row],[Matricule cabinet]],Tableau4[Type d''imputation],"leave")</f>
        <v>1</v>
      </c>
      <c r="G99" s="7">
        <f>SUMIFS(Tableau4[Montant imputé],Tableau4[Matricule cabinet],Tableau5[[#This Row],[Matricule cabinet]],Tableau4[Type d''imputation],"absence")</f>
        <v>0</v>
      </c>
      <c r="H99" s="7">
        <f>SUM(Tableau5[[#This Row],[B WK]:[Unpaid leave WK]])</f>
        <v>20</v>
      </c>
    </row>
    <row r="100" spans="1:8">
      <c r="A100" s="7" t="s">
        <v>1274</v>
      </c>
      <c r="B100" s="7" t="s">
        <v>1275</v>
      </c>
      <c r="C100" s="7" t="s">
        <v>27</v>
      </c>
      <c r="D100" s="7">
        <f>SUMIFS(Tableau4[Montant imputé],Tableau4[Matricule cabinet],Tableau5[[#This Row],[Matricule cabinet]],Tableau4[Type d''imputation],"sale order")</f>
        <v>20</v>
      </c>
      <c r="E10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00" s="7">
        <f>SUMIFS(Tableau4[Montant imputé],Tableau4[Matricule cabinet],Tableau5[[#This Row],[Matricule cabinet]],Tableau4[Type d''imputation],"leave")</f>
        <v>0</v>
      </c>
      <c r="G100" s="7">
        <f>SUMIFS(Tableau4[Montant imputé],Tableau4[Matricule cabinet],Tableau5[[#This Row],[Matricule cabinet]],Tableau4[Type d''imputation],"absence")</f>
        <v>0</v>
      </c>
      <c r="H100" s="7">
        <f>SUM(Tableau5[[#This Row],[B WK]:[Unpaid leave WK]])</f>
        <v>20</v>
      </c>
    </row>
    <row r="101" spans="1:8">
      <c r="A101" s="7" t="s">
        <v>376</v>
      </c>
      <c r="B101" s="7" t="s">
        <v>71</v>
      </c>
      <c r="C101" s="7" t="s">
        <v>8</v>
      </c>
      <c r="D101" s="7">
        <f>SUMIFS(Tableau4[Montant imputé],Tableau4[Matricule cabinet],Tableau5[[#This Row],[Matricule cabinet]],Tableau4[Type d''imputation],"sale order")</f>
        <v>7</v>
      </c>
      <c r="E10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5</v>
      </c>
      <c r="F101" s="7">
        <f>SUMIFS(Tableau4[Montant imputé],Tableau4[Matricule cabinet],Tableau5[[#This Row],[Matricule cabinet]],Tableau4[Type d''imputation],"leave")</f>
        <v>4</v>
      </c>
      <c r="G101" s="7">
        <f>SUMIFS(Tableau4[Montant imputé],Tableau4[Matricule cabinet],Tableau5[[#This Row],[Matricule cabinet]],Tableau4[Type d''imputation],"absence")</f>
        <v>4</v>
      </c>
      <c r="H101" s="7">
        <f>SUM(Tableau5[[#This Row],[B WK]:[Unpaid leave WK]])</f>
        <v>20</v>
      </c>
    </row>
    <row r="102" spans="1:8">
      <c r="A102" s="7" t="s">
        <v>1322</v>
      </c>
      <c r="B102" s="7" t="s">
        <v>1323</v>
      </c>
      <c r="C102" s="7" t="s">
        <v>59</v>
      </c>
      <c r="D102" s="7">
        <f>SUMIFS(Tableau4[Montant imputé],Tableau4[Matricule cabinet],Tableau5[[#This Row],[Matricule cabinet]],Tableau4[Type d''imputation],"sale order")</f>
        <v>0</v>
      </c>
      <c r="E10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102" s="7">
        <f>SUMIFS(Tableau4[Montant imputé],Tableau4[Matricule cabinet],Tableau5[[#This Row],[Matricule cabinet]],Tableau4[Type d''imputation],"leave")</f>
        <v>0</v>
      </c>
      <c r="G102" s="7">
        <f>SUMIFS(Tableau4[Montant imputé],Tableau4[Matricule cabinet],Tableau5[[#This Row],[Matricule cabinet]],Tableau4[Type d''imputation],"absence")</f>
        <v>0</v>
      </c>
      <c r="H102" s="7">
        <f>SUM(Tableau5[[#This Row],[B WK]:[Unpaid leave WK]])</f>
        <v>20</v>
      </c>
    </row>
    <row r="103" spans="1:8">
      <c r="A103" s="7" t="s">
        <v>1325</v>
      </c>
      <c r="B103" s="7" t="s">
        <v>1326</v>
      </c>
      <c r="C103" s="7" t="s">
        <v>59</v>
      </c>
      <c r="D103" s="7">
        <f>SUMIFS(Tableau4[Montant imputé],Tableau4[Matricule cabinet],Tableau5[[#This Row],[Matricule cabinet]],Tableau4[Type d''imputation],"sale order")</f>
        <v>11</v>
      </c>
      <c r="E10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03" s="7">
        <f>SUMIFS(Tableau4[Montant imputé],Tableau4[Matricule cabinet],Tableau5[[#This Row],[Matricule cabinet]],Tableau4[Type d''imputation],"leave")</f>
        <v>9</v>
      </c>
      <c r="G103" s="7">
        <f>SUMIFS(Tableau4[Montant imputé],Tableau4[Matricule cabinet],Tableau5[[#This Row],[Matricule cabinet]],Tableau4[Type d''imputation],"absence")</f>
        <v>0</v>
      </c>
      <c r="H103" s="7">
        <f>SUM(Tableau5[[#This Row],[B WK]:[Unpaid leave WK]])</f>
        <v>20</v>
      </c>
    </row>
    <row r="104" spans="1:8">
      <c r="A104" s="7" t="s">
        <v>1143</v>
      </c>
      <c r="B104" s="7" t="s">
        <v>1144</v>
      </c>
      <c r="C104" s="7" t="s">
        <v>48</v>
      </c>
      <c r="D104" s="7">
        <f>SUMIFS(Tableau4[Montant imputé],Tableau4[Matricule cabinet],Tableau5[[#This Row],[Matricule cabinet]],Tableau4[Type d''imputation],"sale order")</f>
        <v>20</v>
      </c>
      <c r="E10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04" s="7">
        <f>SUMIFS(Tableau4[Montant imputé],Tableau4[Matricule cabinet],Tableau5[[#This Row],[Matricule cabinet]],Tableau4[Type d''imputation],"leave")</f>
        <v>0</v>
      </c>
      <c r="G104" s="7">
        <f>SUMIFS(Tableau4[Montant imputé],Tableau4[Matricule cabinet],Tableau5[[#This Row],[Matricule cabinet]],Tableau4[Type d''imputation],"absence")</f>
        <v>0</v>
      </c>
      <c r="H104" s="7">
        <f>SUM(Tableau5[[#This Row],[B WK]:[Unpaid leave WK]])</f>
        <v>20</v>
      </c>
    </row>
    <row r="105" spans="1:8">
      <c r="A105" s="7" t="s">
        <v>813</v>
      </c>
      <c r="B105" s="7" t="s">
        <v>814</v>
      </c>
      <c r="C105" s="7" t="s">
        <v>19</v>
      </c>
      <c r="D105" s="7">
        <f>SUMIFS(Tableau4[Montant imputé],Tableau4[Matricule cabinet],Tableau5[[#This Row],[Matricule cabinet]],Tableau4[Type d''imputation],"sale order")</f>
        <v>20</v>
      </c>
      <c r="E10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05" s="7">
        <f>SUMIFS(Tableau4[Montant imputé],Tableau4[Matricule cabinet],Tableau5[[#This Row],[Matricule cabinet]],Tableau4[Type d''imputation],"leave")</f>
        <v>0</v>
      </c>
      <c r="G105" s="7">
        <f>SUMIFS(Tableau4[Montant imputé],Tableau4[Matricule cabinet],Tableau5[[#This Row],[Matricule cabinet]],Tableau4[Type d''imputation],"absence")</f>
        <v>0</v>
      </c>
      <c r="H105" s="7">
        <f>SUM(Tableau5[[#This Row],[B WK]:[Unpaid leave WK]])</f>
        <v>20</v>
      </c>
    </row>
    <row r="106" spans="1:8">
      <c r="A106" s="7" t="s">
        <v>778</v>
      </c>
      <c r="B106" s="7" t="s">
        <v>779</v>
      </c>
      <c r="C106" s="7" t="s">
        <v>35</v>
      </c>
      <c r="D106" s="7">
        <f>SUMIFS(Tableau4[Montant imputé],Tableau4[Matricule cabinet],Tableau5[[#This Row],[Matricule cabinet]],Tableau4[Type d''imputation],"sale order")</f>
        <v>20</v>
      </c>
      <c r="E10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06" s="7">
        <f>SUMIFS(Tableau4[Montant imputé],Tableau4[Matricule cabinet],Tableau5[[#This Row],[Matricule cabinet]],Tableau4[Type d''imputation],"leave")</f>
        <v>0</v>
      </c>
      <c r="G106" s="7">
        <f>SUMIFS(Tableau4[Montant imputé],Tableau4[Matricule cabinet],Tableau5[[#This Row],[Matricule cabinet]],Tableau4[Type d''imputation],"absence")</f>
        <v>0</v>
      </c>
      <c r="H106" s="7">
        <f>SUM(Tableau5[[#This Row],[B WK]:[Unpaid leave WK]])</f>
        <v>20</v>
      </c>
    </row>
    <row r="107" spans="1:8">
      <c r="A107" s="7" t="s">
        <v>238</v>
      </c>
      <c r="B107" s="7" t="s">
        <v>239</v>
      </c>
      <c r="C107" s="7" t="s">
        <v>62</v>
      </c>
      <c r="D107" s="7">
        <f>SUMIFS(Tableau4[Montant imputé],Tableau4[Matricule cabinet],Tableau5[[#This Row],[Matricule cabinet]],Tableau4[Type d''imputation],"sale order")</f>
        <v>9</v>
      </c>
      <c r="E10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07" s="7">
        <f>SUMIFS(Tableau4[Montant imputé],Tableau4[Matricule cabinet],Tableau5[[#This Row],[Matricule cabinet]],Tableau4[Type d''imputation],"leave")</f>
        <v>11</v>
      </c>
      <c r="G107" s="7">
        <f>SUMIFS(Tableau4[Montant imputé],Tableau4[Matricule cabinet],Tableau5[[#This Row],[Matricule cabinet]],Tableau4[Type d''imputation],"absence")</f>
        <v>0</v>
      </c>
      <c r="H107" s="7">
        <f>SUM(Tableau5[[#This Row],[B WK]:[Unpaid leave WK]])</f>
        <v>20</v>
      </c>
    </row>
    <row r="108" spans="1:8">
      <c r="A108" s="7" t="s">
        <v>1026</v>
      </c>
      <c r="B108" s="7" t="s">
        <v>1027</v>
      </c>
      <c r="C108" s="7" t="s">
        <v>3</v>
      </c>
      <c r="D108" s="7">
        <f>SUMIFS(Tableau4[Montant imputé],Tableau4[Matricule cabinet],Tableau5[[#This Row],[Matricule cabinet]],Tableau4[Type d''imputation],"sale order")</f>
        <v>19.5</v>
      </c>
      <c r="E10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108" s="7">
        <f>SUMIFS(Tableau4[Montant imputé],Tableau4[Matricule cabinet],Tableau5[[#This Row],[Matricule cabinet]],Tableau4[Type d''imputation],"leave")</f>
        <v>0</v>
      </c>
      <c r="G108" s="7">
        <f>SUMIFS(Tableau4[Montant imputé],Tableau4[Matricule cabinet],Tableau5[[#This Row],[Matricule cabinet]],Tableau4[Type d''imputation],"absence")</f>
        <v>0</v>
      </c>
      <c r="H108" s="7">
        <f>SUM(Tableau5[[#This Row],[B WK]:[Unpaid leave WK]])</f>
        <v>20</v>
      </c>
    </row>
    <row r="109" spans="1:8">
      <c r="A109" s="7" t="s">
        <v>1008</v>
      </c>
      <c r="B109" s="7" t="s">
        <v>1009</v>
      </c>
      <c r="C109" s="7" t="s">
        <v>13</v>
      </c>
      <c r="D109" s="7">
        <f>SUMIFS(Tableau4[Montant imputé],Tableau4[Matricule cabinet],Tableau5[[#This Row],[Matricule cabinet]],Tableau4[Type d''imputation],"sale order")</f>
        <v>17</v>
      </c>
      <c r="E10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09" s="7">
        <f>SUMIFS(Tableau4[Montant imputé],Tableau4[Matricule cabinet],Tableau5[[#This Row],[Matricule cabinet]],Tableau4[Type d''imputation],"leave")</f>
        <v>3</v>
      </c>
      <c r="G109" s="7">
        <f>SUMIFS(Tableau4[Montant imputé],Tableau4[Matricule cabinet],Tableau5[[#This Row],[Matricule cabinet]],Tableau4[Type d''imputation],"absence")</f>
        <v>0</v>
      </c>
      <c r="H109" s="7">
        <f>SUM(Tableau5[[#This Row],[B WK]:[Unpaid leave WK]])</f>
        <v>20</v>
      </c>
    </row>
    <row r="110" spans="1:8">
      <c r="A110" s="7" t="s">
        <v>423</v>
      </c>
      <c r="B110" s="7" t="s">
        <v>424</v>
      </c>
      <c r="C110" s="7" t="s">
        <v>69</v>
      </c>
      <c r="D110" s="7">
        <f>SUMIFS(Tableau4[Montant imputé],Tableau4[Matricule cabinet],Tableau5[[#This Row],[Matricule cabinet]],Tableau4[Type d''imputation],"sale order")</f>
        <v>20</v>
      </c>
      <c r="E11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10" s="7">
        <f>SUMIFS(Tableau4[Montant imputé],Tableau4[Matricule cabinet],Tableau5[[#This Row],[Matricule cabinet]],Tableau4[Type d''imputation],"leave")</f>
        <v>0</v>
      </c>
      <c r="G110" s="7">
        <f>SUMIFS(Tableau4[Montant imputé],Tableau4[Matricule cabinet],Tableau5[[#This Row],[Matricule cabinet]],Tableau4[Type d''imputation],"absence")</f>
        <v>0</v>
      </c>
      <c r="H110" s="7">
        <f>SUM(Tableau5[[#This Row],[B WK]:[Unpaid leave WK]])</f>
        <v>20</v>
      </c>
    </row>
    <row r="111" spans="1:8">
      <c r="A111" s="7" t="s">
        <v>503</v>
      </c>
      <c r="B111" s="7" t="s">
        <v>504</v>
      </c>
      <c r="C111" s="7" t="s">
        <v>4</v>
      </c>
      <c r="D111" s="7">
        <f>SUMIFS(Tableau4[Montant imputé],Tableau4[Matricule cabinet],Tableau5[[#This Row],[Matricule cabinet]],Tableau4[Type d''imputation],"sale order")</f>
        <v>16.5</v>
      </c>
      <c r="E11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11" s="7">
        <f>SUMIFS(Tableau4[Montant imputé],Tableau4[Matricule cabinet],Tableau5[[#This Row],[Matricule cabinet]],Tableau4[Type d''imputation],"leave")</f>
        <v>3.5</v>
      </c>
      <c r="G111" s="7">
        <f>SUMIFS(Tableau4[Montant imputé],Tableau4[Matricule cabinet],Tableau5[[#This Row],[Matricule cabinet]],Tableau4[Type d''imputation],"absence")</f>
        <v>0</v>
      </c>
      <c r="H111" s="7">
        <f>SUM(Tableau5[[#This Row],[B WK]:[Unpaid leave WK]])</f>
        <v>20</v>
      </c>
    </row>
    <row r="112" spans="1:8">
      <c r="A112" s="7" t="s">
        <v>1367</v>
      </c>
      <c r="B112" s="7" t="s">
        <v>1368</v>
      </c>
      <c r="C112" s="7" t="s">
        <v>15</v>
      </c>
      <c r="D112" s="7">
        <f>SUMIFS(Tableau4[Montant imputé],Tableau4[Matricule cabinet],Tableau5[[#This Row],[Matricule cabinet]],Tableau4[Type d''imputation],"sale order")</f>
        <v>20</v>
      </c>
      <c r="E11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12" s="7">
        <f>SUMIFS(Tableau4[Montant imputé],Tableau4[Matricule cabinet],Tableau5[[#This Row],[Matricule cabinet]],Tableau4[Type d''imputation],"leave")</f>
        <v>0</v>
      </c>
      <c r="G112" s="7">
        <f>SUMIFS(Tableau4[Montant imputé],Tableau4[Matricule cabinet],Tableau5[[#This Row],[Matricule cabinet]],Tableau4[Type d''imputation],"absence")</f>
        <v>0</v>
      </c>
      <c r="H112" s="7">
        <f>SUM(Tableau5[[#This Row],[B WK]:[Unpaid leave WK]])</f>
        <v>20</v>
      </c>
    </row>
    <row r="113" spans="1:8">
      <c r="A113" s="7" t="s">
        <v>326</v>
      </c>
      <c r="B113" s="7" t="s">
        <v>327</v>
      </c>
      <c r="C113" s="7" t="s">
        <v>14</v>
      </c>
      <c r="D113" s="7">
        <f>SUMIFS(Tableau4[Montant imputé],Tableau4[Matricule cabinet],Tableau5[[#This Row],[Matricule cabinet]],Tableau4[Type d''imputation],"sale order")</f>
        <v>9</v>
      </c>
      <c r="E11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11</v>
      </c>
      <c r="F113" s="7">
        <f>SUMIFS(Tableau4[Montant imputé],Tableau4[Matricule cabinet],Tableau5[[#This Row],[Matricule cabinet]],Tableau4[Type d''imputation],"leave")</f>
        <v>0</v>
      </c>
      <c r="G113" s="7">
        <f>SUMIFS(Tableau4[Montant imputé],Tableau4[Matricule cabinet],Tableau5[[#This Row],[Matricule cabinet]],Tableau4[Type d''imputation],"absence")</f>
        <v>0</v>
      </c>
      <c r="H113" s="7">
        <f>SUM(Tableau5[[#This Row],[B WK]:[Unpaid leave WK]])</f>
        <v>20</v>
      </c>
    </row>
    <row r="114" spans="1:8">
      <c r="A114" s="7" t="s">
        <v>180</v>
      </c>
      <c r="B114" s="7" t="s">
        <v>181</v>
      </c>
      <c r="C114" s="7" t="s">
        <v>47</v>
      </c>
      <c r="D114" s="7">
        <f>SUMIFS(Tableau4[Montant imputé],Tableau4[Matricule cabinet],Tableau5[[#This Row],[Matricule cabinet]],Tableau4[Type d''imputation],"sale order")</f>
        <v>20</v>
      </c>
      <c r="E11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14" s="7">
        <f>SUMIFS(Tableau4[Montant imputé],Tableau4[Matricule cabinet],Tableau5[[#This Row],[Matricule cabinet]],Tableau4[Type d''imputation],"leave")</f>
        <v>0</v>
      </c>
      <c r="G114" s="7">
        <f>SUMIFS(Tableau4[Montant imputé],Tableau4[Matricule cabinet],Tableau5[[#This Row],[Matricule cabinet]],Tableau4[Type d''imputation],"absence")</f>
        <v>0</v>
      </c>
      <c r="H114" s="7">
        <f>SUM(Tableau5[[#This Row],[B WK]:[Unpaid leave WK]])</f>
        <v>20</v>
      </c>
    </row>
    <row r="115" spans="1:8">
      <c r="A115" s="7" t="s">
        <v>448</v>
      </c>
      <c r="B115" s="7" t="s">
        <v>449</v>
      </c>
      <c r="C115" s="7" t="s">
        <v>70</v>
      </c>
      <c r="D115" s="7">
        <f>SUMIFS(Tableau4[Montant imputé],Tableau4[Matricule cabinet],Tableau5[[#This Row],[Matricule cabinet]],Tableau4[Type d''imputation],"sale order")</f>
        <v>20</v>
      </c>
      <c r="E11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15" s="7">
        <f>SUMIFS(Tableau4[Montant imputé],Tableau4[Matricule cabinet],Tableau5[[#This Row],[Matricule cabinet]],Tableau4[Type d''imputation],"leave")</f>
        <v>0</v>
      </c>
      <c r="G115" s="7">
        <f>SUMIFS(Tableau4[Montant imputé],Tableau4[Matricule cabinet],Tableau5[[#This Row],[Matricule cabinet]],Tableau4[Type d''imputation],"absence")</f>
        <v>0</v>
      </c>
      <c r="H115" s="7">
        <f>SUM(Tableau5[[#This Row],[B WK]:[Unpaid leave WK]])</f>
        <v>20</v>
      </c>
    </row>
    <row r="116" spans="1:8">
      <c r="A116" s="7" t="s">
        <v>1520</v>
      </c>
      <c r="B116" s="7" t="s">
        <v>1521</v>
      </c>
      <c r="C116" s="7" t="s">
        <v>8</v>
      </c>
      <c r="D116" s="7">
        <f>SUMIFS(Tableau4[Montant imputé],Tableau4[Matricule cabinet],Tableau5[[#This Row],[Matricule cabinet]],Tableau4[Type d''imputation],"sale order")</f>
        <v>20</v>
      </c>
      <c r="E11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16" s="7">
        <f>SUMIFS(Tableau4[Montant imputé],Tableau4[Matricule cabinet],Tableau5[[#This Row],[Matricule cabinet]],Tableau4[Type d''imputation],"leave")</f>
        <v>0</v>
      </c>
      <c r="G116" s="7">
        <f>SUMIFS(Tableau4[Montant imputé],Tableau4[Matricule cabinet],Tableau5[[#This Row],[Matricule cabinet]],Tableau4[Type d''imputation],"absence")</f>
        <v>0</v>
      </c>
      <c r="H116" s="7">
        <f>SUM(Tableau5[[#This Row],[B WK]:[Unpaid leave WK]])</f>
        <v>20</v>
      </c>
    </row>
    <row r="117" spans="1:8">
      <c r="A117" s="7" t="s">
        <v>1145</v>
      </c>
      <c r="B117" s="7" t="s">
        <v>1146</v>
      </c>
      <c r="C117" s="7" t="s">
        <v>48</v>
      </c>
      <c r="D117" s="7">
        <f>SUMIFS(Tableau4[Montant imputé],Tableau4[Matricule cabinet],Tableau5[[#This Row],[Matricule cabinet]],Tableau4[Type d''imputation],"sale order")</f>
        <v>17</v>
      </c>
      <c r="E11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17" s="7">
        <f>SUMIFS(Tableau4[Montant imputé],Tableau4[Matricule cabinet],Tableau5[[#This Row],[Matricule cabinet]],Tableau4[Type d''imputation],"leave")</f>
        <v>3</v>
      </c>
      <c r="G117" s="7">
        <f>SUMIFS(Tableau4[Montant imputé],Tableau4[Matricule cabinet],Tableau5[[#This Row],[Matricule cabinet]],Tableau4[Type d''imputation],"absence")</f>
        <v>0</v>
      </c>
      <c r="H117" s="7">
        <f>SUM(Tableau5[[#This Row],[B WK]:[Unpaid leave WK]])</f>
        <v>20</v>
      </c>
    </row>
    <row r="118" spans="1:8">
      <c r="A118" s="7" t="s">
        <v>851</v>
      </c>
      <c r="B118" s="7" t="s">
        <v>852</v>
      </c>
      <c r="C118" s="7" t="s">
        <v>36</v>
      </c>
      <c r="D118" s="7">
        <f>SUMIFS(Tableau4[Montant imputé],Tableau4[Matricule cabinet],Tableau5[[#This Row],[Matricule cabinet]],Tableau4[Type d''imputation],"sale order")</f>
        <v>20</v>
      </c>
      <c r="E11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18" s="7">
        <f>SUMIFS(Tableau4[Montant imputé],Tableau4[Matricule cabinet],Tableau5[[#This Row],[Matricule cabinet]],Tableau4[Type d''imputation],"leave")</f>
        <v>0</v>
      </c>
      <c r="G118" s="7">
        <f>SUMIFS(Tableau4[Montant imputé],Tableau4[Matricule cabinet],Tableau5[[#This Row],[Matricule cabinet]],Tableau4[Type d''imputation],"absence")</f>
        <v>0</v>
      </c>
      <c r="H118" s="7">
        <f>SUM(Tableau5[[#This Row],[B WK]:[Unpaid leave WK]])</f>
        <v>20</v>
      </c>
    </row>
    <row r="119" spans="1:8">
      <c r="A119" s="7" t="s">
        <v>553</v>
      </c>
      <c r="B119" s="7" t="s">
        <v>61</v>
      </c>
      <c r="C119" s="7" t="s">
        <v>30</v>
      </c>
      <c r="D119" s="7">
        <f>SUMIFS(Tableau4[Montant imputé],Tableau4[Matricule cabinet],Tableau5[[#This Row],[Matricule cabinet]],Tableau4[Type d''imputation],"sale order")</f>
        <v>0</v>
      </c>
      <c r="E11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119" s="7">
        <f>SUMIFS(Tableau4[Montant imputé],Tableau4[Matricule cabinet],Tableau5[[#This Row],[Matricule cabinet]],Tableau4[Type d''imputation],"leave")</f>
        <v>0</v>
      </c>
      <c r="G119" s="7">
        <f>SUMIFS(Tableau4[Montant imputé],Tableau4[Matricule cabinet],Tableau5[[#This Row],[Matricule cabinet]],Tableau4[Type d''imputation],"absence")</f>
        <v>0</v>
      </c>
      <c r="H119" s="7">
        <f>SUM(Tableau5[[#This Row],[B WK]:[Unpaid leave WK]])</f>
        <v>20</v>
      </c>
    </row>
    <row r="120" spans="1:8">
      <c r="A120" s="7" t="s">
        <v>1010</v>
      </c>
      <c r="B120" s="7" t="s">
        <v>1011</v>
      </c>
      <c r="C120" s="7" t="s">
        <v>13</v>
      </c>
      <c r="D120" s="7">
        <f>SUMIFS(Tableau4[Montant imputé],Tableau4[Matricule cabinet],Tableau5[[#This Row],[Matricule cabinet]],Tableau4[Type d''imputation],"sale order")</f>
        <v>0</v>
      </c>
      <c r="E12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20" s="7">
        <f>SUMIFS(Tableau4[Montant imputé],Tableau4[Matricule cabinet],Tableau5[[#This Row],[Matricule cabinet]],Tableau4[Type d''imputation],"leave")</f>
        <v>0</v>
      </c>
      <c r="G120" s="7">
        <f>SUMIFS(Tableau4[Montant imputé],Tableau4[Matricule cabinet],Tableau5[[#This Row],[Matricule cabinet]],Tableau4[Type d''imputation],"absence")</f>
        <v>20</v>
      </c>
      <c r="H120" s="7">
        <f>SUM(Tableau5[[#This Row],[B WK]:[Unpaid leave WK]])</f>
        <v>20</v>
      </c>
    </row>
    <row r="121" spans="1:8">
      <c r="A121" s="7" t="s">
        <v>1450</v>
      </c>
      <c r="B121" s="7" t="s">
        <v>1451</v>
      </c>
      <c r="C121" s="7" t="s">
        <v>82</v>
      </c>
      <c r="D121" s="7">
        <f>SUMIFS(Tableau4[Montant imputé],Tableau4[Matricule cabinet],Tableau5[[#This Row],[Matricule cabinet]],Tableau4[Type d''imputation],"sale order")</f>
        <v>13</v>
      </c>
      <c r="E12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21" s="7">
        <f>SUMIFS(Tableau4[Montant imputé],Tableau4[Matricule cabinet],Tableau5[[#This Row],[Matricule cabinet]],Tableau4[Type d''imputation],"leave")</f>
        <v>7</v>
      </c>
      <c r="G121" s="7">
        <f>SUMIFS(Tableau4[Montant imputé],Tableau4[Matricule cabinet],Tableau5[[#This Row],[Matricule cabinet]],Tableau4[Type d''imputation],"absence")</f>
        <v>0</v>
      </c>
      <c r="H121" s="7">
        <f>SUM(Tableau5[[#This Row],[B WK]:[Unpaid leave WK]])</f>
        <v>20</v>
      </c>
    </row>
    <row r="122" spans="1:8">
      <c r="A122" s="7" t="s">
        <v>1012</v>
      </c>
      <c r="B122" s="7" t="s">
        <v>1013</v>
      </c>
      <c r="C122" s="7" t="s">
        <v>13</v>
      </c>
      <c r="D122" s="7">
        <f>SUMIFS(Tableau4[Montant imputé],Tableau4[Matricule cabinet],Tableau5[[#This Row],[Matricule cabinet]],Tableau4[Type d''imputation],"sale order")</f>
        <v>20</v>
      </c>
      <c r="E12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22" s="7">
        <f>SUMIFS(Tableau4[Montant imputé],Tableau4[Matricule cabinet],Tableau5[[#This Row],[Matricule cabinet]],Tableau4[Type d''imputation],"leave")</f>
        <v>0</v>
      </c>
      <c r="G122" s="7">
        <f>SUMIFS(Tableau4[Montant imputé],Tableau4[Matricule cabinet],Tableau5[[#This Row],[Matricule cabinet]],Tableau4[Type d''imputation],"absence")</f>
        <v>0</v>
      </c>
      <c r="H122" s="7">
        <f>SUM(Tableau5[[#This Row],[B WK]:[Unpaid leave WK]])</f>
        <v>20</v>
      </c>
    </row>
    <row r="123" spans="1:8">
      <c r="A123" s="7" t="s">
        <v>869</v>
      </c>
      <c r="B123" s="7" t="s">
        <v>870</v>
      </c>
      <c r="C123" s="7" t="s">
        <v>34</v>
      </c>
      <c r="D123" s="7">
        <f>SUMIFS(Tableau4[Montant imputé],Tableau4[Matricule cabinet],Tableau5[[#This Row],[Matricule cabinet]],Tableau4[Type d''imputation],"sale order")</f>
        <v>20</v>
      </c>
      <c r="E12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23" s="7">
        <f>SUMIFS(Tableau4[Montant imputé],Tableau4[Matricule cabinet],Tableau5[[#This Row],[Matricule cabinet]],Tableau4[Type d''imputation],"leave")</f>
        <v>0</v>
      </c>
      <c r="G123" s="7">
        <f>SUMIFS(Tableau4[Montant imputé],Tableau4[Matricule cabinet],Tableau5[[#This Row],[Matricule cabinet]],Tableau4[Type d''imputation],"absence")</f>
        <v>0</v>
      </c>
      <c r="H123" s="7">
        <f>SUM(Tableau5[[#This Row],[B WK]:[Unpaid leave WK]])</f>
        <v>20</v>
      </c>
    </row>
    <row r="124" spans="1:8">
      <c r="A124" s="7" t="s">
        <v>1070</v>
      </c>
      <c r="B124" s="7" t="s">
        <v>1071</v>
      </c>
      <c r="C124" s="7" t="s">
        <v>37</v>
      </c>
      <c r="D124" s="7">
        <f>SUMIFS(Tableau4[Montant imputé],Tableau4[Matricule cabinet],Tableau5[[#This Row],[Matricule cabinet]],Tableau4[Type d''imputation],"sale order")</f>
        <v>18</v>
      </c>
      <c r="E12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24" s="7">
        <f>SUMIFS(Tableau4[Montant imputé],Tableau4[Matricule cabinet],Tableau5[[#This Row],[Matricule cabinet]],Tableau4[Type d''imputation],"leave")</f>
        <v>2</v>
      </c>
      <c r="G124" s="7">
        <f>SUMIFS(Tableau4[Montant imputé],Tableau4[Matricule cabinet],Tableau5[[#This Row],[Matricule cabinet]],Tableau4[Type d''imputation],"absence")</f>
        <v>0</v>
      </c>
      <c r="H124" s="7">
        <f>SUM(Tableau5[[#This Row],[B WK]:[Unpaid leave WK]])</f>
        <v>20</v>
      </c>
    </row>
    <row r="125" spans="1:8">
      <c r="A125" s="7" t="s">
        <v>1394</v>
      </c>
      <c r="B125" s="7" t="s">
        <v>1395</v>
      </c>
      <c r="C125" s="7" t="s">
        <v>95</v>
      </c>
      <c r="D125" s="7">
        <f>SUMIFS(Tableau4[Montant imputé],Tableau4[Matricule cabinet],Tableau5[[#This Row],[Matricule cabinet]],Tableau4[Type d''imputation],"sale order")</f>
        <v>19</v>
      </c>
      <c r="E12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25" s="7">
        <f>SUMIFS(Tableau4[Montant imputé],Tableau4[Matricule cabinet],Tableau5[[#This Row],[Matricule cabinet]],Tableau4[Type d''imputation],"leave")</f>
        <v>1</v>
      </c>
      <c r="G125" s="7">
        <f>SUMIFS(Tableau4[Montant imputé],Tableau4[Matricule cabinet],Tableau5[[#This Row],[Matricule cabinet]],Tableau4[Type d''imputation],"absence")</f>
        <v>0</v>
      </c>
      <c r="H125" s="7">
        <f>SUM(Tableau5[[#This Row],[B WK]:[Unpaid leave WK]])</f>
        <v>20</v>
      </c>
    </row>
    <row r="126" spans="1:8">
      <c r="A126" s="7" t="s">
        <v>1534</v>
      </c>
      <c r="B126" s="7" t="s">
        <v>1535</v>
      </c>
      <c r="C126" s="7" t="s">
        <v>75</v>
      </c>
      <c r="D126" s="7">
        <f>SUMIFS(Tableau4[Montant imputé],Tableau4[Matricule cabinet],Tableau5[[#This Row],[Matricule cabinet]],Tableau4[Type d''imputation],"sale order")</f>
        <v>4.5</v>
      </c>
      <c r="E12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15.5</v>
      </c>
      <c r="F126" s="7">
        <f>SUMIFS(Tableau4[Montant imputé],Tableau4[Matricule cabinet],Tableau5[[#This Row],[Matricule cabinet]],Tableau4[Type d''imputation],"leave")</f>
        <v>0</v>
      </c>
      <c r="G126" s="7">
        <f>SUMIFS(Tableau4[Montant imputé],Tableau4[Matricule cabinet],Tableau5[[#This Row],[Matricule cabinet]],Tableau4[Type d''imputation],"absence")</f>
        <v>0</v>
      </c>
      <c r="H126" s="7">
        <f>SUM(Tableau5[[#This Row],[B WK]:[Unpaid leave WK]])</f>
        <v>20</v>
      </c>
    </row>
    <row r="127" spans="1:8">
      <c r="A127" s="7" t="s">
        <v>1233</v>
      </c>
      <c r="B127" s="7" t="s">
        <v>1234</v>
      </c>
      <c r="C127" s="7" t="s">
        <v>85</v>
      </c>
      <c r="D127" s="7">
        <f>SUMIFS(Tableau4[Montant imputé],Tableau4[Matricule cabinet],Tableau5[[#This Row],[Matricule cabinet]],Tableau4[Type d''imputation],"sale order")</f>
        <v>19.5</v>
      </c>
      <c r="E12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127" s="7">
        <f>SUMIFS(Tableau4[Montant imputé],Tableau4[Matricule cabinet],Tableau5[[#This Row],[Matricule cabinet]],Tableau4[Type d''imputation],"leave")</f>
        <v>0</v>
      </c>
      <c r="G127" s="7">
        <f>SUMIFS(Tableau4[Montant imputé],Tableau4[Matricule cabinet],Tableau5[[#This Row],[Matricule cabinet]],Tableau4[Type d''imputation],"absence")</f>
        <v>0</v>
      </c>
      <c r="H127" s="7">
        <f>SUM(Tableau5[[#This Row],[B WK]:[Unpaid leave WK]])</f>
        <v>20</v>
      </c>
    </row>
    <row r="128" spans="1:8">
      <c r="A128" s="7" t="s">
        <v>964</v>
      </c>
      <c r="B128" s="7" t="s">
        <v>965</v>
      </c>
      <c r="C128" s="7" t="s">
        <v>5</v>
      </c>
      <c r="D128" s="7">
        <f>SUMIFS(Tableau4[Montant imputé],Tableau4[Matricule cabinet],Tableau5[[#This Row],[Matricule cabinet]],Tableau4[Type d''imputation],"sale order")</f>
        <v>16</v>
      </c>
      <c r="E12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28" s="7">
        <f>SUMIFS(Tableau4[Montant imputé],Tableau4[Matricule cabinet],Tableau5[[#This Row],[Matricule cabinet]],Tableau4[Type d''imputation],"leave")</f>
        <v>4</v>
      </c>
      <c r="G128" s="7">
        <f>SUMIFS(Tableau4[Montant imputé],Tableau4[Matricule cabinet],Tableau5[[#This Row],[Matricule cabinet]],Tableau4[Type d''imputation],"absence")</f>
        <v>0</v>
      </c>
      <c r="H128" s="7">
        <f>SUM(Tableau5[[#This Row],[B WK]:[Unpaid leave WK]])</f>
        <v>20</v>
      </c>
    </row>
    <row r="129" spans="1:8">
      <c r="A129" s="7" t="s">
        <v>280</v>
      </c>
      <c r="B129" s="7" t="s">
        <v>281</v>
      </c>
      <c r="C129" s="7" t="s">
        <v>3</v>
      </c>
      <c r="D129" s="7">
        <f>SUMIFS(Tableau4[Montant imputé],Tableau4[Matricule cabinet],Tableau5[[#This Row],[Matricule cabinet]],Tableau4[Type d''imputation],"sale order")</f>
        <v>20</v>
      </c>
      <c r="E12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29" s="7">
        <f>SUMIFS(Tableau4[Montant imputé],Tableau4[Matricule cabinet],Tableau5[[#This Row],[Matricule cabinet]],Tableau4[Type d''imputation],"leave")</f>
        <v>0</v>
      </c>
      <c r="G129" s="7">
        <f>SUMIFS(Tableau4[Montant imputé],Tableau4[Matricule cabinet],Tableau5[[#This Row],[Matricule cabinet]],Tableau4[Type d''imputation],"absence")</f>
        <v>0</v>
      </c>
      <c r="H129" s="7">
        <f>SUM(Tableau5[[#This Row],[B WK]:[Unpaid leave WK]])</f>
        <v>20</v>
      </c>
    </row>
    <row r="130" spans="1:8">
      <c r="A130" s="7" t="s">
        <v>592</v>
      </c>
      <c r="B130" s="7" t="s">
        <v>593</v>
      </c>
      <c r="C130" s="7" t="s">
        <v>76</v>
      </c>
      <c r="D130" s="7">
        <f>SUMIFS(Tableau4[Montant imputé],Tableau4[Matricule cabinet],Tableau5[[#This Row],[Matricule cabinet]],Tableau4[Type d''imputation],"sale order")</f>
        <v>10.5</v>
      </c>
      <c r="E13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8.5</v>
      </c>
      <c r="F130" s="7">
        <f>SUMIFS(Tableau4[Montant imputé],Tableau4[Matricule cabinet],Tableau5[[#This Row],[Matricule cabinet]],Tableau4[Type d''imputation],"leave")</f>
        <v>1</v>
      </c>
      <c r="G130" s="7">
        <f>SUMIFS(Tableau4[Montant imputé],Tableau4[Matricule cabinet],Tableau5[[#This Row],[Matricule cabinet]],Tableau4[Type d''imputation],"absence")</f>
        <v>0</v>
      </c>
      <c r="H130" s="7">
        <f>SUM(Tableau5[[#This Row],[B WK]:[Unpaid leave WK]])</f>
        <v>20</v>
      </c>
    </row>
    <row r="131" spans="1:8">
      <c r="A131" s="7" t="s">
        <v>1480</v>
      </c>
      <c r="B131" s="7" t="s">
        <v>1481</v>
      </c>
      <c r="C131" s="7" t="s">
        <v>26</v>
      </c>
      <c r="D131" s="7">
        <f>SUMIFS(Tableau4[Montant imputé],Tableau4[Matricule cabinet],Tableau5[[#This Row],[Matricule cabinet]],Tableau4[Type d''imputation],"sale order")</f>
        <v>20</v>
      </c>
      <c r="E13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31" s="7">
        <f>SUMIFS(Tableau4[Montant imputé],Tableau4[Matricule cabinet],Tableau5[[#This Row],[Matricule cabinet]],Tableau4[Type d''imputation],"leave")</f>
        <v>0</v>
      </c>
      <c r="G131" s="7">
        <f>SUMIFS(Tableau4[Montant imputé],Tableau4[Matricule cabinet],Tableau5[[#This Row],[Matricule cabinet]],Tableau4[Type d''imputation],"absence")</f>
        <v>0</v>
      </c>
      <c r="H131" s="7">
        <f>SUM(Tableau5[[#This Row],[B WK]:[Unpaid leave WK]])</f>
        <v>20</v>
      </c>
    </row>
    <row r="132" spans="1:8">
      <c r="A132" s="7" t="s">
        <v>1502</v>
      </c>
      <c r="B132" s="7" t="s">
        <v>7</v>
      </c>
      <c r="C132" s="7" t="s">
        <v>54</v>
      </c>
      <c r="D132" s="7">
        <f>SUMIFS(Tableau4[Montant imputé],Tableau4[Matricule cabinet],Tableau5[[#This Row],[Matricule cabinet]],Tableau4[Type d''imputation],"sale order")</f>
        <v>19.5</v>
      </c>
      <c r="E13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132" s="7">
        <f>SUMIFS(Tableau4[Montant imputé],Tableau4[Matricule cabinet],Tableau5[[#This Row],[Matricule cabinet]],Tableau4[Type d''imputation],"leave")</f>
        <v>0</v>
      </c>
      <c r="G132" s="7">
        <f>SUMIFS(Tableau4[Montant imputé],Tableau4[Matricule cabinet],Tableau5[[#This Row],[Matricule cabinet]],Tableau4[Type d''imputation],"absence")</f>
        <v>0</v>
      </c>
      <c r="H132" s="7">
        <f>SUM(Tableau5[[#This Row],[B WK]:[Unpaid leave WK]])</f>
        <v>20</v>
      </c>
    </row>
    <row r="133" spans="1:8">
      <c r="A133" s="7" t="s">
        <v>1236</v>
      </c>
      <c r="B133" s="7" t="s">
        <v>1237</v>
      </c>
      <c r="C133" s="7" t="s">
        <v>80</v>
      </c>
      <c r="D133" s="7">
        <f>SUMIFS(Tableau4[Montant imputé],Tableau4[Matricule cabinet],Tableau5[[#This Row],[Matricule cabinet]],Tableau4[Type d''imputation],"sale order")</f>
        <v>0</v>
      </c>
      <c r="E13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133" s="7">
        <f>SUMIFS(Tableau4[Montant imputé],Tableau4[Matricule cabinet],Tableau5[[#This Row],[Matricule cabinet]],Tableau4[Type d''imputation],"leave")</f>
        <v>0</v>
      </c>
      <c r="G133" s="7">
        <f>SUMIFS(Tableau4[Montant imputé],Tableau4[Matricule cabinet],Tableau5[[#This Row],[Matricule cabinet]],Tableau4[Type d''imputation],"absence")</f>
        <v>19</v>
      </c>
      <c r="H133" s="7">
        <f>SUM(Tableau5[[#This Row],[B WK]:[Unpaid leave WK]])</f>
        <v>20</v>
      </c>
    </row>
    <row r="134" spans="1:8">
      <c r="A134" s="7" t="s">
        <v>215</v>
      </c>
      <c r="B134" s="7" t="s">
        <v>216</v>
      </c>
      <c r="C134" s="7" t="s">
        <v>52</v>
      </c>
      <c r="D134" s="7">
        <f>SUMIFS(Tableau4[Montant imputé],Tableau4[Matricule cabinet],Tableau5[[#This Row],[Matricule cabinet]],Tableau4[Type d''imputation],"sale order")</f>
        <v>16</v>
      </c>
      <c r="E13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34" s="7">
        <f>SUMIFS(Tableau4[Montant imputé],Tableau4[Matricule cabinet],Tableau5[[#This Row],[Matricule cabinet]],Tableau4[Type d''imputation],"leave")</f>
        <v>4</v>
      </c>
      <c r="G134" s="7">
        <f>SUMIFS(Tableau4[Montant imputé],Tableau4[Matricule cabinet],Tableau5[[#This Row],[Matricule cabinet]],Tableau4[Type d''imputation],"absence")</f>
        <v>0</v>
      </c>
      <c r="H134" s="7">
        <f>SUM(Tableau5[[#This Row],[B WK]:[Unpaid leave WK]])</f>
        <v>20</v>
      </c>
    </row>
    <row r="135" spans="1:8">
      <c r="A135" s="7" t="s">
        <v>403</v>
      </c>
      <c r="B135" s="7" t="s">
        <v>404</v>
      </c>
      <c r="C135" s="7" t="s">
        <v>21</v>
      </c>
      <c r="D135" s="7">
        <f>SUMIFS(Tableau4[Montant imputé],Tableau4[Matricule cabinet],Tableau5[[#This Row],[Matricule cabinet]],Tableau4[Type d''imputation],"sale order")</f>
        <v>20</v>
      </c>
      <c r="E13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35" s="7">
        <f>SUMIFS(Tableau4[Montant imputé],Tableau4[Matricule cabinet],Tableau5[[#This Row],[Matricule cabinet]],Tableau4[Type d''imputation],"leave")</f>
        <v>0</v>
      </c>
      <c r="G135" s="7">
        <f>SUMIFS(Tableau4[Montant imputé],Tableau4[Matricule cabinet],Tableau5[[#This Row],[Matricule cabinet]],Tableau4[Type d''imputation],"absence")</f>
        <v>0</v>
      </c>
      <c r="H135" s="7">
        <f>SUM(Tableau5[[#This Row],[B WK]:[Unpaid leave WK]])</f>
        <v>20</v>
      </c>
    </row>
    <row r="136" spans="1:8">
      <c r="A136" s="7" t="s">
        <v>137</v>
      </c>
      <c r="B136" s="7" t="s">
        <v>138</v>
      </c>
      <c r="C136" s="7" t="s">
        <v>60</v>
      </c>
      <c r="D136" s="7">
        <f>SUMIFS(Tableau4[Montant imputé],Tableau4[Matricule cabinet],Tableau5[[#This Row],[Matricule cabinet]],Tableau4[Type d''imputation],"sale order")</f>
        <v>16</v>
      </c>
      <c r="E13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36" s="7">
        <f>SUMIFS(Tableau4[Montant imputé],Tableau4[Matricule cabinet],Tableau5[[#This Row],[Matricule cabinet]],Tableau4[Type d''imputation],"leave")</f>
        <v>4</v>
      </c>
      <c r="G136" s="7">
        <f>SUMIFS(Tableau4[Montant imputé],Tableau4[Matricule cabinet],Tableau5[[#This Row],[Matricule cabinet]],Tableau4[Type d''imputation],"absence")</f>
        <v>0</v>
      </c>
      <c r="H136" s="7">
        <f>SUM(Tableau5[[#This Row],[B WK]:[Unpaid leave WK]])</f>
        <v>20</v>
      </c>
    </row>
    <row r="137" spans="1:8">
      <c r="A137" s="7" t="s">
        <v>1396</v>
      </c>
      <c r="B137" s="7" t="s">
        <v>1397</v>
      </c>
      <c r="C137" s="7" t="s">
        <v>95</v>
      </c>
      <c r="D137" s="7">
        <f>SUMIFS(Tableau4[Montant imputé],Tableau4[Matricule cabinet],Tableau5[[#This Row],[Matricule cabinet]],Tableau4[Type d''imputation],"sale order")</f>
        <v>15</v>
      </c>
      <c r="E13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5</v>
      </c>
      <c r="F137" s="7">
        <f>SUMIFS(Tableau4[Montant imputé],Tableau4[Matricule cabinet],Tableau5[[#This Row],[Matricule cabinet]],Tableau4[Type d''imputation],"leave")</f>
        <v>0</v>
      </c>
      <c r="G137" s="7">
        <f>SUMIFS(Tableau4[Montant imputé],Tableau4[Matricule cabinet],Tableau5[[#This Row],[Matricule cabinet]],Tableau4[Type d''imputation],"absence")</f>
        <v>0</v>
      </c>
      <c r="H137" s="7">
        <f>SUM(Tableau5[[#This Row],[B WK]:[Unpaid leave WK]])</f>
        <v>20</v>
      </c>
    </row>
    <row r="138" spans="1:8">
      <c r="A138" s="7" t="s">
        <v>450</v>
      </c>
      <c r="B138" s="7" t="s">
        <v>451</v>
      </c>
      <c r="C138" s="7" t="s">
        <v>70</v>
      </c>
      <c r="D138" s="7">
        <f>SUMIFS(Tableau4[Montant imputé],Tableau4[Matricule cabinet],Tableau5[[#This Row],[Matricule cabinet]],Tableau4[Type d''imputation],"sale order")</f>
        <v>14</v>
      </c>
      <c r="E13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38" s="7">
        <f>SUMIFS(Tableau4[Montant imputé],Tableau4[Matricule cabinet],Tableau5[[#This Row],[Matricule cabinet]],Tableau4[Type d''imputation],"leave")</f>
        <v>6</v>
      </c>
      <c r="G138" s="7">
        <f>SUMIFS(Tableau4[Montant imputé],Tableau4[Matricule cabinet],Tableau5[[#This Row],[Matricule cabinet]],Tableau4[Type d''imputation],"absence")</f>
        <v>0</v>
      </c>
      <c r="H138" s="7">
        <f>SUM(Tableau5[[#This Row],[B WK]:[Unpaid leave WK]])</f>
        <v>20</v>
      </c>
    </row>
    <row r="139" spans="1:8">
      <c r="A139" s="7" t="s">
        <v>527</v>
      </c>
      <c r="B139" s="7" t="s">
        <v>528</v>
      </c>
      <c r="C139" s="7" t="s">
        <v>6</v>
      </c>
      <c r="D139" s="7">
        <f>SUMIFS(Tableau4[Montant imputé],Tableau4[Matricule cabinet],Tableau5[[#This Row],[Matricule cabinet]],Tableau4[Type d''imputation],"sale order")</f>
        <v>5</v>
      </c>
      <c r="E13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139" s="7">
        <f>SUMIFS(Tableau4[Montant imputé],Tableau4[Matricule cabinet],Tableau5[[#This Row],[Matricule cabinet]],Tableau4[Type d''imputation],"leave")</f>
        <v>7</v>
      </c>
      <c r="G139" s="7">
        <f>SUMIFS(Tableau4[Montant imputé],Tableau4[Matricule cabinet],Tableau5[[#This Row],[Matricule cabinet]],Tableau4[Type d''imputation],"absence")</f>
        <v>0</v>
      </c>
      <c r="H139" s="7">
        <f>SUM(Tableau5[[#This Row],[B WK]:[Unpaid leave WK]])</f>
        <v>20</v>
      </c>
    </row>
    <row r="140" spans="1:8">
      <c r="A140" s="7" t="s">
        <v>794</v>
      </c>
      <c r="B140" s="7" t="s">
        <v>21</v>
      </c>
      <c r="C140" s="7" t="s">
        <v>16</v>
      </c>
      <c r="D140" s="7">
        <f>SUMIFS(Tableau4[Montant imputé],Tableau4[Matricule cabinet],Tableau5[[#This Row],[Matricule cabinet]],Tableau4[Type d''imputation],"sale order")</f>
        <v>15</v>
      </c>
      <c r="E14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40" s="7">
        <f>SUMIFS(Tableau4[Montant imputé],Tableau4[Matricule cabinet],Tableau5[[#This Row],[Matricule cabinet]],Tableau4[Type d''imputation],"leave")</f>
        <v>5</v>
      </c>
      <c r="G140" s="7">
        <f>SUMIFS(Tableau4[Montant imputé],Tableau4[Matricule cabinet],Tableau5[[#This Row],[Matricule cabinet]],Tableau4[Type d''imputation],"absence")</f>
        <v>0</v>
      </c>
      <c r="H140" s="7">
        <f>SUM(Tableau5[[#This Row],[B WK]:[Unpaid leave WK]])</f>
        <v>20</v>
      </c>
    </row>
    <row r="141" spans="1:8">
      <c r="A141" s="7" t="s">
        <v>1239</v>
      </c>
      <c r="B141" s="7" t="s">
        <v>1240</v>
      </c>
      <c r="C141" s="7" t="s">
        <v>80</v>
      </c>
      <c r="D141" s="7">
        <f>SUMIFS(Tableau4[Montant imputé],Tableau4[Matricule cabinet],Tableau5[[#This Row],[Matricule cabinet]],Tableau4[Type d''imputation],"sale order")</f>
        <v>19</v>
      </c>
      <c r="E14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41" s="7">
        <f>SUMIFS(Tableau4[Montant imputé],Tableau4[Matricule cabinet],Tableau5[[#This Row],[Matricule cabinet]],Tableau4[Type d''imputation],"leave")</f>
        <v>1</v>
      </c>
      <c r="G141" s="7">
        <f>SUMIFS(Tableau4[Montant imputé],Tableau4[Matricule cabinet],Tableau5[[#This Row],[Matricule cabinet]],Tableau4[Type d''imputation],"absence")</f>
        <v>0</v>
      </c>
      <c r="H141" s="7">
        <f>SUM(Tableau5[[#This Row],[B WK]:[Unpaid leave WK]])</f>
        <v>20</v>
      </c>
    </row>
    <row r="142" spans="1:8">
      <c r="A142" s="7" t="s">
        <v>916</v>
      </c>
      <c r="B142" s="7" t="s">
        <v>917</v>
      </c>
      <c r="C142" s="7" t="s">
        <v>66</v>
      </c>
      <c r="D142" s="7">
        <f>SUMIFS(Tableau4[Montant imputé],Tableau4[Matricule cabinet],Tableau5[[#This Row],[Matricule cabinet]],Tableau4[Type d''imputation],"sale order")</f>
        <v>0</v>
      </c>
      <c r="E14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42" s="7">
        <f>SUMIFS(Tableau4[Montant imputé],Tableau4[Matricule cabinet],Tableau5[[#This Row],[Matricule cabinet]],Tableau4[Type d''imputation],"leave")</f>
        <v>0</v>
      </c>
      <c r="G142" s="7">
        <f>SUMIFS(Tableau4[Montant imputé],Tableau4[Matricule cabinet],Tableau5[[#This Row],[Matricule cabinet]],Tableau4[Type d''imputation],"absence")</f>
        <v>20</v>
      </c>
      <c r="H142" s="7">
        <f>SUM(Tableau5[[#This Row],[B WK]:[Unpaid leave WK]])</f>
        <v>20</v>
      </c>
    </row>
    <row r="143" spans="1:8">
      <c r="A143" s="7" t="s">
        <v>960</v>
      </c>
      <c r="B143" s="7" t="s">
        <v>961</v>
      </c>
      <c r="C143" s="7" t="s">
        <v>49</v>
      </c>
      <c r="D143" s="7">
        <f>SUMIFS(Tableau4[Montant imputé],Tableau4[Matricule cabinet],Tableau5[[#This Row],[Matricule cabinet]],Tableau4[Type d''imputation],"sale order")</f>
        <v>0</v>
      </c>
      <c r="E14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143" s="7">
        <f>SUMIFS(Tableau4[Montant imputé],Tableau4[Matricule cabinet],Tableau5[[#This Row],[Matricule cabinet]],Tableau4[Type d''imputation],"leave")</f>
        <v>0</v>
      </c>
      <c r="G143" s="7">
        <f>SUMIFS(Tableau4[Montant imputé],Tableau4[Matricule cabinet],Tableau5[[#This Row],[Matricule cabinet]],Tableau4[Type d''imputation],"absence")</f>
        <v>0</v>
      </c>
      <c r="H143" s="7">
        <f>SUM(Tableau5[[#This Row],[B WK]:[Unpaid leave WK]])</f>
        <v>20</v>
      </c>
    </row>
    <row r="144" spans="1:8">
      <c r="A144" s="7" t="s">
        <v>1099</v>
      </c>
      <c r="B144" s="7" t="s">
        <v>1100</v>
      </c>
      <c r="C144" s="7" t="s">
        <v>18</v>
      </c>
      <c r="D144" s="7">
        <f>SUMIFS(Tableau4[Montant imputé],Tableau4[Matricule cabinet],Tableau5[[#This Row],[Matricule cabinet]],Tableau4[Type d''imputation],"sale order")</f>
        <v>20</v>
      </c>
      <c r="E14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44" s="7">
        <f>SUMIFS(Tableau4[Montant imputé],Tableau4[Matricule cabinet],Tableau5[[#This Row],[Matricule cabinet]],Tableau4[Type d''imputation],"leave")</f>
        <v>0</v>
      </c>
      <c r="G144" s="7">
        <f>SUMIFS(Tableau4[Montant imputé],Tableau4[Matricule cabinet],Tableau5[[#This Row],[Matricule cabinet]],Tableau4[Type d''imputation],"absence")</f>
        <v>0</v>
      </c>
      <c r="H144" s="7">
        <f>SUM(Tableau5[[#This Row],[B WK]:[Unpaid leave WK]])</f>
        <v>20</v>
      </c>
    </row>
    <row r="145" spans="1:8">
      <c r="A145" s="7" t="s">
        <v>322</v>
      </c>
      <c r="B145" s="7" t="s">
        <v>323</v>
      </c>
      <c r="C145" s="7" t="s">
        <v>64</v>
      </c>
      <c r="D145" s="7">
        <f>SUMIFS(Tableau4[Montant imputé],Tableau4[Matricule cabinet],Tableau5[[#This Row],[Matricule cabinet]],Tableau4[Type d''imputation],"sale order")</f>
        <v>20</v>
      </c>
      <c r="E14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45" s="7">
        <f>SUMIFS(Tableau4[Montant imputé],Tableau4[Matricule cabinet],Tableau5[[#This Row],[Matricule cabinet]],Tableau4[Type d''imputation],"leave")</f>
        <v>0</v>
      </c>
      <c r="G145" s="7">
        <f>SUMIFS(Tableau4[Montant imputé],Tableau4[Matricule cabinet],Tableau5[[#This Row],[Matricule cabinet]],Tableau4[Type d''imputation],"absence")</f>
        <v>0</v>
      </c>
      <c r="H145" s="7">
        <f>SUM(Tableau5[[#This Row],[B WK]:[Unpaid leave WK]])</f>
        <v>20</v>
      </c>
    </row>
    <row r="146" spans="1:8">
      <c r="A146" s="7" t="s">
        <v>756</v>
      </c>
      <c r="B146" s="7" t="s">
        <v>757</v>
      </c>
      <c r="C146" s="7" t="s">
        <v>56</v>
      </c>
      <c r="D146" s="7">
        <f>SUMIFS(Tableau4[Montant imputé],Tableau4[Matricule cabinet],Tableau5[[#This Row],[Matricule cabinet]],Tableau4[Type d''imputation],"sale order")</f>
        <v>20</v>
      </c>
      <c r="E14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46" s="7">
        <f>SUMIFS(Tableau4[Montant imputé],Tableau4[Matricule cabinet],Tableau5[[#This Row],[Matricule cabinet]],Tableau4[Type d''imputation],"leave")</f>
        <v>0</v>
      </c>
      <c r="G146" s="7">
        <f>SUMIFS(Tableau4[Montant imputé],Tableau4[Matricule cabinet],Tableau5[[#This Row],[Matricule cabinet]],Tableau4[Type d''imputation],"absence")</f>
        <v>0</v>
      </c>
      <c r="H146" s="7">
        <f>SUM(Tableau5[[#This Row],[B WK]:[Unpaid leave WK]])</f>
        <v>20</v>
      </c>
    </row>
    <row r="147" spans="1:8">
      <c r="A147" s="7" t="s">
        <v>329</v>
      </c>
      <c r="B147" s="7" t="s">
        <v>330</v>
      </c>
      <c r="C147" s="7" t="s">
        <v>27</v>
      </c>
      <c r="D147" s="7">
        <f>SUMIFS(Tableau4[Montant imputé],Tableau4[Matricule cabinet],Tableau5[[#This Row],[Matricule cabinet]],Tableau4[Type d''imputation],"sale order")</f>
        <v>11</v>
      </c>
      <c r="E14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</v>
      </c>
      <c r="F147" s="7">
        <f>SUMIFS(Tableau4[Montant imputé],Tableau4[Matricule cabinet],Tableau5[[#This Row],[Matricule cabinet]],Tableau4[Type d''imputation],"leave")</f>
        <v>2</v>
      </c>
      <c r="G147" s="7">
        <f>SUMIFS(Tableau4[Montant imputé],Tableau4[Matricule cabinet],Tableau5[[#This Row],[Matricule cabinet]],Tableau4[Type d''imputation],"absence")</f>
        <v>0</v>
      </c>
      <c r="H147" s="7">
        <f>SUM(Tableau5[[#This Row],[B WK]:[Unpaid leave WK]])</f>
        <v>20</v>
      </c>
    </row>
    <row r="148" spans="1:8">
      <c r="A148" s="7" t="s">
        <v>452</v>
      </c>
      <c r="B148" s="7" t="s">
        <v>453</v>
      </c>
      <c r="C148" s="7" t="s">
        <v>70</v>
      </c>
      <c r="D148" s="7">
        <f>SUMIFS(Tableau4[Montant imputé],Tableau4[Matricule cabinet],Tableau5[[#This Row],[Matricule cabinet]],Tableau4[Type d''imputation],"sale order")</f>
        <v>20</v>
      </c>
      <c r="E14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48" s="7">
        <f>SUMIFS(Tableau4[Montant imputé],Tableau4[Matricule cabinet],Tableau5[[#This Row],[Matricule cabinet]],Tableau4[Type d''imputation],"leave")</f>
        <v>0</v>
      </c>
      <c r="G148" s="7">
        <f>SUMIFS(Tableau4[Montant imputé],Tableau4[Matricule cabinet],Tableau5[[#This Row],[Matricule cabinet]],Tableau4[Type d''imputation],"absence")</f>
        <v>0</v>
      </c>
      <c r="H148" s="7">
        <f>SUM(Tableau5[[#This Row],[B WK]:[Unpaid leave WK]])</f>
        <v>20</v>
      </c>
    </row>
    <row r="149" spans="1:8">
      <c r="A149" s="7" t="s">
        <v>257</v>
      </c>
      <c r="B149" s="7" t="s">
        <v>258</v>
      </c>
      <c r="C149" s="7" t="s">
        <v>84</v>
      </c>
      <c r="D149" s="7">
        <f>SUMIFS(Tableau4[Montant imputé],Tableau4[Matricule cabinet],Tableau5[[#This Row],[Matricule cabinet]],Tableau4[Type d''imputation],"sale order")</f>
        <v>0</v>
      </c>
      <c r="E14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18</v>
      </c>
      <c r="F149" s="7">
        <f>SUMIFS(Tableau4[Montant imputé],Tableau4[Matricule cabinet],Tableau5[[#This Row],[Matricule cabinet]],Tableau4[Type d''imputation],"leave")</f>
        <v>2</v>
      </c>
      <c r="G149" s="7">
        <f>SUMIFS(Tableau4[Montant imputé],Tableau4[Matricule cabinet],Tableau5[[#This Row],[Matricule cabinet]],Tableau4[Type d''imputation],"absence")</f>
        <v>0</v>
      </c>
      <c r="H149" s="7">
        <f>SUM(Tableau5[[#This Row],[B WK]:[Unpaid leave WK]])</f>
        <v>20</v>
      </c>
    </row>
    <row r="150" spans="1:8">
      <c r="A150" s="7" t="s">
        <v>1448</v>
      </c>
      <c r="B150" s="7" t="s">
        <v>1449</v>
      </c>
      <c r="C150" s="7" t="s">
        <v>8</v>
      </c>
      <c r="D150" s="7">
        <f>SUMIFS(Tableau4[Montant imputé],Tableau4[Matricule cabinet],Tableau5[[#This Row],[Matricule cabinet]],Tableau4[Type d''imputation],"sale order")</f>
        <v>0</v>
      </c>
      <c r="E15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</v>
      </c>
      <c r="F150" s="7">
        <f>SUMIFS(Tableau4[Montant imputé],Tableau4[Matricule cabinet],Tableau5[[#This Row],[Matricule cabinet]],Tableau4[Type d''imputation],"leave")</f>
        <v>4</v>
      </c>
      <c r="G150" s="7">
        <f>SUMIFS(Tableau4[Montant imputé],Tableau4[Matricule cabinet],Tableau5[[#This Row],[Matricule cabinet]],Tableau4[Type d''imputation],"absence")</f>
        <v>0</v>
      </c>
      <c r="H150" s="7">
        <f>SUM(Tableau5[[#This Row],[B WK]:[Unpaid leave WK]])</f>
        <v>20</v>
      </c>
    </row>
    <row r="151" spans="1:8">
      <c r="A151" s="7" t="s">
        <v>1035</v>
      </c>
      <c r="B151" s="7" t="s">
        <v>1036</v>
      </c>
      <c r="C151" s="7" t="s">
        <v>44</v>
      </c>
      <c r="D151" s="7">
        <f>SUMIFS(Tableau4[Montant imputé],Tableau4[Matricule cabinet],Tableau5[[#This Row],[Matricule cabinet]],Tableau4[Type d''imputation],"sale order")</f>
        <v>19</v>
      </c>
      <c r="E15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51" s="7">
        <f>SUMIFS(Tableau4[Montant imputé],Tableau4[Matricule cabinet],Tableau5[[#This Row],[Matricule cabinet]],Tableau4[Type d''imputation],"leave")</f>
        <v>1</v>
      </c>
      <c r="G151" s="7">
        <f>SUMIFS(Tableau4[Montant imputé],Tableau4[Matricule cabinet],Tableau5[[#This Row],[Matricule cabinet]],Tableau4[Type d''imputation],"absence")</f>
        <v>0</v>
      </c>
      <c r="H151" s="7">
        <f>SUM(Tableau5[[#This Row],[B WK]:[Unpaid leave WK]])</f>
        <v>20</v>
      </c>
    </row>
    <row r="152" spans="1:8">
      <c r="A152" s="7" t="s">
        <v>1410</v>
      </c>
      <c r="B152" s="7" t="s">
        <v>1411</v>
      </c>
      <c r="C152" s="7" t="s">
        <v>32</v>
      </c>
      <c r="D152" s="7">
        <f>SUMIFS(Tableau4[Montant imputé],Tableau4[Matricule cabinet],Tableau5[[#This Row],[Matricule cabinet]],Tableau4[Type d''imputation],"sale order")</f>
        <v>16</v>
      </c>
      <c r="E15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52" s="7">
        <f>SUMIFS(Tableau4[Montant imputé],Tableau4[Matricule cabinet],Tableau5[[#This Row],[Matricule cabinet]],Tableau4[Type d''imputation],"leave")</f>
        <v>4</v>
      </c>
      <c r="G152" s="7">
        <f>SUMIFS(Tableau4[Montant imputé],Tableau4[Matricule cabinet],Tableau5[[#This Row],[Matricule cabinet]],Tableau4[Type d''imputation],"absence")</f>
        <v>0</v>
      </c>
      <c r="H152" s="7">
        <f>SUM(Tableau5[[#This Row],[B WK]:[Unpaid leave WK]])</f>
        <v>20</v>
      </c>
    </row>
    <row r="153" spans="1:8">
      <c r="A153" s="7" t="s">
        <v>866</v>
      </c>
      <c r="B153" s="7" t="s">
        <v>867</v>
      </c>
      <c r="C153" s="7" t="s">
        <v>34</v>
      </c>
      <c r="D153" s="7">
        <f>SUMIFS(Tableau4[Montant imputé],Tableau4[Matricule cabinet],Tableau5[[#This Row],[Matricule cabinet]],Tableau4[Type d''imputation],"sale order")</f>
        <v>19.5</v>
      </c>
      <c r="E15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53" s="7">
        <f>SUMIFS(Tableau4[Montant imputé],Tableau4[Matricule cabinet],Tableau5[[#This Row],[Matricule cabinet]],Tableau4[Type d''imputation],"leave")</f>
        <v>0.5</v>
      </c>
      <c r="G153" s="7">
        <f>SUMIFS(Tableau4[Montant imputé],Tableau4[Matricule cabinet],Tableau5[[#This Row],[Matricule cabinet]],Tableau4[Type d''imputation],"absence")</f>
        <v>0</v>
      </c>
      <c r="H153" s="7">
        <f>SUM(Tableau5[[#This Row],[B WK]:[Unpaid leave WK]])</f>
        <v>20</v>
      </c>
    </row>
    <row r="154" spans="1:8">
      <c r="A154" s="7" t="s">
        <v>594</v>
      </c>
      <c r="B154" s="7" t="s">
        <v>595</v>
      </c>
      <c r="C154" s="7" t="s">
        <v>76</v>
      </c>
      <c r="D154" s="7">
        <f>SUMIFS(Tableau4[Montant imputé],Tableau4[Matricule cabinet],Tableau5[[#This Row],[Matricule cabinet]],Tableau4[Type d''imputation],"sale order")</f>
        <v>14</v>
      </c>
      <c r="E15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54" s="7">
        <f>SUMIFS(Tableau4[Montant imputé],Tableau4[Matricule cabinet],Tableau5[[#This Row],[Matricule cabinet]],Tableau4[Type d''imputation],"leave")</f>
        <v>6</v>
      </c>
      <c r="G154" s="7">
        <f>SUMIFS(Tableau4[Montant imputé],Tableau4[Matricule cabinet],Tableau5[[#This Row],[Matricule cabinet]],Tableau4[Type d''imputation],"absence")</f>
        <v>0</v>
      </c>
      <c r="H154" s="7">
        <f>SUM(Tableau5[[#This Row],[B WK]:[Unpaid leave WK]])</f>
        <v>20</v>
      </c>
    </row>
    <row r="155" spans="1:8">
      <c r="A155" s="7" t="s">
        <v>686</v>
      </c>
      <c r="B155" s="7" t="s">
        <v>687</v>
      </c>
      <c r="C155" s="7" t="s">
        <v>46</v>
      </c>
      <c r="D155" s="7">
        <f>SUMIFS(Tableau4[Montant imputé],Tableau4[Matricule cabinet],Tableau5[[#This Row],[Matricule cabinet]],Tableau4[Type d''imputation],"sale order")</f>
        <v>20</v>
      </c>
      <c r="E15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55" s="7">
        <f>SUMIFS(Tableau4[Montant imputé],Tableau4[Matricule cabinet],Tableau5[[#This Row],[Matricule cabinet]],Tableau4[Type d''imputation],"leave")</f>
        <v>0</v>
      </c>
      <c r="G155" s="7">
        <f>SUMIFS(Tableau4[Montant imputé],Tableau4[Matricule cabinet],Tableau5[[#This Row],[Matricule cabinet]],Tableau4[Type d''imputation],"absence")</f>
        <v>0</v>
      </c>
      <c r="H155" s="7">
        <f>SUM(Tableau5[[#This Row],[B WK]:[Unpaid leave WK]])</f>
        <v>20</v>
      </c>
    </row>
    <row r="156" spans="1:8">
      <c r="A156" s="7" t="s">
        <v>620</v>
      </c>
      <c r="B156" s="7" t="s">
        <v>621</v>
      </c>
      <c r="C156" s="7" t="s">
        <v>82</v>
      </c>
      <c r="D156" s="7">
        <f>SUMIFS(Tableau4[Montant imputé],Tableau4[Matricule cabinet],Tableau5[[#This Row],[Matricule cabinet]],Tableau4[Type d''imputation],"sale order")</f>
        <v>18.5</v>
      </c>
      <c r="E15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56" s="7">
        <f>SUMIFS(Tableau4[Montant imputé],Tableau4[Matricule cabinet],Tableau5[[#This Row],[Matricule cabinet]],Tableau4[Type d''imputation],"leave")</f>
        <v>1.5</v>
      </c>
      <c r="G156" s="7">
        <f>SUMIFS(Tableau4[Montant imputé],Tableau4[Matricule cabinet],Tableau5[[#This Row],[Matricule cabinet]],Tableau4[Type d''imputation],"absence")</f>
        <v>0</v>
      </c>
      <c r="H156" s="7">
        <f>SUM(Tableau5[[#This Row],[B WK]:[Unpaid leave WK]])</f>
        <v>20</v>
      </c>
    </row>
    <row r="157" spans="1:8">
      <c r="A157" s="7" t="s">
        <v>884</v>
      </c>
      <c r="B157" s="7" t="s">
        <v>885</v>
      </c>
      <c r="C157" s="7" t="s">
        <v>14</v>
      </c>
      <c r="D157" s="7">
        <f>SUMIFS(Tableau4[Montant imputé],Tableau4[Matricule cabinet],Tableau5[[#This Row],[Matricule cabinet]],Tableau4[Type d''imputation],"sale order")</f>
        <v>19</v>
      </c>
      <c r="E15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57" s="7">
        <f>SUMIFS(Tableau4[Montant imputé],Tableau4[Matricule cabinet],Tableau5[[#This Row],[Matricule cabinet]],Tableau4[Type d''imputation],"leave")</f>
        <v>1</v>
      </c>
      <c r="G157" s="7">
        <f>SUMIFS(Tableau4[Montant imputé],Tableau4[Matricule cabinet],Tableau5[[#This Row],[Matricule cabinet]],Tableau4[Type d''imputation],"absence")</f>
        <v>0</v>
      </c>
      <c r="H157" s="7">
        <f>SUM(Tableau5[[#This Row],[B WK]:[Unpaid leave WK]])</f>
        <v>20</v>
      </c>
    </row>
    <row r="158" spans="1:8">
      <c r="A158" s="7" t="s">
        <v>399</v>
      </c>
      <c r="B158" s="7" t="s">
        <v>69</v>
      </c>
      <c r="C158" s="7" t="s">
        <v>55</v>
      </c>
      <c r="D158" s="7">
        <f>SUMIFS(Tableau4[Montant imputé],Tableau4[Matricule cabinet],Tableau5[[#This Row],[Matricule cabinet]],Tableau4[Type d''imputation],"sale order")</f>
        <v>15</v>
      </c>
      <c r="E15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158" s="7">
        <f>SUMIFS(Tableau4[Montant imputé],Tableau4[Matricule cabinet],Tableau5[[#This Row],[Matricule cabinet]],Tableau4[Type d''imputation],"leave")</f>
        <v>1</v>
      </c>
      <c r="G158" s="7">
        <f>SUMIFS(Tableau4[Montant imputé],Tableau4[Matricule cabinet],Tableau5[[#This Row],[Matricule cabinet]],Tableau4[Type d''imputation],"absence")</f>
        <v>0</v>
      </c>
      <c r="H158" s="7">
        <f>SUM(Tableau5[[#This Row],[B WK]:[Unpaid leave WK]])</f>
        <v>20</v>
      </c>
    </row>
    <row r="159" spans="1:8">
      <c r="A159" s="7" t="s">
        <v>759</v>
      </c>
      <c r="B159" s="7" t="s">
        <v>760</v>
      </c>
      <c r="C159" s="7" t="s">
        <v>56</v>
      </c>
      <c r="D159" s="7">
        <f>SUMIFS(Tableau4[Montant imputé],Tableau4[Matricule cabinet],Tableau5[[#This Row],[Matricule cabinet]],Tableau4[Type d''imputation],"sale order")</f>
        <v>0</v>
      </c>
      <c r="E15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159" s="7">
        <f>SUMIFS(Tableau4[Montant imputé],Tableau4[Matricule cabinet],Tableau5[[#This Row],[Matricule cabinet]],Tableau4[Type d''imputation],"leave")</f>
        <v>6</v>
      </c>
      <c r="G159" s="7">
        <f>SUMIFS(Tableau4[Montant imputé],Tableau4[Matricule cabinet],Tableau5[[#This Row],[Matricule cabinet]],Tableau4[Type d''imputation],"absence")</f>
        <v>0</v>
      </c>
      <c r="H159" s="7">
        <f>SUM(Tableau5[[#This Row],[B WK]:[Unpaid leave WK]])</f>
        <v>20</v>
      </c>
    </row>
    <row r="160" spans="1:8">
      <c r="A160" s="7" t="s">
        <v>1299</v>
      </c>
      <c r="B160" s="7" t="s">
        <v>1300</v>
      </c>
      <c r="C160" s="7" t="s">
        <v>41</v>
      </c>
      <c r="D160" s="7">
        <f>SUMIFS(Tableau4[Montant imputé],Tableau4[Matricule cabinet],Tableau5[[#This Row],[Matricule cabinet]],Tableau4[Type d''imputation],"sale order")</f>
        <v>18</v>
      </c>
      <c r="E16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60" s="7">
        <f>SUMIFS(Tableau4[Montant imputé],Tableau4[Matricule cabinet],Tableau5[[#This Row],[Matricule cabinet]],Tableau4[Type d''imputation],"leave")</f>
        <v>2</v>
      </c>
      <c r="G160" s="7">
        <f>SUMIFS(Tableau4[Montant imputé],Tableau4[Matricule cabinet],Tableau5[[#This Row],[Matricule cabinet]],Tableau4[Type d''imputation],"absence")</f>
        <v>0</v>
      </c>
      <c r="H160" s="7">
        <f>SUM(Tableau5[[#This Row],[B WK]:[Unpaid leave WK]])</f>
        <v>20</v>
      </c>
    </row>
    <row r="161" spans="1:8">
      <c r="A161" s="7" t="s">
        <v>644</v>
      </c>
      <c r="B161" s="7" t="s">
        <v>67</v>
      </c>
      <c r="C161" s="7" t="s">
        <v>31</v>
      </c>
      <c r="D161" s="7">
        <f>SUMIFS(Tableau4[Montant imputé],Tableau4[Matricule cabinet],Tableau5[[#This Row],[Matricule cabinet]],Tableau4[Type d''imputation],"sale order")</f>
        <v>16.5</v>
      </c>
      <c r="E16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161" s="7">
        <f>SUMIFS(Tableau4[Montant imputé],Tableau4[Matricule cabinet],Tableau5[[#This Row],[Matricule cabinet]],Tableau4[Type d''imputation],"leave")</f>
        <v>0.5</v>
      </c>
      <c r="G161" s="7">
        <f>SUMIFS(Tableau4[Montant imputé],Tableau4[Matricule cabinet],Tableau5[[#This Row],[Matricule cabinet]],Tableau4[Type d''imputation],"absence")</f>
        <v>0</v>
      </c>
      <c r="H161" s="7">
        <f>SUM(Tableau5[[#This Row],[B WK]:[Unpaid leave WK]])</f>
        <v>20</v>
      </c>
    </row>
    <row r="162" spans="1:8">
      <c r="A162" s="7" t="s">
        <v>1327</v>
      </c>
      <c r="B162" s="7" t="s">
        <v>1328</v>
      </c>
      <c r="C162" s="7" t="s">
        <v>59</v>
      </c>
      <c r="D162" s="7">
        <f>SUMIFS(Tableau4[Montant imputé],Tableau4[Matricule cabinet],Tableau5[[#This Row],[Matricule cabinet]],Tableau4[Type d''imputation],"sale order")</f>
        <v>8</v>
      </c>
      <c r="E16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</v>
      </c>
      <c r="F162" s="7">
        <f>SUMIFS(Tableau4[Montant imputé],Tableau4[Matricule cabinet],Tableau5[[#This Row],[Matricule cabinet]],Tableau4[Type d''imputation],"leave")</f>
        <v>2</v>
      </c>
      <c r="G162" s="7">
        <f>SUMIFS(Tableau4[Montant imputé],Tableau4[Matricule cabinet],Tableau5[[#This Row],[Matricule cabinet]],Tableau4[Type d''imputation],"absence")</f>
        <v>0</v>
      </c>
      <c r="H162" s="7">
        <f>SUM(Tableau5[[#This Row],[B WK]:[Unpaid leave WK]])</f>
        <v>20</v>
      </c>
    </row>
    <row r="163" spans="1:8">
      <c r="A163" s="7" t="s">
        <v>302</v>
      </c>
      <c r="B163" s="7" t="s">
        <v>303</v>
      </c>
      <c r="C163" s="7" t="s">
        <v>17</v>
      </c>
      <c r="D163" s="7">
        <f>SUMIFS(Tableau4[Montant imputé],Tableau4[Matricule cabinet],Tableau5[[#This Row],[Matricule cabinet]],Tableau4[Type d''imputation],"sale order")</f>
        <v>20</v>
      </c>
      <c r="E16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63" s="7">
        <f>SUMIFS(Tableau4[Montant imputé],Tableau4[Matricule cabinet],Tableau5[[#This Row],[Matricule cabinet]],Tableau4[Type d''imputation],"leave")</f>
        <v>0</v>
      </c>
      <c r="G163" s="7">
        <f>SUMIFS(Tableau4[Montant imputé],Tableau4[Matricule cabinet],Tableau5[[#This Row],[Matricule cabinet]],Tableau4[Type d''imputation],"absence")</f>
        <v>0</v>
      </c>
      <c r="H163" s="7">
        <f>SUM(Tableau5[[#This Row],[B WK]:[Unpaid leave WK]])</f>
        <v>20</v>
      </c>
    </row>
    <row r="164" spans="1:8">
      <c r="A164" s="7" t="s">
        <v>408</v>
      </c>
      <c r="B164" s="7" t="s">
        <v>409</v>
      </c>
      <c r="C164" s="7" t="s">
        <v>21</v>
      </c>
      <c r="D164" s="7">
        <f>SUMIFS(Tableau4[Montant imputé],Tableau4[Matricule cabinet],Tableau5[[#This Row],[Matricule cabinet]],Tableau4[Type d''imputation],"sale order")</f>
        <v>9</v>
      </c>
      <c r="E16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11</v>
      </c>
      <c r="F164" s="7">
        <f>SUMIFS(Tableau4[Montant imputé],Tableau4[Matricule cabinet],Tableau5[[#This Row],[Matricule cabinet]],Tableau4[Type d''imputation],"leave")</f>
        <v>0</v>
      </c>
      <c r="G164" s="7">
        <f>SUMIFS(Tableau4[Montant imputé],Tableau4[Matricule cabinet],Tableau5[[#This Row],[Matricule cabinet]],Tableau4[Type d''imputation],"absence")</f>
        <v>0</v>
      </c>
      <c r="H164" s="7">
        <f>SUM(Tableau5[[#This Row],[B WK]:[Unpaid leave WK]])</f>
        <v>20</v>
      </c>
    </row>
    <row r="165" spans="1:8">
      <c r="A165" s="7" t="s">
        <v>1538</v>
      </c>
      <c r="B165" s="7" t="s">
        <v>1539</v>
      </c>
      <c r="C165" s="7" t="s">
        <v>85</v>
      </c>
      <c r="D165" s="7">
        <f>SUMIFS(Tableau4[Montant imputé],Tableau4[Matricule cabinet],Tableau5[[#This Row],[Matricule cabinet]],Tableau4[Type d''imputation],"sale order")</f>
        <v>13.5</v>
      </c>
      <c r="E16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1.5</v>
      </c>
      <c r="F165" s="7">
        <f>SUMIFS(Tableau4[Montant imputé],Tableau4[Matricule cabinet],Tableau5[[#This Row],[Matricule cabinet]],Tableau4[Type d''imputation],"leave")</f>
        <v>5</v>
      </c>
      <c r="G165" s="7">
        <f>SUMIFS(Tableau4[Montant imputé],Tableau4[Matricule cabinet],Tableau5[[#This Row],[Matricule cabinet]],Tableau4[Type d''imputation],"absence")</f>
        <v>0</v>
      </c>
      <c r="H165" s="7">
        <f>SUM(Tableau5[[#This Row],[B WK]:[Unpaid leave WK]])</f>
        <v>20</v>
      </c>
    </row>
    <row r="166" spans="1:8">
      <c r="A166" s="7" t="s">
        <v>304</v>
      </c>
      <c r="B166" s="7" t="s">
        <v>305</v>
      </c>
      <c r="C166" s="7" t="s">
        <v>17</v>
      </c>
      <c r="D166" s="7">
        <f>SUMIFS(Tableau4[Montant imputé],Tableau4[Matricule cabinet],Tableau5[[#This Row],[Matricule cabinet]],Tableau4[Type d''imputation],"sale order")</f>
        <v>0</v>
      </c>
      <c r="E16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166" s="7">
        <f>SUMIFS(Tableau4[Montant imputé],Tableau4[Matricule cabinet],Tableau5[[#This Row],[Matricule cabinet]],Tableau4[Type d''imputation],"leave")</f>
        <v>0</v>
      </c>
      <c r="G166" s="7">
        <f>SUMIFS(Tableau4[Montant imputé],Tableau4[Matricule cabinet],Tableau5[[#This Row],[Matricule cabinet]],Tableau4[Type d''imputation],"absence")</f>
        <v>0</v>
      </c>
      <c r="H166" s="7">
        <f>SUM(Tableau5[[#This Row],[B WK]:[Unpaid leave WK]])</f>
        <v>20</v>
      </c>
    </row>
    <row r="167" spans="1:8">
      <c r="A167" s="7" t="s">
        <v>1076</v>
      </c>
      <c r="B167" s="7" t="s">
        <v>1077</v>
      </c>
      <c r="C167" s="7" t="s">
        <v>43</v>
      </c>
      <c r="D167" s="7">
        <f>SUMIFS(Tableau4[Montant imputé],Tableau4[Matricule cabinet],Tableau5[[#This Row],[Matricule cabinet]],Tableau4[Type d''imputation],"sale order")</f>
        <v>19.5</v>
      </c>
      <c r="E16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167" s="7">
        <f>SUMIFS(Tableau4[Montant imputé],Tableau4[Matricule cabinet],Tableau5[[#This Row],[Matricule cabinet]],Tableau4[Type d''imputation],"leave")</f>
        <v>0</v>
      </c>
      <c r="G167" s="7">
        <f>SUMIFS(Tableau4[Montant imputé],Tableau4[Matricule cabinet],Tableau5[[#This Row],[Matricule cabinet]],Tableau4[Type d''imputation],"absence")</f>
        <v>0</v>
      </c>
      <c r="H167" s="7">
        <f>SUM(Tableau5[[#This Row],[B WK]:[Unpaid leave WK]])</f>
        <v>20</v>
      </c>
    </row>
    <row r="168" spans="1:8">
      <c r="A168" s="7" t="s">
        <v>1167</v>
      </c>
      <c r="B168" s="7" t="s">
        <v>1168</v>
      </c>
      <c r="C168" s="7" t="s">
        <v>44</v>
      </c>
      <c r="D168" s="7">
        <f>SUMIFS(Tableau4[Montant imputé],Tableau4[Matricule cabinet],Tableau5[[#This Row],[Matricule cabinet]],Tableau4[Type d''imputation],"sale order")</f>
        <v>19.5</v>
      </c>
      <c r="E16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168" s="7">
        <f>SUMIFS(Tableau4[Montant imputé],Tableau4[Matricule cabinet],Tableau5[[#This Row],[Matricule cabinet]],Tableau4[Type d''imputation],"leave")</f>
        <v>0</v>
      </c>
      <c r="G168" s="7">
        <f>SUMIFS(Tableau4[Montant imputé],Tableau4[Matricule cabinet],Tableau5[[#This Row],[Matricule cabinet]],Tableau4[Type d''imputation],"absence")</f>
        <v>0</v>
      </c>
      <c r="H168" s="7">
        <f>SUM(Tableau5[[#This Row],[B WK]:[Unpaid leave WK]])</f>
        <v>20</v>
      </c>
    </row>
    <row r="169" spans="1:8">
      <c r="A169" s="7" t="s">
        <v>1341</v>
      </c>
      <c r="B169" s="7" t="s">
        <v>1342</v>
      </c>
      <c r="C169" s="7" t="s">
        <v>53</v>
      </c>
      <c r="D169" s="7">
        <f>SUMIFS(Tableau4[Montant imputé],Tableau4[Matricule cabinet],Tableau5[[#This Row],[Matricule cabinet]],Tableau4[Type d''imputation],"sale order")</f>
        <v>14</v>
      </c>
      <c r="E16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</v>
      </c>
      <c r="F169" s="7">
        <f>SUMIFS(Tableau4[Montant imputé],Tableau4[Matricule cabinet],Tableau5[[#This Row],[Matricule cabinet]],Tableau4[Type d''imputation],"leave")</f>
        <v>0</v>
      </c>
      <c r="G169" s="7">
        <f>SUMIFS(Tableau4[Montant imputé],Tableau4[Matricule cabinet],Tableau5[[#This Row],[Matricule cabinet]],Tableau4[Type d''imputation],"absence")</f>
        <v>0</v>
      </c>
      <c r="H169" s="7">
        <f>SUM(Tableau5[[#This Row],[B WK]:[Unpaid leave WK]])</f>
        <v>20</v>
      </c>
    </row>
    <row r="170" spans="1:8">
      <c r="A170" s="7" t="s">
        <v>471</v>
      </c>
      <c r="B170" s="7" t="s">
        <v>472</v>
      </c>
      <c r="C170" s="7" t="s">
        <v>92</v>
      </c>
      <c r="D170" s="7">
        <f>SUMIFS(Tableau4[Montant imputé],Tableau4[Matricule cabinet],Tableau5[[#This Row],[Matricule cabinet]],Tableau4[Type d''imputation],"sale order")</f>
        <v>7</v>
      </c>
      <c r="E17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11.5</v>
      </c>
      <c r="F170" s="7">
        <f>SUMIFS(Tableau4[Montant imputé],Tableau4[Matricule cabinet],Tableau5[[#This Row],[Matricule cabinet]],Tableau4[Type d''imputation],"leave")</f>
        <v>0.5</v>
      </c>
      <c r="G170" s="7">
        <f>SUMIFS(Tableau4[Montant imputé],Tableau4[Matricule cabinet],Tableau5[[#This Row],[Matricule cabinet]],Tableau4[Type d''imputation],"absence")</f>
        <v>1</v>
      </c>
      <c r="H170" s="7">
        <f>SUM(Tableau5[[#This Row],[B WK]:[Unpaid leave WK]])</f>
        <v>20</v>
      </c>
    </row>
    <row r="171" spans="1:8">
      <c r="A171" s="7" t="s">
        <v>815</v>
      </c>
      <c r="B171" s="7" t="s">
        <v>816</v>
      </c>
      <c r="C171" s="7" t="s">
        <v>19</v>
      </c>
      <c r="D171" s="7">
        <f>SUMIFS(Tableau4[Montant imputé],Tableau4[Matricule cabinet],Tableau5[[#This Row],[Matricule cabinet]],Tableau4[Type d''imputation],"sale order")</f>
        <v>20</v>
      </c>
      <c r="E17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71" s="7">
        <f>SUMIFS(Tableau4[Montant imputé],Tableau4[Matricule cabinet],Tableau5[[#This Row],[Matricule cabinet]],Tableau4[Type d''imputation],"leave")</f>
        <v>0</v>
      </c>
      <c r="G171" s="7">
        <f>SUMIFS(Tableau4[Montant imputé],Tableau4[Matricule cabinet],Tableau5[[#This Row],[Matricule cabinet]],Tableau4[Type d''imputation],"absence")</f>
        <v>0</v>
      </c>
      <c r="H171" s="7">
        <f>SUM(Tableau5[[#This Row],[B WK]:[Unpaid leave WK]])</f>
        <v>20</v>
      </c>
    </row>
    <row r="172" spans="1:8">
      <c r="A172" s="7" t="s">
        <v>1101</v>
      </c>
      <c r="B172" s="7" t="s">
        <v>1102</v>
      </c>
      <c r="C172" s="7" t="s">
        <v>18</v>
      </c>
      <c r="D172" s="7">
        <f>SUMIFS(Tableau4[Montant imputé],Tableau4[Matricule cabinet],Tableau5[[#This Row],[Matricule cabinet]],Tableau4[Type d''imputation],"sale order")</f>
        <v>20</v>
      </c>
      <c r="E17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72" s="7">
        <f>SUMIFS(Tableau4[Montant imputé],Tableau4[Matricule cabinet],Tableau5[[#This Row],[Matricule cabinet]],Tableau4[Type d''imputation],"leave")</f>
        <v>0</v>
      </c>
      <c r="G172" s="7">
        <f>SUMIFS(Tableau4[Montant imputé],Tableau4[Matricule cabinet],Tableau5[[#This Row],[Matricule cabinet]],Tableau4[Type d''imputation],"absence")</f>
        <v>0</v>
      </c>
      <c r="H172" s="7">
        <f>SUM(Tableau5[[#This Row],[B WK]:[Unpaid leave WK]])</f>
        <v>20</v>
      </c>
    </row>
    <row r="173" spans="1:8">
      <c r="A173" s="7" t="s">
        <v>395</v>
      </c>
      <c r="B173" s="7" t="s">
        <v>396</v>
      </c>
      <c r="C173" s="7" t="s">
        <v>13</v>
      </c>
      <c r="D173" s="7">
        <f>SUMIFS(Tableau4[Montant imputé],Tableau4[Matricule cabinet],Tableau5[[#This Row],[Matricule cabinet]],Tableau4[Type d''imputation],"sale order")</f>
        <v>9</v>
      </c>
      <c r="E17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73" s="7">
        <f>SUMIFS(Tableau4[Montant imputé],Tableau4[Matricule cabinet],Tableau5[[#This Row],[Matricule cabinet]],Tableau4[Type d''imputation],"leave")</f>
        <v>11</v>
      </c>
      <c r="G173" s="7">
        <f>SUMIFS(Tableau4[Montant imputé],Tableau4[Matricule cabinet],Tableau5[[#This Row],[Matricule cabinet]],Tableau4[Type d''imputation],"absence")</f>
        <v>0</v>
      </c>
      <c r="H173" s="7">
        <f>SUM(Tableau5[[#This Row],[B WK]:[Unpaid leave WK]])</f>
        <v>20</v>
      </c>
    </row>
    <row r="174" spans="1:8">
      <c r="A174" s="7" t="s">
        <v>1329</v>
      </c>
      <c r="B174" s="7" t="s">
        <v>1330</v>
      </c>
      <c r="C174" s="7" t="s">
        <v>59</v>
      </c>
      <c r="D174" s="7">
        <f>SUMIFS(Tableau4[Montant imputé],Tableau4[Matricule cabinet],Tableau5[[#This Row],[Matricule cabinet]],Tableau4[Type d''imputation],"sale order")</f>
        <v>0</v>
      </c>
      <c r="E17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174" s="7">
        <f>SUMIFS(Tableau4[Montant imputé],Tableau4[Matricule cabinet],Tableau5[[#This Row],[Matricule cabinet]],Tableau4[Type d''imputation],"leave")</f>
        <v>0</v>
      </c>
      <c r="G174" s="7">
        <f>SUMIFS(Tableau4[Montant imputé],Tableau4[Matricule cabinet],Tableau5[[#This Row],[Matricule cabinet]],Tableau4[Type d''imputation],"absence")</f>
        <v>0</v>
      </c>
      <c r="H174" s="7">
        <f>SUM(Tableau5[[#This Row],[B WK]:[Unpaid leave WK]])</f>
        <v>20</v>
      </c>
    </row>
    <row r="175" spans="1:8">
      <c r="A175" s="7" t="s">
        <v>1540</v>
      </c>
      <c r="B175" s="7" t="s">
        <v>1541</v>
      </c>
      <c r="C175" s="7" t="s">
        <v>85</v>
      </c>
      <c r="D175" s="7">
        <f>SUMIFS(Tableau4[Montant imputé],Tableau4[Matricule cabinet],Tableau5[[#This Row],[Matricule cabinet]],Tableau4[Type d''imputation],"sale order")</f>
        <v>19</v>
      </c>
      <c r="E17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75" s="7">
        <f>SUMIFS(Tableau4[Montant imputé],Tableau4[Matricule cabinet],Tableau5[[#This Row],[Matricule cabinet]],Tableau4[Type d''imputation],"leave")</f>
        <v>1</v>
      </c>
      <c r="G175" s="7">
        <f>SUMIFS(Tableau4[Montant imputé],Tableau4[Matricule cabinet],Tableau5[[#This Row],[Matricule cabinet]],Tableau4[Type d''imputation],"absence")</f>
        <v>0</v>
      </c>
      <c r="H175" s="7">
        <f>SUM(Tableau5[[#This Row],[B WK]:[Unpaid leave WK]])</f>
        <v>20</v>
      </c>
    </row>
    <row r="176" spans="1:8">
      <c r="A176" s="7" t="s">
        <v>780</v>
      </c>
      <c r="B176" s="7" t="s">
        <v>781</v>
      </c>
      <c r="C176" s="7" t="s">
        <v>35</v>
      </c>
      <c r="D176" s="7">
        <f>SUMIFS(Tableau4[Montant imputé],Tableau4[Matricule cabinet],Tableau5[[#This Row],[Matricule cabinet]],Tableau4[Type d''imputation],"sale order")</f>
        <v>9</v>
      </c>
      <c r="E17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76" s="7">
        <f>SUMIFS(Tableau4[Montant imputé],Tableau4[Matricule cabinet],Tableau5[[#This Row],[Matricule cabinet]],Tableau4[Type d''imputation],"leave")</f>
        <v>11</v>
      </c>
      <c r="G176" s="7">
        <f>SUMIFS(Tableau4[Montant imputé],Tableau4[Matricule cabinet],Tableau5[[#This Row],[Matricule cabinet]],Tableau4[Type d''imputation],"absence")</f>
        <v>0</v>
      </c>
      <c r="H176" s="7">
        <f>SUM(Tableau5[[#This Row],[B WK]:[Unpaid leave WK]])</f>
        <v>20</v>
      </c>
    </row>
    <row r="177" spans="1:8">
      <c r="A177" s="7" t="s">
        <v>634</v>
      </c>
      <c r="B177" s="7" t="s">
        <v>635</v>
      </c>
      <c r="C177" s="7" t="s">
        <v>39</v>
      </c>
      <c r="D177" s="7">
        <f>SUMIFS(Tableau4[Montant imputé],Tableau4[Matricule cabinet],Tableau5[[#This Row],[Matricule cabinet]],Tableau4[Type d''imputation],"sale order")</f>
        <v>20</v>
      </c>
      <c r="E17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77" s="7">
        <f>SUMIFS(Tableau4[Montant imputé],Tableau4[Matricule cabinet],Tableau5[[#This Row],[Matricule cabinet]],Tableau4[Type d''imputation],"leave")</f>
        <v>0</v>
      </c>
      <c r="G177" s="7">
        <f>SUMIFS(Tableau4[Montant imputé],Tableau4[Matricule cabinet],Tableau5[[#This Row],[Matricule cabinet]],Tableau4[Type d''imputation],"absence")</f>
        <v>0</v>
      </c>
      <c r="H177" s="7">
        <f>SUM(Tableau5[[#This Row],[B WK]:[Unpaid leave WK]])</f>
        <v>20</v>
      </c>
    </row>
    <row r="178" spans="1:8">
      <c r="A178" s="7" t="s">
        <v>1497</v>
      </c>
      <c r="B178" s="7" t="s">
        <v>1498</v>
      </c>
      <c r="C178" s="7" t="s">
        <v>13</v>
      </c>
      <c r="D178" s="7">
        <f>SUMIFS(Tableau4[Montant imputé],Tableau4[Matricule cabinet],Tableau5[[#This Row],[Matricule cabinet]],Tableau4[Type d''imputation],"sale order")</f>
        <v>17</v>
      </c>
      <c r="E17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178" s="7">
        <f>SUMIFS(Tableau4[Montant imputé],Tableau4[Matricule cabinet],Tableau5[[#This Row],[Matricule cabinet]],Tableau4[Type d''imputation],"leave")</f>
        <v>0</v>
      </c>
      <c r="G178" s="7">
        <f>SUMIFS(Tableau4[Montant imputé],Tableau4[Matricule cabinet],Tableau5[[#This Row],[Matricule cabinet]],Tableau4[Type d''imputation],"absence")</f>
        <v>0</v>
      </c>
      <c r="H178" s="7">
        <f>SUM(Tableau5[[#This Row],[B WK]:[Unpaid leave WK]])</f>
        <v>20</v>
      </c>
    </row>
    <row r="179" spans="1:8">
      <c r="A179" s="7" t="s">
        <v>817</v>
      </c>
      <c r="B179" s="7" t="s">
        <v>818</v>
      </c>
      <c r="C179" s="7" t="s">
        <v>19</v>
      </c>
      <c r="D179" s="7">
        <f>SUMIFS(Tableau4[Montant imputé],Tableau4[Matricule cabinet],Tableau5[[#This Row],[Matricule cabinet]],Tableau4[Type d''imputation],"sale order")</f>
        <v>15</v>
      </c>
      <c r="E17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79" s="7">
        <f>SUMIFS(Tableau4[Montant imputé],Tableau4[Matricule cabinet],Tableau5[[#This Row],[Matricule cabinet]],Tableau4[Type d''imputation],"leave")</f>
        <v>5</v>
      </c>
      <c r="G179" s="7">
        <f>SUMIFS(Tableau4[Montant imputé],Tableau4[Matricule cabinet],Tableau5[[#This Row],[Matricule cabinet]],Tableau4[Type d''imputation],"absence")</f>
        <v>0</v>
      </c>
      <c r="H179" s="7">
        <f>SUM(Tableau5[[#This Row],[B WK]:[Unpaid leave WK]])</f>
        <v>20</v>
      </c>
    </row>
    <row r="180" spans="1:8">
      <c r="A180" s="7" t="s">
        <v>782</v>
      </c>
      <c r="B180" s="7" t="s">
        <v>783</v>
      </c>
      <c r="C180" s="7" t="s">
        <v>50</v>
      </c>
      <c r="D180" s="7">
        <f>SUMIFS(Tableau4[Montant imputé],Tableau4[Matricule cabinet],Tableau5[[#This Row],[Matricule cabinet]],Tableau4[Type d''imputation],"sale order")</f>
        <v>17.5</v>
      </c>
      <c r="E18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1.5</v>
      </c>
      <c r="F180" s="7">
        <f>SUMIFS(Tableau4[Montant imputé],Tableau4[Matricule cabinet],Tableau5[[#This Row],[Matricule cabinet]],Tableau4[Type d''imputation],"leave")</f>
        <v>1</v>
      </c>
      <c r="G180" s="7">
        <f>SUMIFS(Tableau4[Montant imputé],Tableau4[Matricule cabinet],Tableau5[[#This Row],[Matricule cabinet]],Tableau4[Type d''imputation],"absence")</f>
        <v>0</v>
      </c>
      <c r="H180" s="7">
        <f>SUM(Tableau5[[#This Row],[B WK]:[Unpaid leave WK]])</f>
        <v>20</v>
      </c>
    </row>
    <row r="181" spans="1:8">
      <c r="A181" s="7" t="s">
        <v>853</v>
      </c>
      <c r="B181" s="7" t="s">
        <v>854</v>
      </c>
      <c r="C181" s="7" t="s">
        <v>3</v>
      </c>
      <c r="D181" s="7">
        <f>SUMIFS(Tableau4[Montant imputé],Tableau4[Matricule cabinet],Tableau5[[#This Row],[Matricule cabinet]],Tableau4[Type d''imputation],"sale order")</f>
        <v>11</v>
      </c>
      <c r="E18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181" s="7">
        <f>SUMIFS(Tableau4[Montant imputé],Tableau4[Matricule cabinet],Tableau5[[#This Row],[Matricule cabinet]],Tableau4[Type d''imputation],"leave")</f>
        <v>1</v>
      </c>
      <c r="G181" s="7">
        <f>SUMIFS(Tableau4[Montant imputé],Tableau4[Matricule cabinet],Tableau5[[#This Row],[Matricule cabinet]],Tableau4[Type d''imputation],"absence")</f>
        <v>0</v>
      </c>
      <c r="H181" s="7">
        <f>SUM(Tableau5[[#This Row],[B WK]:[Unpaid leave WK]])</f>
        <v>20</v>
      </c>
    </row>
    <row r="182" spans="1:8">
      <c r="A182" s="7" t="s">
        <v>646</v>
      </c>
      <c r="B182" s="7" t="s">
        <v>647</v>
      </c>
      <c r="C182" s="7" t="s">
        <v>31</v>
      </c>
      <c r="D182" s="7">
        <f>SUMIFS(Tableau4[Montant imputé],Tableau4[Matricule cabinet],Tableau5[[#This Row],[Matricule cabinet]],Tableau4[Type d''imputation],"sale order")</f>
        <v>17.5</v>
      </c>
      <c r="E18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182" s="7">
        <f>SUMIFS(Tableau4[Montant imputé],Tableau4[Matricule cabinet],Tableau5[[#This Row],[Matricule cabinet]],Tableau4[Type d''imputation],"leave")</f>
        <v>1.5</v>
      </c>
      <c r="G182" s="7">
        <f>SUMIFS(Tableau4[Montant imputé],Tableau4[Matricule cabinet],Tableau5[[#This Row],[Matricule cabinet]],Tableau4[Type d''imputation],"absence")</f>
        <v>0</v>
      </c>
      <c r="H182" s="7">
        <f>SUM(Tableau5[[#This Row],[B WK]:[Unpaid leave WK]])</f>
        <v>20</v>
      </c>
    </row>
    <row r="183" spans="1:8">
      <c r="A183" s="7" t="s">
        <v>819</v>
      </c>
      <c r="B183" s="7" t="s">
        <v>820</v>
      </c>
      <c r="C183" s="7" t="s">
        <v>19</v>
      </c>
      <c r="D183" s="7">
        <f>SUMIFS(Tableau4[Montant imputé],Tableau4[Matricule cabinet],Tableau5[[#This Row],[Matricule cabinet]],Tableau4[Type d''imputation],"sale order")</f>
        <v>20</v>
      </c>
      <c r="E18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83" s="7">
        <f>SUMIFS(Tableau4[Montant imputé],Tableau4[Matricule cabinet],Tableau5[[#This Row],[Matricule cabinet]],Tableau4[Type d''imputation],"leave")</f>
        <v>0</v>
      </c>
      <c r="G183" s="7">
        <f>SUMIFS(Tableau4[Montant imputé],Tableau4[Matricule cabinet],Tableau5[[#This Row],[Matricule cabinet]],Tableau4[Type d''imputation],"absence")</f>
        <v>0</v>
      </c>
      <c r="H183" s="7">
        <f>SUM(Tableau5[[#This Row],[B WK]:[Unpaid leave WK]])</f>
        <v>20</v>
      </c>
    </row>
    <row r="184" spans="1:8">
      <c r="A184" s="7" t="s">
        <v>139</v>
      </c>
      <c r="B184" s="7" t="s">
        <v>140</v>
      </c>
      <c r="C184" s="7" t="s">
        <v>60</v>
      </c>
      <c r="D184" s="7">
        <f>SUMIFS(Tableau4[Montant imputé],Tableau4[Matricule cabinet],Tableau5[[#This Row],[Matricule cabinet]],Tableau4[Type d''imputation],"sale order")</f>
        <v>18</v>
      </c>
      <c r="E18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84" s="7">
        <f>SUMIFS(Tableau4[Montant imputé],Tableau4[Matricule cabinet],Tableau5[[#This Row],[Matricule cabinet]],Tableau4[Type d''imputation],"leave")</f>
        <v>2</v>
      </c>
      <c r="G184" s="7">
        <f>SUMIFS(Tableau4[Montant imputé],Tableau4[Matricule cabinet],Tableau5[[#This Row],[Matricule cabinet]],Tableau4[Type d''imputation],"absence")</f>
        <v>0</v>
      </c>
      <c r="H184" s="7">
        <f>SUM(Tableau5[[#This Row],[B WK]:[Unpaid leave WK]])</f>
        <v>20</v>
      </c>
    </row>
    <row r="185" spans="1:8">
      <c r="A185" s="7" t="s">
        <v>722</v>
      </c>
      <c r="B185" s="7" t="s">
        <v>723</v>
      </c>
      <c r="C185" s="7" t="s">
        <v>25</v>
      </c>
      <c r="D185" s="7">
        <f>SUMIFS(Tableau4[Montant imputé],Tableau4[Matricule cabinet],Tableau5[[#This Row],[Matricule cabinet]],Tableau4[Type d''imputation],"sale order")</f>
        <v>20</v>
      </c>
      <c r="E18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85" s="7">
        <f>SUMIFS(Tableau4[Montant imputé],Tableau4[Matricule cabinet],Tableau5[[#This Row],[Matricule cabinet]],Tableau4[Type d''imputation],"leave")</f>
        <v>0</v>
      </c>
      <c r="G185" s="7">
        <f>SUMIFS(Tableau4[Montant imputé],Tableau4[Matricule cabinet],Tableau5[[#This Row],[Matricule cabinet]],Tableau4[Type d''imputation],"absence")</f>
        <v>0</v>
      </c>
      <c r="H185" s="7">
        <f>SUM(Tableau5[[#This Row],[B WK]:[Unpaid leave WK]])</f>
        <v>20</v>
      </c>
    </row>
    <row r="186" spans="1:8">
      <c r="A186" s="7" t="s">
        <v>662</v>
      </c>
      <c r="B186" s="7" t="s">
        <v>663</v>
      </c>
      <c r="C186" s="7" t="s">
        <v>28</v>
      </c>
      <c r="D186" s="7">
        <f>SUMIFS(Tableau4[Montant imputé],Tableau4[Matricule cabinet],Tableau5[[#This Row],[Matricule cabinet]],Tableau4[Type d''imputation],"sale order")</f>
        <v>17</v>
      </c>
      <c r="E18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186" s="7">
        <f>SUMIFS(Tableau4[Montant imputé],Tableau4[Matricule cabinet],Tableau5[[#This Row],[Matricule cabinet]],Tableau4[Type d''imputation],"leave")</f>
        <v>0</v>
      </c>
      <c r="G186" s="7">
        <f>SUMIFS(Tableau4[Montant imputé],Tableau4[Matricule cabinet],Tableau5[[#This Row],[Matricule cabinet]],Tableau4[Type d''imputation],"absence")</f>
        <v>0</v>
      </c>
      <c r="H186" s="7">
        <f>SUM(Tableau5[[#This Row],[B WK]:[Unpaid leave WK]])</f>
        <v>20</v>
      </c>
    </row>
    <row r="187" spans="1:8">
      <c r="A187" s="7" t="s">
        <v>277</v>
      </c>
      <c r="B187" s="7" t="s">
        <v>278</v>
      </c>
      <c r="C187" s="7" t="s">
        <v>59</v>
      </c>
      <c r="D187" s="7">
        <f>SUMIFS(Tableau4[Montant imputé],Tableau4[Matricule cabinet],Tableau5[[#This Row],[Matricule cabinet]],Tableau4[Type d''imputation],"sale order")</f>
        <v>8</v>
      </c>
      <c r="E18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187" s="7">
        <f>SUMIFS(Tableau4[Montant imputé],Tableau4[Matricule cabinet],Tableau5[[#This Row],[Matricule cabinet]],Tableau4[Type d''imputation],"leave")</f>
        <v>4</v>
      </c>
      <c r="G187" s="7">
        <f>SUMIFS(Tableau4[Montant imputé],Tableau4[Matricule cabinet],Tableau5[[#This Row],[Matricule cabinet]],Tableau4[Type d''imputation],"absence")</f>
        <v>0</v>
      </c>
      <c r="H187" s="7">
        <f>SUM(Tableau5[[#This Row],[B WK]:[Unpaid leave WK]])</f>
        <v>20</v>
      </c>
    </row>
    <row r="188" spans="1:8" ht="29.1">
      <c r="A188" s="7" t="s">
        <v>1421</v>
      </c>
      <c r="B188" s="7" t="s">
        <v>1422</v>
      </c>
      <c r="C188" s="7" t="s">
        <v>41</v>
      </c>
      <c r="D188" s="7">
        <f>SUMIFS(Tableau4[Montant imputé],Tableau4[Matricule cabinet],Tableau5[[#This Row],[Matricule cabinet]],Tableau4[Type d''imputation],"sale order")</f>
        <v>0</v>
      </c>
      <c r="E18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12.5</v>
      </c>
      <c r="F188" s="7">
        <f>SUMIFS(Tableau4[Montant imputé],Tableau4[Matricule cabinet],Tableau5[[#This Row],[Matricule cabinet]],Tableau4[Type d''imputation],"leave")</f>
        <v>7.5</v>
      </c>
      <c r="G188" s="7">
        <f>SUMIFS(Tableau4[Montant imputé],Tableau4[Matricule cabinet],Tableau5[[#This Row],[Matricule cabinet]],Tableau4[Type d''imputation],"absence")</f>
        <v>0</v>
      </c>
      <c r="H188" s="7">
        <f>SUM(Tableau5[[#This Row],[B WK]:[Unpaid leave WK]])</f>
        <v>20</v>
      </c>
    </row>
    <row r="189" spans="1:8">
      <c r="A189" s="7" t="s">
        <v>932</v>
      </c>
      <c r="B189" s="7" t="s">
        <v>933</v>
      </c>
      <c r="C189" s="7" t="s">
        <v>93</v>
      </c>
      <c r="D189" s="7">
        <f>SUMIFS(Tableau4[Montant imputé],Tableau4[Matricule cabinet],Tableau5[[#This Row],[Matricule cabinet]],Tableau4[Type d''imputation],"sale order")</f>
        <v>0</v>
      </c>
      <c r="E18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89" s="7">
        <f>SUMIFS(Tableau4[Montant imputé],Tableau4[Matricule cabinet],Tableau5[[#This Row],[Matricule cabinet]],Tableau4[Type d''imputation],"leave")</f>
        <v>0</v>
      </c>
      <c r="G189" s="7">
        <f>SUMIFS(Tableau4[Montant imputé],Tableau4[Matricule cabinet],Tableau5[[#This Row],[Matricule cabinet]],Tableau4[Type d''imputation],"absence")</f>
        <v>20</v>
      </c>
      <c r="H189" s="7">
        <f>SUM(Tableau5[[#This Row],[B WK]:[Unpaid leave WK]])</f>
        <v>20</v>
      </c>
    </row>
    <row r="190" spans="1:8">
      <c r="A190" s="7" t="s">
        <v>596</v>
      </c>
      <c r="B190" s="7" t="s">
        <v>597</v>
      </c>
      <c r="C190" s="7" t="s">
        <v>76</v>
      </c>
      <c r="D190" s="7">
        <f>SUMIFS(Tableau4[Montant imputé],Tableau4[Matricule cabinet],Tableau5[[#This Row],[Matricule cabinet]],Tableau4[Type d''imputation],"sale order")</f>
        <v>10</v>
      </c>
      <c r="E19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</v>
      </c>
      <c r="F190" s="7">
        <f>SUMIFS(Tableau4[Montant imputé],Tableau4[Matricule cabinet],Tableau5[[#This Row],[Matricule cabinet]],Tableau4[Type d''imputation],"leave")</f>
        <v>3</v>
      </c>
      <c r="G190" s="7">
        <f>SUMIFS(Tableau4[Montant imputé],Tableau4[Matricule cabinet],Tableau5[[#This Row],[Matricule cabinet]],Tableau4[Type d''imputation],"absence")</f>
        <v>0</v>
      </c>
      <c r="H190" s="7">
        <f>SUM(Tableau5[[#This Row],[B WK]:[Unpaid leave WK]])</f>
        <v>20</v>
      </c>
    </row>
    <row r="191" spans="1:8">
      <c r="A191" s="7" t="s">
        <v>306</v>
      </c>
      <c r="B191" s="7" t="s">
        <v>307</v>
      </c>
      <c r="C191" s="7" t="s">
        <v>17</v>
      </c>
      <c r="D191" s="7">
        <f>SUMIFS(Tableau4[Montant imputé],Tableau4[Matricule cabinet],Tableau5[[#This Row],[Matricule cabinet]],Tableau4[Type d''imputation],"sale order")</f>
        <v>19</v>
      </c>
      <c r="E19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91" s="7">
        <f>SUMIFS(Tableau4[Montant imputé],Tableau4[Matricule cabinet],Tableau5[[#This Row],[Matricule cabinet]],Tableau4[Type d''imputation],"leave")</f>
        <v>1</v>
      </c>
      <c r="G191" s="7">
        <f>SUMIFS(Tableau4[Montant imputé],Tableau4[Matricule cabinet],Tableau5[[#This Row],[Matricule cabinet]],Tableau4[Type d''imputation],"absence")</f>
        <v>0</v>
      </c>
      <c r="H191" s="7">
        <f>SUM(Tableau5[[#This Row],[B WK]:[Unpaid leave WK]])</f>
        <v>20</v>
      </c>
    </row>
    <row r="192" spans="1:8">
      <c r="A192" s="7" t="s">
        <v>1260</v>
      </c>
      <c r="B192" s="7" t="s">
        <v>92</v>
      </c>
      <c r="C192" s="7" t="s">
        <v>28</v>
      </c>
      <c r="D192" s="7">
        <f>SUMIFS(Tableau4[Montant imputé],Tableau4[Matricule cabinet],Tableau5[[#This Row],[Matricule cabinet]],Tableau4[Type d''imputation],"sale order")</f>
        <v>3.5</v>
      </c>
      <c r="E19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16.5</v>
      </c>
      <c r="F192" s="7">
        <f>SUMIFS(Tableau4[Montant imputé],Tableau4[Matricule cabinet],Tableau5[[#This Row],[Matricule cabinet]],Tableau4[Type d''imputation],"leave")</f>
        <v>0</v>
      </c>
      <c r="G192" s="7">
        <f>SUMIFS(Tableau4[Montant imputé],Tableau4[Matricule cabinet],Tableau5[[#This Row],[Matricule cabinet]],Tableau4[Type d''imputation],"absence")</f>
        <v>0</v>
      </c>
      <c r="H192" s="7">
        <f>SUM(Tableau5[[#This Row],[B WK]:[Unpaid leave WK]])</f>
        <v>20</v>
      </c>
    </row>
    <row r="193" spans="1:8">
      <c r="A193" s="7" t="s">
        <v>1014</v>
      </c>
      <c r="B193" s="7" t="s">
        <v>1015</v>
      </c>
      <c r="C193" s="7" t="s">
        <v>13</v>
      </c>
      <c r="D193" s="7">
        <f>SUMIFS(Tableau4[Montant imputé],Tableau4[Matricule cabinet],Tableau5[[#This Row],[Matricule cabinet]],Tableau4[Type d''imputation],"sale order")</f>
        <v>20</v>
      </c>
      <c r="E19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93" s="7">
        <f>SUMIFS(Tableau4[Montant imputé],Tableau4[Matricule cabinet],Tableau5[[#This Row],[Matricule cabinet]],Tableau4[Type d''imputation],"leave")</f>
        <v>0</v>
      </c>
      <c r="G193" s="7">
        <f>SUMIFS(Tableau4[Montant imputé],Tableau4[Matricule cabinet],Tableau5[[#This Row],[Matricule cabinet]],Tableau4[Type d''imputation],"absence")</f>
        <v>0</v>
      </c>
      <c r="H193" s="7">
        <f>SUM(Tableau5[[#This Row],[B WK]:[Unpaid leave WK]])</f>
        <v>20</v>
      </c>
    </row>
    <row r="194" spans="1:8">
      <c r="A194" s="7" t="s">
        <v>1512</v>
      </c>
      <c r="B194" s="7" t="s">
        <v>1513</v>
      </c>
      <c r="C194" s="7" t="s">
        <v>86</v>
      </c>
      <c r="D194" s="7">
        <f>SUMIFS(Tableau4[Montant imputé],Tableau4[Matricule cabinet],Tableau5[[#This Row],[Matricule cabinet]],Tableau4[Type d''imputation],"sale order")</f>
        <v>18</v>
      </c>
      <c r="E19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194" s="7">
        <f>SUMIFS(Tableau4[Montant imputé],Tableau4[Matricule cabinet],Tableau5[[#This Row],[Matricule cabinet]],Tableau4[Type d''imputation],"leave")</f>
        <v>0</v>
      </c>
      <c r="G194" s="7">
        <f>SUMIFS(Tableau4[Montant imputé],Tableau4[Matricule cabinet],Tableau5[[#This Row],[Matricule cabinet]],Tableau4[Type d''imputation],"absence")</f>
        <v>0</v>
      </c>
      <c r="H194" s="7">
        <f>SUM(Tableau5[[#This Row],[B WK]:[Unpaid leave WK]])</f>
        <v>20</v>
      </c>
    </row>
    <row r="195" spans="1:8">
      <c r="A195" s="7" t="s">
        <v>259</v>
      </c>
      <c r="B195" s="7" t="s">
        <v>260</v>
      </c>
      <c r="C195" s="7" t="s">
        <v>84</v>
      </c>
      <c r="D195" s="7">
        <f>SUMIFS(Tableau4[Montant imputé],Tableau4[Matricule cabinet],Tableau5[[#This Row],[Matricule cabinet]],Tableau4[Type d''imputation],"sale order")</f>
        <v>4</v>
      </c>
      <c r="E19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</v>
      </c>
      <c r="F195" s="7">
        <f>SUMIFS(Tableau4[Montant imputé],Tableau4[Matricule cabinet],Tableau5[[#This Row],[Matricule cabinet]],Tableau4[Type d''imputation],"leave")</f>
        <v>0</v>
      </c>
      <c r="G195" s="7">
        <f>SUMIFS(Tableau4[Montant imputé],Tableau4[Matricule cabinet],Tableau5[[#This Row],[Matricule cabinet]],Tableau4[Type d''imputation],"absence")</f>
        <v>0</v>
      </c>
      <c r="H195" s="7">
        <f>SUM(Tableau5[[#This Row],[B WK]:[Unpaid leave WK]])</f>
        <v>20</v>
      </c>
    </row>
    <row r="196" spans="1:8">
      <c r="A196" s="7" t="s">
        <v>240</v>
      </c>
      <c r="B196" s="7" t="s">
        <v>241</v>
      </c>
      <c r="C196" s="7" t="s">
        <v>62</v>
      </c>
      <c r="D196" s="7">
        <f>SUMIFS(Tableau4[Montant imputé],Tableau4[Matricule cabinet],Tableau5[[#This Row],[Matricule cabinet]],Tableau4[Type d''imputation],"sale order")</f>
        <v>20</v>
      </c>
      <c r="E19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96" s="7">
        <f>SUMIFS(Tableau4[Montant imputé],Tableau4[Matricule cabinet],Tableau5[[#This Row],[Matricule cabinet]],Tableau4[Type d''imputation],"leave")</f>
        <v>0</v>
      </c>
      <c r="G196" s="7">
        <f>SUMIFS(Tableau4[Montant imputé],Tableau4[Matricule cabinet],Tableau5[[#This Row],[Matricule cabinet]],Tableau4[Type d''imputation],"absence")</f>
        <v>0</v>
      </c>
      <c r="H196" s="7">
        <f>SUM(Tableau5[[#This Row],[B WK]:[Unpaid leave WK]])</f>
        <v>20</v>
      </c>
    </row>
    <row r="197" spans="1:8">
      <c r="A197" s="7" t="s">
        <v>484</v>
      </c>
      <c r="B197" s="7" t="s">
        <v>485</v>
      </c>
      <c r="C197" s="7" t="s">
        <v>33</v>
      </c>
      <c r="D197" s="7">
        <f>SUMIFS(Tableau4[Montant imputé],Tableau4[Matricule cabinet],Tableau5[[#This Row],[Matricule cabinet]],Tableau4[Type d''imputation],"sale order")</f>
        <v>15</v>
      </c>
      <c r="E19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97" s="7">
        <f>SUMIFS(Tableau4[Montant imputé],Tableau4[Matricule cabinet],Tableau5[[#This Row],[Matricule cabinet]],Tableau4[Type d''imputation],"leave")</f>
        <v>5</v>
      </c>
      <c r="G197" s="7">
        <f>SUMIFS(Tableau4[Montant imputé],Tableau4[Matricule cabinet],Tableau5[[#This Row],[Matricule cabinet]],Tableau4[Type d''imputation],"absence")</f>
        <v>0</v>
      </c>
      <c r="H197" s="7">
        <f>SUM(Tableau5[[#This Row],[B WK]:[Unpaid leave WK]])</f>
        <v>20</v>
      </c>
    </row>
    <row r="198" spans="1:8">
      <c r="A198" s="7" t="s">
        <v>1197</v>
      </c>
      <c r="B198" s="7" t="s">
        <v>1198</v>
      </c>
      <c r="C198" s="7" t="s">
        <v>38</v>
      </c>
      <c r="D198" s="7">
        <f>SUMIFS(Tableau4[Montant imputé],Tableau4[Matricule cabinet],Tableau5[[#This Row],[Matricule cabinet]],Tableau4[Type d''imputation],"sale order")</f>
        <v>20</v>
      </c>
      <c r="E19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198" s="7">
        <f>SUMIFS(Tableau4[Montant imputé],Tableau4[Matricule cabinet],Tableau5[[#This Row],[Matricule cabinet]],Tableau4[Type d''imputation],"leave")</f>
        <v>0</v>
      </c>
      <c r="G198" s="7">
        <f>SUMIFS(Tableau4[Montant imputé],Tableau4[Matricule cabinet],Tableau5[[#This Row],[Matricule cabinet]],Tableau4[Type d''imputation],"absence")</f>
        <v>0</v>
      </c>
      <c r="H198" s="7">
        <f>SUM(Tableau5[[#This Row],[B WK]:[Unpaid leave WK]])</f>
        <v>20</v>
      </c>
    </row>
    <row r="199" spans="1:8">
      <c r="A199" s="7" t="s">
        <v>682</v>
      </c>
      <c r="B199" s="7" t="s">
        <v>683</v>
      </c>
      <c r="C199" s="7" t="s">
        <v>72</v>
      </c>
      <c r="D199" s="7">
        <f>SUMIFS(Tableau4[Montant imputé],Tableau4[Matricule cabinet],Tableau5[[#This Row],[Matricule cabinet]],Tableau4[Type d''imputation],"sale order")</f>
        <v>17</v>
      </c>
      <c r="E19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199" s="7">
        <f>SUMIFS(Tableau4[Montant imputé],Tableau4[Matricule cabinet],Tableau5[[#This Row],[Matricule cabinet]],Tableau4[Type d''imputation],"leave")</f>
        <v>1</v>
      </c>
      <c r="G199" s="7">
        <f>SUMIFS(Tableau4[Montant imputé],Tableau4[Matricule cabinet],Tableau5[[#This Row],[Matricule cabinet]],Tableau4[Type d''imputation],"absence")</f>
        <v>0</v>
      </c>
      <c r="H199" s="7">
        <f>SUM(Tableau5[[#This Row],[B WK]:[Unpaid leave WK]])</f>
        <v>20</v>
      </c>
    </row>
    <row r="200" spans="1:8">
      <c r="A200" s="7" t="s">
        <v>926</v>
      </c>
      <c r="B200" s="7" t="s">
        <v>927</v>
      </c>
      <c r="C200" s="7" t="s">
        <v>87</v>
      </c>
      <c r="D200" s="7">
        <f>SUMIFS(Tableau4[Montant imputé],Tableau4[Matricule cabinet],Tableau5[[#This Row],[Matricule cabinet]],Tableau4[Type d''imputation],"sale order")</f>
        <v>17</v>
      </c>
      <c r="E20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00" s="7">
        <f>SUMIFS(Tableau4[Montant imputé],Tableau4[Matricule cabinet],Tableau5[[#This Row],[Matricule cabinet]],Tableau4[Type d''imputation],"leave")</f>
        <v>3</v>
      </c>
      <c r="G200" s="7">
        <f>SUMIFS(Tableau4[Montant imputé],Tableau4[Matricule cabinet],Tableau5[[#This Row],[Matricule cabinet]],Tableau4[Type d''imputation],"absence")</f>
        <v>0</v>
      </c>
      <c r="H200" s="7">
        <f>SUM(Tableau5[[#This Row],[B WK]:[Unpaid leave WK]])</f>
        <v>20</v>
      </c>
    </row>
    <row r="201" spans="1:8">
      <c r="A201" s="7" t="s">
        <v>1437</v>
      </c>
      <c r="B201" s="7" t="s">
        <v>1438</v>
      </c>
      <c r="C201" s="7" t="s">
        <v>23</v>
      </c>
      <c r="D201" s="7">
        <f>SUMIFS(Tableau4[Montant imputé],Tableau4[Matricule cabinet],Tableau5[[#This Row],[Matricule cabinet]],Tableau4[Type d''imputation],"sale order")</f>
        <v>20</v>
      </c>
      <c r="E20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01" s="7">
        <f>SUMIFS(Tableau4[Montant imputé],Tableau4[Matricule cabinet],Tableau5[[#This Row],[Matricule cabinet]],Tableau4[Type d''imputation],"leave")</f>
        <v>0</v>
      </c>
      <c r="G201" s="7">
        <f>SUMIFS(Tableau4[Montant imputé],Tableau4[Matricule cabinet],Tableau5[[#This Row],[Matricule cabinet]],Tableau4[Type d''imputation],"absence")</f>
        <v>0</v>
      </c>
      <c r="H201" s="7">
        <f>SUM(Tableau5[[#This Row],[B WK]:[Unpaid leave WK]])</f>
        <v>20</v>
      </c>
    </row>
    <row r="202" spans="1:8">
      <c r="A202" s="7" t="s">
        <v>282</v>
      </c>
      <c r="B202" s="7" t="s">
        <v>283</v>
      </c>
      <c r="C202" s="7" t="s">
        <v>3</v>
      </c>
      <c r="D202" s="7">
        <f>SUMIFS(Tableau4[Montant imputé],Tableau4[Matricule cabinet],Tableau5[[#This Row],[Matricule cabinet]],Tableau4[Type d''imputation],"sale order")</f>
        <v>16</v>
      </c>
      <c r="E20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202" s="7">
        <f>SUMIFS(Tableau4[Montant imputé],Tableau4[Matricule cabinet],Tableau5[[#This Row],[Matricule cabinet]],Tableau4[Type d''imputation],"leave")</f>
        <v>0</v>
      </c>
      <c r="G202" s="7">
        <f>SUMIFS(Tableau4[Montant imputé],Tableau4[Matricule cabinet],Tableau5[[#This Row],[Matricule cabinet]],Tableau4[Type d''imputation],"absence")</f>
        <v>0</v>
      </c>
      <c r="H202" s="7">
        <f>SUM(Tableau5[[#This Row],[B WK]:[Unpaid leave WK]])</f>
        <v>20</v>
      </c>
    </row>
    <row r="203" spans="1:8">
      <c r="A203" s="7" t="s">
        <v>942</v>
      </c>
      <c r="B203" s="7" t="s">
        <v>943</v>
      </c>
      <c r="C203" s="7" t="s">
        <v>45</v>
      </c>
      <c r="D203" s="7">
        <f>SUMIFS(Tableau4[Montant imputé],Tableau4[Matricule cabinet],Tableau5[[#This Row],[Matricule cabinet]],Tableau4[Type d''imputation],"sale order")</f>
        <v>0</v>
      </c>
      <c r="E20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18</v>
      </c>
      <c r="F203" s="7">
        <f>SUMIFS(Tableau4[Montant imputé],Tableau4[Matricule cabinet],Tableau5[[#This Row],[Matricule cabinet]],Tableau4[Type d''imputation],"leave")</f>
        <v>2</v>
      </c>
      <c r="G203" s="7">
        <f>SUMIFS(Tableau4[Montant imputé],Tableau4[Matricule cabinet],Tableau5[[#This Row],[Matricule cabinet]],Tableau4[Type d''imputation],"absence")</f>
        <v>0</v>
      </c>
      <c r="H203" s="7">
        <f>SUM(Tableau5[[#This Row],[B WK]:[Unpaid leave WK]])</f>
        <v>20</v>
      </c>
    </row>
    <row r="204" spans="1:8">
      <c r="A204" s="7" t="s">
        <v>1161</v>
      </c>
      <c r="B204" s="7" t="s">
        <v>1162</v>
      </c>
      <c r="C204" s="7" t="s">
        <v>36</v>
      </c>
      <c r="D204" s="7">
        <f>SUMIFS(Tableau4[Montant imputé],Tableau4[Matricule cabinet],Tableau5[[#This Row],[Matricule cabinet]],Tableau4[Type d''imputation],"sale order")</f>
        <v>15.5</v>
      </c>
      <c r="E20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204" s="7">
        <f>SUMIFS(Tableau4[Montant imputé],Tableau4[Matricule cabinet],Tableau5[[#This Row],[Matricule cabinet]],Tableau4[Type d''imputation],"leave")</f>
        <v>4</v>
      </c>
      <c r="G204" s="7">
        <f>SUMIFS(Tableau4[Montant imputé],Tableau4[Matricule cabinet],Tableau5[[#This Row],[Matricule cabinet]],Tableau4[Type d''imputation],"absence")</f>
        <v>0</v>
      </c>
      <c r="H204" s="7">
        <f>SUM(Tableau5[[#This Row],[B WK]:[Unpaid leave WK]])</f>
        <v>20</v>
      </c>
    </row>
    <row r="205" spans="1:8">
      <c r="A205" s="7" t="s">
        <v>708</v>
      </c>
      <c r="B205" s="7" t="s">
        <v>709</v>
      </c>
      <c r="C205" s="7" t="s">
        <v>75</v>
      </c>
      <c r="D205" s="7">
        <f>SUMIFS(Tableau4[Montant imputé],Tableau4[Matricule cabinet],Tableau5[[#This Row],[Matricule cabinet]],Tableau4[Type d''imputation],"sale order")</f>
        <v>0</v>
      </c>
      <c r="E20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05" s="7">
        <f>SUMIFS(Tableau4[Montant imputé],Tableau4[Matricule cabinet],Tableau5[[#This Row],[Matricule cabinet]],Tableau4[Type d''imputation],"leave")</f>
        <v>0</v>
      </c>
      <c r="G205" s="7">
        <f>SUMIFS(Tableau4[Montant imputé],Tableau4[Matricule cabinet],Tableau5[[#This Row],[Matricule cabinet]],Tableau4[Type d''imputation],"absence")</f>
        <v>0</v>
      </c>
      <c r="H205" s="7">
        <f>SUM(Tableau5[[#This Row],[B WK]:[Unpaid leave WK]])</f>
        <v>20</v>
      </c>
    </row>
    <row r="206" spans="1:8">
      <c r="A206" s="7" t="s">
        <v>1229</v>
      </c>
      <c r="B206" s="7" t="s">
        <v>1230</v>
      </c>
      <c r="C206" s="7" t="s">
        <v>874</v>
      </c>
      <c r="D206" s="7">
        <f>SUMIFS(Tableau4[Montant imputé],Tableau4[Matricule cabinet],Tableau5[[#This Row],[Matricule cabinet]],Tableau4[Type d''imputation],"sale order")</f>
        <v>0</v>
      </c>
      <c r="E20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15</v>
      </c>
      <c r="F206" s="7">
        <f>SUMIFS(Tableau4[Montant imputé],Tableau4[Matricule cabinet],Tableau5[[#This Row],[Matricule cabinet]],Tableau4[Type d''imputation],"leave")</f>
        <v>0</v>
      </c>
      <c r="G206" s="7">
        <f>SUMIFS(Tableau4[Montant imputé],Tableau4[Matricule cabinet],Tableau5[[#This Row],[Matricule cabinet]],Tableau4[Type d''imputation],"absence")</f>
        <v>5</v>
      </c>
      <c r="H206" s="7">
        <f>SUM(Tableau5[[#This Row],[B WK]:[Unpaid leave WK]])</f>
        <v>20</v>
      </c>
    </row>
    <row r="207" spans="1:8">
      <c r="A207" s="7" t="s">
        <v>199</v>
      </c>
      <c r="B207" s="7" t="s">
        <v>200</v>
      </c>
      <c r="C207" s="7" t="s">
        <v>11</v>
      </c>
      <c r="D207" s="7">
        <f>SUMIFS(Tableau4[Montant imputé],Tableau4[Matricule cabinet],Tableau5[[#This Row],[Matricule cabinet]],Tableau4[Type d''imputation],"sale order")</f>
        <v>19</v>
      </c>
      <c r="E20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07" s="7">
        <f>SUMIFS(Tableau4[Montant imputé],Tableau4[Matricule cabinet],Tableau5[[#This Row],[Matricule cabinet]],Tableau4[Type d''imputation],"leave")</f>
        <v>1</v>
      </c>
      <c r="G207" s="7">
        <f>SUMIFS(Tableau4[Montant imputé],Tableau4[Matricule cabinet],Tableau5[[#This Row],[Matricule cabinet]],Tableau4[Type d''imputation],"absence")</f>
        <v>0</v>
      </c>
      <c r="H207" s="7">
        <f>SUM(Tableau5[[#This Row],[B WK]:[Unpaid leave WK]])</f>
        <v>20</v>
      </c>
    </row>
    <row r="208" spans="1:8">
      <c r="A208" s="7" t="s">
        <v>1135</v>
      </c>
      <c r="B208" s="7" t="s">
        <v>70</v>
      </c>
      <c r="C208" s="7" t="s">
        <v>543</v>
      </c>
      <c r="D208" s="7">
        <f>SUMIFS(Tableau4[Montant imputé],Tableau4[Matricule cabinet],Tableau5[[#This Row],[Matricule cabinet]],Tableau4[Type d''imputation],"sale order")</f>
        <v>16.5</v>
      </c>
      <c r="E20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2.5</v>
      </c>
      <c r="F208" s="7">
        <f>SUMIFS(Tableau4[Montant imputé],Tableau4[Matricule cabinet],Tableau5[[#This Row],[Matricule cabinet]],Tableau4[Type d''imputation],"leave")</f>
        <v>1</v>
      </c>
      <c r="G208" s="7">
        <f>SUMIFS(Tableau4[Montant imputé],Tableau4[Matricule cabinet],Tableau5[[#This Row],[Matricule cabinet]],Tableau4[Type d''imputation],"absence")</f>
        <v>0</v>
      </c>
      <c r="H208" s="7">
        <f>SUM(Tableau5[[#This Row],[B WK]:[Unpaid leave WK]])</f>
        <v>20</v>
      </c>
    </row>
    <row r="209" spans="1:8">
      <c r="A209" s="7" t="s">
        <v>831</v>
      </c>
      <c r="B209" s="7" t="s">
        <v>832</v>
      </c>
      <c r="C209" s="7" t="s">
        <v>12</v>
      </c>
      <c r="D209" s="7">
        <f>SUMIFS(Tableau4[Montant imputé],Tableau4[Matricule cabinet],Tableau5[[#This Row],[Matricule cabinet]],Tableau4[Type d''imputation],"sale order")</f>
        <v>20</v>
      </c>
      <c r="E20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09" s="7">
        <f>SUMIFS(Tableau4[Montant imputé],Tableau4[Matricule cabinet],Tableau5[[#This Row],[Matricule cabinet]],Tableau4[Type d''imputation],"leave")</f>
        <v>0</v>
      </c>
      <c r="G209" s="7">
        <f>SUMIFS(Tableau4[Montant imputé],Tableau4[Matricule cabinet],Tableau5[[#This Row],[Matricule cabinet]],Tableau4[Type d''imputation],"absence")</f>
        <v>0</v>
      </c>
      <c r="H209" s="7">
        <f>SUM(Tableau5[[#This Row],[B WK]:[Unpaid leave WK]])</f>
        <v>20</v>
      </c>
    </row>
    <row r="210" spans="1:8">
      <c r="A210" s="7" t="s">
        <v>918</v>
      </c>
      <c r="B210" s="7" t="s">
        <v>919</v>
      </c>
      <c r="C210" s="7" t="s">
        <v>66</v>
      </c>
      <c r="D210" s="7">
        <f>SUMIFS(Tableau4[Montant imputé],Tableau4[Matricule cabinet],Tableau5[[#This Row],[Matricule cabinet]],Tableau4[Type d''imputation],"sale order")</f>
        <v>20</v>
      </c>
      <c r="E21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10" s="7">
        <f>SUMIFS(Tableau4[Montant imputé],Tableau4[Matricule cabinet],Tableau5[[#This Row],[Matricule cabinet]],Tableau4[Type d''imputation],"leave")</f>
        <v>0</v>
      </c>
      <c r="G210" s="7">
        <f>SUMIFS(Tableau4[Montant imputé],Tableau4[Matricule cabinet],Tableau5[[#This Row],[Matricule cabinet]],Tableau4[Type d''imputation],"absence")</f>
        <v>0</v>
      </c>
      <c r="H210" s="7">
        <f>SUM(Tableau5[[#This Row],[B WK]:[Unpaid leave WK]])</f>
        <v>20</v>
      </c>
    </row>
    <row r="211" spans="1:8">
      <c r="A211" s="7" t="s">
        <v>684</v>
      </c>
      <c r="B211" s="7" t="s">
        <v>685</v>
      </c>
      <c r="C211" s="7" t="s">
        <v>72</v>
      </c>
      <c r="D211" s="7">
        <f>SUMIFS(Tableau4[Montant imputé],Tableau4[Matricule cabinet],Tableau5[[#This Row],[Matricule cabinet]],Tableau4[Type d''imputation],"sale order")</f>
        <v>0</v>
      </c>
      <c r="E21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11" s="7">
        <f>SUMIFS(Tableau4[Montant imputé],Tableau4[Matricule cabinet],Tableau5[[#This Row],[Matricule cabinet]],Tableau4[Type d''imputation],"leave")</f>
        <v>0</v>
      </c>
      <c r="G211" s="7">
        <f>SUMIFS(Tableau4[Montant imputé],Tableau4[Matricule cabinet],Tableau5[[#This Row],[Matricule cabinet]],Tableau4[Type d''imputation],"absence")</f>
        <v>0</v>
      </c>
      <c r="H211" s="7">
        <f>SUM(Tableau5[[#This Row],[B WK]:[Unpaid leave WK]])</f>
        <v>20</v>
      </c>
    </row>
    <row r="212" spans="1:8">
      <c r="A212" s="7" t="s">
        <v>413</v>
      </c>
      <c r="B212" s="7" t="s">
        <v>414</v>
      </c>
      <c r="C212" s="7" t="s">
        <v>21</v>
      </c>
      <c r="D212" s="7">
        <f>SUMIFS(Tableau4[Montant imputé],Tableau4[Matricule cabinet],Tableau5[[#This Row],[Matricule cabinet]],Tableau4[Type d''imputation],"sale order")</f>
        <v>19</v>
      </c>
      <c r="E21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12" s="7">
        <f>SUMIFS(Tableau4[Montant imputé],Tableau4[Matricule cabinet],Tableau5[[#This Row],[Matricule cabinet]],Tableau4[Type d''imputation],"leave")</f>
        <v>1</v>
      </c>
      <c r="G212" s="7">
        <f>SUMIFS(Tableau4[Montant imputé],Tableau4[Matricule cabinet],Tableau5[[#This Row],[Matricule cabinet]],Tableau4[Type d''imputation],"absence")</f>
        <v>0</v>
      </c>
      <c r="H212" s="7">
        <f>SUM(Tableau5[[#This Row],[B WK]:[Unpaid leave WK]])</f>
        <v>20</v>
      </c>
    </row>
    <row r="213" spans="1:8">
      <c r="A213" s="7" t="s">
        <v>598</v>
      </c>
      <c r="B213" s="7" t="s">
        <v>599</v>
      </c>
      <c r="C213" s="7" t="s">
        <v>76</v>
      </c>
      <c r="D213" s="7">
        <f>SUMIFS(Tableau4[Montant imputé],Tableau4[Matricule cabinet],Tableau5[[#This Row],[Matricule cabinet]],Tableau4[Type d''imputation],"sale order")</f>
        <v>15</v>
      </c>
      <c r="E21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213" s="7">
        <f>SUMIFS(Tableau4[Montant imputé],Tableau4[Matricule cabinet],Tableau5[[#This Row],[Matricule cabinet]],Tableau4[Type d''imputation],"leave")</f>
        <v>1</v>
      </c>
      <c r="G213" s="7">
        <f>SUMIFS(Tableau4[Montant imputé],Tableau4[Matricule cabinet],Tableau5[[#This Row],[Matricule cabinet]],Tableau4[Type d''imputation],"absence")</f>
        <v>0</v>
      </c>
      <c r="H213" s="7">
        <f>SUM(Tableau5[[#This Row],[B WK]:[Unpaid leave WK]])</f>
        <v>20</v>
      </c>
    </row>
    <row r="214" spans="1:8">
      <c r="A214" s="7" t="s">
        <v>600</v>
      </c>
      <c r="B214" s="7" t="s">
        <v>601</v>
      </c>
      <c r="C214" s="7" t="s">
        <v>76</v>
      </c>
      <c r="D214" s="7">
        <f>SUMIFS(Tableau4[Montant imputé],Tableau4[Matricule cabinet],Tableau5[[#This Row],[Matricule cabinet]],Tableau4[Type d''imputation],"sale order")</f>
        <v>10</v>
      </c>
      <c r="E21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</v>
      </c>
      <c r="F214" s="7">
        <f>SUMIFS(Tableau4[Montant imputé],Tableau4[Matricule cabinet],Tableau5[[#This Row],[Matricule cabinet]],Tableau4[Type d''imputation],"leave")</f>
        <v>4</v>
      </c>
      <c r="G214" s="7">
        <f>SUMIFS(Tableau4[Montant imputé],Tableau4[Matricule cabinet],Tableau5[[#This Row],[Matricule cabinet]],Tableau4[Type d''imputation],"absence")</f>
        <v>0</v>
      </c>
      <c r="H214" s="7">
        <f>SUM(Tableau5[[#This Row],[B WK]:[Unpaid leave WK]])</f>
        <v>20</v>
      </c>
    </row>
    <row r="215" spans="1:8">
      <c r="A215" s="7" t="s">
        <v>505</v>
      </c>
      <c r="B215" s="7" t="s">
        <v>506</v>
      </c>
      <c r="C215" s="7" t="s">
        <v>4</v>
      </c>
      <c r="D215" s="7">
        <f>SUMIFS(Tableau4[Montant imputé],Tableau4[Matricule cabinet],Tableau5[[#This Row],[Matricule cabinet]],Tableau4[Type d''imputation],"sale order")</f>
        <v>20</v>
      </c>
      <c r="E21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15" s="7">
        <f>SUMIFS(Tableau4[Montant imputé],Tableau4[Matricule cabinet],Tableau5[[#This Row],[Matricule cabinet]],Tableau4[Type d''imputation],"leave")</f>
        <v>0</v>
      </c>
      <c r="G215" s="7">
        <f>SUMIFS(Tableau4[Montant imputé],Tableau4[Matricule cabinet],Tableau5[[#This Row],[Matricule cabinet]],Tableau4[Type d''imputation],"absence")</f>
        <v>0</v>
      </c>
      <c r="H215" s="7">
        <f>SUM(Tableau5[[#This Row],[B WK]:[Unpaid leave WK]])</f>
        <v>20</v>
      </c>
    </row>
    <row r="216" spans="1:8">
      <c r="A216" s="7" t="s">
        <v>474</v>
      </c>
      <c r="B216" s="7" t="s">
        <v>475</v>
      </c>
      <c r="C216" s="7" t="s">
        <v>50</v>
      </c>
      <c r="D216" s="7">
        <f>SUMIFS(Tableau4[Montant imputé],Tableau4[Matricule cabinet],Tableau5[[#This Row],[Matricule cabinet]],Tableau4[Type d''imputation],"sale order")</f>
        <v>19.5</v>
      </c>
      <c r="E21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216" s="7">
        <f>SUMIFS(Tableau4[Montant imputé],Tableau4[Matricule cabinet],Tableau5[[#This Row],[Matricule cabinet]],Tableau4[Type d''imputation],"leave")</f>
        <v>0</v>
      </c>
      <c r="G216" s="7">
        <f>SUMIFS(Tableau4[Montant imputé],Tableau4[Matricule cabinet],Tableau5[[#This Row],[Matricule cabinet]],Tableau4[Type d''imputation],"absence")</f>
        <v>0</v>
      </c>
      <c r="H216" s="7">
        <f>SUM(Tableau5[[#This Row],[B WK]:[Unpaid leave WK]])</f>
        <v>20</v>
      </c>
    </row>
    <row r="217" spans="1:8">
      <c r="A217" s="7" t="s">
        <v>284</v>
      </c>
      <c r="B217" s="7" t="s">
        <v>43</v>
      </c>
      <c r="C217" s="7" t="s">
        <v>63</v>
      </c>
      <c r="D217" s="7">
        <f>SUMIFS(Tableau4[Montant imputé],Tableau4[Matricule cabinet],Tableau5[[#This Row],[Matricule cabinet]],Tableau4[Type d''imputation],"sale order")</f>
        <v>0</v>
      </c>
      <c r="E21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17" s="7">
        <f>SUMIFS(Tableau4[Montant imputé],Tableau4[Matricule cabinet],Tableau5[[#This Row],[Matricule cabinet]],Tableau4[Type d''imputation],"leave")</f>
        <v>0</v>
      </c>
      <c r="G217" s="7">
        <f>SUMIFS(Tableau4[Montant imputé],Tableau4[Matricule cabinet],Tableau5[[#This Row],[Matricule cabinet]],Tableau4[Type d''imputation],"absence")</f>
        <v>0</v>
      </c>
      <c r="H217" s="7">
        <f>SUM(Tableau5[[#This Row],[B WK]:[Unpaid leave WK]])</f>
        <v>20</v>
      </c>
    </row>
    <row r="218" spans="1:8">
      <c r="A218" s="7" t="s">
        <v>614</v>
      </c>
      <c r="B218" s="7" t="s">
        <v>615</v>
      </c>
      <c r="C218" s="7" t="s">
        <v>46</v>
      </c>
      <c r="D218" s="7">
        <f>SUMIFS(Tableau4[Montant imputé],Tableau4[Matricule cabinet],Tableau5[[#This Row],[Matricule cabinet]],Tableau4[Type d''imputation],"sale order")</f>
        <v>18</v>
      </c>
      <c r="E21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218" s="7">
        <f>SUMIFS(Tableau4[Montant imputé],Tableau4[Matricule cabinet],Tableau5[[#This Row],[Matricule cabinet]],Tableau4[Type d''imputation],"leave")</f>
        <v>0</v>
      </c>
      <c r="G218" s="7">
        <f>SUMIFS(Tableau4[Montant imputé],Tableau4[Matricule cabinet],Tableau5[[#This Row],[Matricule cabinet]],Tableau4[Type d''imputation],"absence")</f>
        <v>0</v>
      </c>
      <c r="H218" s="7">
        <f>SUM(Tableau5[[#This Row],[B WK]:[Unpaid leave WK]])</f>
        <v>20</v>
      </c>
    </row>
    <row r="219" spans="1:8">
      <c r="A219" s="7" t="s">
        <v>1472</v>
      </c>
      <c r="B219" s="7" t="s">
        <v>1473</v>
      </c>
      <c r="C219" s="7" t="s">
        <v>63</v>
      </c>
      <c r="D219" s="7">
        <f>SUMIFS(Tableau4[Montant imputé],Tableau4[Matricule cabinet],Tableau5[[#This Row],[Matricule cabinet]],Tableau4[Type d''imputation],"sale order")</f>
        <v>16</v>
      </c>
      <c r="E21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219" s="7">
        <f>SUMIFS(Tableau4[Montant imputé],Tableau4[Matricule cabinet],Tableau5[[#This Row],[Matricule cabinet]],Tableau4[Type d''imputation],"leave")</f>
        <v>0</v>
      </c>
      <c r="G219" s="7">
        <f>SUMIFS(Tableau4[Montant imputé],Tableau4[Matricule cabinet],Tableau5[[#This Row],[Matricule cabinet]],Tableau4[Type d''imputation],"absence")</f>
        <v>0</v>
      </c>
      <c r="H219" s="7">
        <f>SUM(Tableau5[[#This Row],[B WK]:[Unpaid leave WK]])</f>
        <v>20</v>
      </c>
    </row>
    <row r="220" spans="1:8">
      <c r="A220" s="7" t="s">
        <v>285</v>
      </c>
      <c r="B220" s="7" t="s">
        <v>286</v>
      </c>
      <c r="C220" s="7" t="s">
        <v>3</v>
      </c>
      <c r="D220" s="7">
        <f>SUMIFS(Tableau4[Montant imputé],Tableau4[Matricule cabinet],Tableau5[[#This Row],[Matricule cabinet]],Tableau4[Type d''imputation],"sale order")</f>
        <v>0</v>
      </c>
      <c r="E22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12</v>
      </c>
      <c r="F220" s="7">
        <f>SUMIFS(Tableau4[Montant imputé],Tableau4[Matricule cabinet],Tableau5[[#This Row],[Matricule cabinet]],Tableau4[Type d''imputation],"leave")</f>
        <v>0</v>
      </c>
      <c r="G220" s="7">
        <f>SUMIFS(Tableau4[Montant imputé],Tableau4[Matricule cabinet],Tableau5[[#This Row],[Matricule cabinet]],Tableau4[Type d''imputation],"absence")</f>
        <v>8</v>
      </c>
      <c r="H220" s="7">
        <f>SUM(Tableau5[[#This Row],[B WK]:[Unpaid leave WK]])</f>
        <v>20</v>
      </c>
    </row>
    <row r="221" spans="1:8">
      <c r="A221" s="7" t="s">
        <v>348</v>
      </c>
      <c r="B221" s="7" t="s">
        <v>50</v>
      </c>
      <c r="C221" s="7" t="s">
        <v>61</v>
      </c>
      <c r="D221" s="7">
        <f>SUMIFS(Tableau4[Montant imputé],Tableau4[Matricule cabinet],Tableau5[[#This Row],[Matricule cabinet]],Tableau4[Type d''imputation],"sale order")</f>
        <v>0</v>
      </c>
      <c r="E22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2.5</v>
      </c>
      <c r="F221" s="7">
        <f>SUMIFS(Tableau4[Montant imputé],Tableau4[Matricule cabinet],Tableau5[[#This Row],[Matricule cabinet]],Tableau4[Type d''imputation],"leave")</f>
        <v>17.5</v>
      </c>
      <c r="G221" s="7">
        <f>SUMIFS(Tableau4[Montant imputé],Tableau4[Matricule cabinet],Tableau5[[#This Row],[Matricule cabinet]],Tableau4[Type d''imputation],"absence")</f>
        <v>0</v>
      </c>
      <c r="H221" s="7">
        <f>SUM(Tableau5[[#This Row],[B WK]:[Unpaid leave WK]])</f>
        <v>20</v>
      </c>
    </row>
    <row r="222" spans="1:8">
      <c r="A222" s="7" t="s">
        <v>141</v>
      </c>
      <c r="B222" s="7" t="s">
        <v>33</v>
      </c>
      <c r="C222" s="7" t="s">
        <v>60</v>
      </c>
      <c r="D222" s="7">
        <f>SUMIFS(Tableau4[Montant imputé],Tableau4[Matricule cabinet],Tableau5[[#This Row],[Matricule cabinet]],Tableau4[Type d''imputation],"sale order")</f>
        <v>12</v>
      </c>
      <c r="E22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222" s="7">
        <f>SUMIFS(Tableau4[Montant imputé],Tableau4[Matricule cabinet],Tableau5[[#This Row],[Matricule cabinet]],Tableau4[Type d''imputation],"leave")</f>
        <v>5</v>
      </c>
      <c r="G222" s="7">
        <f>SUMIFS(Tableau4[Montant imputé],Tableau4[Matricule cabinet],Tableau5[[#This Row],[Matricule cabinet]],Tableau4[Type d''imputation],"absence")</f>
        <v>0</v>
      </c>
      <c r="H222" s="7">
        <f>SUM(Tableau5[[#This Row],[B WK]:[Unpaid leave WK]])</f>
        <v>20</v>
      </c>
    </row>
    <row r="223" spans="1:8">
      <c r="A223" s="7" t="s">
        <v>690</v>
      </c>
      <c r="B223" s="7" t="s">
        <v>691</v>
      </c>
      <c r="C223" s="7" t="s">
        <v>46</v>
      </c>
      <c r="D223" s="7">
        <f>SUMIFS(Tableau4[Montant imputé],Tableau4[Matricule cabinet],Tableau5[[#This Row],[Matricule cabinet]],Tableau4[Type d''imputation],"sale order")</f>
        <v>0</v>
      </c>
      <c r="E22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23" s="7">
        <f>SUMIFS(Tableau4[Montant imputé],Tableau4[Matricule cabinet],Tableau5[[#This Row],[Matricule cabinet]],Tableau4[Type d''imputation],"leave")</f>
        <v>0</v>
      </c>
      <c r="G223" s="7">
        <f>SUMIFS(Tableau4[Montant imputé],Tableau4[Matricule cabinet],Tableau5[[#This Row],[Matricule cabinet]],Tableau4[Type d''imputation],"absence")</f>
        <v>0</v>
      </c>
      <c r="H223" s="7">
        <f>SUM(Tableau5[[#This Row],[B WK]:[Unpaid leave WK]])</f>
        <v>20</v>
      </c>
    </row>
    <row r="224" spans="1:8">
      <c r="A224" s="7" t="s">
        <v>142</v>
      </c>
      <c r="B224" s="7" t="s">
        <v>143</v>
      </c>
      <c r="C224" s="7" t="s">
        <v>60</v>
      </c>
      <c r="D224" s="7">
        <f>SUMIFS(Tableau4[Montant imputé],Tableau4[Matricule cabinet],Tableau5[[#This Row],[Matricule cabinet]],Tableau4[Type d''imputation],"sale order")</f>
        <v>0</v>
      </c>
      <c r="E22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24" s="7">
        <f>SUMIFS(Tableau4[Montant imputé],Tableau4[Matricule cabinet],Tableau5[[#This Row],[Matricule cabinet]],Tableau4[Type d''imputation],"leave")</f>
        <v>0</v>
      </c>
      <c r="G224" s="7">
        <f>SUMIFS(Tableau4[Montant imputé],Tableau4[Matricule cabinet],Tableau5[[#This Row],[Matricule cabinet]],Tableau4[Type d''imputation],"absence")</f>
        <v>0</v>
      </c>
      <c r="H224" s="7">
        <f>SUM(Tableau5[[#This Row],[B WK]:[Unpaid leave WK]])</f>
        <v>20</v>
      </c>
    </row>
    <row r="225" spans="1:8">
      <c r="A225" s="7" t="s">
        <v>1466</v>
      </c>
      <c r="B225" s="7" t="s">
        <v>4</v>
      </c>
      <c r="C225" s="7" t="s">
        <v>63</v>
      </c>
      <c r="D225" s="7">
        <f>SUMIFS(Tableau4[Montant imputé],Tableau4[Matricule cabinet],Tableau5[[#This Row],[Matricule cabinet]],Tableau4[Type d''imputation],"sale order")</f>
        <v>0</v>
      </c>
      <c r="E22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25" s="7">
        <f>SUMIFS(Tableau4[Montant imputé],Tableau4[Matricule cabinet],Tableau5[[#This Row],[Matricule cabinet]],Tableau4[Type d''imputation],"leave")</f>
        <v>0</v>
      </c>
      <c r="G225" s="7">
        <f>SUMIFS(Tableau4[Montant imputé],Tableau4[Matricule cabinet],Tableau5[[#This Row],[Matricule cabinet]],Tableau4[Type d''imputation],"absence")</f>
        <v>0</v>
      </c>
      <c r="H225" s="7">
        <f>SUM(Tableau5[[#This Row],[B WK]:[Unpaid leave WK]])</f>
        <v>20</v>
      </c>
    </row>
    <row r="226" spans="1:8">
      <c r="A226" s="7" t="s">
        <v>415</v>
      </c>
      <c r="B226" s="7" t="s">
        <v>416</v>
      </c>
      <c r="C226" s="7" t="s">
        <v>21</v>
      </c>
      <c r="D226" s="7">
        <f>SUMIFS(Tableau4[Montant imputé],Tableau4[Matricule cabinet],Tableau5[[#This Row],[Matricule cabinet]],Tableau4[Type d''imputation],"sale order")</f>
        <v>15</v>
      </c>
      <c r="E22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226" s="7">
        <f>SUMIFS(Tableau4[Montant imputé],Tableau4[Matricule cabinet],Tableau5[[#This Row],[Matricule cabinet]],Tableau4[Type d''imputation],"leave")</f>
        <v>2</v>
      </c>
      <c r="G226" s="7">
        <f>SUMIFS(Tableau4[Montant imputé],Tableau4[Matricule cabinet],Tableau5[[#This Row],[Matricule cabinet]],Tableau4[Type d''imputation],"absence")</f>
        <v>0</v>
      </c>
      <c r="H226" s="7">
        <f>SUM(Tableau5[[#This Row],[B WK]:[Unpaid leave WK]])</f>
        <v>20</v>
      </c>
    </row>
    <row r="227" spans="1:8">
      <c r="A227" s="7" t="s">
        <v>1412</v>
      </c>
      <c r="B227" s="7" t="s">
        <v>1413</v>
      </c>
      <c r="C227" s="7" t="s">
        <v>32</v>
      </c>
      <c r="D227" s="7">
        <f>SUMIFS(Tableau4[Montant imputé],Tableau4[Matricule cabinet],Tableau5[[#This Row],[Matricule cabinet]],Tableau4[Type d''imputation],"sale order")</f>
        <v>19.5</v>
      </c>
      <c r="E22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27" s="7">
        <f>SUMIFS(Tableau4[Montant imputé],Tableau4[Matricule cabinet],Tableau5[[#This Row],[Matricule cabinet]],Tableau4[Type d''imputation],"leave")</f>
        <v>0.5</v>
      </c>
      <c r="G227" s="7">
        <f>SUMIFS(Tableau4[Montant imputé],Tableau4[Matricule cabinet],Tableau5[[#This Row],[Matricule cabinet]],Tableau4[Type d''imputation],"absence")</f>
        <v>0</v>
      </c>
      <c r="H227" s="7">
        <f>SUM(Tableau5[[#This Row],[B WK]:[Unpaid leave WK]])</f>
        <v>20</v>
      </c>
    </row>
    <row r="228" spans="1:8">
      <c r="A228" s="7" t="s">
        <v>1020</v>
      </c>
      <c r="B228" s="7" t="s">
        <v>20</v>
      </c>
      <c r="C228" s="7" t="s">
        <v>54</v>
      </c>
      <c r="D228" s="7">
        <f>SUMIFS(Tableau4[Montant imputé],Tableau4[Matricule cabinet],Tableau5[[#This Row],[Matricule cabinet]],Tableau4[Type d''imputation],"sale order")</f>
        <v>0</v>
      </c>
      <c r="E22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28" s="7">
        <f>SUMIFS(Tableau4[Montant imputé],Tableau4[Matricule cabinet],Tableau5[[#This Row],[Matricule cabinet]],Tableau4[Type d''imputation],"leave")</f>
        <v>0</v>
      </c>
      <c r="G228" s="7">
        <f>SUMIFS(Tableau4[Montant imputé],Tableau4[Matricule cabinet],Tableau5[[#This Row],[Matricule cabinet]],Tableau4[Type d''imputation],"absence")</f>
        <v>0</v>
      </c>
      <c r="H228" s="7">
        <f>SUM(Tableau5[[#This Row],[B WK]:[Unpaid leave WK]])</f>
        <v>20</v>
      </c>
    </row>
    <row r="229" spans="1:8">
      <c r="A229" s="7" t="s">
        <v>1269</v>
      </c>
      <c r="B229" s="7" t="s">
        <v>6</v>
      </c>
      <c r="C229" s="7" t="s">
        <v>88</v>
      </c>
      <c r="D229" s="7">
        <f>SUMIFS(Tableau4[Montant imputé],Tableau4[Matricule cabinet],Tableau5[[#This Row],[Matricule cabinet]],Tableau4[Type d''imputation],"sale order")</f>
        <v>0</v>
      </c>
      <c r="E22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29" s="7">
        <f>SUMIFS(Tableau4[Montant imputé],Tableau4[Matricule cabinet],Tableau5[[#This Row],[Matricule cabinet]],Tableau4[Type d''imputation],"leave")</f>
        <v>0</v>
      </c>
      <c r="G229" s="7">
        <f>SUMIFS(Tableau4[Montant imputé],Tableau4[Matricule cabinet],Tableau5[[#This Row],[Matricule cabinet]],Tableau4[Type d''imputation],"absence")</f>
        <v>0</v>
      </c>
      <c r="H229" s="7">
        <f>SUM(Tableau5[[#This Row],[B WK]:[Unpaid leave WK]])</f>
        <v>20</v>
      </c>
    </row>
    <row r="230" spans="1:8">
      <c r="A230" s="7" t="s">
        <v>740</v>
      </c>
      <c r="B230" s="7" t="s">
        <v>741</v>
      </c>
      <c r="C230" s="7" t="s">
        <v>91</v>
      </c>
      <c r="D230" s="7">
        <f>SUMIFS(Tableau4[Montant imputé],Tableau4[Matricule cabinet],Tableau5[[#This Row],[Matricule cabinet]],Tableau4[Type d''imputation],"sale order")</f>
        <v>15.5</v>
      </c>
      <c r="E23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30" s="7">
        <f>SUMIFS(Tableau4[Montant imputé],Tableau4[Matricule cabinet],Tableau5[[#This Row],[Matricule cabinet]],Tableau4[Type d''imputation],"leave")</f>
        <v>4.5</v>
      </c>
      <c r="G230" s="7">
        <f>SUMIFS(Tableau4[Montant imputé],Tableau4[Matricule cabinet],Tableau5[[#This Row],[Matricule cabinet]],Tableau4[Type d''imputation],"absence")</f>
        <v>0</v>
      </c>
      <c r="H230" s="7">
        <f>SUM(Tableau5[[#This Row],[B WK]:[Unpaid leave WK]])</f>
        <v>20</v>
      </c>
    </row>
    <row r="231" spans="1:8">
      <c r="A231" s="7" t="s">
        <v>349</v>
      </c>
      <c r="B231" s="7" t="s">
        <v>350</v>
      </c>
      <c r="C231" s="7" t="s">
        <v>61</v>
      </c>
      <c r="D231" s="7">
        <f>SUMIFS(Tableau4[Montant imputé],Tableau4[Matricule cabinet],Tableau5[[#This Row],[Matricule cabinet]],Tableau4[Type d''imputation],"sale order")</f>
        <v>1</v>
      </c>
      <c r="E23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231" s="7">
        <f>SUMIFS(Tableau4[Montant imputé],Tableau4[Matricule cabinet],Tableau5[[#This Row],[Matricule cabinet]],Tableau4[Type d''imputation],"leave")</f>
        <v>0</v>
      </c>
      <c r="G231" s="7">
        <f>SUMIFS(Tableau4[Montant imputé],Tableau4[Matricule cabinet],Tableau5[[#This Row],[Matricule cabinet]],Tableau4[Type d''imputation],"absence")</f>
        <v>0</v>
      </c>
      <c r="H231" s="7">
        <f>SUM(Tableau5[[#This Row],[B WK]:[Unpaid leave WK]])</f>
        <v>20</v>
      </c>
    </row>
    <row r="232" spans="1:8">
      <c r="A232" s="7" t="s">
        <v>1187</v>
      </c>
      <c r="B232" s="7" t="s">
        <v>1188</v>
      </c>
      <c r="C232" s="7" t="s">
        <v>41</v>
      </c>
      <c r="D232" s="7">
        <f>SUMIFS(Tableau4[Montant imputé],Tableau4[Matricule cabinet],Tableau5[[#This Row],[Matricule cabinet]],Tableau4[Type d''imputation],"sale order")</f>
        <v>19.5</v>
      </c>
      <c r="E23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232" s="7">
        <f>SUMIFS(Tableau4[Montant imputé],Tableau4[Matricule cabinet],Tableau5[[#This Row],[Matricule cabinet]],Tableau4[Type d''imputation],"leave")</f>
        <v>0</v>
      </c>
      <c r="G232" s="7">
        <f>SUMIFS(Tableau4[Montant imputé],Tableau4[Matricule cabinet],Tableau5[[#This Row],[Matricule cabinet]],Tableau4[Type d''imputation],"absence")</f>
        <v>0</v>
      </c>
      <c r="H232" s="7">
        <f>SUM(Tableau5[[#This Row],[B WK]:[Unpaid leave WK]])</f>
        <v>20</v>
      </c>
    </row>
    <row r="233" spans="1:8">
      <c r="A233" s="7" t="s">
        <v>529</v>
      </c>
      <c r="B233" s="7" t="s">
        <v>30</v>
      </c>
      <c r="C233" s="7" t="s">
        <v>6</v>
      </c>
      <c r="D233" s="7">
        <f>SUMIFS(Tableau4[Montant imputé],Tableau4[Matricule cabinet],Tableau5[[#This Row],[Matricule cabinet]],Tableau4[Type d''imputation],"sale order")</f>
        <v>0</v>
      </c>
      <c r="E23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33" s="7">
        <f>SUMIFS(Tableau4[Montant imputé],Tableau4[Matricule cabinet],Tableau5[[#This Row],[Matricule cabinet]],Tableau4[Type d''imputation],"leave")</f>
        <v>0</v>
      </c>
      <c r="G233" s="7">
        <f>SUMIFS(Tableau4[Montant imputé],Tableau4[Matricule cabinet],Tableau5[[#This Row],[Matricule cabinet]],Tableau4[Type d''imputation],"absence")</f>
        <v>0</v>
      </c>
      <c r="H233" s="7">
        <f>SUM(Tableau5[[#This Row],[B WK]:[Unpaid leave WK]])</f>
        <v>20</v>
      </c>
    </row>
    <row r="234" spans="1:8">
      <c r="A234" s="7" t="s">
        <v>221</v>
      </c>
      <c r="B234" s="7" t="s">
        <v>222</v>
      </c>
      <c r="C234" s="7" t="s">
        <v>52</v>
      </c>
      <c r="D234" s="7">
        <f>SUMIFS(Tableau4[Montant imputé],Tableau4[Matricule cabinet],Tableau5[[#This Row],[Matricule cabinet]],Tableau4[Type d''imputation],"sale order")</f>
        <v>0</v>
      </c>
      <c r="E23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34" s="7">
        <f>SUMIFS(Tableau4[Montant imputé],Tableau4[Matricule cabinet],Tableau5[[#This Row],[Matricule cabinet]],Tableau4[Type d''imputation],"leave")</f>
        <v>0</v>
      </c>
      <c r="G234" s="7">
        <f>SUMIFS(Tableau4[Montant imputé],Tableau4[Matricule cabinet],Tableau5[[#This Row],[Matricule cabinet]],Tableau4[Type d''imputation],"absence")</f>
        <v>0</v>
      </c>
      <c r="H234" s="7">
        <f>SUM(Tableau5[[#This Row],[B WK]:[Unpaid leave WK]])</f>
        <v>20</v>
      </c>
    </row>
    <row r="235" spans="1:8">
      <c r="A235" s="7" t="s">
        <v>417</v>
      </c>
      <c r="B235" s="7" t="s">
        <v>418</v>
      </c>
      <c r="C235" s="7" t="s">
        <v>21</v>
      </c>
      <c r="D235" s="7">
        <f>SUMIFS(Tableau4[Montant imputé],Tableau4[Matricule cabinet],Tableau5[[#This Row],[Matricule cabinet]],Tableau4[Type d''imputation],"sale order")</f>
        <v>0</v>
      </c>
      <c r="E23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35" s="7">
        <f>SUMIFS(Tableau4[Montant imputé],Tableau4[Matricule cabinet],Tableau5[[#This Row],[Matricule cabinet]],Tableau4[Type d''imputation],"leave")</f>
        <v>0</v>
      </c>
      <c r="G235" s="7">
        <f>SUMIFS(Tableau4[Montant imputé],Tableau4[Matricule cabinet],Tableau5[[#This Row],[Matricule cabinet]],Tableau4[Type d''imputation],"absence")</f>
        <v>0</v>
      </c>
      <c r="H235" s="7">
        <f>SUM(Tableau5[[#This Row],[B WK]:[Unpaid leave WK]])</f>
        <v>20</v>
      </c>
    </row>
    <row r="236" spans="1:8">
      <c r="A236" s="7" t="s">
        <v>150</v>
      </c>
      <c r="B236" s="7" t="s">
        <v>151</v>
      </c>
      <c r="C236" s="7" t="s">
        <v>2</v>
      </c>
      <c r="D236" s="7">
        <f>SUMIFS(Tableau4[Montant imputé],Tableau4[Matricule cabinet],Tableau5[[#This Row],[Matricule cabinet]],Tableau4[Type d''imputation],"sale order")</f>
        <v>20</v>
      </c>
      <c r="E23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36" s="7">
        <f>SUMIFS(Tableau4[Montant imputé],Tableau4[Matricule cabinet],Tableau5[[#This Row],[Matricule cabinet]],Tableau4[Type d''imputation],"leave")</f>
        <v>0</v>
      </c>
      <c r="G236" s="7">
        <f>SUMIFS(Tableau4[Montant imputé],Tableau4[Matricule cabinet],Tableau5[[#This Row],[Matricule cabinet]],Tableau4[Type d''imputation],"absence")</f>
        <v>0</v>
      </c>
      <c r="H236" s="7">
        <f>SUM(Tableau5[[#This Row],[B WK]:[Unpaid leave WK]])</f>
        <v>20</v>
      </c>
    </row>
    <row r="237" spans="1:8">
      <c r="A237" s="7" t="s">
        <v>1303</v>
      </c>
      <c r="B237" s="7" t="s">
        <v>1304</v>
      </c>
      <c r="C237" s="7" t="s">
        <v>41</v>
      </c>
      <c r="D237" s="7">
        <f>SUMIFS(Tableau4[Montant imputé],Tableau4[Matricule cabinet],Tableau5[[#This Row],[Matricule cabinet]],Tableau4[Type d''imputation],"sale order")</f>
        <v>20</v>
      </c>
      <c r="E23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37" s="7">
        <f>SUMIFS(Tableau4[Montant imputé],Tableau4[Matricule cabinet],Tableau5[[#This Row],[Matricule cabinet]],Tableau4[Type d''imputation],"leave")</f>
        <v>0</v>
      </c>
      <c r="G237" s="7">
        <f>SUMIFS(Tableau4[Montant imputé],Tableau4[Matricule cabinet],Tableau5[[#This Row],[Matricule cabinet]],Tableau4[Type d''imputation],"absence")</f>
        <v>0</v>
      </c>
      <c r="H237" s="7">
        <f>SUM(Tableau5[[#This Row],[B WK]:[Unpaid leave WK]])</f>
        <v>20</v>
      </c>
    </row>
    <row r="238" spans="1:8">
      <c r="A238" s="7" t="s">
        <v>507</v>
      </c>
      <c r="B238" s="7" t="s">
        <v>508</v>
      </c>
      <c r="C238" s="7" t="s">
        <v>30</v>
      </c>
      <c r="D238" s="7">
        <f>SUMIFS(Tableau4[Montant imputé],Tableau4[Matricule cabinet],Tableau5[[#This Row],[Matricule cabinet]],Tableau4[Type d''imputation],"sale order")</f>
        <v>13</v>
      </c>
      <c r="E23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4.5</v>
      </c>
      <c r="F238" s="7">
        <f>SUMIFS(Tableau4[Montant imputé],Tableau4[Matricule cabinet],Tableau5[[#This Row],[Matricule cabinet]],Tableau4[Type d''imputation],"leave")</f>
        <v>1</v>
      </c>
      <c r="G238" s="7">
        <f>SUMIFS(Tableau4[Montant imputé],Tableau4[Matricule cabinet],Tableau5[[#This Row],[Matricule cabinet]],Tableau4[Type d''imputation],"absence")</f>
        <v>1.5</v>
      </c>
      <c r="H238" s="7">
        <f>SUM(Tableau5[[#This Row],[B WK]:[Unpaid leave WK]])</f>
        <v>20</v>
      </c>
    </row>
    <row r="239" spans="1:8">
      <c r="A239" s="7" t="s">
        <v>248</v>
      </c>
      <c r="B239" s="7" t="s">
        <v>249</v>
      </c>
      <c r="C239" s="7" t="s">
        <v>84</v>
      </c>
      <c r="D239" s="7">
        <f>SUMIFS(Tableau4[Montant imputé],Tableau4[Matricule cabinet],Tableau5[[#This Row],[Matricule cabinet]],Tableau4[Type d''imputation],"sale order")</f>
        <v>11</v>
      </c>
      <c r="E23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239" s="7">
        <f>SUMIFS(Tableau4[Montant imputé],Tableau4[Matricule cabinet],Tableau5[[#This Row],[Matricule cabinet]],Tableau4[Type d''imputation],"leave")</f>
        <v>0</v>
      </c>
      <c r="G239" s="7">
        <f>SUMIFS(Tableau4[Montant imputé],Tableau4[Matricule cabinet],Tableau5[[#This Row],[Matricule cabinet]],Tableau4[Type d''imputation],"absence")</f>
        <v>0</v>
      </c>
      <c r="H239" s="7">
        <f>SUM(Tableau5[[#This Row],[B WK]:[Unpaid leave WK]])</f>
        <v>20</v>
      </c>
    </row>
    <row r="240" spans="1:8">
      <c r="A240" s="7" t="s">
        <v>856</v>
      </c>
      <c r="B240" s="7" t="s">
        <v>857</v>
      </c>
      <c r="C240" s="7" t="s">
        <v>36</v>
      </c>
      <c r="D240" s="7">
        <f>SUMIFS(Tableau4[Montant imputé],Tableau4[Matricule cabinet],Tableau5[[#This Row],[Matricule cabinet]],Tableau4[Type d''imputation],"sale order")</f>
        <v>0</v>
      </c>
      <c r="E24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40" s="7">
        <f>SUMIFS(Tableau4[Montant imputé],Tableau4[Matricule cabinet],Tableau5[[#This Row],[Matricule cabinet]],Tableau4[Type d''imputation],"leave")</f>
        <v>0</v>
      </c>
      <c r="G240" s="7">
        <f>SUMIFS(Tableau4[Montant imputé],Tableau4[Matricule cabinet],Tableau5[[#This Row],[Matricule cabinet]],Tableau4[Type d''imputation],"absence")</f>
        <v>0</v>
      </c>
      <c r="H240" s="7">
        <f>SUM(Tableau5[[#This Row],[B WK]:[Unpaid leave WK]])</f>
        <v>20</v>
      </c>
    </row>
    <row r="241" spans="1:8">
      <c r="A241" s="7" t="s">
        <v>1506</v>
      </c>
      <c r="B241" s="7" t="s">
        <v>1507</v>
      </c>
      <c r="C241" s="7" t="s">
        <v>54</v>
      </c>
      <c r="D241" s="7">
        <f>SUMIFS(Tableau4[Montant imputé],Tableau4[Matricule cabinet],Tableau5[[#This Row],[Matricule cabinet]],Tableau4[Type d''imputation],"sale order")</f>
        <v>0</v>
      </c>
      <c r="E24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</v>
      </c>
      <c r="F241" s="7">
        <f>SUMIFS(Tableau4[Montant imputé],Tableau4[Matricule cabinet],Tableau5[[#This Row],[Matricule cabinet]],Tableau4[Type d''imputation],"leave")</f>
        <v>0</v>
      </c>
      <c r="G241" s="7">
        <f>SUMIFS(Tableau4[Montant imputé],Tableau4[Matricule cabinet],Tableau5[[#This Row],[Matricule cabinet]],Tableau4[Type d''imputation],"absence")</f>
        <v>4</v>
      </c>
      <c r="H241" s="7">
        <f>SUM(Tableau5[[#This Row],[B WK]:[Unpaid leave WK]])</f>
        <v>20</v>
      </c>
    </row>
    <row r="242" spans="1:8">
      <c r="A242" s="7" t="s">
        <v>554</v>
      </c>
      <c r="B242" s="7" t="s">
        <v>555</v>
      </c>
      <c r="C242" s="7" t="s">
        <v>30</v>
      </c>
      <c r="D242" s="7">
        <f>SUMIFS(Tableau4[Montant imputé],Tableau4[Matricule cabinet],Tableau5[[#This Row],[Matricule cabinet]],Tableau4[Type d''imputation],"sale order")</f>
        <v>16</v>
      </c>
      <c r="E24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242" s="7">
        <f>SUMIFS(Tableau4[Montant imputé],Tableau4[Matricule cabinet],Tableau5[[#This Row],[Matricule cabinet]],Tableau4[Type d''imputation],"leave")</f>
        <v>0</v>
      </c>
      <c r="G242" s="7">
        <f>SUMIFS(Tableau4[Montant imputé],Tableau4[Matricule cabinet],Tableau5[[#This Row],[Matricule cabinet]],Tableau4[Type d''imputation],"absence")</f>
        <v>0</v>
      </c>
      <c r="H242" s="7">
        <f>SUM(Tableau5[[#This Row],[B WK]:[Unpaid leave WK]])</f>
        <v>20</v>
      </c>
    </row>
    <row r="243" spans="1:8">
      <c r="A243" s="7" t="s">
        <v>1089</v>
      </c>
      <c r="B243" s="7" t="s">
        <v>1090</v>
      </c>
      <c r="C243" s="7" t="s">
        <v>51</v>
      </c>
      <c r="D243" s="7">
        <f>SUMIFS(Tableau4[Montant imputé],Tableau4[Matricule cabinet],Tableau5[[#This Row],[Matricule cabinet]],Tableau4[Type d''imputation],"sale order")</f>
        <v>18.5</v>
      </c>
      <c r="E24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43" s="7">
        <f>SUMIFS(Tableau4[Montant imputé],Tableau4[Matricule cabinet],Tableau5[[#This Row],[Matricule cabinet]],Tableau4[Type d''imputation],"leave")</f>
        <v>1.5</v>
      </c>
      <c r="G243" s="7">
        <f>SUMIFS(Tableau4[Montant imputé],Tableau4[Matricule cabinet],Tableau5[[#This Row],[Matricule cabinet]],Tableau4[Type d''imputation],"absence")</f>
        <v>0</v>
      </c>
      <c r="H243" s="7">
        <f>SUM(Tableau5[[#This Row],[B WK]:[Unpaid leave WK]])</f>
        <v>20</v>
      </c>
    </row>
    <row r="244" spans="1:8">
      <c r="A244" s="7" t="s">
        <v>692</v>
      </c>
      <c r="B244" s="7" t="s">
        <v>29</v>
      </c>
      <c r="C244" s="7" t="s">
        <v>46</v>
      </c>
      <c r="D244" s="7">
        <f>SUMIFS(Tableau4[Montant imputé],Tableau4[Matricule cabinet],Tableau5[[#This Row],[Matricule cabinet]],Tableau4[Type d''imputation],"sale order")</f>
        <v>14</v>
      </c>
      <c r="E24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</v>
      </c>
      <c r="F244" s="7">
        <f>SUMIFS(Tableau4[Montant imputé],Tableau4[Matricule cabinet],Tableau5[[#This Row],[Matricule cabinet]],Tableau4[Type d''imputation],"leave")</f>
        <v>0</v>
      </c>
      <c r="G244" s="7">
        <f>SUMIFS(Tableau4[Montant imputé],Tableau4[Matricule cabinet],Tableau5[[#This Row],[Matricule cabinet]],Tableau4[Type d''imputation],"absence")</f>
        <v>0</v>
      </c>
      <c r="H244" s="7">
        <f>SUM(Tableau5[[#This Row],[B WK]:[Unpaid leave WK]])</f>
        <v>20</v>
      </c>
    </row>
    <row r="245" spans="1:8">
      <c r="A245" s="7" t="s">
        <v>966</v>
      </c>
      <c r="B245" s="7" t="s">
        <v>967</v>
      </c>
      <c r="C245" s="7" t="s">
        <v>5</v>
      </c>
      <c r="D245" s="7">
        <f>SUMIFS(Tableau4[Montant imputé],Tableau4[Matricule cabinet],Tableau5[[#This Row],[Matricule cabinet]],Tableau4[Type d''imputation],"sale order")</f>
        <v>20</v>
      </c>
      <c r="E24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45" s="7">
        <f>SUMIFS(Tableau4[Montant imputé],Tableau4[Matricule cabinet],Tableau5[[#This Row],[Matricule cabinet]],Tableau4[Type d''imputation],"leave")</f>
        <v>0</v>
      </c>
      <c r="G245" s="7">
        <f>SUMIFS(Tableau4[Montant imputé],Tableau4[Matricule cabinet],Tableau5[[#This Row],[Matricule cabinet]],Tableau4[Type d''imputation],"absence")</f>
        <v>0</v>
      </c>
      <c r="H245" s="7">
        <f>SUM(Tableau5[[#This Row],[B WK]:[Unpaid leave WK]])</f>
        <v>20</v>
      </c>
    </row>
    <row r="246" spans="1:8">
      <c r="A246" s="7" t="s">
        <v>968</v>
      </c>
      <c r="B246" s="7" t="s">
        <v>969</v>
      </c>
      <c r="C246" s="7" t="s">
        <v>5</v>
      </c>
      <c r="D246" s="7">
        <f>SUMIFS(Tableau4[Montant imputé],Tableau4[Matricule cabinet],Tableau5[[#This Row],[Matricule cabinet]],Tableau4[Type d''imputation],"sale order")</f>
        <v>19</v>
      </c>
      <c r="E24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46" s="7">
        <f>SUMIFS(Tableau4[Montant imputé],Tableau4[Matricule cabinet],Tableau5[[#This Row],[Matricule cabinet]],Tableau4[Type d''imputation],"leave")</f>
        <v>1</v>
      </c>
      <c r="G246" s="7">
        <f>SUMIFS(Tableau4[Montant imputé],Tableau4[Matricule cabinet],Tableau5[[#This Row],[Matricule cabinet]],Tableau4[Type d''imputation],"absence")</f>
        <v>0</v>
      </c>
      <c r="H246" s="7">
        <f>SUM(Tableau5[[#This Row],[B WK]:[Unpaid leave WK]])</f>
        <v>20</v>
      </c>
    </row>
    <row r="247" spans="1:8">
      <c r="A247" s="7" t="s">
        <v>530</v>
      </c>
      <c r="B247" s="7" t="s">
        <v>531</v>
      </c>
      <c r="C247" s="7" t="s">
        <v>3</v>
      </c>
      <c r="D247" s="7">
        <f>SUMIFS(Tableau4[Montant imputé],Tableau4[Matricule cabinet],Tableau5[[#This Row],[Matricule cabinet]],Tableau4[Type d''imputation],"sale order")</f>
        <v>18</v>
      </c>
      <c r="E24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247" s="7">
        <f>SUMIFS(Tableau4[Montant imputé],Tableau4[Matricule cabinet],Tableau5[[#This Row],[Matricule cabinet]],Tableau4[Type d''imputation],"leave")</f>
        <v>0</v>
      </c>
      <c r="G247" s="7">
        <f>SUMIFS(Tableau4[Montant imputé],Tableau4[Matricule cabinet],Tableau5[[#This Row],[Matricule cabinet]],Tableau4[Type d''imputation],"absence")</f>
        <v>0</v>
      </c>
      <c r="H247" s="7">
        <f>SUM(Tableau5[[#This Row],[B WK]:[Unpaid leave WK]])</f>
        <v>20</v>
      </c>
    </row>
    <row r="248" spans="1:8">
      <c r="A248" s="7" t="s">
        <v>486</v>
      </c>
      <c r="B248" s="7" t="s">
        <v>487</v>
      </c>
      <c r="C248" s="7" t="s">
        <v>33</v>
      </c>
      <c r="D248" s="7">
        <f>SUMIFS(Tableau4[Montant imputé],Tableau4[Matricule cabinet],Tableau5[[#This Row],[Matricule cabinet]],Tableau4[Type d''imputation],"sale order")</f>
        <v>19</v>
      </c>
      <c r="E24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48" s="7">
        <f>SUMIFS(Tableau4[Montant imputé],Tableau4[Matricule cabinet],Tableau5[[#This Row],[Matricule cabinet]],Tableau4[Type d''imputation],"leave")</f>
        <v>1</v>
      </c>
      <c r="G248" s="7">
        <f>SUMIFS(Tableau4[Montant imputé],Tableau4[Matricule cabinet],Tableau5[[#This Row],[Matricule cabinet]],Tableau4[Type d''imputation],"absence")</f>
        <v>0</v>
      </c>
      <c r="H248" s="7">
        <f>SUM(Tableau5[[#This Row],[B WK]:[Unpaid leave WK]])</f>
        <v>20</v>
      </c>
    </row>
    <row r="249" spans="1:8">
      <c r="A249" s="7" t="s">
        <v>242</v>
      </c>
      <c r="B249" s="7" t="s">
        <v>243</v>
      </c>
      <c r="C249" s="7" t="s">
        <v>62</v>
      </c>
      <c r="D249" s="7">
        <f>SUMIFS(Tableau4[Montant imputé],Tableau4[Matricule cabinet],Tableau5[[#This Row],[Matricule cabinet]],Tableau4[Type d''imputation],"sale order")</f>
        <v>20</v>
      </c>
      <c r="E24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49" s="7">
        <f>SUMIFS(Tableau4[Montant imputé],Tableau4[Matricule cabinet],Tableau5[[#This Row],[Matricule cabinet]],Tableau4[Type d''imputation],"leave")</f>
        <v>0</v>
      </c>
      <c r="G249" s="7">
        <f>SUMIFS(Tableau4[Montant imputé],Tableau4[Matricule cabinet],Tableau5[[#This Row],[Matricule cabinet]],Tableau4[Type d''imputation],"absence")</f>
        <v>0</v>
      </c>
      <c r="H249" s="7">
        <f>SUM(Tableau5[[#This Row],[B WK]:[Unpaid leave WK]])</f>
        <v>20</v>
      </c>
    </row>
    <row r="250" spans="1:8">
      <c r="A250" s="7" t="s">
        <v>762</v>
      </c>
      <c r="B250" s="7" t="s">
        <v>640</v>
      </c>
      <c r="C250" s="7" t="s">
        <v>56</v>
      </c>
      <c r="D250" s="7">
        <f>SUMIFS(Tableau4[Montant imputé],Tableau4[Matricule cabinet],Tableau5[[#This Row],[Matricule cabinet]],Tableau4[Type d''imputation],"sale order")</f>
        <v>17.5</v>
      </c>
      <c r="E25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250" s="7">
        <f>SUMIFS(Tableau4[Montant imputé],Tableau4[Matricule cabinet],Tableau5[[#This Row],[Matricule cabinet]],Tableau4[Type d''imputation],"leave")</f>
        <v>0.5</v>
      </c>
      <c r="G250" s="7">
        <f>SUMIFS(Tableau4[Montant imputé],Tableau4[Matricule cabinet],Tableau5[[#This Row],[Matricule cabinet]],Tableau4[Type d''imputation],"absence")</f>
        <v>0</v>
      </c>
      <c r="H250" s="7">
        <f>SUM(Tableau5[[#This Row],[B WK]:[Unpaid leave WK]])</f>
        <v>20</v>
      </c>
    </row>
    <row r="251" spans="1:8">
      <c r="A251" s="7" t="s">
        <v>1103</v>
      </c>
      <c r="B251" s="7" t="s">
        <v>1104</v>
      </c>
      <c r="C251" s="7" t="s">
        <v>18</v>
      </c>
      <c r="D251" s="7">
        <f>SUMIFS(Tableau4[Montant imputé],Tableau4[Matricule cabinet],Tableau5[[#This Row],[Matricule cabinet]],Tableau4[Type d''imputation],"sale order")</f>
        <v>9</v>
      </c>
      <c r="E25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51" s="7">
        <f>SUMIFS(Tableau4[Montant imputé],Tableau4[Matricule cabinet],Tableau5[[#This Row],[Matricule cabinet]],Tableau4[Type d''imputation],"leave")</f>
        <v>11</v>
      </c>
      <c r="G251" s="7">
        <f>SUMIFS(Tableau4[Montant imputé],Tableau4[Matricule cabinet],Tableau5[[#This Row],[Matricule cabinet]],Tableau4[Type d''imputation],"absence")</f>
        <v>0</v>
      </c>
      <c r="H251" s="7">
        <f>SUM(Tableau5[[#This Row],[B WK]:[Unpaid leave WK]])</f>
        <v>20</v>
      </c>
    </row>
    <row r="252" spans="1:8">
      <c r="A252" s="7" t="s">
        <v>970</v>
      </c>
      <c r="B252" s="7" t="s">
        <v>971</v>
      </c>
      <c r="C252" s="7" t="s">
        <v>86</v>
      </c>
      <c r="D252" s="7">
        <f>SUMIFS(Tableau4[Montant imputé],Tableau4[Matricule cabinet],Tableau5[[#This Row],[Matricule cabinet]],Tableau4[Type d''imputation],"sale order")</f>
        <v>17</v>
      </c>
      <c r="E25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252" s="7">
        <f>SUMIFS(Tableau4[Montant imputé],Tableau4[Matricule cabinet],Tableau5[[#This Row],[Matricule cabinet]],Tableau4[Type d''imputation],"leave")</f>
        <v>0</v>
      </c>
      <c r="G252" s="7">
        <f>SUMIFS(Tableau4[Montant imputé],Tableau4[Matricule cabinet],Tableau5[[#This Row],[Matricule cabinet]],Tableau4[Type d''imputation],"absence")</f>
        <v>0</v>
      </c>
      <c r="H252" s="7">
        <f>SUM(Tableau5[[#This Row],[B WK]:[Unpaid leave WK]])</f>
        <v>20</v>
      </c>
    </row>
    <row r="253" spans="1:8">
      <c r="A253" s="7" t="s">
        <v>788</v>
      </c>
      <c r="B253" s="7" t="s">
        <v>789</v>
      </c>
      <c r="C253" s="7" t="s">
        <v>24</v>
      </c>
      <c r="D253" s="7">
        <f>SUMIFS(Tableau4[Montant imputé],Tableau4[Matricule cabinet],Tableau5[[#This Row],[Matricule cabinet]],Tableau4[Type d''imputation],"sale order")</f>
        <v>14.5</v>
      </c>
      <c r="E25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1.5</v>
      </c>
      <c r="F253" s="7">
        <f>SUMIFS(Tableau4[Montant imputé],Tableau4[Matricule cabinet],Tableau5[[#This Row],[Matricule cabinet]],Tableau4[Type d''imputation],"leave")</f>
        <v>4</v>
      </c>
      <c r="G253" s="7">
        <f>SUMIFS(Tableau4[Montant imputé],Tableau4[Matricule cabinet],Tableau5[[#This Row],[Matricule cabinet]],Tableau4[Type d''imputation],"absence")</f>
        <v>0</v>
      </c>
      <c r="H253" s="7">
        <f>SUM(Tableau5[[#This Row],[B WK]:[Unpaid leave WK]])</f>
        <v>20</v>
      </c>
    </row>
    <row r="254" spans="1:8">
      <c r="A254" s="7" t="s">
        <v>876</v>
      </c>
      <c r="B254" s="7" t="s">
        <v>877</v>
      </c>
      <c r="C254" s="7" t="s">
        <v>34</v>
      </c>
      <c r="D254" s="7">
        <f>SUMIFS(Tableau4[Montant imputé],Tableau4[Matricule cabinet],Tableau5[[#This Row],[Matricule cabinet]],Tableau4[Type d''imputation],"sale order")</f>
        <v>14</v>
      </c>
      <c r="E25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</v>
      </c>
      <c r="F254" s="7">
        <f>SUMIFS(Tableau4[Montant imputé],Tableau4[Matricule cabinet],Tableau5[[#This Row],[Matricule cabinet]],Tableau4[Type d''imputation],"leave")</f>
        <v>0</v>
      </c>
      <c r="G254" s="7">
        <f>SUMIFS(Tableau4[Montant imputé],Tableau4[Matricule cabinet],Tableau5[[#This Row],[Matricule cabinet]],Tableau4[Type d''imputation],"absence")</f>
        <v>0</v>
      </c>
      <c r="H254" s="7">
        <f>SUM(Tableau5[[#This Row],[B WK]:[Unpaid leave WK]])</f>
        <v>20</v>
      </c>
    </row>
    <row r="255" spans="1:8">
      <c r="A255" s="7" t="s">
        <v>1414</v>
      </c>
      <c r="B255" s="7" t="s">
        <v>76</v>
      </c>
      <c r="C255" s="7" t="s">
        <v>28</v>
      </c>
      <c r="D255" s="7">
        <f>SUMIFS(Tableau4[Montant imputé],Tableau4[Matricule cabinet],Tableau5[[#This Row],[Matricule cabinet]],Tableau4[Type d''imputation],"sale order")</f>
        <v>0</v>
      </c>
      <c r="E25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255" s="7">
        <f>SUMIFS(Tableau4[Montant imputé],Tableau4[Matricule cabinet],Tableau5[[#This Row],[Matricule cabinet]],Tableau4[Type d''imputation],"leave")</f>
        <v>1</v>
      </c>
      <c r="G255" s="7">
        <f>SUMIFS(Tableau4[Montant imputé],Tableau4[Matricule cabinet],Tableau5[[#This Row],[Matricule cabinet]],Tableau4[Type d''imputation],"absence")</f>
        <v>0</v>
      </c>
      <c r="H255" s="7">
        <f>SUM(Tableau5[[#This Row],[B WK]:[Unpaid leave WK]])</f>
        <v>20</v>
      </c>
    </row>
    <row r="256" spans="1:8">
      <c r="A256" s="7" t="s">
        <v>225</v>
      </c>
      <c r="B256" s="7" t="s">
        <v>39</v>
      </c>
      <c r="C256" s="7" t="s">
        <v>54</v>
      </c>
      <c r="D256" s="7">
        <f>SUMIFS(Tableau4[Montant imputé],Tableau4[Matricule cabinet],Tableau5[[#This Row],[Matricule cabinet]],Tableau4[Type d''imputation],"sale order")</f>
        <v>0</v>
      </c>
      <c r="E25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256" s="7">
        <f>SUMIFS(Tableau4[Montant imputé],Tableau4[Matricule cabinet],Tableau5[[#This Row],[Matricule cabinet]],Tableau4[Type d''imputation],"leave")</f>
        <v>1</v>
      </c>
      <c r="G256" s="7">
        <f>SUMIFS(Tableau4[Montant imputé],Tableau4[Matricule cabinet],Tableau5[[#This Row],[Matricule cabinet]],Tableau4[Type d''imputation],"absence")</f>
        <v>0</v>
      </c>
      <c r="H256" s="7">
        <f>SUM(Tableau5[[#This Row],[B WK]:[Unpaid leave WK]])</f>
        <v>20</v>
      </c>
    </row>
    <row r="257" spans="1:8">
      <c r="A257" s="7" t="s">
        <v>182</v>
      </c>
      <c r="B257" s="7" t="s">
        <v>183</v>
      </c>
      <c r="C257" s="7" t="s">
        <v>47</v>
      </c>
      <c r="D257" s="7">
        <f>SUMIFS(Tableau4[Montant imputé],Tableau4[Matricule cabinet],Tableau5[[#This Row],[Matricule cabinet]],Tableau4[Type d''imputation],"sale order")</f>
        <v>20</v>
      </c>
      <c r="E25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57" s="7">
        <f>SUMIFS(Tableau4[Montant imputé],Tableau4[Matricule cabinet],Tableau5[[#This Row],[Matricule cabinet]],Tableau4[Type d''imputation],"leave")</f>
        <v>0</v>
      </c>
      <c r="G257" s="7">
        <f>SUMIFS(Tableau4[Montant imputé],Tableau4[Matricule cabinet],Tableau5[[#This Row],[Matricule cabinet]],Tableau4[Type d''imputation],"absence")</f>
        <v>0</v>
      </c>
      <c r="H257" s="7">
        <f>SUM(Tableau5[[#This Row],[B WK]:[Unpaid leave WK]])</f>
        <v>20</v>
      </c>
    </row>
    <row r="258" spans="1:8">
      <c r="A258" s="7" t="s">
        <v>1290</v>
      </c>
      <c r="B258" s="7" t="s">
        <v>1291</v>
      </c>
      <c r="C258" s="7" t="s">
        <v>90</v>
      </c>
      <c r="D258" s="7">
        <f>SUMIFS(Tableau4[Montant imputé],Tableau4[Matricule cabinet],Tableau5[[#This Row],[Matricule cabinet]],Tableau4[Type d''imputation],"sale order")</f>
        <v>0</v>
      </c>
      <c r="E25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17.5</v>
      </c>
      <c r="F258" s="7">
        <f>SUMIFS(Tableau4[Montant imputé],Tableau4[Matricule cabinet],Tableau5[[#This Row],[Matricule cabinet]],Tableau4[Type d''imputation],"leave")</f>
        <v>1</v>
      </c>
      <c r="G258" s="7">
        <f>SUMIFS(Tableau4[Montant imputé],Tableau4[Matricule cabinet],Tableau5[[#This Row],[Matricule cabinet]],Tableau4[Type d''imputation],"absence")</f>
        <v>1.5</v>
      </c>
      <c r="H258" s="7">
        <f>SUM(Tableau5[[#This Row],[B WK]:[Unpaid leave WK]])</f>
        <v>20</v>
      </c>
    </row>
    <row r="259" spans="1:8">
      <c r="A259" s="7" t="s">
        <v>344</v>
      </c>
      <c r="B259" s="7" t="s">
        <v>345</v>
      </c>
      <c r="C259" s="7" t="s">
        <v>36</v>
      </c>
      <c r="D259" s="7">
        <f>SUMIFS(Tableau4[Montant imputé],Tableau4[Matricule cabinet],Tableau5[[#This Row],[Matricule cabinet]],Tableau4[Type d''imputation],"sale order")</f>
        <v>15</v>
      </c>
      <c r="E25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5</v>
      </c>
      <c r="F259" s="7">
        <f>SUMIFS(Tableau4[Montant imputé],Tableau4[Matricule cabinet],Tableau5[[#This Row],[Matricule cabinet]],Tableau4[Type d''imputation],"leave")</f>
        <v>0</v>
      </c>
      <c r="G259" s="7">
        <f>SUMIFS(Tableau4[Montant imputé],Tableau4[Matricule cabinet],Tableau5[[#This Row],[Matricule cabinet]],Tableau4[Type d''imputation],"absence")</f>
        <v>0</v>
      </c>
      <c r="H259" s="7">
        <f>SUM(Tableau5[[#This Row],[B WK]:[Unpaid leave WK]])</f>
        <v>20</v>
      </c>
    </row>
    <row r="260" spans="1:8">
      <c r="A260" s="7" t="s">
        <v>835</v>
      </c>
      <c r="B260" s="7" t="s">
        <v>836</v>
      </c>
      <c r="C260" s="7" t="s">
        <v>62</v>
      </c>
      <c r="D260" s="7">
        <f>SUMIFS(Tableau4[Montant imputé],Tableau4[Matricule cabinet],Tableau5[[#This Row],[Matricule cabinet]],Tableau4[Type d''imputation],"sale order")</f>
        <v>9</v>
      </c>
      <c r="E26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11</v>
      </c>
      <c r="F260" s="7">
        <f>SUMIFS(Tableau4[Montant imputé],Tableau4[Matricule cabinet],Tableau5[[#This Row],[Matricule cabinet]],Tableau4[Type d''imputation],"leave")</f>
        <v>0</v>
      </c>
      <c r="G260" s="7">
        <f>SUMIFS(Tableau4[Montant imputé],Tableau4[Matricule cabinet],Tableau5[[#This Row],[Matricule cabinet]],Tableau4[Type d''imputation],"absence")</f>
        <v>0</v>
      </c>
      <c r="H260" s="7">
        <f>SUM(Tableau5[[#This Row],[B WK]:[Unpaid leave WK]])</f>
        <v>20</v>
      </c>
    </row>
    <row r="261" spans="1:8">
      <c r="A261" s="7" t="s">
        <v>1147</v>
      </c>
      <c r="B261" s="7" t="s">
        <v>1148</v>
      </c>
      <c r="C261" s="7" t="s">
        <v>48</v>
      </c>
      <c r="D261" s="7">
        <f>SUMIFS(Tableau4[Montant imputé],Tableau4[Matricule cabinet],Tableau5[[#This Row],[Matricule cabinet]],Tableau4[Type d''imputation],"sale order")</f>
        <v>20</v>
      </c>
      <c r="E26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61" s="7">
        <f>SUMIFS(Tableau4[Montant imputé],Tableau4[Matricule cabinet],Tableau5[[#This Row],[Matricule cabinet]],Tableau4[Type d''imputation],"leave")</f>
        <v>0</v>
      </c>
      <c r="G261" s="7">
        <f>SUMIFS(Tableau4[Montant imputé],Tableau4[Matricule cabinet],Tableau5[[#This Row],[Matricule cabinet]],Tableau4[Type d''imputation],"absence")</f>
        <v>0</v>
      </c>
      <c r="H261" s="7">
        <f>SUM(Tableau5[[#This Row],[B WK]:[Unpaid leave WK]])</f>
        <v>20</v>
      </c>
    </row>
    <row r="262" spans="1:8">
      <c r="A262" s="7" t="s">
        <v>1165</v>
      </c>
      <c r="B262" s="7" t="s">
        <v>1166</v>
      </c>
      <c r="C262" s="7" t="s">
        <v>86</v>
      </c>
      <c r="D262" s="7">
        <f>SUMIFS(Tableau4[Montant imputé],Tableau4[Matricule cabinet],Tableau5[[#This Row],[Matricule cabinet]],Tableau4[Type d''imputation],"sale order")</f>
        <v>15</v>
      </c>
      <c r="E26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62" s="7">
        <f>SUMIFS(Tableau4[Montant imputé],Tableau4[Matricule cabinet],Tableau5[[#This Row],[Matricule cabinet]],Tableau4[Type d''imputation],"leave")</f>
        <v>5</v>
      </c>
      <c r="G262" s="7">
        <f>SUMIFS(Tableau4[Montant imputé],Tableau4[Matricule cabinet],Tableau5[[#This Row],[Matricule cabinet]],Tableau4[Type d''imputation],"absence")</f>
        <v>0</v>
      </c>
      <c r="H262" s="7">
        <f>SUM(Tableau5[[#This Row],[B WK]:[Unpaid leave WK]])</f>
        <v>20</v>
      </c>
    </row>
    <row r="263" spans="1:8">
      <c r="A263" s="7" t="s">
        <v>488</v>
      </c>
      <c r="B263" s="7" t="s">
        <v>489</v>
      </c>
      <c r="C263" s="7" t="s">
        <v>33</v>
      </c>
      <c r="D263" s="7">
        <f>SUMIFS(Tableau4[Montant imputé],Tableau4[Matricule cabinet],Tableau5[[#This Row],[Matricule cabinet]],Tableau4[Type d''imputation],"sale order")</f>
        <v>0</v>
      </c>
      <c r="E26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263" s="7">
        <f>SUMIFS(Tableau4[Montant imputé],Tableau4[Matricule cabinet],Tableau5[[#This Row],[Matricule cabinet]],Tableau4[Type d''imputation],"leave")</f>
        <v>6</v>
      </c>
      <c r="G263" s="7">
        <f>SUMIFS(Tableau4[Montant imputé],Tableau4[Matricule cabinet],Tableau5[[#This Row],[Matricule cabinet]],Tableau4[Type d''imputation],"absence")</f>
        <v>0</v>
      </c>
      <c r="H263" s="7">
        <f>SUM(Tableau5[[#This Row],[B WK]:[Unpaid leave WK]])</f>
        <v>20</v>
      </c>
    </row>
    <row r="264" spans="1:8">
      <c r="A264" s="7" t="s">
        <v>1467</v>
      </c>
      <c r="B264" s="7" t="s">
        <v>31</v>
      </c>
      <c r="C264" s="7" t="s">
        <v>63</v>
      </c>
      <c r="D264" s="7">
        <f>SUMIFS(Tableau4[Montant imputé],Tableau4[Matricule cabinet],Tableau5[[#This Row],[Matricule cabinet]],Tableau4[Type d''imputation],"sale order")</f>
        <v>5.5</v>
      </c>
      <c r="E26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14.5</v>
      </c>
      <c r="F264" s="7">
        <f>SUMIFS(Tableau4[Montant imputé],Tableau4[Matricule cabinet],Tableau5[[#This Row],[Matricule cabinet]],Tableau4[Type d''imputation],"leave")</f>
        <v>0</v>
      </c>
      <c r="G264" s="7">
        <f>SUMIFS(Tableau4[Montant imputé],Tableau4[Matricule cabinet],Tableau5[[#This Row],[Matricule cabinet]],Tableau4[Type d''imputation],"absence")</f>
        <v>0</v>
      </c>
      <c r="H264" s="7">
        <f>SUM(Tableau5[[#This Row],[B WK]:[Unpaid leave WK]])</f>
        <v>20</v>
      </c>
    </row>
    <row r="265" spans="1:8">
      <c r="A265" s="7" t="s">
        <v>340</v>
      </c>
      <c r="B265" s="7" t="s">
        <v>341</v>
      </c>
      <c r="C265" s="7" t="s">
        <v>35</v>
      </c>
      <c r="D265" s="7">
        <f>SUMIFS(Tableau4[Montant imputé],Tableau4[Matricule cabinet],Tableau5[[#This Row],[Matricule cabinet]],Tableau4[Type d''imputation],"sale order")</f>
        <v>0</v>
      </c>
      <c r="E26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15</v>
      </c>
      <c r="F265" s="7">
        <f>SUMIFS(Tableau4[Montant imputé],Tableau4[Matricule cabinet],Tableau5[[#This Row],[Matricule cabinet]],Tableau4[Type d''imputation],"leave")</f>
        <v>5</v>
      </c>
      <c r="G265" s="7">
        <f>SUMIFS(Tableau4[Montant imputé],Tableau4[Matricule cabinet],Tableau5[[#This Row],[Matricule cabinet]],Tableau4[Type d''imputation],"absence")</f>
        <v>0</v>
      </c>
      <c r="H265" s="7">
        <f>SUM(Tableau5[[#This Row],[B WK]:[Unpaid leave WK]])</f>
        <v>20</v>
      </c>
    </row>
    <row r="266" spans="1:8">
      <c r="A266" s="7" t="s">
        <v>1021</v>
      </c>
      <c r="B266" s="7" t="s">
        <v>1022</v>
      </c>
      <c r="C266" s="7" t="s">
        <v>24</v>
      </c>
      <c r="D266" s="7">
        <f>SUMIFS(Tableau4[Montant imputé],Tableau4[Matricule cabinet],Tableau5[[#This Row],[Matricule cabinet]],Tableau4[Type d''imputation],"sale order")</f>
        <v>0</v>
      </c>
      <c r="E26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266" s="7">
        <f>SUMIFS(Tableau4[Montant imputé],Tableau4[Matricule cabinet],Tableau5[[#This Row],[Matricule cabinet]],Tableau4[Type d''imputation],"leave")</f>
        <v>0</v>
      </c>
      <c r="G266" s="7">
        <f>SUMIFS(Tableau4[Montant imputé],Tableau4[Matricule cabinet],Tableau5[[#This Row],[Matricule cabinet]],Tableau4[Type d''imputation],"absence")</f>
        <v>0</v>
      </c>
      <c r="H266" s="7">
        <f>SUM(Tableau5[[#This Row],[B WK]:[Unpaid leave WK]])</f>
        <v>20</v>
      </c>
    </row>
    <row r="267" spans="1:8">
      <c r="A267" s="7" t="s">
        <v>201</v>
      </c>
      <c r="B267" s="7" t="s">
        <v>202</v>
      </c>
      <c r="C267" s="7" t="s">
        <v>11</v>
      </c>
      <c r="D267" s="7">
        <f>SUMIFS(Tableau4[Montant imputé],Tableau4[Matricule cabinet],Tableau5[[#This Row],[Matricule cabinet]],Tableau4[Type d''imputation],"sale order")</f>
        <v>20</v>
      </c>
      <c r="E26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67" s="7">
        <f>SUMIFS(Tableau4[Montant imputé],Tableau4[Matricule cabinet],Tableau5[[#This Row],[Matricule cabinet]],Tableau4[Type d''imputation],"leave")</f>
        <v>0</v>
      </c>
      <c r="G267" s="7">
        <f>SUMIFS(Tableau4[Montant imputé],Tableau4[Matricule cabinet],Tableau5[[#This Row],[Matricule cabinet]],Tableau4[Type d''imputation],"absence")</f>
        <v>0</v>
      </c>
      <c r="H267" s="7">
        <f>SUM(Tableau5[[#This Row],[B WK]:[Unpaid leave WK]])</f>
        <v>20</v>
      </c>
    </row>
    <row r="268" spans="1:8">
      <c r="A268" s="7" t="s">
        <v>144</v>
      </c>
      <c r="B268" s="7" t="s">
        <v>145</v>
      </c>
      <c r="C268" s="7" t="s">
        <v>60</v>
      </c>
      <c r="D268" s="7">
        <f>SUMIFS(Tableau4[Montant imputé],Tableau4[Matricule cabinet],Tableau5[[#This Row],[Matricule cabinet]],Tableau4[Type d''imputation],"sale order")</f>
        <v>20</v>
      </c>
      <c r="E26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68" s="7">
        <f>SUMIFS(Tableau4[Montant imputé],Tableau4[Matricule cabinet],Tableau5[[#This Row],[Matricule cabinet]],Tableau4[Type d''imputation],"leave")</f>
        <v>0</v>
      </c>
      <c r="G268" s="7">
        <f>SUMIFS(Tableau4[Montant imputé],Tableau4[Matricule cabinet],Tableau5[[#This Row],[Matricule cabinet]],Tableau4[Type d''imputation],"absence")</f>
        <v>0</v>
      </c>
      <c r="H268" s="7">
        <f>SUM(Tableau5[[#This Row],[B WK]:[Unpaid leave WK]])</f>
        <v>20</v>
      </c>
    </row>
    <row r="269" spans="1:8">
      <c r="A269" s="7" t="s">
        <v>482</v>
      </c>
      <c r="B269" s="7" t="s">
        <v>483</v>
      </c>
      <c r="C269" s="7" t="s">
        <v>4</v>
      </c>
      <c r="D269" s="7">
        <f>SUMIFS(Tableau4[Montant imputé],Tableau4[Matricule cabinet],Tableau5[[#This Row],[Matricule cabinet]],Tableau4[Type d''imputation],"sale order")</f>
        <v>14</v>
      </c>
      <c r="E26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269" s="7">
        <f>SUMIFS(Tableau4[Montant imputé],Tableau4[Matricule cabinet],Tableau5[[#This Row],[Matricule cabinet]],Tableau4[Type d''imputation],"leave")</f>
        <v>2</v>
      </c>
      <c r="G269" s="7">
        <f>SUMIFS(Tableau4[Montant imputé],Tableau4[Matricule cabinet],Tableau5[[#This Row],[Matricule cabinet]],Tableau4[Type d''imputation],"absence")</f>
        <v>0</v>
      </c>
      <c r="H269" s="7">
        <f>SUM(Tableau5[[#This Row],[B WK]:[Unpaid leave WK]])</f>
        <v>20</v>
      </c>
    </row>
    <row r="270" spans="1:8">
      <c r="A270" s="7" t="s">
        <v>498</v>
      </c>
      <c r="B270" s="7" t="s">
        <v>97</v>
      </c>
      <c r="C270" s="7" t="s">
        <v>6</v>
      </c>
      <c r="D270" s="7">
        <f>SUMIFS(Tableau4[Montant imputé],Tableau4[Matricule cabinet],Tableau5[[#This Row],[Matricule cabinet]],Tableau4[Type d''imputation],"sale order")</f>
        <v>0</v>
      </c>
      <c r="E27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270" s="7">
        <f>SUMIFS(Tableau4[Montant imputé],Tableau4[Matricule cabinet],Tableau5[[#This Row],[Matricule cabinet]],Tableau4[Type d''imputation],"leave")</f>
        <v>1</v>
      </c>
      <c r="G270" s="7">
        <f>SUMIFS(Tableau4[Montant imputé],Tableau4[Matricule cabinet],Tableau5[[#This Row],[Matricule cabinet]],Tableau4[Type d''imputation],"absence")</f>
        <v>0</v>
      </c>
      <c r="H270" s="7">
        <f>SUM(Tableau5[[#This Row],[B WK]:[Unpaid leave WK]])</f>
        <v>20</v>
      </c>
    </row>
    <row r="271" spans="1:8">
      <c r="A271" s="7" t="s">
        <v>636</v>
      </c>
      <c r="B271" s="7" t="s">
        <v>637</v>
      </c>
      <c r="C271" s="7" t="s">
        <v>39</v>
      </c>
      <c r="D271" s="7">
        <f>SUMIFS(Tableau4[Montant imputé],Tableau4[Matricule cabinet],Tableau5[[#This Row],[Matricule cabinet]],Tableau4[Type d''imputation],"sale order")</f>
        <v>17</v>
      </c>
      <c r="E27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271" s="7">
        <f>SUMIFS(Tableau4[Montant imputé],Tableau4[Matricule cabinet],Tableau5[[#This Row],[Matricule cabinet]],Tableau4[Type d''imputation],"leave")</f>
        <v>2</v>
      </c>
      <c r="G271" s="7">
        <f>SUMIFS(Tableau4[Montant imputé],Tableau4[Matricule cabinet],Tableau5[[#This Row],[Matricule cabinet]],Tableau4[Type d''imputation],"absence")</f>
        <v>0</v>
      </c>
      <c r="H271" s="7">
        <f>SUM(Tableau5[[#This Row],[B WK]:[Unpaid leave WK]])</f>
        <v>20</v>
      </c>
    </row>
    <row r="272" spans="1:8">
      <c r="A272" s="7" t="s">
        <v>1459</v>
      </c>
      <c r="B272" s="7" t="s">
        <v>72</v>
      </c>
      <c r="C272" s="7" t="s">
        <v>39</v>
      </c>
      <c r="D272" s="7">
        <f>SUMIFS(Tableau4[Montant imputé],Tableau4[Matricule cabinet],Tableau5[[#This Row],[Matricule cabinet]],Tableau4[Type d''imputation],"sale order")</f>
        <v>17</v>
      </c>
      <c r="E27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272" s="7">
        <f>SUMIFS(Tableau4[Montant imputé],Tableau4[Matricule cabinet],Tableau5[[#This Row],[Matricule cabinet]],Tableau4[Type d''imputation],"leave")</f>
        <v>0</v>
      </c>
      <c r="G272" s="7">
        <f>SUMIFS(Tableau4[Montant imputé],Tableau4[Matricule cabinet],Tableau5[[#This Row],[Matricule cabinet]],Tableau4[Type d''imputation],"absence")</f>
        <v>0</v>
      </c>
      <c r="H272" s="7">
        <f>SUM(Tableau5[[#This Row],[B WK]:[Unpaid leave WK]])</f>
        <v>20</v>
      </c>
    </row>
    <row r="273" spans="1:8">
      <c r="A273" s="7" t="s">
        <v>533</v>
      </c>
      <c r="B273" s="7" t="s">
        <v>46</v>
      </c>
      <c r="C273" s="7" t="s">
        <v>6</v>
      </c>
      <c r="D273" s="7">
        <f>SUMIFS(Tableau4[Montant imputé],Tableau4[Matricule cabinet],Tableau5[[#This Row],[Matricule cabinet]],Tableau4[Type d''imputation],"sale order")</f>
        <v>11</v>
      </c>
      <c r="E27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273" s="7">
        <f>SUMIFS(Tableau4[Montant imputé],Tableau4[Matricule cabinet],Tableau5[[#This Row],[Matricule cabinet]],Tableau4[Type d''imputation],"leave")</f>
        <v>0</v>
      </c>
      <c r="G273" s="7">
        <f>SUMIFS(Tableau4[Montant imputé],Tableau4[Matricule cabinet],Tableau5[[#This Row],[Matricule cabinet]],Tableau4[Type d''imputation],"absence")</f>
        <v>0</v>
      </c>
      <c r="H273" s="7">
        <f>SUM(Tableau5[[#This Row],[B WK]:[Unpaid leave WK]])</f>
        <v>20</v>
      </c>
    </row>
    <row r="274" spans="1:8">
      <c r="A274" s="7" t="s">
        <v>888</v>
      </c>
      <c r="B274" s="7" t="s">
        <v>889</v>
      </c>
      <c r="C274" s="7" t="s">
        <v>34</v>
      </c>
      <c r="D274" s="7">
        <f>SUMIFS(Tableau4[Montant imputé],Tableau4[Matricule cabinet],Tableau5[[#This Row],[Matricule cabinet]],Tableau4[Type d''imputation],"sale order")</f>
        <v>19</v>
      </c>
      <c r="E27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274" s="7">
        <f>SUMIFS(Tableau4[Montant imputé],Tableau4[Matricule cabinet],Tableau5[[#This Row],[Matricule cabinet]],Tableau4[Type d''imputation],"leave")</f>
        <v>0</v>
      </c>
      <c r="G274" s="7">
        <f>SUMIFS(Tableau4[Montant imputé],Tableau4[Matricule cabinet],Tableau5[[#This Row],[Matricule cabinet]],Tableau4[Type d''imputation],"absence")</f>
        <v>0</v>
      </c>
      <c r="H274" s="7">
        <f>SUM(Tableau5[[#This Row],[B WK]:[Unpaid leave WK]])</f>
        <v>20</v>
      </c>
    </row>
    <row r="275" spans="1:8">
      <c r="A275" s="7" t="s">
        <v>742</v>
      </c>
      <c r="B275" s="7" t="s">
        <v>743</v>
      </c>
      <c r="C275" s="7" t="s">
        <v>91</v>
      </c>
      <c r="D275" s="7">
        <f>SUMIFS(Tableau4[Montant imputé],Tableau4[Matricule cabinet],Tableau5[[#This Row],[Matricule cabinet]],Tableau4[Type d''imputation],"sale order")</f>
        <v>20</v>
      </c>
      <c r="E27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75" s="7">
        <f>SUMIFS(Tableau4[Montant imputé],Tableau4[Matricule cabinet],Tableau5[[#This Row],[Matricule cabinet]],Tableau4[Type d''imputation],"leave")</f>
        <v>0</v>
      </c>
      <c r="G275" s="7">
        <f>SUMIFS(Tableau4[Montant imputé],Tableau4[Matricule cabinet],Tableau5[[#This Row],[Matricule cabinet]],Tableau4[Type d''imputation],"absence")</f>
        <v>0</v>
      </c>
      <c r="H275" s="7">
        <f>SUM(Tableau5[[#This Row],[B WK]:[Unpaid leave WK]])</f>
        <v>20</v>
      </c>
    </row>
    <row r="276" spans="1:8">
      <c r="A276" s="7" t="s">
        <v>622</v>
      </c>
      <c r="B276" s="7" t="s">
        <v>623</v>
      </c>
      <c r="C276" s="7" t="s">
        <v>82</v>
      </c>
      <c r="D276" s="7">
        <f>SUMIFS(Tableau4[Montant imputé],Tableau4[Matricule cabinet],Tableau5[[#This Row],[Matricule cabinet]],Tableau4[Type d''imputation],"sale order")</f>
        <v>20</v>
      </c>
      <c r="E27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76" s="7">
        <f>SUMIFS(Tableau4[Montant imputé],Tableau4[Matricule cabinet],Tableau5[[#This Row],[Matricule cabinet]],Tableau4[Type d''imputation],"leave")</f>
        <v>0</v>
      </c>
      <c r="G276" s="7">
        <f>SUMIFS(Tableau4[Montant imputé],Tableau4[Matricule cabinet],Tableau5[[#This Row],[Matricule cabinet]],Tableau4[Type d''imputation],"absence")</f>
        <v>0</v>
      </c>
      <c r="H276" s="7">
        <f>SUM(Tableau5[[#This Row],[B WK]:[Unpaid leave WK]])</f>
        <v>20</v>
      </c>
    </row>
    <row r="277" spans="1:8">
      <c r="A277" s="7" t="s">
        <v>1121</v>
      </c>
      <c r="B277" s="7" t="s">
        <v>1122</v>
      </c>
      <c r="C277" s="7" t="s">
        <v>73</v>
      </c>
      <c r="D277" s="7">
        <f>SUMIFS(Tableau4[Montant imputé],Tableau4[Matricule cabinet],Tableau5[[#This Row],[Matricule cabinet]],Tableau4[Type d''imputation],"sale order")</f>
        <v>9</v>
      </c>
      <c r="E27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11</v>
      </c>
      <c r="F277" s="7">
        <f>SUMIFS(Tableau4[Montant imputé],Tableau4[Matricule cabinet],Tableau5[[#This Row],[Matricule cabinet]],Tableau4[Type d''imputation],"leave")</f>
        <v>0</v>
      </c>
      <c r="G277" s="7">
        <f>SUMIFS(Tableau4[Montant imputé],Tableau4[Matricule cabinet],Tableau5[[#This Row],[Matricule cabinet]],Tableau4[Type d''imputation],"absence")</f>
        <v>0</v>
      </c>
      <c r="H277" s="7">
        <f>SUM(Tableau5[[#This Row],[B WK]:[Unpaid leave WK]])</f>
        <v>20</v>
      </c>
    </row>
    <row r="278" spans="1:8">
      <c r="A278" s="7" t="s">
        <v>1105</v>
      </c>
      <c r="B278" s="7" t="s">
        <v>1106</v>
      </c>
      <c r="C278" s="7" t="s">
        <v>31</v>
      </c>
      <c r="D278" s="7">
        <f>SUMIFS(Tableau4[Montant imputé],Tableau4[Matricule cabinet],Tableau5[[#This Row],[Matricule cabinet]],Tableau4[Type d''imputation],"sale order")</f>
        <v>19.5</v>
      </c>
      <c r="E27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278" s="7">
        <f>SUMIFS(Tableau4[Montant imputé],Tableau4[Matricule cabinet],Tableau5[[#This Row],[Matricule cabinet]],Tableau4[Type d''imputation],"leave")</f>
        <v>0</v>
      </c>
      <c r="G278" s="7">
        <f>SUMIFS(Tableau4[Montant imputé],Tableau4[Matricule cabinet],Tableau5[[#This Row],[Matricule cabinet]],Tableau4[Type d''imputation],"absence")</f>
        <v>0</v>
      </c>
      <c r="H278" s="7">
        <f>SUM(Tableau5[[#This Row],[B WK]:[Unpaid leave WK]])</f>
        <v>20</v>
      </c>
    </row>
    <row r="279" spans="1:8">
      <c r="A279" s="7" t="s">
        <v>1482</v>
      </c>
      <c r="B279" s="7" t="s">
        <v>1483</v>
      </c>
      <c r="C279" s="7" t="s">
        <v>26</v>
      </c>
      <c r="D279" s="7">
        <f>SUMIFS(Tableau4[Montant imputé],Tableau4[Matricule cabinet],Tableau5[[#This Row],[Matricule cabinet]],Tableau4[Type d''imputation],"sale order")</f>
        <v>0</v>
      </c>
      <c r="E27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279" s="7">
        <f>SUMIFS(Tableau4[Montant imputé],Tableau4[Matricule cabinet],Tableau5[[#This Row],[Matricule cabinet]],Tableau4[Type d''imputation],"leave")</f>
        <v>6</v>
      </c>
      <c r="G279" s="7">
        <f>SUMIFS(Tableau4[Montant imputé],Tableau4[Matricule cabinet],Tableau5[[#This Row],[Matricule cabinet]],Tableau4[Type d''imputation],"absence")</f>
        <v>0</v>
      </c>
      <c r="H279" s="7">
        <f>SUM(Tableau5[[#This Row],[B WK]:[Unpaid leave WK]])</f>
        <v>20</v>
      </c>
    </row>
    <row r="280" spans="1:8">
      <c r="A280" s="7" t="s">
        <v>659</v>
      </c>
      <c r="B280" s="7" t="s">
        <v>660</v>
      </c>
      <c r="C280" s="7" t="s">
        <v>86</v>
      </c>
      <c r="D280" s="7">
        <f>SUMIFS(Tableau4[Montant imputé],Tableau4[Matricule cabinet],Tableau5[[#This Row],[Matricule cabinet]],Tableau4[Type d''imputation],"sale order")</f>
        <v>18</v>
      </c>
      <c r="E28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280" s="7">
        <f>SUMIFS(Tableau4[Montant imputé],Tableau4[Matricule cabinet],Tableau5[[#This Row],[Matricule cabinet]],Tableau4[Type d''imputation],"leave")</f>
        <v>0</v>
      </c>
      <c r="G280" s="7">
        <f>SUMIFS(Tableau4[Montant imputé],Tableau4[Matricule cabinet],Tableau5[[#This Row],[Matricule cabinet]],Tableau4[Type d''imputation],"absence")</f>
        <v>0</v>
      </c>
      <c r="H280" s="7">
        <f>SUM(Tableau5[[#This Row],[B WK]:[Unpaid leave WK]])</f>
        <v>20</v>
      </c>
    </row>
    <row r="281" spans="1:8">
      <c r="A281" s="7" t="s">
        <v>393</v>
      </c>
      <c r="B281" s="7" t="s">
        <v>394</v>
      </c>
      <c r="C281" s="7" t="s">
        <v>91</v>
      </c>
      <c r="D281" s="7">
        <f>SUMIFS(Tableau4[Montant imputé],Tableau4[Matricule cabinet],Tableau5[[#This Row],[Matricule cabinet]],Tableau4[Type d''imputation],"sale order")</f>
        <v>19</v>
      </c>
      <c r="E28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81" s="7">
        <f>SUMIFS(Tableau4[Montant imputé],Tableau4[Matricule cabinet],Tableau5[[#This Row],[Matricule cabinet]],Tableau4[Type d''imputation],"leave")</f>
        <v>1</v>
      </c>
      <c r="G281" s="7">
        <f>SUMIFS(Tableau4[Montant imputé],Tableau4[Matricule cabinet],Tableau5[[#This Row],[Matricule cabinet]],Tableau4[Type d''imputation],"absence")</f>
        <v>0</v>
      </c>
      <c r="H281" s="7">
        <f>SUM(Tableau5[[#This Row],[B WK]:[Unpaid leave WK]])</f>
        <v>20</v>
      </c>
    </row>
    <row r="282" spans="1:8">
      <c r="A282" s="7" t="s">
        <v>366</v>
      </c>
      <c r="B282" s="7" t="s">
        <v>367</v>
      </c>
      <c r="C282" s="7" t="s">
        <v>67</v>
      </c>
      <c r="D282" s="7">
        <f>SUMIFS(Tableau4[Montant imputé],Tableau4[Matricule cabinet],Tableau5[[#This Row],[Matricule cabinet]],Tableau4[Type d''imputation],"sale order")</f>
        <v>19</v>
      </c>
      <c r="E28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82" s="7">
        <f>SUMIFS(Tableau4[Montant imputé],Tableau4[Matricule cabinet],Tableau5[[#This Row],[Matricule cabinet]],Tableau4[Type d''imputation],"leave")</f>
        <v>1</v>
      </c>
      <c r="G282" s="7">
        <f>SUMIFS(Tableau4[Montant imputé],Tableau4[Matricule cabinet],Tableau5[[#This Row],[Matricule cabinet]],Tableau4[Type d''imputation],"absence")</f>
        <v>0</v>
      </c>
      <c r="H282" s="7">
        <f>SUM(Tableau5[[#This Row],[B WK]:[Unpaid leave WK]])</f>
        <v>20</v>
      </c>
    </row>
    <row r="283" spans="1:8">
      <c r="A283" s="7" t="s">
        <v>1149</v>
      </c>
      <c r="B283" s="7" t="s">
        <v>75</v>
      </c>
      <c r="C283" s="7" t="s">
        <v>48</v>
      </c>
      <c r="D283" s="7">
        <f>SUMIFS(Tableau4[Montant imputé],Tableau4[Matricule cabinet],Tableau5[[#This Row],[Matricule cabinet]],Tableau4[Type d''imputation],"sale order")</f>
        <v>13</v>
      </c>
      <c r="E28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5</v>
      </c>
      <c r="F283" s="7">
        <f>SUMIFS(Tableau4[Montant imputé],Tableau4[Matricule cabinet],Tableau5[[#This Row],[Matricule cabinet]],Tableau4[Type d''imputation],"leave")</f>
        <v>2</v>
      </c>
      <c r="G283" s="7">
        <f>SUMIFS(Tableau4[Montant imputé],Tableau4[Matricule cabinet],Tableau5[[#This Row],[Matricule cabinet]],Tableau4[Type d''imputation],"absence")</f>
        <v>0</v>
      </c>
      <c r="H283" s="7">
        <f>SUM(Tableau5[[#This Row],[B WK]:[Unpaid leave WK]])</f>
        <v>20</v>
      </c>
    </row>
    <row r="284" spans="1:8">
      <c r="A284" s="7" t="s">
        <v>510</v>
      </c>
      <c r="B284" s="7" t="s">
        <v>511</v>
      </c>
      <c r="C284" s="7" t="s">
        <v>4</v>
      </c>
      <c r="D284" s="7">
        <f>SUMIFS(Tableau4[Montant imputé],Tableau4[Matricule cabinet],Tableau5[[#This Row],[Matricule cabinet]],Tableau4[Type d''imputation],"sale order")</f>
        <v>0</v>
      </c>
      <c r="E28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</v>
      </c>
      <c r="F284" s="7">
        <f>SUMIFS(Tableau4[Montant imputé],Tableau4[Matricule cabinet],Tableau5[[#This Row],[Matricule cabinet]],Tableau4[Type d''imputation],"leave")</f>
        <v>0</v>
      </c>
      <c r="G284" s="7">
        <f>SUMIFS(Tableau4[Montant imputé],Tableau4[Matricule cabinet],Tableau5[[#This Row],[Matricule cabinet]],Tableau4[Type d''imputation],"absence")</f>
        <v>13</v>
      </c>
      <c r="H284" s="7">
        <f>SUM(Tableau5[[#This Row],[B WK]:[Unpaid leave WK]])</f>
        <v>20</v>
      </c>
    </row>
    <row r="285" spans="1:8">
      <c r="A285" s="7" t="s">
        <v>1476</v>
      </c>
      <c r="B285" s="7" t="s">
        <v>1477</v>
      </c>
      <c r="C285" s="7" t="s">
        <v>6</v>
      </c>
      <c r="D285" s="7">
        <f>SUMIFS(Tableau4[Montant imputé],Tableau4[Matricule cabinet],Tableau5[[#This Row],[Matricule cabinet]],Tableau4[Type d''imputation],"sale order")</f>
        <v>12</v>
      </c>
      <c r="E28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285" s="7">
        <f>SUMIFS(Tableau4[Montant imputé],Tableau4[Matricule cabinet],Tableau5[[#This Row],[Matricule cabinet]],Tableau4[Type d''imputation],"leave")</f>
        <v>5</v>
      </c>
      <c r="G285" s="7">
        <f>SUMIFS(Tableau4[Montant imputé],Tableau4[Matricule cabinet],Tableau5[[#This Row],[Matricule cabinet]],Tableau4[Type d''imputation],"absence")</f>
        <v>0</v>
      </c>
      <c r="H285" s="7">
        <f>SUM(Tableau5[[#This Row],[B WK]:[Unpaid leave WK]])</f>
        <v>20</v>
      </c>
    </row>
    <row r="286" spans="1:8">
      <c r="A286" s="7" t="s">
        <v>1427</v>
      </c>
      <c r="B286" s="7" t="s">
        <v>1428</v>
      </c>
      <c r="C286" s="7" t="s">
        <v>10</v>
      </c>
      <c r="D286" s="7">
        <f>SUMIFS(Tableau4[Montant imputé],Tableau4[Matricule cabinet],Tableau5[[#This Row],[Matricule cabinet]],Tableau4[Type d''imputation],"sale order")</f>
        <v>20</v>
      </c>
      <c r="E28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86" s="7">
        <f>SUMIFS(Tableau4[Montant imputé],Tableau4[Matricule cabinet],Tableau5[[#This Row],[Matricule cabinet]],Tableau4[Type d''imputation],"leave")</f>
        <v>0</v>
      </c>
      <c r="G286" s="7">
        <f>SUMIFS(Tableau4[Montant imputé],Tableau4[Matricule cabinet],Tableau5[[#This Row],[Matricule cabinet]],Tableau4[Type d''imputation],"absence")</f>
        <v>0</v>
      </c>
      <c r="H286" s="7">
        <f>SUM(Tableau5[[#This Row],[B WK]:[Unpaid leave WK]])</f>
        <v>20</v>
      </c>
    </row>
    <row r="287" spans="1:8">
      <c r="A287" s="7" t="s">
        <v>287</v>
      </c>
      <c r="B287" s="7" t="s">
        <v>288</v>
      </c>
      <c r="C287" s="7" t="s">
        <v>3</v>
      </c>
      <c r="D287" s="7">
        <f>SUMIFS(Tableau4[Montant imputé],Tableau4[Matricule cabinet],Tableau5[[#This Row],[Matricule cabinet]],Tableau4[Type d''imputation],"sale order")</f>
        <v>9</v>
      </c>
      <c r="E28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87" s="7">
        <f>SUMIFS(Tableau4[Montant imputé],Tableau4[Matricule cabinet],Tableau5[[#This Row],[Matricule cabinet]],Tableau4[Type d''imputation],"leave")</f>
        <v>11</v>
      </c>
      <c r="G287" s="7">
        <f>SUMIFS(Tableau4[Montant imputé],Tableau4[Matricule cabinet],Tableau5[[#This Row],[Matricule cabinet]],Tableau4[Type d''imputation],"absence")</f>
        <v>0</v>
      </c>
      <c r="H287" s="7">
        <f>SUM(Tableau5[[#This Row],[B WK]:[Unpaid leave WK]])</f>
        <v>20</v>
      </c>
    </row>
    <row r="288" spans="1:8">
      <c r="A288" s="7" t="s">
        <v>676</v>
      </c>
      <c r="B288" s="7" t="s">
        <v>677</v>
      </c>
      <c r="C288" s="7" t="s">
        <v>637</v>
      </c>
      <c r="D288" s="7">
        <f>SUMIFS(Tableau4[Montant imputé],Tableau4[Matricule cabinet],Tableau5[[#This Row],[Matricule cabinet]],Tableau4[Type d''imputation],"sale order")</f>
        <v>20</v>
      </c>
      <c r="E28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88" s="7">
        <f>SUMIFS(Tableau4[Montant imputé],Tableau4[Matricule cabinet],Tableau5[[#This Row],[Matricule cabinet]],Tableau4[Type d''imputation],"leave")</f>
        <v>0</v>
      </c>
      <c r="G288" s="7">
        <f>SUMIFS(Tableau4[Montant imputé],Tableau4[Matricule cabinet],Tableau5[[#This Row],[Matricule cabinet]],Tableau4[Type d''imputation],"absence")</f>
        <v>0</v>
      </c>
      <c r="H288" s="7">
        <f>SUM(Tableau5[[#This Row],[B WK]:[Unpaid leave WK]])</f>
        <v>20</v>
      </c>
    </row>
    <row r="289" spans="1:8">
      <c r="A289" s="7" t="s">
        <v>1295</v>
      </c>
      <c r="B289" s="7" t="s">
        <v>1296</v>
      </c>
      <c r="C289" s="7" t="s">
        <v>863</v>
      </c>
      <c r="D289" s="7">
        <f>SUMIFS(Tableau4[Montant imputé],Tableau4[Matricule cabinet],Tableau5[[#This Row],[Matricule cabinet]],Tableau4[Type d''imputation],"sale order")</f>
        <v>9.5</v>
      </c>
      <c r="E28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10.5</v>
      </c>
      <c r="F289" s="7">
        <f>SUMIFS(Tableau4[Montant imputé],Tableau4[Matricule cabinet],Tableau5[[#This Row],[Matricule cabinet]],Tableau4[Type d''imputation],"leave")</f>
        <v>0</v>
      </c>
      <c r="G289" s="7">
        <f>SUMIFS(Tableau4[Montant imputé],Tableau4[Matricule cabinet],Tableau5[[#This Row],[Matricule cabinet]],Tableau4[Type d''imputation],"absence")</f>
        <v>0</v>
      </c>
      <c r="H289" s="7">
        <f>SUM(Tableau5[[#This Row],[B WK]:[Unpaid leave WK]])</f>
        <v>20</v>
      </c>
    </row>
    <row r="290" spans="1:8">
      <c r="A290" s="7" t="s">
        <v>1301</v>
      </c>
      <c r="B290" s="7" t="s">
        <v>1302</v>
      </c>
      <c r="C290" s="7" t="s">
        <v>4</v>
      </c>
      <c r="D290" s="7">
        <f>SUMIFS(Tableau4[Montant imputé],Tableau4[Matricule cabinet],Tableau5[[#This Row],[Matricule cabinet]],Tableau4[Type d''imputation],"sale order")</f>
        <v>0</v>
      </c>
      <c r="E29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290" s="7">
        <f>SUMIFS(Tableau4[Montant imputé],Tableau4[Matricule cabinet],Tableau5[[#This Row],[Matricule cabinet]],Tableau4[Type d''imputation],"leave")</f>
        <v>0</v>
      </c>
      <c r="G290" s="7">
        <f>SUMIFS(Tableau4[Montant imputé],Tableau4[Matricule cabinet],Tableau5[[#This Row],[Matricule cabinet]],Tableau4[Type d''imputation],"absence")</f>
        <v>11</v>
      </c>
      <c r="H290" s="7">
        <f>SUM(Tableau5[[#This Row],[B WK]:[Unpaid leave WK]])</f>
        <v>20</v>
      </c>
    </row>
    <row r="291" spans="1:8">
      <c r="A291" s="7" t="s">
        <v>724</v>
      </c>
      <c r="B291" s="7" t="s">
        <v>725</v>
      </c>
      <c r="C291" s="7" t="s">
        <v>25</v>
      </c>
      <c r="D291" s="7">
        <f>SUMIFS(Tableau4[Montant imputé],Tableau4[Matricule cabinet],Tableau5[[#This Row],[Matricule cabinet]],Tableau4[Type d''imputation],"sale order")</f>
        <v>5</v>
      </c>
      <c r="E29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291" s="7">
        <f>SUMIFS(Tableau4[Montant imputé],Tableau4[Matricule cabinet],Tableau5[[#This Row],[Matricule cabinet]],Tableau4[Type d''imputation],"leave")</f>
        <v>0</v>
      </c>
      <c r="G291" s="7">
        <f>SUMIFS(Tableau4[Montant imputé],Tableau4[Matricule cabinet],Tableau5[[#This Row],[Matricule cabinet]],Tableau4[Type d''imputation],"absence")</f>
        <v>1</v>
      </c>
      <c r="H291" s="7">
        <f>SUM(Tableau5[[#This Row],[B WK]:[Unpaid leave WK]])</f>
        <v>20</v>
      </c>
    </row>
    <row r="292" spans="1:8">
      <c r="A292" s="7" t="s">
        <v>823</v>
      </c>
      <c r="B292" s="7" t="s">
        <v>824</v>
      </c>
      <c r="C292" s="7" t="s">
        <v>2</v>
      </c>
      <c r="D292" s="7">
        <f>SUMIFS(Tableau4[Montant imputé],Tableau4[Matricule cabinet],Tableau5[[#This Row],[Matricule cabinet]],Tableau4[Type d''imputation],"sale order")</f>
        <v>19</v>
      </c>
      <c r="E29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292" s="7">
        <f>SUMIFS(Tableau4[Montant imputé],Tableau4[Matricule cabinet],Tableau5[[#This Row],[Matricule cabinet]],Tableau4[Type d''imputation],"leave")</f>
        <v>0</v>
      </c>
      <c r="G292" s="7">
        <f>SUMIFS(Tableau4[Montant imputé],Tableau4[Matricule cabinet],Tableau5[[#This Row],[Matricule cabinet]],Tableau4[Type d''imputation],"absence")</f>
        <v>0</v>
      </c>
      <c r="H292" s="7">
        <f>SUM(Tableau5[[#This Row],[B WK]:[Unpaid leave WK]])</f>
        <v>20</v>
      </c>
    </row>
    <row r="293" spans="1:8">
      <c r="A293" s="7" t="s">
        <v>1123</v>
      </c>
      <c r="B293" s="7" t="s">
        <v>1124</v>
      </c>
      <c r="C293" s="7" t="s">
        <v>73</v>
      </c>
      <c r="D293" s="7">
        <f>SUMIFS(Tableau4[Montant imputé],Tableau4[Matricule cabinet],Tableau5[[#This Row],[Matricule cabinet]],Tableau4[Type d''imputation],"sale order")</f>
        <v>20</v>
      </c>
      <c r="E29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293" s="7">
        <f>SUMIFS(Tableau4[Montant imputé],Tableau4[Matricule cabinet],Tableau5[[#This Row],[Matricule cabinet]],Tableau4[Type d''imputation],"leave")</f>
        <v>0</v>
      </c>
      <c r="G293" s="7">
        <f>SUMIFS(Tableau4[Montant imputé],Tableau4[Matricule cabinet],Tableau5[[#This Row],[Matricule cabinet]],Tableau4[Type d''imputation],"absence")</f>
        <v>0</v>
      </c>
      <c r="H293" s="7">
        <f>SUM(Tableau5[[#This Row],[B WK]:[Unpaid leave WK]])</f>
        <v>20</v>
      </c>
    </row>
    <row r="294" spans="1:8">
      <c r="A294" s="7" t="s">
        <v>1140</v>
      </c>
      <c r="B294" s="7" t="s">
        <v>1141</v>
      </c>
      <c r="C294" s="7" t="s">
        <v>19</v>
      </c>
      <c r="D294" s="7">
        <f>SUMIFS(Tableau4[Montant imputé],Tableau4[Matricule cabinet],Tableau5[[#This Row],[Matricule cabinet]],Tableau4[Type d''imputation],"sale order")</f>
        <v>19.5</v>
      </c>
      <c r="E29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294" s="7">
        <f>SUMIFS(Tableau4[Montant imputé],Tableau4[Matricule cabinet],Tableau5[[#This Row],[Matricule cabinet]],Tableau4[Type d''imputation],"leave")</f>
        <v>0</v>
      </c>
      <c r="G294" s="7">
        <f>SUMIFS(Tableau4[Montant imputé],Tableau4[Matricule cabinet],Tableau5[[#This Row],[Matricule cabinet]],Tableau4[Type d''imputation],"absence")</f>
        <v>0</v>
      </c>
      <c r="H294" s="7">
        <f>SUM(Tableau5[[#This Row],[B WK]:[Unpaid leave WK]])</f>
        <v>20</v>
      </c>
    </row>
    <row r="295" spans="1:8">
      <c r="A295" s="7" t="s">
        <v>1263</v>
      </c>
      <c r="B295" s="7" t="s">
        <v>1264</v>
      </c>
      <c r="C295" s="7" t="s">
        <v>3</v>
      </c>
      <c r="D295" s="7">
        <f>SUMIFS(Tableau4[Montant imputé],Tableau4[Matricule cabinet],Tableau5[[#This Row],[Matricule cabinet]],Tableau4[Type d''imputation],"sale order")</f>
        <v>0</v>
      </c>
      <c r="E29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295" s="7">
        <f>SUMIFS(Tableau4[Montant imputé],Tableau4[Matricule cabinet],Tableau5[[#This Row],[Matricule cabinet]],Tableau4[Type d''imputation],"leave")</f>
        <v>1</v>
      </c>
      <c r="G295" s="7">
        <f>SUMIFS(Tableau4[Montant imputé],Tableau4[Matricule cabinet],Tableau5[[#This Row],[Matricule cabinet]],Tableau4[Type d''imputation],"absence")</f>
        <v>0</v>
      </c>
      <c r="H295" s="7">
        <f>SUM(Tableau5[[#This Row],[B WK]:[Unpaid leave WK]])</f>
        <v>20</v>
      </c>
    </row>
    <row r="296" spans="1:8">
      <c r="A296" s="7" t="s">
        <v>1514</v>
      </c>
      <c r="B296" s="7" t="s">
        <v>1515</v>
      </c>
      <c r="C296" s="7" t="s">
        <v>72</v>
      </c>
      <c r="D296" s="7">
        <f>SUMIFS(Tableau4[Montant imputé],Tableau4[Matricule cabinet],Tableau5[[#This Row],[Matricule cabinet]],Tableau4[Type d''imputation],"sale order")</f>
        <v>18</v>
      </c>
      <c r="E29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296" s="7">
        <f>SUMIFS(Tableau4[Montant imputé],Tableau4[Matricule cabinet],Tableau5[[#This Row],[Matricule cabinet]],Tableau4[Type d''imputation],"leave")</f>
        <v>0</v>
      </c>
      <c r="G296" s="7">
        <f>SUMIFS(Tableau4[Montant imputé],Tableau4[Matricule cabinet],Tableau5[[#This Row],[Matricule cabinet]],Tableau4[Type d''imputation],"absence")</f>
        <v>0</v>
      </c>
      <c r="H296" s="7">
        <f>SUM(Tableau5[[#This Row],[B WK]:[Unpaid leave WK]])</f>
        <v>20</v>
      </c>
    </row>
    <row r="297" spans="1:8">
      <c r="A297" s="7" t="s">
        <v>1292</v>
      </c>
      <c r="B297" s="7" t="s">
        <v>74</v>
      </c>
      <c r="C297" s="7" t="s">
        <v>90</v>
      </c>
      <c r="D297" s="7">
        <f>SUMIFS(Tableau4[Montant imputé],Tableau4[Matricule cabinet],Tableau5[[#This Row],[Matricule cabinet]],Tableau4[Type d''imputation],"sale order")</f>
        <v>0</v>
      </c>
      <c r="E29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</v>
      </c>
      <c r="F297" s="7">
        <f>SUMIFS(Tableau4[Montant imputé],Tableau4[Matricule cabinet],Tableau5[[#This Row],[Matricule cabinet]],Tableau4[Type d''imputation],"leave")</f>
        <v>0</v>
      </c>
      <c r="G297" s="7">
        <f>SUMIFS(Tableau4[Montant imputé],Tableau4[Matricule cabinet],Tableau5[[#This Row],[Matricule cabinet]],Tableau4[Type d''imputation],"absence")</f>
        <v>4</v>
      </c>
      <c r="H297" s="7">
        <f>SUM(Tableau5[[#This Row],[B WK]:[Unpaid leave WK]])</f>
        <v>20</v>
      </c>
    </row>
    <row r="298" spans="1:8">
      <c r="A298" s="7" t="s">
        <v>275</v>
      </c>
      <c r="B298" s="7" t="s">
        <v>276</v>
      </c>
      <c r="C298" s="7" t="s">
        <v>49</v>
      </c>
      <c r="D298" s="7">
        <f>SUMIFS(Tableau4[Montant imputé],Tableau4[Matricule cabinet],Tableau5[[#This Row],[Matricule cabinet]],Tableau4[Type d''imputation],"sale order")</f>
        <v>9</v>
      </c>
      <c r="E29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298" s="7">
        <f>SUMIFS(Tableau4[Montant imputé],Tableau4[Matricule cabinet],Tableau5[[#This Row],[Matricule cabinet]],Tableau4[Type d''imputation],"leave")</f>
        <v>3</v>
      </c>
      <c r="G298" s="7">
        <f>SUMIFS(Tableau4[Montant imputé],Tableau4[Matricule cabinet],Tableau5[[#This Row],[Matricule cabinet]],Tableau4[Type d''imputation],"absence")</f>
        <v>0</v>
      </c>
      <c r="H298" s="7">
        <f>SUM(Tableau5[[#This Row],[B WK]:[Unpaid leave WK]])</f>
        <v>20</v>
      </c>
    </row>
    <row r="299" spans="1:8">
      <c r="A299" s="7" t="s">
        <v>518</v>
      </c>
      <c r="B299" s="7" t="s">
        <v>519</v>
      </c>
      <c r="C299" s="7" t="s">
        <v>520</v>
      </c>
      <c r="D299" s="7">
        <f>SUMIFS(Tableau4[Montant imputé],Tableau4[Matricule cabinet],Tableau5[[#This Row],[Matricule cabinet]],Tableau4[Type d''imputation],"sale order")</f>
        <v>8</v>
      </c>
      <c r="E29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299" s="7">
        <f>SUMIFS(Tableau4[Montant imputé],Tableau4[Matricule cabinet],Tableau5[[#This Row],[Matricule cabinet]],Tableau4[Type d''imputation],"leave")</f>
        <v>3</v>
      </c>
      <c r="G299" s="7">
        <f>SUMIFS(Tableau4[Montant imputé],Tableau4[Matricule cabinet],Tableau5[[#This Row],[Matricule cabinet]],Tableau4[Type d''imputation],"absence")</f>
        <v>0</v>
      </c>
      <c r="H299" s="7">
        <f>SUM(Tableau5[[#This Row],[B WK]:[Unpaid leave WK]])</f>
        <v>20</v>
      </c>
    </row>
    <row r="300" spans="1:8">
      <c r="A300" s="7" t="s">
        <v>368</v>
      </c>
      <c r="B300" s="7" t="s">
        <v>369</v>
      </c>
      <c r="C300" s="7" t="s">
        <v>67</v>
      </c>
      <c r="D300" s="7">
        <f>SUMIFS(Tableau4[Montant imputé],Tableau4[Matricule cabinet],Tableau5[[#This Row],[Matricule cabinet]],Tableau4[Type d''imputation],"sale order")</f>
        <v>18</v>
      </c>
      <c r="E30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00" s="7">
        <f>SUMIFS(Tableau4[Montant imputé],Tableau4[Matricule cabinet],Tableau5[[#This Row],[Matricule cabinet]],Tableau4[Type d''imputation],"leave")</f>
        <v>2</v>
      </c>
      <c r="G300" s="7">
        <f>SUMIFS(Tableau4[Montant imputé],Tableau4[Matricule cabinet],Tableau5[[#This Row],[Matricule cabinet]],Tableau4[Type d''imputation],"absence")</f>
        <v>0</v>
      </c>
      <c r="H300" s="7">
        <f>SUM(Tableau5[[#This Row],[B WK]:[Unpaid leave WK]])</f>
        <v>20</v>
      </c>
    </row>
    <row r="301" spans="1:8">
      <c r="A301" s="7" t="s">
        <v>1000</v>
      </c>
      <c r="B301" s="7" t="s">
        <v>1001</v>
      </c>
      <c r="C301" s="7" t="s">
        <v>577</v>
      </c>
      <c r="D301" s="7">
        <f>SUMIFS(Tableau4[Montant imputé],Tableau4[Matricule cabinet],Tableau5[[#This Row],[Matricule cabinet]],Tableau4[Type d''imputation],"sale order")</f>
        <v>18</v>
      </c>
      <c r="E30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01" s="7">
        <f>SUMIFS(Tableau4[Montant imputé],Tableau4[Matricule cabinet],Tableau5[[#This Row],[Matricule cabinet]],Tableau4[Type d''imputation],"leave")</f>
        <v>2</v>
      </c>
      <c r="G301" s="7">
        <f>SUMIFS(Tableau4[Montant imputé],Tableau4[Matricule cabinet],Tableau5[[#This Row],[Matricule cabinet]],Tableau4[Type d''imputation],"absence")</f>
        <v>0</v>
      </c>
      <c r="H301" s="7">
        <f>SUM(Tableau5[[#This Row],[B WK]:[Unpaid leave WK]])</f>
        <v>20</v>
      </c>
    </row>
    <row r="302" spans="1:8">
      <c r="A302" s="7" t="s">
        <v>573</v>
      </c>
      <c r="B302" s="7" t="s">
        <v>25</v>
      </c>
      <c r="C302" s="7" t="s">
        <v>29</v>
      </c>
      <c r="D302" s="7">
        <f>SUMIFS(Tableau4[Montant imputé],Tableau4[Matricule cabinet],Tableau5[[#This Row],[Matricule cabinet]],Tableau4[Type d''imputation],"sale order")</f>
        <v>20</v>
      </c>
      <c r="E30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02" s="7">
        <f>SUMIFS(Tableau4[Montant imputé],Tableau4[Matricule cabinet],Tableau5[[#This Row],[Matricule cabinet]],Tableau4[Type d''imputation],"leave")</f>
        <v>0</v>
      </c>
      <c r="G302" s="7">
        <f>SUMIFS(Tableau4[Montant imputé],Tableau4[Matricule cabinet],Tableau5[[#This Row],[Matricule cabinet]],Tableau4[Type d''imputation],"absence")</f>
        <v>0</v>
      </c>
      <c r="H302" s="7">
        <f>SUM(Tableau5[[#This Row],[B WK]:[Unpaid leave WK]])</f>
        <v>20</v>
      </c>
    </row>
    <row r="303" spans="1:8">
      <c r="A303" s="7" t="s">
        <v>223</v>
      </c>
      <c r="B303" s="7" t="s">
        <v>224</v>
      </c>
      <c r="C303" s="7" t="s">
        <v>52</v>
      </c>
      <c r="D303" s="7">
        <f>SUMIFS(Tableau4[Montant imputé],Tableau4[Matricule cabinet],Tableau5[[#This Row],[Matricule cabinet]],Tableau4[Type d''imputation],"sale order")</f>
        <v>0</v>
      </c>
      <c r="E30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03" s="7">
        <f>SUMIFS(Tableau4[Montant imputé],Tableau4[Matricule cabinet],Tableau5[[#This Row],[Matricule cabinet]],Tableau4[Type d''imputation],"leave")</f>
        <v>0</v>
      </c>
      <c r="G303" s="7">
        <f>SUMIFS(Tableau4[Montant imputé],Tableau4[Matricule cabinet],Tableau5[[#This Row],[Matricule cabinet]],Tableau4[Type d''imputation],"absence")</f>
        <v>0</v>
      </c>
      <c r="H303" s="7">
        <f>SUM(Tableau5[[#This Row],[B WK]:[Unpaid leave WK]])</f>
        <v>20</v>
      </c>
    </row>
    <row r="304" spans="1:8">
      <c r="A304" s="7" t="s">
        <v>1276</v>
      </c>
      <c r="B304" s="7" t="s">
        <v>1277</v>
      </c>
      <c r="C304" s="7" t="s">
        <v>27</v>
      </c>
      <c r="D304" s="7">
        <f>SUMIFS(Tableau4[Montant imputé],Tableau4[Matricule cabinet],Tableau5[[#This Row],[Matricule cabinet]],Tableau4[Type d''imputation],"sale order")</f>
        <v>17.5</v>
      </c>
      <c r="E30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04" s="7">
        <f>SUMIFS(Tableau4[Montant imputé],Tableau4[Matricule cabinet],Tableau5[[#This Row],[Matricule cabinet]],Tableau4[Type d''imputation],"leave")</f>
        <v>2.5</v>
      </c>
      <c r="G304" s="7">
        <f>SUMIFS(Tableau4[Montant imputé],Tableau4[Matricule cabinet],Tableau5[[#This Row],[Matricule cabinet]],Tableau4[Type d''imputation],"absence")</f>
        <v>0</v>
      </c>
      <c r="H304" s="7">
        <f>SUM(Tableau5[[#This Row],[B WK]:[Unpaid leave WK]])</f>
        <v>20</v>
      </c>
    </row>
    <row r="305" spans="1:8">
      <c r="A305" s="7" t="s">
        <v>1016</v>
      </c>
      <c r="B305" s="7" t="s">
        <v>1017</v>
      </c>
      <c r="C305" s="7" t="s">
        <v>13</v>
      </c>
      <c r="D305" s="7">
        <f>SUMIFS(Tableau4[Montant imputé],Tableau4[Matricule cabinet],Tableau5[[#This Row],[Matricule cabinet]],Tableau4[Type d''imputation],"sale order")</f>
        <v>18</v>
      </c>
      <c r="E30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305" s="7">
        <f>SUMIFS(Tableau4[Montant imputé],Tableau4[Matricule cabinet],Tableau5[[#This Row],[Matricule cabinet]],Tableau4[Type d''imputation],"leave")</f>
        <v>0</v>
      </c>
      <c r="G305" s="7">
        <f>SUMIFS(Tableau4[Montant imputé],Tableau4[Matricule cabinet],Tableau5[[#This Row],[Matricule cabinet]],Tableau4[Type d''imputation],"absence")</f>
        <v>0</v>
      </c>
      <c r="H305" s="7">
        <f>SUM(Tableau5[[#This Row],[B WK]:[Unpaid leave WK]])</f>
        <v>20</v>
      </c>
    </row>
    <row r="306" spans="1:8">
      <c r="A306" s="7" t="s">
        <v>203</v>
      </c>
      <c r="B306" s="7" t="s">
        <v>204</v>
      </c>
      <c r="C306" s="7" t="s">
        <v>11</v>
      </c>
      <c r="D306" s="7">
        <f>SUMIFS(Tableau4[Montant imputé],Tableau4[Matricule cabinet],Tableau5[[#This Row],[Matricule cabinet]],Tableau4[Type d''imputation],"sale order")</f>
        <v>0</v>
      </c>
      <c r="E30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18</v>
      </c>
      <c r="F306" s="7">
        <f>SUMIFS(Tableau4[Montant imputé],Tableau4[Matricule cabinet],Tableau5[[#This Row],[Matricule cabinet]],Tableau4[Type d''imputation],"leave")</f>
        <v>2</v>
      </c>
      <c r="G306" s="7">
        <f>SUMIFS(Tableau4[Montant imputé],Tableau4[Matricule cabinet],Tableau5[[#This Row],[Matricule cabinet]],Tableau4[Type d''imputation],"absence")</f>
        <v>0</v>
      </c>
      <c r="H306" s="7">
        <f>SUM(Tableau5[[#This Row],[B WK]:[Unpaid leave WK]])</f>
        <v>20</v>
      </c>
    </row>
    <row r="307" spans="1:8">
      <c r="A307" s="7" t="s">
        <v>1379</v>
      </c>
      <c r="B307" s="7" t="s">
        <v>1380</v>
      </c>
      <c r="C307" s="7" t="s">
        <v>78</v>
      </c>
      <c r="D307" s="7">
        <f>SUMIFS(Tableau4[Montant imputé],Tableau4[Matricule cabinet],Tableau5[[#This Row],[Matricule cabinet]],Tableau4[Type d''imputation],"sale order")</f>
        <v>19</v>
      </c>
      <c r="E30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07" s="7">
        <f>SUMIFS(Tableau4[Montant imputé],Tableau4[Matricule cabinet],Tableau5[[#This Row],[Matricule cabinet]],Tableau4[Type d''imputation],"leave")</f>
        <v>1</v>
      </c>
      <c r="G307" s="7">
        <f>SUMIFS(Tableau4[Montant imputé],Tableau4[Matricule cabinet],Tableau5[[#This Row],[Matricule cabinet]],Tableau4[Type d''imputation],"absence")</f>
        <v>0</v>
      </c>
      <c r="H307" s="7">
        <f>SUM(Tableau5[[#This Row],[B WK]:[Unpaid leave WK]])</f>
        <v>20</v>
      </c>
    </row>
    <row r="308" spans="1:8">
      <c r="A308" s="7" t="s">
        <v>1305</v>
      </c>
      <c r="B308" s="7" t="s">
        <v>1306</v>
      </c>
      <c r="C308" s="7" t="s">
        <v>41</v>
      </c>
      <c r="D308" s="7">
        <f>SUMIFS(Tableau4[Montant imputé],Tableau4[Matricule cabinet],Tableau5[[#This Row],[Matricule cabinet]],Tableau4[Type d''imputation],"sale order")</f>
        <v>12.5</v>
      </c>
      <c r="E30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08" s="7">
        <f>SUMIFS(Tableau4[Montant imputé],Tableau4[Matricule cabinet],Tableau5[[#This Row],[Matricule cabinet]],Tableau4[Type d''imputation],"leave")</f>
        <v>7.5</v>
      </c>
      <c r="G308" s="7">
        <f>SUMIFS(Tableau4[Montant imputé],Tableau4[Matricule cabinet],Tableau5[[#This Row],[Matricule cabinet]],Tableau4[Type d''imputation],"absence")</f>
        <v>0</v>
      </c>
      <c r="H308" s="7">
        <f>SUM(Tableau5[[#This Row],[B WK]:[Unpaid leave WK]])</f>
        <v>20</v>
      </c>
    </row>
    <row r="309" spans="1:8">
      <c r="A309" s="7" t="s">
        <v>1039</v>
      </c>
      <c r="B309" s="7" t="s">
        <v>1040</v>
      </c>
      <c r="C309" s="7" t="s">
        <v>44</v>
      </c>
      <c r="D309" s="7">
        <f>SUMIFS(Tableau4[Montant imputé],Tableau4[Matricule cabinet],Tableau5[[#This Row],[Matricule cabinet]],Tableau4[Type d''imputation],"sale order")</f>
        <v>16</v>
      </c>
      <c r="E30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09" s="7">
        <f>SUMIFS(Tableau4[Montant imputé],Tableau4[Matricule cabinet],Tableau5[[#This Row],[Matricule cabinet]],Tableau4[Type d''imputation],"leave")</f>
        <v>4</v>
      </c>
      <c r="G309" s="7">
        <f>SUMIFS(Tableau4[Montant imputé],Tableau4[Matricule cabinet],Tableau5[[#This Row],[Matricule cabinet]],Tableau4[Type d''imputation],"absence")</f>
        <v>0</v>
      </c>
      <c r="H309" s="7">
        <f>SUM(Tableau5[[#This Row],[B WK]:[Unpaid leave WK]])</f>
        <v>20</v>
      </c>
    </row>
    <row r="310" spans="1:8">
      <c r="A310" s="7" t="s">
        <v>244</v>
      </c>
      <c r="B310" s="7" t="s">
        <v>245</v>
      </c>
      <c r="C310" s="7" t="s">
        <v>62</v>
      </c>
      <c r="D310" s="7">
        <f>SUMIFS(Tableau4[Montant imputé],Tableau4[Matricule cabinet],Tableau5[[#This Row],[Matricule cabinet]],Tableau4[Type d''imputation],"sale order")</f>
        <v>20</v>
      </c>
      <c r="E31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10" s="7">
        <f>SUMIFS(Tableau4[Montant imputé],Tableau4[Matricule cabinet],Tableau5[[#This Row],[Matricule cabinet]],Tableau4[Type d''imputation],"leave")</f>
        <v>0</v>
      </c>
      <c r="G310" s="7">
        <f>SUMIFS(Tableau4[Montant imputé],Tableau4[Matricule cabinet],Tableau5[[#This Row],[Matricule cabinet]],Tableau4[Type d''imputation],"absence")</f>
        <v>0</v>
      </c>
      <c r="H310" s="7">
        <f>SUM(Tableau5[[#This Row],[B WK]:[Unpaid leave WK]])</f>
        <v>20</v>
      </c>
    </row>
    <row r="311" spans="1:8">
      <c r="A311" s="7" t="s">
        <v>387</v>
      </c>
      <c r="B311" s="7" t="s">
        <v>388</v>
      </c>
      <c r="C311" s="7" t="s">
        <v>7</v>
      </c>
      <c r="D311" s="7">
        <f>SUMIFS(Tableau4[Montant imputé],Tableau4[Matricule cabinet],Tableau5[[#This Row],[Matricule cabinet]],Tableau4[Type d''imputation],"sale order")</f>
        <v>18</v>
      </c>
      <c r="E31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11" s="7">
        <f>SUMIFS(Tableau4[Montant imputé],Tableau4[Matricule cabinet],Tableau5[[#This Row],[Matricule cabinet]],Tableau4[Type d''imputation],"leave")</f>
        <v>2</v>
      </c>
      <c r="G311" s="7">
        <f>SUMIFS(Tableau4[Montant imputé],Tableau4[Matricule cabinet],Tableau5[[#This Row],[Matricule cabinet]],Tableau4[Type d''imputation],"absence")</f>
        <v>0</v>
      </c>
      <c r="H311" s="7">
        <f>SUM(Tableau5[[#This Row],[B WK]:[Unpaid leave WK]])</f>
        <v>20</v>
      </c>
    </row>
    <row r="312" spans="1:8">
      <c r="A312" s="7" t="s">
        <v>693</v>
      </c>
      <c r="B312" s="7" t="s">
        <v>694</v>
      </c>
      <c r="C312" s="7" t="s">
        <v>46</v>
      </c>
      <c r="D312" s="7">
        <f>SUMIFS(Tableau4[Montant imputé],Tableau4[Matricule cabinet],Tableau5[[#This Row],[Matricule cabinet]],Tableau4[Type d''imputation],"sale order")</f>
        <v>0</v>
      </c>
      <c r="E31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312" s="7">
        <f>SUMIFS(Tableau4[Montant imputé],Tableau4[Matricule cabinet],Tableau5[[#This Row],[Matricule cabinet]],Tableau4[Type d''imputation],"leave")</f>
        <v>0</v>
      </c>
      <c r="G312" s="7">
        <f>SUMIFS(Tableau4[Montant imputé],Tableau4[Matricule cabinet],Tableau5[[#This Row],[Matricule cabinet]],Tableau4[Type d''imputation],"absence")</f>
        <v>6</v>
      </c>
      <c r="H312" s="7">
        <f>SUM(Tableau5[[#This Row],[B WK]:[Unpaid leave WK]])</f>
        <v>20</v>
      </c>
    </row>
    <row r="313" spans="1:8">
      <c r="A313" s="7" t="s">
        <v>499</v>
      </c>
      <c r="B313" s="7" t="s">
        <v>500</v>
      </c>
      <c r="C313" s="7" t="s">
        <v>143</v>
      </c>
      <c r="D313" s="7">
        <f>SUMIFS(Tableau4[Montant imputé],Tableau4[Matricule cabinet],Tableau5[[#This Row],[Matricule cabinet]],Tableau4[Type d''imputation],"sale order")</f>
        <v>20</v>
      </c>
      <c r="E31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13" s="7">
        <f>SUMIFS(Tableau4[Montant imputé],Tableau4[Matricule cabinet],Tableau5[[#This Row],[Matricule cabinet]],Tableau4[Type d''imputation],"leave")</f>
        <v>0</v>
      </c>
      <c r="G313" s="7">
        <f>SUMIFS(Tableau4[Montant imputé],Tableau4[Matricule cabinet],Tableau5[[#This Row],[Matricule cabinet]],Tableau4[Type d''imputation],"absence")</f>
        <v>0</v>
      </c>
      <c r="H313" s="7">
        <f>SUM(Tableau5[[#This Row],[B WK]:[Unpaid leave WK]])</f>
        <v>20</v>
      </c>
    </row>
    <row r="314" spans="1:8">
      <c r="A314" s="7" t="s">
        <v>205</v>
      </c>
      <c r="B314" s="7" t="s">
        <v>206</v>
      </c>
      <c r="C314" s="7" t="s">
        <v>11</v>
      </c>
      <c r="D314" s="7">
        <f>SUMIFS(Tableau4[Montant imputé],Tableau4[Matricule cabinet],Tableau5[[#This Row],[Matricule cabinet]],Tableau4[Type d''imputation],"sale order")</f>
        <v>19</v>
      </c>
      <c r="E31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14" s="7">
        <f>SUMIFS(Tableau4[Montant imputé],Tableau4[Matricule cabinet],Tableau5[[#This Row],[Matricule cabinet]],Tableau4[Type d''imputation],"leave")</f>
        <v>1</v>
      </c>
      <c r="G314" s="7">
        <f>SUMIFS(Tableau4[Montant imputé],Tableau4[Matricule cabinet],Tableau5[[#This Row],[Matricule cabinet]],Tableau4[Type d''imputation],"absence")</f>
        <v>0</v>
      </c>
      <c r="H314" s="7">
        <f>SUM(Tableau5[[#This Row],[B WK]:[Unpaid leave WK]])</f>
        <v>20</v>
      </c>
    </row>
    <row r="315" spans="1:8">
      <c r="A315" s="7" t="s">
        <v>667</v>
      </c>
      <c r="B315" s="7" t="s">
        <v>91</v>
      </c>
      <c r="C315" s="7" t="s">
        <v>39</v>
      </c>
      <c r="D315" s="7">
        <f>SUMIFS(Tableau4[Montant imputé],Tableau4[Matricule cabinet],Tableau5[[#This Row],[Matricule cabinet]],Tableau4[Type d''imputation],"sale order")</f>
        <v>0</v>
      </c>
      <c r="E31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15" s="7">
        <f>SUMIFS(Tableau4[Montant imputé],Tableau4[Matricule cabinet],Tableau5[[#This Row],[Matricule cabinet]],Tableau4[Type d''imputation],"leave")</f>
        <v>0</v>
      </c>
      <c r="G315" s="7">
        <f>SUMIFS(Tableau4[Montant imputé],Tableau4[Matricule cabinet],Tableau5[[#This Row],[Matricule cabinet]],Tableau4[Type d''imputation],"absence")</f>
        <v>0</v>
      </c>
      <c r="H315" s="7">
        <f>SUM(Tableau5[[#This Row],[B WK]:[Unpaid leave WK]])</f>
        <v>20</v>
      </c>
    </row>
    <row r="316" spans="1:8">
      <c r="A316" s="7" t="s">
        <v>1468</v>
      </c>
      <c r="B316" s="7" t="s">
        <v>1469</v>
      </c>
      <c r="C316" s="7" t="s">
        <v>63</v>
      </c>
      <c r="D316" s="7">
        <f>SUMIFS(Tableau4[Montant imputé],Tableau4[Matricule cabinet],Tableau5[[#This Row],[Matricule cabinet]],Tableau4[Type d''imputation],"sale order")</f>
        <v>10</v>
      </c>
      <c r="E31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16" s="7">
        <f>SUMIFS(Tableau4[Montant imputé],Tableau4[Matricule cabinet],Tableau5[[#This Row],[Matricule cabinet]],Tableau4[Type d''imputation],"leave")</f>
        <v>0</v>
      </c>
      <c r="G316" s="7">
        <f>SUMIFS(Tableau4[Montant imputé],Tableau4[Matricule cabinet],Tableau5[[#This Row],[Matricule cabinet]],Tableau4[Type d''imputation],"absence")</f>
        <v>10</v>
      </c>
      <c r="H316" s="7">
        <f>SUM(Tableau5[[#This Row],[B WK]:[Unpaid leave WK]])</f>
        <v>20</v>
      </c>
    </row>
    <row r="317" spans="1:8">
      <c r="A317" s="7" t="s">
        <v>898</v>
      </c>
      <c r="B317" s="7" t="s">
        <v>899</v>
      </c>
      <c r="C317" s="7" t="s">
        <v>18</v>
      </c>
      <c r="D317" s="7">
        <f>SUMIFS(Tableau4[Montant imputé],Tableau4[Matricule cabinet],Tableau5[[#This Row],[Matricule cabinet]],Tableau4[Type d''imputation],"sale order")</f>
        <v>9</v>
      </c>
      <c r="E31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</v>
      </c>
      <c r="F317" s="7">
        <f>SUMIFS(Tableau4[Montant imputé],Tableau4[Matricule cabinet],Tableau5[[#This Row],[Matricule cabinet]],Tableau4[Type d''imputation],"leave")</f>
        <v>1</v>
      </c>
      <c r="G317" s="7">
        <f>SUMIFS(Tableau4[Montant imputé],Tableau4[Matricule cabinet],Tableau5[[#This Row],[Matricule cabinet]],Tableau4[Type d''imputation],"absence")</f>
        <v>0</v>
      </c>
      <c r="H317" s="7">
        <f>SUM(Tableau5[[#This Row],[B WK]:[Unpaid leave WK]])</f>
        <v>20</v>
      </c>
    </row>
    <row r="318" spans="1:8">
      <c r="A318" s="7" t="s">
        <v>351</v>
      </c>
      <c r="B318" s="7" t="s">
        <v>352</v>
      </c>
      <c r="C318" s="7" t="s">
        <v>61</v>
      </c>
      <c r="D318" s="7">
        <f>SUMIFS(Tableau4[Montant imputé],Tableau4[Matricule cabinet],Tableau5[[#This Row],[Matricule cabinet]],Tableau4[Type d''imputation],"sale order")</f>
        <v>19</v>
      </c>
      <c r="E31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18" s="7">
        <f>SUMIFS(Tableau4[Montant imputé],Tableau4[Matricule cabinet],Tableau5[[#This Row],[Matricule cabinet]],Tableau4[Type d''imputation],"leave")</f>
        <v>1</v>
      </c>
      <c r="G318" s="7">
        <f>SUMIFS(Tableau4[Montant imputé],Tableau4[Matricule cabinet],Tableau5[[#This Row],[Matricule cabinet]],Tableau4[Type d''imputation],"absence")</f>
        <v>0</v>
      </c>
      <c r="H318" s="7">
        <f>SUM(Tableau5[[#This Row],[B WK]:[Unpaid leave WK]])</f>
        <v>20</v>
      </c>
    </row>
    <row r="319" spans="1:8">
      <c r="A319" s="7" t="s">
        <v>979</v>
      </c>
      <c r="B319" s="7" t="s">
        <v>980</v>
      </c>
      <c r="C319" s="7" t="s">
        <v>55</v>
      </c>
      <c r="D319" s="7">
        <f>SUMIFS(Tableau4[Montant imputé],Tableau4[Matricule cabinet],Tableau5[[#This Row],[Matricule cabinet]],Tableau4[Type d''imputation],"sale order")</f>
        <v>17</v>
      </c>
      <c r="E31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319" s="7">
        <f>SUMIFS(Tableau4[Montant imputé],Tableau4[Matricule cabinet],Tableau5[[#This Row],[Matricule cabinet]],Tableau4[Type d''imputation],"leave")</f>
        <v>2</v>
      </c>
      <c r="G319" s="7">
        <f>SUMIFS(Tableau4[Montant imputé],Tableau4[Matricule cabinet],Tableau5[[#This Row],[Matricule cabinet]],Tableau4[Type d''imputation],"absence")</f>
        <v>0</v>
      </c>
      <c r="H319" s="7">
        <f>SUM(Tableau5[[#This Row],[B WK]:[Unpaid leave WK]])</f>
        <v>20</v>
      </c>
    </row>
    <row r="320" spans="1:8">
      <c r="A320" s="7" t="s">
        <v>1136</v>
      </c>
      <c r="B320" s="7" t="s">
        <v>56</v>
      </c>
      <c r="C320" s="7" t="s">
        <v>543</v>
      </c>
      <c r="D320" s="7">
        <f>SUMIFS(Tableau4[Montant imputé],Tableau4[Matricule cabinet],Tableau5[[#This Row],[Matricule cabinet]],Tableau4[Type d''imputation],"sale order")</f>
        <v>10</v>
      </c>
      <c r="E32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20" s="7">
        <f>SUMIFS(Tableau4[Montant imputé],Tableau4[Matricule cabinet],Tableau5[[#This Row],[Matricule cabinet]],Tableau4[Type d''imputation],"leave")</f>
        <v>10</v>
      </c>
      <c r="G320" s="7">
        <f>SUMIFS(Tableau4[Montant imputé],Tableau4[Matricule cabinet],Tableau5[[#This Row],[Matricule cabinet]],Tableau4[Type d''imputation],"absence")</f>
        <v>0</v>
      </c>
      <c r="H320" s="7">
        <f>SUM(Tableau5[[#This Row],[B WK]:[Unpaid leave WK]])</f>
        <v>20</v>
      </c>
    </row>
    <row r="321" spans="1:8">
      <c r="A321" s="7" t="s">
        <v>1241</v>
      </c>
      <c r="B321" s="7" t="s">
        <v>1242</v>
      </c>
      <c r="C321" s="7" t="s">
        <v>80</v>
      </c>
      <c r="D321" s="7">
        <f>SUMIFS(Tableau4[Montant imputé],Tableau4[Matricule cabinet],Tableau5[[#This Row],[Matricule cabinet]],Tableau4[Type d''imputation],"sale order")</f>
        <v>16</v>
      </c>
      <c r="E32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321" s="7">
        <f>SUMIFS(Tableau4[Montant imputé],Tableau4[Matricule cabinet],Tableau5[[#This Row],[Matricule cabinet]],Tableau4[Type d''imputation],"leave")</f>
        <v>0</v>
      </c>
      <c r="G321" s="7">
        <f>SUMIFS(Tableau4[Montant imputé],Tableau4[Matricule cabinet],Tableau5[[#This Row],[Matricule cabinet]],Tableau4[Type d''imputation],"absence")</f>
        <v>0</v>
      </c>
      <c r="H321" s="7">
        <f>SUM(Tableau5[[#This Row],[B WK]:[Unpaid leave WK]])</f>
        <v>20</v>
      </c>
    </row>
    <row r="322" spans="1:8">
      <c r="A322" s="7" t="s">
        <v>324</v>
      </c>
      <c r="B322" s="7" t="s">
        <v>325</v>
      </c>
      <c r="C322" s="7" t="s">
        <v>64</v>
      </c>
      <c r="D322" s="7">
        <f>SUMIFS(Tableau4[Montant imputé],Tableau4[Matricule cabinet],Tableau5[[#This Row],[Matricule cabinet]],Tableau4[Type d''imputation],"sale order")</f>
        <v>0</v>
      </c>
      <c r="E32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22" s="7">
        <f>SUMIFS(Tableau4[Montant imputé],Tableau4[Matricule cabinet],Tableau5[[#This Row],[Matricule cabinet]],Tableau4[Type d''imputation],"leave")</f>
        <v>0</v>
      </c>
      <c r="G322" s="7">
        <f>SUMIFS(Tableau4[Montant imputé],Tableau4[Matricule cabinet],Tableau5[[#This Row],[Matricule cabinet]],Tableau4[Type d''imputation],"absence")</f>
        <v>0</v>
      </c>
      <c r="H322" s="7">
        <f>SUM(Tableau5[[#This Row],[B WK]:[Unpaid leave WK]])</f>
        <v>20</v>
      </c>
    </row>
    <row r="323" spans="1:8">
      <c r="A323" s="7" t="s">
        <v>1343</v>
      </c>
      <c r="B323" s="7" t="s">
        <v>1344</v>
      </c>
      <c r="C323" s="7" t="s">
        <v>53</v>
      </c>
      <c r="D323" s="7">
        <f>SUMIFS(Tableau4[Montant imputé],Tableau4[Matricule cabinet],Tableau5[[#This Row],[Matricule cabinet]],Tableau4[Type d''imputation],"sale order")</f>
        <v>20</v>
      </c>
      <c r="E32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23" s="7">
        <f>SUMIFS(Tableau4[Montant imputé],Tableau4[Matricule cabinet],Tableau5[[#This Row],[Matricule cabinet]],Tableau4[Type d''imputation],"leave")</f>
        <v>0</v>
      </c>
      <c r="G323" s="7">
        <f>SUMIFS(Tableau4[Montant imputé],Tableau4[Matricule cabinet],Tableau5[[#This Row],[Matricule cabinet]],Tableau4[Type d''imputation],"absence")</f>
        <v>0</v>
      </c>
      <c r="H323" s="7">
        <f>SUM(Tableau5[[#This Row],[B WK]:[Unpaid leave WK]])</f>
        <v>20</v>
      </c>
    </row>
    <row r="324" spans="1:8">
      <c r="A324" s="7" t="s">
        <v>1524</v>
      </c>
      <c r="B324" s="7" t="s">
        <v>35</v>
      </c>
      <c r="C324" s="7" t="s">
        <v>8</v>
      </c>
      <c r="D324" s="7">
        <f>SUMIFS(Tableau4[Montant imputé],Tableau4[Matricule cabinet],Tableau5[[#This Row],[Matricule cabinet]],Tableau4[Type d''imputation],"sale order")</f>
        <v>4</v>
      </c>
      <c r="E32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</v>
      </c>
      <c r="F324" s="7">
        <f>SUMIFS(Tableau4[Montant imputé],Tableau4[Matricule cabinet],Tableau5[[#This Row],[Matricule cabinet]],Tableau4[Type d''imputation],"leave")</f>
        <v>0</v>
      </c>
      <c r="G324" s="7">
        <f>SUMIFS(Tableau4[Montant imputé],Tableau4[Matricule cabinet],Tableau5[[#This Row],[Matricule cabinet]],Tableau4[Type d''imputation],"absence")</f>
        <v>0</v>
      </c>
      <c r="H324" s="7">
        <f>SUM(Tableau5[[#This Row],[B WK]:[Unpaid leave WK]])</f>
        <v>20</v>
      </c>
    </row>
    <row r="325" spans="1:8">
      <c r="A325" s="7" t="s">
        <v>441</v>
      </c>
      <c r="B325" s="7" t="s">
        <v>442</v>
      </c>
      <c r="C325" s="7" t="s">
        <v>92</v>
      </c>
      <c r="D325" s="7">
        <f>SUMIFS(Tableau4[Montant imputé],Tableau4[Matricule cabinet],Tableau5[[#This Row],[Matricule cabinet]],Tableau4[Type d''imputation],"sale order")</f>
        <v>17</v>
      </c>
      <c r="E32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25" s="7">
        <f>SUMIFS(Tableau4[Montant imputé],Tableau4[Matricule cabinet],Tableau5[[#This Row],[Matricule cabinet]],Tableau4[Type d''imputation],"leave")</f>
        <v>3</v>
      </c>
      <c r="G325" s="7">
        <f>SUMIFS(Tableau4[Montant imputé],Tableau4[Matricule cabinet],Tableau5[[#This Row],[Matricule cabinet]],Tableau4[Type d''imputation],"absence")</f>
        <v>0</v>
      </c>
      <c r="H325" s="7">
        <f>SUM(Tableau5[[#This Row],[B WK]:[Unpaid leave WK]])</f>
        <v>20</v>
      </c>
    </row>
    <row r="326" spans="1:8">
      <c r="A326" s="7" t="s">
        <v>1474</v>
      </c>
      <c r="B326" s="7" t="s">
        <v>16</v>
      </c>
      <c r="C326" s="7" t="s">
        <v>63</v>
      </c>
      <c r="D326" s="7">
        <f>SUMIFS(Tableau4[Montant imputé],Tableau4[Matricule cabinet],Tableau5[[#This Row],[Matricule cabinet]],Tableau4[Type d''imputation],"sale order")</f>
        <v>15</v>
      </c>
      <c r="E32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5</v>
      </c>
      <c r="F326" s="7">
        <f>SUMIFS(Tableau4[Montant imputé],Tableau4[Matricule cabinet],Tableau5[[#This Row],[Matricule cabinet]],Tableau4[Type d''imputation],"leave")</f>
        <v>0</v>
      </c>
      <c r="G326" s="7">
        <f>SUMIFS(Tableau4[Montant imputé],Tableau4[Matricule cabinet],Tableau5[[#This Row],[Matricule cabinet]],Tableau4[Type d''imputation],"absence")</f>
        <v>0</v>
      </c>
      <c r="H326" s="7">
        <f>SUM(Tableau5[[#This Row],[B WK]:[Unpaid leave WK]])</f>
        <v>20</v>
      </c>
    </row>
    <row r="327" spans="1:8">
      <c r="A327" s="7" t="s">
        <v>643</v>
      </c>
      <c r="B327" s="7" t="s">
        <v>19</v>
      </c>
      <c r="C327" s="7" t="s">
        <v>34</v>
      </c>
      <c r="D327" s="7">
        <f>SUMIFS(Tableau4[Montant imputé],Tableau4[Matricule cabinet],Tableau5[[#This Row],[Matricule cabinet]],Tableau4[Type d''imputation],"sale order")</f>
        <v>9</v>
      </c>
      <c r="E32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327" s="7">
        <f>SUMIFS(Tableau4[Montant imputé],Tableau4[Matricule cabinet],Tableau5[[#This Row],[Matricule cabinet]],Tableau4[Type d''imputation],"leave")</f>
        <v>9</v>
      </c>
      <c r="G327" s="7">
        <f>SUMIFS(Tableau4[Montant imputé],Tableau4[Matricule cabinet],Tableau5[[#This Row],[Matricule cabinet]],Tableau4[Type d''imputation],"absence")</f>
        <v>0</v>
      </c>
      <c r="H327" s="7">
        <f>SUM(Tableau5[[#This Row],[B WK]:[Unpaid leave WK]])</f>
        <v>20</v>
      </c>
    </row>
    <row r="328" spans="1:8">
      <c r="A328" s="7" t="s">
        <v>1462</v>
      </c>
      <c r="B328" s="7" t="s">
        <v>1463</v>
      </c>
      <c r="C328" s="7" t="s">
        <v>39</v>
      </c>
      <c r="D328" s="7">
        <f>SUMIFS(Tableau4[Montant imputé],Tableau4[Matricule cabinet],Tableau5[[#This Row],[Matricule cabinet]],Tableau4[Type d''imputation],"sale order")</f>
        <v>14</v>
      </c>
      <c r="E32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</v>
      </c>
      <c r="F328" s="7">
        <f>SUMIFS(Tableau4[Montant imputé],Tableau4[Matricule cabinet],Tableau5[[#This Row],[Matricule cabinet]],Tableau4[Type d''imputation],"leave")</f>
        <v>0</v>
      </c>
      <c r="G328" s="7">
        <f>SUMIFS(Tableau4[Montant imputé],Tableau4[Matricule cabinet],Tableau5[[#This Row],[Matricule cabinet]],Tableau4[Type d''imputation],"absence")</f>
        <v>0</v>
      </c>
      <c r="H328" s="7">
        <f>SUM(Tableau5[[#This Row],[B WK]:[Unpaid leave WK]])</f>
        <v>20</v>
      </c>
    </row>
    <row r="329" spans="1:8">
      <c r="A329" s="7" t="s">
        <v>558</v>
      </c>
      <c r="B329" s="7" t="s">
        <v>559</v>
      </c>
      <c r="C329" s="7" t="s">
        <v>30</v>
      </c>
      <c r="D329" s="7">
        <f>SUMIFS(Tableau4[Montant imputé],Tableau4[Matricule cabinet],Tableau5[[#This Row],[Matricule cabinet]],Tableau4[Type d''imputation],"sale order")</f>
        <v>10.5</v>
      </c>
      <c r="E32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29" s="7">
        <f>SUMIFS(Tableau4[Montant imputé],Tableau4[Matricule cabinet],Tableau5[[#This Row],[Matricule cabinet]],Tableau4[Type d''imputation],"leave")</f>
        <v>0</v>
      </c>
      <c r="G329" s="7">
        <f>SUMIFS(Tableau4[Montant imputé],Tableau4[Matricule cabinet],Tableau5[[#This Row],[Matricule cabinet]],Tableau4[Type d''imputation],"absence")</f>
        <v>9.5</v>
      </c>
      <c r="H329" s="7">
        <f>SUM(Tableau5[[#This Row],[B WK]:[Unpaid leave WK]])</f>
        <v>20</v>
      </c>
    </row>
    <row r="330" spans="1:8">
      <c r="A330" s="7" t="s">
        <v>1369</v>
      </c>
      <c r="B330" s="7" t="s">
        <v>1370</v>
      </c>
      <c r="C330" s="7" t="s">
        <v>15</v>
      </c>
      <c r="D330" s="7">
        <f>SUMIFS(Tableau4[Montant imputé],Tableau4[Matricule cabinet],Tableau5[[#This Row],[Matricule cabinet]],Tableau4[Type d''imputation],"sale order")</f>
        <v>19.5</v>
      </c>
      <c r="E33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330" s="7">
        <f>SUMIFS(Tableau4[Montant imputé],Tableau4[Matricule cabinet],Tableau5[[#This Row],[Matricule cabinet]],Tableau4[Type d''imputation],"leave")</f>
        <v>0</v>
      </c>
      <c r="G330" s="7">
        <f>SUMIFS(Tableau4[Montant imputé],Tableau4[Matricule cabinet],Tableau5[[#This Row],[Matricule cabinet]],Tableau4[Type d''imputation],"absence")</f>
        <v>0</v>
      </c>
      <c r="H330" s="7">
        <f>SUM(Tableau5[[#This Row],[B WK]:[Unpaid leave WK]])</f>
        <v>20</v>
      </c>
    </row>
    <row r="331" spans="1:8">
      <c r="A331" s="7" t="s">
        <v>476</v>
      </c>
      <c r="B331" s="7" t="s">
        <v>477</v>
      </c>
      <c r="C331" s="7" t="s">
        <v>50</v>
      </c>
      <c r="D331" s="7">
        <f>SUMIFS(Tableau4[Montant imputé],Tableau4[Matricule cabinet],Tableau5[[#This Row],[Matricule cabinet]],Tableau4[Type d''imputation],"sale order")</f>
        <v>11</v>
      </c>
      <c r="E33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31" s="7">
        <f>SUMIFS(Tableau4[Montant imputé],Tableau4[Matricule cabinet],Tableau5[[#This Row],[Matricule cabinet]],Tableau4[Type d''imputation],"leave")</f>
        <v>9</v>
      </c>
      <c r="G331" s="7">
        <f>SUMIFS(Tableau4[Montant imputé],Tableau4[Matricule cabinet],Tableau5[[#This Row],[Matricule cabinet]],Tableau4[Type d''imputation],"absence")</f>
        <v>0</v>
      </c>
      <c r="H331" s="7">
        <f>SUM(Tableau5[[#This Row],[B WK]:[Unpaid leave WK]])</f>
        <v>20</v>
      </c>
    </row>
    <row r="332" spans="1:8">
      <c r="A332" s="7" t="s">
        <v>514</v>
      </c>
      <c r="B332" s="7" t="s">
        <v>515</v>
      </c>
      <c r="C332" s="7" t="s">
        <v>4</v>
      </c>
      <c r="D332" s="7">
        <f>SUMIFS(Tableau4[Montant imputé],Tableau4[Matricule cabinet],Tableau5[[#This Row],[Matricule cabinet]],Tableau4[Type d''imputation],"sale order")</f>
        <v>20</v>
      </c>
      <c r="E33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32" s="7">
        <f>SUMIFS(Tableau4[Montant imputé],Tableau4[Matricule cabinet],Tableau5[[#This Row],[Matricule cabinet]],Tableau4[Type d''imputation],"leave")</f>
        <v>0</v>
      </c>
      <c r="G332" s="7">
        <f>SUMIFS(Tableau4[Montant imputé],Tableau4[Matricule cabinet],Tableau5[[#This Row],[Matricule cabinet]],Tableau4[Type d''imputation],"absence")</f>
        <v>0</v>
      </c>
      <c r="H332" s="7">
        <f>SUM(Tableau5[[#This Row],[B WK]:[Unpaid leave WK]])</f>
        <v>20</v>
      </c>
    </row>
    <row r="333" spans="1:8">
      <c r="A333" s="7" t="s">
        <v>1214</v>
      </c>
      <c r="B333" s="7" t="s">
        <v>1215</v>
      </c>
      <c r="C333" s="7" t="s">
        <v>22</v>
      </c>
      <c r="D333" s="7">
        <f>SUMIFS(Tableau4[Montant imputé],Tableau4[Matricule cabinet],Tableau5[[#This Row],[Matricule cabinet]],Tableau4[Type d''imputation],"sale order")</f>
        <v>17.5</v>
      </c>
      <c r="E33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33" s="7">
        <f>SUMIFS(Tableau4[Montant imputé],Tableau4[Matricule cabinet],Tableau5[[#This Row],[Matricule cabinet]],Tableau4[Type d''imputation],"leave")</f>
        <v>2.5</v>
      </c>
      <c r="G333" s="7">
        <f>SUMIFS(Tableau4[Montant imputé],Tableau4[Matricule cabinet],Tableau5[[#This Row],[Matricule cabinet]],Tableau4[Type d''imputation],"absence")</f>
        <v>0</v>
      </c>
      <c r="H333" s="7">
        <f>SUM(Tableau5[[#This Row],[B WK]:[Unpaid leave WK]])</f>
        <v>20</v>
      </c>
    </row>
    <row r="334" spans="1:8">
      <c r="A334" s="7" t="s">
        <v>1475</v>
      </c>
      <c r="B334" s="7" t="s">
        <v>12</v>
      </c>
      <c r="C334" s="7" t="s">
        <v>63</v>
      </c>
      <c r="D334" s="7">
        <f>SUMIFS(Tableau4[Montant imputé],Tableau4[Matricule cabinet],Tableau5[[#This Row],[Matricule cabinet]],Tableau4[Type d''imputation],"sale order")</f>
        <v>17</v>
      </c>
      <c r="E33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334" s="7">
        <f>SUMIFS(Tableau4[Montant imputé],Tableau4[Matricule cabinet],Tableau5[[#This Row],[Matricule cabinet]],Tableau4[Type d''imputation],"leave")</f>
        <v>0</v>
      </c>
      <c r="G334" s="7">
        <f>SUMIFS(Tableau4[Montant imputé],Tableau4[Matricule cabinet],Tableau5[[#This Row],[Matricule cabinet]],Tableau4[Type d''imputation],"absence")</f>
        <v>0</v>
      </c>
      <c r="H334" s="7">
        <f>SUM(Tableau5[[#This Row],[B WK]:[Unpaid leave WK]])</f>
        <v>20</v>
      </c>
    </row>
    <row r="335" spans="1:8">
      <c r="A335" s="7" t="s">
        <v>207</v>
      </c>
      <c r="B335" s="7" t="s">
        <v>208</v>
      </c>
      <c r="C335" s="7" t="s">
        <v>11</v>
      </c>
      <c r="D335" s="7">
        <f>SUMIFS(Tableau4[Montant imputé],Tableau4[Matricule cabinet],Tableau5[[#This Row],[Matricule cabinet]],Tableau4[Type d''imputation],"sale order")</f>
        <v>18</v>
      </c>
      <c r="E33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35" s="7">
        <f>SUMIFS(Tableau4[Montant imputé],Tableau4[Matricule cabinet],Tableau5[[#This Row],[Matricule cabinet]],Tableau4[Type d''imputation],"leave")</f>
        <v>2</v>
      </c>
      <c r="G335" s="7">
        <f>SUMIFS(Tableau4[Montant imputé],Tableau4[Matricule cabinet],Tableau5[[#This Row],[Matricule cabinet]],Tableau4[Type d''imputation],"absence")</f>
        <v>0</v>
      </c>
      <c r="H335" s="7">
        <f>SUM(Tableau5[[#This Row],[B WK]:[Unpaid leave WK]])</f>
        <v>20</v>
      </c>
    </row>
    <row r="336" spans="1:8">
      <c r="A336" s="7" t="s">
        <v>465</v>
      </c>
      <c r="B336" s="7" t="s">
        <v>466</v>
      </c>
      <c r="C336" s="7" t="s">
        <v>13</v>
      </c>
      <c r="D336" s="7">
        <f>SUMIFS(Tableau4[Montant imputé],Tableau4[Matricule cabinet],Tableau5[[#This Row],[Matricule cabinet]],Tableau4[Type d''imputation],"sale order")</f>
        <v>16</v>
      </c>
      <c r="E33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336" s="7">
        <f>SUMIFS(Tableau4[Montant imputé],Tableau4[Matricule cabinet],Tableau5[[#This Row],[Matricule cabinet]],Tableau4[Type d''imputation],"leave")</f>
        <v>2</v>
      </c>
      <c r="G336" s="7">
        <f>SUMIFS(Tableau4[Montant imputé],Tableau4[Matricule cabinet],Tableau5[[#This Row],[Matricule cabinet]],Tableau4[Type d''imputation],"absence")</f>
        <v>0</v>
      </c>
      <c r="H336" s="7">
        <f>SUM(Tableau5[[#This Row],[B WK]:[Unpaid leave WK]])</f>
        <v>20</v>
      </c>
    </row>
    <row r="337" spans="1:8">
      <c r="A337" s="7" t="s">
        <v>1199</v>
      </c>
      <c r="B337" s="7" t="s">
        <v>36</v>
      </c>
      <c r="C337" s="7" t="s">
        <v>38</v>
      </c>
      <c r="D337" s="7">
        <f>SUMIFS(Tableau4[Montant imputé],Tableau4[Matricule cabinet],Tableau5[[#This Row],[Matricule cabinet]],Tableau4[Type d''imputation],"sale order")</f>
        <v>19</v>
      </c>
      <c r="E33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37" s="7">
        <f>SUMIFS(Tableau4[Montant imputé],Tableau4[Matricule cabinet],Tableau5[[#This Row],[Matricule cabinet]],Tableau4[Type d''imputation],"leave")</f>
        <v>1</v>
      </c>
      <c r="G337" s="7">
        <f>SUMIFS(Tableau4[Montant imputé],Tableau4[Matricule cabinet],Tableau5[[#This Row],[Matricule cabinet]],Tableau4[Type d''imputation],"absence")</f>
        <v>0</v>
      </c>
      <c r="H337" s="7">
        <f>SUM(Tableau5[[#This Row],[B WK]:[Unpaid leave WK]])</f>
        <v>20</v>
      </c>
    </row>
    <row r="338" spans="1:8">
      <c r="A338" s="7" t="s">
        <v>1111</v>
      </c>
      <c r="B338" s="7" t="s">
        <v>1112</v>
      </c>
      <c r="C338" s="7" t="s">
        <v>31</v>
      </c>
      <c r="D338" s="7">
        <f>SUMIFS(Tableau4[Montant imputé],Tableau4[Matricule cabinet],Tableau5[[#This Row],[Matricule cabinet]],Tableau4[Type d''imputation],"sale order")</f>
        <v>18.5</v>
      </c>
      <c r="E33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338" s="7">
        <f>SUMIFS(Tableau4[Montant imputé],Tableau4[Matricule cabinet],Tableau5[[#This Row],[Matricule cabinet]],Tableau4[Type d''imputation],"leave")</f>
        <v>1</v>
      </c>
      <c r="G338" s="7">
        <f>SUMIFS(Tableau4[Montant imputé],Tableau4[Matricule cabinet],Tableau5[[#This Row],[Matricule cabinet]],Tableau4[Type d''imputation],"absence")</f>
        <v>0</v>
      </c>
      <c r="H338" s="7">
        <f>SUM(Tableau5[[#This Row],[B WK]:[Unpaid leave WK]])</f>
        <v>20</v>
      </c>
    </row>
    <row r="339" spans="1:8">
      <c r="A339" s="7" t="s">
        <v>435</v>
      </c>
      <c r="B339" s="7" t="s">
        <v>436</v>
      </c>
      <c r="C339" s="7" t="s">
        <v>140</v>
      </c>
      <c r="D339" s="7">
        <f>SUMIFS(Tableau4[Montant imputé],Tableau4[Matricule cabinet],Tableau5[[#This Row],[Matricule cabinet]],Tableau4[Type d''imputation],"sale order")</f>
        <v>0</v>
      </c>
      <c r="E33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39" s="7">
        <f>SUMIFS(Tableau4[Montant imputé],Tableau4[Matricule cabinet],Tableau5[[#This Row],[Matricule cabinet]],Tableau4[Type d''imputation],"leave")</f>
        <v>0</v>
      </c>
      <c r="G339" s="7">
        <f>SUMIFS(Tableau4[Montant imputé],Tableau4[Matricule cabinet],Tableau5[[#This Row],[Matricule cabinet]],Tableau4[Type d''imputation],"absence")</f>
        <v>0</v>
      </c>
      <c r="H339" s="7">
        <f>SUM(Tableau5[[#This Row],[B WK]:[Unpaid leave WK]])</f>
        <v>20</v>
      </c>
    </row>
    <row r="340" spans="1:8">
      <c r="A340" s="7" t="s">
        <v>1150</v>
      </c>
      <c r="B340" s="7" t="s">
        <v>1151</v>
      </c>
      <c r="C340" s="7" t="s">
        <v>48</v>
      </c>
      <c r="D340" s="7">
        <f>SUMIFS(Tableau4[Montant imputé],Tableau4[Matricule cabinet],Tableau5[[#This Row],[Matricule cabinet]],Tableau4[Type d''imputation],"sale order")</f>
        <v>10.5</v>
      </c>
      <c r="E34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6.5</v>
      </c>
      <c r="F340" s="7">
        <f>SUMIFS(Tableau4[Montant imputé],Tableau4[Matricule cabinet],Tableau5[[#This Row],[Matricule cabinet]],Tableau4[Type d''imputation],"leave")</f>
        <v>3</v>
      </c>
      <c r="G340" s="7">
        <f>SUMIFS(Tableau4[Montant imputé],Tableau4[Matricule cabinet],Tableau5[[#This Row],[Matricule cabinet]],Tableau4[Type d''imputation],"absence")</f>
        <v>0</v>
      </c>
      <c r="H340" s="7">
        <f>SUM(Tableau5[[#This Row],[B WK]:[Unpaid leave WK]])</f>
        <v>20</v>
      </c>
    </row>
    <row r="341" spans="1:8">
      <c r="A341" s="7" t="s">
        <v>695</v>
      </c>
      <c r="B341" s="7" t="s">
        <v>34</v>
      </c>
      <c r="C341" s="7" t="s">
        <v>46</v>
      </c>
      <c r="D341" s="7">
        <f>SUMIFS(Tableau4[Montant imputé],Tableau4[Matricule cabinet],Tableau5[[#This Row],[Matricule cabinet]],Tableau4[Type d''imputation],"sale order")</f>
        <v>6</v>
      </c>
      <c r="E34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341" s="7">
        <f>SUMIFS(Tableau4[Montant imputé],Tableau4[Matricule cabinet],Tableau5[[#This Row],[Matricule cabinet]],Tableau4[Type d''imputation],"leave")</f>
        <v>0</v>
      </c>
      <c r="G341" s="7">
        <f>SUMIFS(Tableau4[Montant imputé],Tableau4[Matricule cabinet],Tableau5[[#This Row],[Matricule cabinet]],Tableau4[Type d''imputation],"absence")</f>
        <v>0</v>
      </c>
      <c r="H341" s="7">
        <f>SUM(Tableau5[[#This Row],[B WK]:[Unpaid leave WK]])</f>
        <v>20</v>
      </c>
    </row>
    <row r="342" spans="1:8">
      <c r="A342" s="7" t="s">
        <v>1429</v>
      </c>
      <c r="B342" s="7" t="s">
        <v>1430</v>
      </c>
      <c r="C342" s="7" t="s">
        <v>10</v>
      </c>
      <c r="D342" s="7">
        <f>SUMIFS(Tableau4[Montant imputé],Tableau4[Matricule cabinet],Tableau5[[#This Row],[Matricule cabinet]],Tableau4[Type d''imputation],"sale order")</f>
        <v>18</v>
      </c>
      <c r="E34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42" s="7">
        <f>SUMIFS(Tableau4[Montant imputé],Tableau4[Matricule cabinet],Tableau5[[#This Row],[Matricule cabinet]],Tableau4[Type d''imputation],"leave")</f>
        <v>2</v>
      </c>
      <c r="G342" s="7">
        <f>SUMIFS(Tableau4[Montant imputé],Tableau4[Matricule cabinet],Tableau5[[#This Row],[Matricule cabinet]],Tableau4[Type d''imputation],"absence")</f>
        <v>0</v>
      </c>
      <c r="H342" s="7">
        <f>SUM(Tableau5[[#This Row],[B WK]:[Unpaid leave WK]])</f>
        <v>20</v>
      </c>
    </row>
    <row r="343" spans="1:8">
      <c r="A343" s="7" t="s">
        <v>1125</v>
      </c>
      <c r="B343" s="7" t="s">
        <v>1126</v>
      </c>
      <c r="C343" s="7" t="s">
        <v>73</v>
      </c>
      <c r="D343" s="7">
        <f>SUMIFS(Tableau4[Montant imputé],Tableau4[Matricule cabinet],Tableau5[[#This Row],[Matricule cabinet]],Tableau4[Type d''imputation],"sale order")</f>
        <v>15</v>
      </c>
      <c r="E34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43" s="7">
        <f>SUMIFS(Tableau4[Montant imputé],Tableau4[Matricule cabinet],Tableau5[[#This Row],[Matricule cabinet]],Tableau4[Type d''imputation],"leave")</f>
        <v>5</v>
      </c>
      <c r="G343" s="7">
        <f>SUMIFS(Tableau4[Montant imputé],Tableau4[Matricule cabinet],Tableau5[[#This Row],[Matricule cabinet]],Tableau4[Type d''imputation],"absence")</f>
        <v>0</v>
      </c>
      <c r="H343" s="7">
        <f>SUM(Tableau5[[#This Row],[B WK]:[Unpaid leave WK]])</f>
        <v>20</v>
      </c>
    </row>
    <row r="344" spans="1:8">
      <c r="A344" s="7" t="s">
        <v>308</v>
      </c>
      <c r="B344" s="7" t="s">
        <v>309</v>
      </c>
      <c r="C344" s="7" t="s">
        <v>17</v>
      </c>
      <c r="D344" s="7">
        <f>SUMIFS(Tableau4[Montant imputé],Tableau4[Matricule cabinet],Tableau5[[#This Row],[Matricule cabinet]],Tableau4[Type d''imputation],"sale order")</f>
        <v>19</v>
      </c>
      <c r="E34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44" s="7">
        <f>SUMIFS(Tableau4[Montant imputé],Tableau4[Matricule cabinet],Tableau5[[#This Row],[Matricule cabinet]],Tableau4[Type d''imputation],"leave")</f>
        <v>1</v>
      </c>
      <c r="G344" s="7">
        <f>SUMIFS(Tableau4[Montant imputé],Tableau4[Matricule cabinet],Tableau5[[#This Row],[Matricule cabinet]],Tableau4[Type d''imputation],"absence")</f>
        <v>0</v>
      </c>
      <c r="H344" s="7">
        <f>SUM(Tableau5[[#This Row],[B WK]:[Unpaid leave WK]])</f>
        <v>20</v>
      </c>
    </row>
    <row r="345" spans="1:8">
      <c r="A345" s="7" t="s">
        <v>454</v>
      </c>
      <c r="B345" s="7" t="s">
        <v>455</v>
      </c>
      <c r="C345" s="7" t="s">
        <v>70</v>
      </c>
      <c r="D345" s="7">
        <f>SUMIFS(Tableau4[Montant imputé],Tableau4[Matricule cabinet],Tableau5[[#This Row],[Matricule cabinet]],Tableau4[Type d''imputation],"sale order")</f>
        <v>15</v>
      </c>
      <c r="E34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45" s="7">
        <f>SUMIFS(Tableau4[Montant imputé],Tableau4[Matricule cabinet],Tableau5[[#This Row],[Matricule cabinet]],Tableau4[Type d''imputation],"leave")</f>
        <v>5</v>
      </c>
      <c r="G345" s="7">
        <f>SUMIFS(Tableau4[Montant imputé],Tableau4[Matricule cabinet],Tableau5[[#This Row],[Matricule cabinet]],Tableau4[Type d''imputation],"absence")</f>
        <v>0</v>
      </c>
      <c r="H345" s="7">
        <f>SUM(Tableau5[[#This Row],[B WK]:[Unpaid leave WK]])</f>
        <v>20</v>
      </c>
    </row>
    <row r="346" spans="1:8">
      <c r="A346" s="7" t="s">
        <v>536</v>
      </c>
      <c r="B346" s="7" t="s">
        <v>537</v>
      </c>
      <c r="C346" s="7" t="s">
        <v>6</v>
      </c>
      <c r="D346" s="7">
        <f>SUMIFS(Tableau4[Montant imputé],Tableau4[Matricule cabinet],Tableau5[[#This Row],[Matricule cabinet]],Tableau4[Type d''imputation],"sale order")</f>
        <v>20</v>
      </c>
      <c r="E34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46" s="7">
        <f>SUMIFS(Tableau4[Montant imputé],Tableau4[Matricule cabinet],Tableau5[[#This Row],[Matricule cabinet]],Tableau4[Type d''imputation],"leave")</f>
        <v>0</v>
      </c>
      <c r="G346" s="7">
        <f>SUMIFS(Tableau4[Montant imputé],Tableau4[Matricule cabinet],Tableau5[[#This Row],[Matricule cabinet]],Tableau4[Type d''imputation],"absence")</f>
        <v>0</v>
      </c>
      <c r="H346" s="7">
        <f>SUM(Tableau5[[#This Row],[B WK]:[Unpaid leave WK]])</f>
        <v>20</v>
      </c>
    </row>
    <row r="347" spans="1:8">
      <c r="A347" s="7" t="s">
        <v>1345</v>
      </c>
      <c r="B347" s="7" t="s">
        <v>1346</v>
      </c>
      <c r="C347" s="7" t="s">
        <v>53</v>
      </c>
      <c r="D347" s="7">
        <f>SUMIFS(Tableau4[Montant imputé],Tableau4[Matricule cabinet],Tableau5[[#This Row],[Matricule cabinet]],Tableau4[Type d''imputation],"sale order")</f>
        <v>20</v>
      </c>
      <c r="E34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47" s="7">
        <f>SUMIFS(Tableau4[Montant imputé],Tableau4[Matricule cabinet],Tableau5[[#This Row],[Matricule cabinet]],Tableau4[Type d''imputation],"leave")</f>
        <v>0</v>
      </c>
      <c r="G347" s="7">
        <f>SUMIFS(Tableau4[Montant imputé],Tableau4[Matricule cabinet],Tableau5[[#This Row],[Matricule cabinet]],Tableau4[Type d''imputation],"absence")</f>
        <v>0</v>
      </c>
      <c r="H347" s="7">
        <f>SUM(Tableau5[[#This Row],[B WK]:[Unpaid leave WK]])</f>
        <v>20</v>
      </c>
    </row>
    <row r="348" spans="1:8">
      <c r="A348" s="7" t="s">
        <v>1457</v>
      </c>
      <c r="B348" s="7" t="s">
        <v>1458</v>
      </c>
      <c r="C348" s="7" t="s">
        <v>7</v>
      </c>
      <c r="D348" s="7">
        <f>SUMIFS(Tableau4[Montant imputé],Tableau4[Matricule cabinet],Tableau5[[#This Row],[Matricule cabinet]],Tableau4[Type d''imputation],"sale order")</f>
        <v>1</v>
      </c>
      <c r="E34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48" s="7">
        <f>SUMIFS(Tableau4[Montant imputé],Tableau4[Matricule cabinet],Tableau5[[#This Row],[Matricule cabinet]],Tableau4[Type d''imputation],"leave")</f>
        <v>19</v>
      </c>
      <c r="G348" s="7">
        <f>SUMIFS(Tableau4[Montant imputé],Tableau4[Matricule cabinet],Tableau5[[#This Row],[Matricule cabinet]],Tableau4[Type d''imputation],"absence")</f>
        <v>0</v>
      </c>
      <c r="H348" s="7">
        <f>SUM(Tableau5[[#This Row],[B WK]:[Unpaid leave WK]])</f>
        <v>20</v>
      </c>
    </row>
    <row r="349" spans="1:8">
      <c r="A349" s="7" t="s">
        <v>427</v>
      </c>
      <c r="B349" s="7" t="s">
        <v>428</v>
      </c>
      <c r="C349" s="7" t="s">
        <v>64</v>
      </c>
      <c r="D349" s="7">
        <f>SUMIFS(Tableau4[Montant imputé],Tableau4[Matricule cabinet],Tableau5[[#This Row],[Matricule cabinet]],Tableau4[Type d''imputation],"sale order")</f>
        <v>3.5</v>
      </c>
      <c r="E34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16.5</v>
      </c>
      <c r="F349" s="7">
        <f>SUMIFS(Tableau4[Montant imputé],Tableau4[Matricule cabinet],Tableau5[[#This Row],[Matricule cabinet]],Tableau4[Type d''imputation],"leave")</f>
        <v>0</v>
      </c>
      <c r="G349" s="7">
        <f>SUMIFS(Tableau4[Montant imputé],Tableau4[Matricule cabinet],Tableau5[[#This Row],[Matricule cabinet]],Tableau4[Type d''imputation],"absence")</f>
        <v>0</v>
      </c>
      <c r="H349" s="7">
        <f>SUM(Tableau5[[#This Row],[B WK]:[Unpaid leave WK]])</f>
        <v>20</v>
      </c>
    </row>
    <row r="350" spans="1:8">
      <c r="A350" s="7" t="s">
        <v>1444</v>
      </c>
      <c r="B350" s="7" t="s">
        <v>1445</v>
      </c>
      <c r="C350" s="7" t="s">
        <v>1316</v>
      </c>
      <c r="D350" s="7">
        <f>SUMIFS(Tableau4[Montant imputé],Tableau4[Matricule cabinet],Tableau5[[#This Row],[Matricule cabinet]],Tableau4[Type d''imputation],"sale order")</f>
        <v>0</v>
      </c>
      <c r="E35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350" s="7">
        <f>SUMIFS(Tableau4[Montant imputé],Tableau4[Matricule cabinet],Tableau5[[#This Row],[Matricule cabinet]],Tableau4[Type d''imputation],"leave")</f>
        <v>0</v>
      </c>
      <c r="G350" s="7">
        <f>SUMIFS(Tableau4[Montant imputé],Tableau4[Matricule cabinet],Tableau5[[#This Row],[Matricule cabinet]],Tableau4[Type d''imputation],"absence")</f>
        <v>18</v>
      </c>
      <c r="H350" s="7">
        <f>SUM(Tableau5[[#This Row],[B WK]:[Unpaid leave WK]])</f>
        <v>20</v>
      </c>
    </row>
    <row r="351" spans="1:8">
      <c r="A351" s="7" t="s">
        <v>560</v>
      </c>
      <c r="B351" s="7" t="s">
        <v>561</v>
      </c>
      <c r="C351" s="7" t="s">
        <v>30</v>
      </c>
      <c r="D351" s="7">
        <f>SUMIFS(Tableau4[Montant imputé],Tableau4[Matricule cabinet],Tableau5[[#This Row],[Matricule cabinet]],Tableau4[Type d''imputation],"sale order")</f>
        <v>19</v>
      </c>
      <c r="E35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351" s="7">
        <f>SUMIFS(Tableau4[Montant imputé],Tableau4[Matricule cabinet],Tableau5[[#This Row],[Matricule cabinet]],Tableau4[Type d''imputation],"leave")</f>
        <v>0</v>
      </c>
      <c r="G351" s="7">
        <f>SUMIFS(Tableau4[Montant imputé],Tableau4[Matricule cabinet],Tableau5[[#This Row],[Matricule cabinet]],Tableau4[Type d''imputation],"absence")</f>
        <v>0</v>
      </c>
      <c r="H351" s="7">
        <f>SUM(Tableau5[[#This Row],[B WK]:[Unpaid leave WK]])</f>
        <v>20</v>
      </c>
    </row>
    <row r="352" spans="1:8">
      <c r="A352" s="7" t="s">
        <v>1056</v>
      </c>
      <c r="B352" s="7" t="s">
        <v>1057</v>
      </c>
      <c r="C352" s="7" t="s">
        <v>361</v>
      </c>
      <c r="D352" s="7">
        <f>SUMIFS(Tableau4[Montant imputé],Tableau4[Matricule cabinet],Tableau5[[#This Row],[Matricule cabinet]],Tableau4[Type d''imputation],"sale order")</f>
        <v>0</v>
      </c>
      <c r="E35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52" s="7">
        <f>SUMIFS(Tableau4[Montant imputé],Tableau4[Matricule cabinet],Tableau5[[#This Row],[Matricule cabinet]],Tableau4[Type d''imputation],"leave")</f>
        <v>0</v>
      </c>
      <c r="G352" s="7">
        <f>SUMIFS(Tableau4[Montant imputé],Tableau4[Matricule cabinet],Tableau5[[#This Row],[Matricule cabinet]],Tableau4[Type d''imputation],"absence")</f>
        <v>0</v>
      </c>
      <c r="H352" s="7">
        <f>SUM(Tableau5[[#This Row],[B WK]:[Unpaid leave WK]])</f>
        <v>20</v>
      </c>
    </row>
    <row r="353" spans="1:8">
      <c r="A353" s="7" t="s">
        <v>904</v>
      </c>
      <c r="B353" s="7" t="s">
        <v>905</v>
      </c>
      <c r="C353" s="7" t="s">
        <v>68</v>
      </c>
      <c r="D353" s="7">
        <f>SUMIFS(Tableau4[Montant imputé],Tableau4[Matricule cabinet],Tableau5[[#This Row],[Matricule cabinet]],Tableau4[Type d''imputation],"sale order")</f>
        <v>20</v>
      </c>
      <c r="E35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53" s="7">
        <f>SUMIFS(Tableau4[Montant imputé],Tableau4[Matricule cabinet],Tableau5[[#This Row],[Matricule cabinet]],Tableau4[Type d''imputation],"leave")</f>
        <v>0</v>
      </c>
      <c r="G353" s="7">
        <f>SUMIFS(Tableau4[Montant imputé],Tableau4[Matricule cabinet],Tableau5[[#This Row],[Matricule cabinet]],Tableau4[Type d''imputation],"absence")</f>
        <v>0</v>
      </c>
      <c r="H353" s="7">
        <f>SUM(Tableau5[[#This Row],[B WK]:[Unpaid leave WK]])</f>
        <v>20</v>
      </c>
    </row>
    <row r="354" spans="1:8">
      <c r="A354" s="7" t="s">
        <v>353</v>
      </c>
      <c r="B354" s="7" t="s">
        <v>14</v>
      </c>
      <c r="C354" s="7" t="s">
        <v>61</v>
      </c>
      <c r="D354" s="7">
        <f>SUMIFS(Tableau4[Montant imputé],Tableau4[Matricule cabinet],Tableau5[[#This Row],[Matricule cabinet]],Tableau4[Type d''imputation],"sale order")</f>
        <v>16</v>
      </c>
      <c r="E35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354" s="7">
        <f>SUMIFS(Tableau4[Montant imputé],Tableau4[Matricule cabinet],Tableau5[[#This Row],[Matricule cabinet]],Tableau4[Type d''imputation],"leave")</f>
        <v>2</v>
      </c>
      <c r="G354" s="7">
        <f>SUMIFS(Tableau4[Montant imputé],Tableau4[Matricule cabinet],Tableau5[[#This Row],[Matricule cabinet]],Tableau4[Type d''imputation],"absence")</f>
        <v>0</v>
      </c>
      <c r="H354" s="7">
        <f>SUM(Tableau5[[#This Row],[B WK]:[Unpaid leave WK]])</f>
        <v>20</v>
      </c>
    </row>
    <row r="355" spans="1:8">
      <c r="A355" s="7" t="s">
        <v>1542</v>
      </c>
      <c r="B355" s="7" t="s">
        <v>1543</v>
      </c>
      <c r="C355" s="7" t="s">
        <v>85</v>
      </c>
      <c r="D355" s="7">
        <f>SUMIFS(Tableau4[Montant imputé],Tableau4[Matricule cabinet],Tableau5[[#This Row],[Matricule cabinet]],Tableau4[Type d''imputation],"sale order")</f>
        <v>20</v>
      </c>
      <c r="E35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55" s="7">
        <f>SUMIFS(Tableau4[Montant imputé],Tableau4[Matricule cabinet],Tableau5[[#This Row],[Matricule cabinet]],Tableau4[Type d''imputation],"leave")</f>
        <v>0</v>
      </c>
      <c r="G355" s="7">
        <f>SUMIFS(Tableau4[Montant imputé],Tableau4[Matricule cabinet],Tableau5[[#This Row],[Matricule cabinet]],Tableau4[Type d''imputation],"absence")</f>
        <v>0</v>
      </c>
      <c r="H355" s="7">
        <f>SUM(Tableau5[[#This Row],[B WK]:[Unpaid leave WK]])</f>
        <v>20</v>
      </c>
    </row>
    <row r="356" spans="1:8">
      <c r="A356" s="7" t="s">
        <v>962</v>
      </c>
      <c r="B356" s="7" t="s">
        <v>963</v>
      </c>
      <c r="C356" s="7" t="s">
        <v>49</v>
      </c>
      <c r="D356" s="7">
        <f>SUMIFS(Tableau4[Montant imputé],Tableau4[Matricule cabinet],Tableau5[[#This Row],[Matricule cabinet]],Tableau4[Type d''imputation],"sale order")</f>
        <v>20</v>
      </c>
      <c r="E35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56" s="7">
        <f>SUMIFS(Tableau4[Montant imputé],Tableau4[Matricule cabinet],Tableau5[[#This Row],[Matricule cabinet]],Tableau4[Type d''imputation],"leave")</f>
        <v>0</v>
      </c>
      <c r="G356" s="7">
        <f>SUMIFS(Tableau4[Montant imputé],Tableau4[Matricule cabinet],Tableau5[[#This Row],[Matricule cabinet]],Tableau4[Type d''imputation],"absence")</f>
        <v>0</v>
      </c>
      <c r="H356" s="7">
        <f>SUM(Tableau5[[#This Row],[B WK]:[Unpaid leave WK]])</f>
        <v>20</v>
      </c>
    </row>
    <row r="357" spans="1:8">
      <c r="A357" s="7" t="s">
        <v>628</v>
      </c>
      <c r="B357" s="7" t="s">
        <v>629</v>
      </c>
      <c r="C357" s="7" t="s">
        <v>7</v>
      </c>
      <c r="D357" s="7">
        <f>SUMIFS(Tableau4[Montant imputé],Tableau4[Matricule cabinet],Tableau5[[#This Row],[Matricule cabinet]],Tableau4[Type d''imputation],"sale order")</f>
        <v>13</v>
      </c>
      <c r="E35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357" s="7">
        <f>SUMIFS(Tableau4[Montant imputé],Tableau4[Matricule cabinet],Tableau5[[#This Row],[Matricule cabinet]],Tableau4[Type d''imputation],"leave")</f>
        <v>4</v>
      </c>
      <c r="G357" s="7">
        <f>SUMIFS(Tableau4[Montant imputé],Tableau4[Matricule cabinet],Tableau5[[#This Row],[Matricule cabinet]],Tableau4[Type d''imputation],"absence")</f>
        <v>0</v>
      </c>
      <c r="H357" s="7">
        <f>SUM(Tableau5[[#This Row],[B WK]:[Unpaid leave WK]])</f>
        <v>20</v>
      </c>
    </row>
    <row r="358" spans="1:8">
      <c r="A358" s="7" t="s">
        <v>246</v>
      </c>
      <c r="B358" s="7" t="s">
        <v>247</v>
      </c>
      <c r="C358" s="7" t="s">
        <v>62</v>
      </c>
      <c r="D358" s="7">
        <f>SUMIFS(Tableau4[Montant imputé],Tableau4[Matricule cabinet],Tableau5[[#This Row],[Matricule cabinet]],Tableau4[Type d''imputation],"sale order")</f>
        <v>0</v>
      </c>
      <c r="E35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11</v>
      </c>
      <c r="F358" s="7">
        <f>SUMIFS(Tableau4[Montant imputé],Tableau4[Matricule cabinet],Tableau5[[#This Row],[Matricule cabinet]],Tableau4[Type d''imputation],"leave")</f>
        <v>0</v>
      </c>
      <c r="G358" s="7">
        <f>SUMIFS(Tableau4[Montant imputé],Tableau4[Matricule cabinet],Tableau5[[#This Row],[Matricule cabinet]],Tableau4[Type d''imputation],"absence")</f>
        <v>9</v>
      </c>
      <c r="H358" s="7">
        <f>SUM(Tableau5[[#This Row],[B WK]:[Unpaid leave WK]])</f>
        <v>20</v>
      </c>
    </row>
    <row r="359" spans="1:8">
      <c r="A359" s="7" t="s">
        <v>1189</v>
      </c>
      <c r="B359" s="7" t="s">
        <v>68</v>
      </c>
      <c r="C359" s="7" t="s">
        <v>55</v>
      </c>
      <c r="D359" s="7">
        <f>SUMIFS(Tableau4[Montant imputé],Tableau4[Matricule cabinet],Tableau5[[#This Row],[Matricule cabinet]],Tableau4[Type d''imputation],"sale order")</f>
        <v>7.5</v>
      </c>
      <c r="E35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12.5</v>
      </c>
      <c r="F359" s="7">
        <f>SUMIFS(Tableau4[Montant imputé],Tableau4[Matricule cabinet],Tableau5[[#This Row],[Matricule cabinet]],Tableau4[Type d''imputation],"leave")</f>
        <v>0</v>
      </c>
      <c r="G359" s="7">
        <f>SUMIFS(Tableau4[Montant imputé],Tableau4[Matricule cabinet],Tableau5[[#This Row],[Matricule cabinet]],Tableau4[Type d''imputation],"absence")</f>
        <v>0</v>
      </c>
      <c r="H359" s="7">
        <f>SUM(Tableau5[[#This Row],[B WK]:[Unpaid leave WK]])</f>
        <v>20</v>
      </c>
    </row>
    <row r="360" spans="1:8">
      <c r="A360" s="7" t="s">
        <v>209</v>
      </c>
      <c r="B360" s="7" t="s">
        <v>210</v>
      </c>
      <c r="C360" s="7" t="s">
        <v>11</v>
      </c>
      <c r="D360" s="7">
        <f>SUMIFS(Tableau4[Montant imputé],Tableau4[Matricule cabinet],Tableau5[[#This Row],[Matricule cabinet]],Tableau4[Type d''imputation],"sale order")</f>
        <v>0</v>
      </c>
      <c r="E36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15</v>
      </c>
      <c r="F360" s="7">
        <f>SUMIFS(Tableau4[Montant imputé],Tableau4[Matricule cabinet],Tableau5[[#This Row],[Matricule cabinet]],Tableau4[Type d''imputation],"leave")</f>
        <v>5</v>
      </c>
      <c r="G360" s="7">
        <f>SUMIFS(Tableau4[Montant imputé],Tableau4[Matricule cabinet],Tableau5[[#This Row],[Matricule cabinet]],Tableau4[Type d''imputation],"absence")</f>
        <v>0</v>
      </c>
      <c r="H360" s="7">
        <f>SUM(Tableau5[[#This Row],[B WK]:[Unpaid leave WK]])</f>
        <v>20</v>
      </c>
    </row>
    <row r="361" spans="1:8">
      <c r="A361" s="7" t="s">
        <v>425</v>
      </c>
      <c r="B361" s="7" t="s">
        <v>426</v>
      </c>
      <c r="C361" s="7" t="s">
        <v>69</v>
      </c>
      <c r="D361" s="7">
        <f>SUMIFS(Tableau4[Montant imputé],Tableau4[Matricule cabinet],Tableau5[[#This Row],[Matricule cabinet]],Tableau4[Type d''imputation],"sale order")</f>
        <v>19</v>
      </c>
      <c r="E36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61" s="7">
        <f>SUMIFS(Tableau4[Montant imputé],Tableau4[Matricule cabinet],Tableau5[[#This Row],[Matricule cabinet]],Tableau4[Type d''imputation],"leave")</f>
        <v>1</v>
      </c>
      <c r="G361" s="7">
        <f>SUMIFS(Tableau4[Montant imputé],Tableau4[Matricule cabinet],Tableau5[[#This Row],[Matricule cabinet]],Tableau4[Type d''imputation],"absence")</f>
        <v>0</v>
      </c>
      <c r="H361" s="7">
        <f>SUM(Tableau5[[#This Row],[B WK]:[Unpaid leave WK]])</f>
        <v>20</v>
      </c>
    </row>
    <row r="362" spans="1:8">
      <c r="A362" s="7" t="s">
        <v>410</v>
      </c>
      <c r="B362" s="7" t="s">
        <v>411</v>
      </c>
      <c r="C362" s="7" t="s">
        <v>62</v>
      </c>
      <c r="D362" s="7">
        <f>SUMIFS(Tableau4[Montant imputé],Tableau4[Matricule cabinet],Tableau5[[#This Row],[Matricule cabinet]],Tableau4[Type d''imputation],"sale order")</f>
        <v>11.5</v>
      </c>
      <c r="E36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8.5</v>
      </c>
      <c r="F362" s="7">
        <f>SUMIFS(Tableau4[Montant imputé],Tableau4[Matricule cabinet],Tableau5[[#This Row],[Matricule cabinet]],Tableau4[Type d''imputation],"leave")</f>
        <v>0</v>
      </c>
      <c r="G362" s="7">
        <f>SUMIFS(Tableau4[Montant imputé],Tableau4[Matricule cabinet],Tableau5[[#This Row],[Matricule cabinet]],Tableau4[Type d''imputation],"absence")</f>
        <v>0</v>
      </c>
      <c r="H362" s="7">
        <f>SUM(Tableau5[[#This Row],[B WK]:[Unpaid leave WK]])</f>
        <v>20</v>
      </c>
    </row>
    <row r="363" spans="1:8">
      <c r="A363" s="7" t="s">
        <v>1041</v>
      </c>
      <c r="B363" s="7" t="s">
        <v>1042</v>
      </c>
      <c r="C363" s="7" t="s">
        <v>44</v>
      </c>
      <c r="D363" s="7">
        <f>SUMIFS(Tableau4[Montant imputé],Tableau4[Matricule cabinet],Tableau5[[#This Row],[Matricule cabinet]],Tableau4[Type d''imputation],"sale order")</f>
        <v>0</v>
      </c>
      <c r="E36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63" s="7">
        <f>SUMIFS(Tableau4[Montant imputé],Tableau4[Matricule cabinet],Tableau5[[#This Row],[Matricule cabinet]],Tableau4[Type d''imputation],"leave")</f>
        <v>0</v>
      </c>
      <c r="G363" s="7">
        <f>SUMIFS(Tableau4[Montant imputé],Tableau4[Matricule cabinet],Tableau5[[#This Row],[Matricule cabinet]],Tableau4[Type d''imputation],"absence")</f>
        <v>0</v>
      </c>
      <c r="H363" s="7">
        <f>SUM(Tableau5[[#This Row],[B WK]:[Unpaid leave WK]])</f>
        <v>20</v>
      </c>
    </row>
    <row r="364" spans="1:8">
      <c r="A364" s="7" t="s">
        <v>764</v>
      </c>
      <c r="B364" s="7" t="s">
        <v>765</v>
      </c>
      <c r="C364" s="7" t="s">
        <v>56</v>
      </c>
      <c r="D364" s="7">
        <f>SUMIFS(Tableau4[Montant imputé],Tableau4[Matricule cabinet],Tableau5[[#This Row],[Matricule cabinet]],Tableau4[Type d''imputation],"sale order")</f>
        <v>19</v>
      </c>
      <c r="E36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64" s="7">
        <f>SUMIFS(Tableau4[Montant imputé],Tableau4[Matricule cabinet],Tableau5[[#This Row],[Matricule cabinet]],Tableau4[Type d''imputation],"leave")</f>
        <v>1</v>
      </c>
      <c r="G364" s="7">
        <f>SUMIFS(Tableau4[Montant imputé],Tableau4[Matricule cabinet],Tableau5[[#This Row],[Matricule cabinet]],Tableau4[Type d''imputation],"absence")</f>
        <v>0</v>
      </c>
      <c r="H364" s="7">
        <f>SUM(Tableau5[[#This Row],[B WK]:[Unpaid leave WK]])</f>
        <v>20</v>
      </c>
    </row>
    <row r="365" spans="1:8">
      <c r="A365" s="7" t="s">
        <v>726</v>
      </c>
      <c r="B365" s="7" t="s">
        <v>727</v>
      </c>
      <c r="C365" s="7" t="s">
        <v>25</v>
      </c>
      <c r="D365" s="7">
        <f>SUMIFS(Tableau4[Montant imputé],Tableau4[Matricule cabinet],Tableau5[[#This Row],[Matricule cabinet]],Tableau4[Type d''imputation],"sale order")</f>
        <v>20</v>
      </c>
      <c r="E36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65" s="7">
        <f>SUMIFS(Tableau4[Montant imputé],Tableau4[Matricule cabinet],Tableau5[[#This Row],[Matricule cabinet]],Tableau4[Type d''imputation],"leave")</f>
        <v>0</v>
      </c>
      <c r="G365" s="7">
        <f>SUMIFS(Tableau4[Montant imputé],Tableau4[Matricule cabinet],Tableau5[[#This Row],[Matricule cabinet]],Tableau4[Type d''imputation],"absence")</f>
        <v>0</v>
      </c>
      <c r="H365" s="7">
        <f>SUM(Tableau5[[#This Row],[B WK]:[Unpaid leave WK]])</f>
        <v>20</v>
      </c>
    </row>
    <row r="366" spans="1:8">
      <c r="A366" s="7" t="s">
        <v>1309</v>
      </c>
      <c r="B366" s="7" t="s">
        <v>58</v>
      </c>
      <c r="C366" s="7" t="s">
        <v>6</v>
      </c>
      <c r="D366" s="7">
        <f>SUMIFS(Tableau4[Montant imputé],Tableau4[Matricule cabinet],Tableau5[[#This Row],[Matricule cabinet]],Tableau4[Type d''imputation],"sale order")</f>
        <v>0</v>
      </c>
      <c r="E36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66" s="7">
        <f>SUMIFS(Tableau4[Montant imputé],Tableau4[Matricule cabinet],Tableau5[[#This Row],[Matricule cabinet]],Tableau4[Type d''imputation],"leave")</f>
        <v>0</v>
      </c>
      <c r="G366" s="7">
        <f>SUMIFS(Tableau4[Montant imputé],Tableau4[Matricule cabinet],Tableau5[[#This Row],[Matricule cabinet]],Tableau4[Type d''imputation],"absence")</f>
        <v>0</v>
      </c>
      <c r="H366" s="7">
        <f>SUM(Tableau5[[#This Row],[B WK]:[Unpaid leave WK]])</f>
        <v>20</v>
      </c>
    </row>
    <row r="367" spans="1:8">
      <c r="A367" s="7" t="s">
        <v>574</v>
      </c>
      <c r="B367" s="7" t="s">
        <v>575</v>
      </c>
      <c r="C367" s="7" t="s">
        <v>29</v>
      </c>
      <c r="D367" s="7">
        <f>SUMIFS(Tableau4[Montant imputé],Tableau4[Matricule cabinet],Tableau5[[#This Row],[Matricule cabinet]],Tableau4[Type d''imputation],"sale order")</f>
        <v>20</v>
      </c>
      <c r="E36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67" s="7">
        <f>SUMIFS(Tableau4[Montant imputé],Tableau4[Matricule cabinet],Tableau5[[#This Row],[Matricule cabinet]],Tableau4[Type d''imputation],"leave")</f>
        <v>0</v>
      </c>
      <c r="G367" s="7">
        <f>SUMIFS(Tableau4[Montant imputé],Tableau4[Matricule cabinet],Tableau5[[#This Row],[Matricule cabinet]],Tableau4[Type d''imputation],"absence")</f>
        <v>0</v>
      </c>
      <c r="H367" s="7">
        <f>SUM(Tableau5[[#This Row],[B WK]:[Unpaid leave WK]])</f>
        <v>20</v>
      </c>
    </row>
    <row r="368" spans="1:8">
      <c r="A368" s="7" t="s">
        <v>1307</v>
      </c>
      <c r="B368" s="7" t="s">
        <v>1308</v>
      </c>
      <c r="C368" s="7" t="s">
        <v>4</v>
      </c>
      <c r="D368" s="7">
        <f>SUMIFS(Tableau4[Montant imputé],Tableau4[Matricule cabinet],Tableau5[[#This Row],[Matricule cabinet]],Tableau4[Type d''imputation],"sale order")</f>
        <v>0</v>
      </c>
      <c r="E36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18.5</v>
      </c>
      <c r="F368" s="7">
        <f>SUMIFS(Tableau4[Montant imputé],Tableau4[Matricule cabinet],Tableau5[[#This Row],[Matricule cabinet]],Tableau4[Type d''imputation],"leave")</f>
        <v>1.5</v>
      </c>
      <c r="G368" s="7">
        <f>SUMIFS(Tableau4[Montant imputé],Tableau4[Matricule cabinet],Tableau5[[#This Row],[Matricule cabinet]],Tableau4[Type d''imputation],"absence")</f>
        <v>0</v>
      </c>
      <c r="H368" s="7">
        <f>SUM(Tableau5[[#This Row],[B WK]:[Unpaid leave WK]])</f>
        <v>20</v>
      </c>
    </row>
    <row r="369" spans="1:8">
      <c r="A369" s="7" t="s">
        <v>1200</v>
      </c>
      <c r="B369" s="7" t="s">
        <v>66</v>
      </c>
      <c r="C369" s="7" t="s">
        <v>38</v>
      </c>
      <c r="D369" s="7">
        <f>SUMIFS(Tableau4[Montant imputé],Tableau4[Matricule cabinet],Tableau5[[#This Row],[Matricule cabinet]],Tableau4[Type d''imputation],"sale order")</f>
        <v>12.5</v>
      </c>
      <c r="E36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1.5</v>
      </c>
      <c r="F369" s="7">
        <f>SUMIFS(Tableau4[Montant imputé],Tableau4[Matricule cabinet],Tableau5[[#This Row],[Matricule cabinet]],Tableau4[Type d''imputation],"leave")</f>
        <v>6</v>
      </c>
      <c r="G369" s="7">
        <f>SUMIFS(Tableau4[Montant imputé],Tableau4[Matricule cabinet],Tableau5[[#This Row],[Matricule cabinet]],Tableau4[Type d''imputation],"absence")</f>
        <v>0</v>
      </c>
      <c r="H369" s="7">
        <f>SUM(Tableau5[[#This Row],[B WK]:[Unpaid leave WK]])</f>
        <v>20</v>
      </c>
    </row>
    <row r="370" spans="1:8">
      <c r="A370" s="7" t="s">
        <v>1006</v>
      </c>
      <c r="B370" s="7" t="s">
        <v>1007</v>
      </c>
      <c r="C370" s="7" t="s">
        <v>49</v>
      </c>
      <c r="D370" s="7">
        <f>SUMIFS(Tableau4[Montant imputé],Tableau4[Matricule cabinet],Tableau5[[#This Row],[Matricule cabinet]],Tableau4[Type d''imputation],"sale order")</f>
        <v>18</v>
      </c>
      <c r="E37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70" s="7">
        <f>SUMIFS(Tableau4[Montant imputé],Tableau4[Matricule cabinet],Tableau5[[#This Row],[Matricule cabinet]],Tableau4[Type d''imputation],"leave")</f>
        <v>2</v>
      </c>
      <c r="G370" s="7">
        <f>SUMIFS(Tableau4[Montant imputé],Tableau4[Matricule cabinet],Tableau5[[#This Row],[Matricule cabinet]],Tableau4[Type d''imputation],"absence")</f>
        <v>0</v>
      </c>
      <c r="H370" s="7">
        <f>SUM(Tableau5[[#This Row],[B WK]:[Unpaid leave WK]])</f>
        <v>20</v>
      </c>
    </row>
    <row r="371" spans="1:8">
      <c r="A371" s="7" t="s">
        <v>430</v>
      </c>
      <c r="B371" s="7" t="s">
        <v>431</v>
      </c>
      <c r="C371" s="7" t="s">
        <v>24</v>
      </c>
      <c r="D371" s="7">
        <f>SUMIFS(Tableau4[Montant imputé],Tableau4[Matricule cabinet],Tableau5[[#This Row],[Matricule cabinet]],Tableau4[Type d''imputation],"sale order")</f>
        <v>16.5</v>
      </c>
      <c r="E37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3.5</v>
      </c>
      <c r="F371" s="7">
        <f>SUMIFS(Tableau4[Montant imputé],Tableau4[Matricule cabinet],Tableau5[[#This Row],[Matricule cabinet]],Tableau4[Type d''imputation],"leave")</f>
        <v>0</v>
      </c>
      <c r="G371" s="7">
        <f>SUMIFS(Tableau4[Montant imputé],Tableau4[Matricule cabinet],Tableau5[[#This Row],[Matricule cabinet]],Tableau4[Type d''imputation],"absence")</f>
        <v>0</v>
      </c>
      <c r="H371" s="7">
        <f>SUM(Tableau5[[#This Row],[B WK]:[Unpaid leave WK]])</f>
        <v>20</v>
      </c>
    </row>
    <row r="372" spans="1:8">
      <c r="A372" s="7" t="s">
        <v>1265</v>
      </c>
      <c r="B372" s="7" t="s">
        <v>1266</v>
      </c>
      <c r="C372" s="7" t="s">
        <v>28</v>
      </c>
      <c r="D372" s="7">
        <f>SUMIFS(Tableau4[Montant imputé],Tableau4[Matricule cabinet],Tableau5[[#This Row],[Matricule cabinet]],Tableau4[Type d''imputation],"sale order")</f>
        <v>20</v>
      </c>
      <c r="E37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72" s="7">
        <f>SUMIFS(Tableau4[Montant imputé],Tableau4[Matricule cabinet],Tableau5[[#This Row],[Matricule cabinet]],Tableau4[Type d''imputation],"leave")</f>
        <v>0</v>
      </c>
      <c r="G372" s="7">
        <f>SUMIFS(Tableau4[Montant imputé],Tableau4[Matricule cabinet],Tableau5[[#This Row],[Matricule cabinet]],Tableau4[Type d''imputation],"absence")</f>
        <v>0</v>
      </c>
      <c r="H372" s="7">
        <f>SUM(Tableau5[[#This Row],[B WK]:[Unpaid leave WK]])</f>
        <v>20</v>
      </c>
    </row>
    <row r="373" spans="1:8">
      <c r="A373" s="7" t="s">
        <v>342</v>
      </c>
      <c r="B373" s="7" t="s">
        <v>343</v>
      </c>
      <c r="C373" s="7" t="s">
        <v>35</v>
      </c>
      <c r="D373" s="7">
        <f>SUMIFS(Tableau4[Montant imputé],Tableau4[Matricule cabinet],Tableau5[[#This Row],[Matricule cabinet]],Tableau4[Type d''imputation],"sale order")</f>
        <v>15</v>
      </c>
      <c r="E37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5</v>
      </c>
      <c r="F373" s="7">
        <f>SUMIFS(Tableau4[Montant imputé],Tableau4[Matricule cabinet],Tableau5[[#This Row],[Matricule cabinet]],Tableau4[Type d''imputation],"leave")</f>
        <v>0</v>
      </c>
      <c r="G373" s="7">
        <f>SUMIFS(Tableau4[Montant imputé],Tableau4[Matricule cabinet],Tableau5[[#This Row],[Matricule cabinet]],Tableau4[Type d''imputation],"absence")</f>
        <v>0</v>
      </c>
      <c r="H373" s="7">
        <f>SUM(Tableau5[[#This Row],[B WK]:[Unpaid leave WK]])</f>
        <v>20</v>
      </c>
    </row>
    <row r="374" spans="1:8">
      <c r="A374" s="7" t="s">
        <v>184</v>
      </c>
      <c r="B374" s="7" t="s">
        <v>185</v>
      </c>
      <c r="C374" s="7" t="s">
        <v>47</v>
      </c>
      <c r="D374" s="7">
        <f>SUMIFS(Tableau4[Montant imputé],Tableau4[Matricule cabinet],Tableau5[[#This Row],[Matricule cabinet]],Tableau4[Type d''imputation],"sale order")</f>
        <v>20</v>
      </c>
      <c r="E37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74" s="7">
        <f>SUMIFS(Tableau4[Montant imputé],Tableau4[Matricule cabinet],Tableau5[[#This Row],[Matricule cabinet]],Tableau4[Type d''imputation],"leave")</f>
        <v>0</v>
      </c>
      <c r="G374" s="7">
        <f>SUMIFS(Tableau4[Montant imputé],Tableau4[Matricule cabinet],Tableau5[[#This Row],[Matricule cabinet]],Tableau4[Type d''imputation],"absence")</f>
        <v>0</v>
      </c>
      <c r="H374" s="7">
        <f>SUM(Tableau5[[#This Row],[B WK]:[Unpaid leave WK]])</f>
        <v>20</v>
      </c>
    </row>
    <row r="375" spans="1:8">
      <c r="A375" s="7" t="s">
        <v>370</v>
      </c>
      <c r="B375" s="7" t="s">
        <v>371</v>
      </c>
      <c r="C375" s="7" t="s">
        <v>67</v>
      </c>
      <c r="D375" s="7">
        <f>SUMIFS(Tableau4[Montant imputé],Tableau4[Matricule cabinet],Tableau5[[#This Row],[Matricule cabinet]],Tableau4[Type d''imputation],"sale order")</f>
        <v>19</v>
      </c>
      <c r="E37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75" s="7">
        <f>SUMIFS(Tableau4[Montant imputé],Tableau4[Matricule cabinet],Tableau5[[#This Row],[Matricule cabinet]],Tableau4[Type d''imputation],"leave")</f>
        <v>1</v>
      </c>
      <c r="G375" s="7">
        <f>SUMIFS(Tableau4[Montant imputé],Tableau4[Matricule cabinet],Tableau5[[#This Row],[Matricule cabinet]],Tableau4[Type d''imputation],"absence")</f>
        <v>0</v>
      </c>
      <c r="H375" s="7">
        <f>SUM(Tableau5[[#This Row],[B WK]:[Unpaid leave WK]])</f>
        <v>20</v>
      </c>
    </row>
    <row r="376" spans="1:8">
      <c r="A376" s="7" t="s">
        <v>988</v>
      </c>
      <c r="B376" s="7" t="s">
        <v>989</v>
      </c>
      <c r="C376" s="7" t="s">
        <v>38</v>
      </c>
      <c r="D376" s="7">
        <f>SUMIFS(Tableau4[Montant imputé],Tableau4[Matricule cabinet],Tableau5[[#This Row],[Matricule cabinet]],Tableau4[Type d''imputation],"sale order")</f>
        <v>2</v>
      </c>
      <c r="E37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15</v>
      </c>
      <c r="F376" s="7">
        <f>SUMIFS(Tableau4[Montant imputé],Tableau4[Matricule cabinet],Tableau5[[#This Row],[Matricule cabinet]],Tableau4[Type d''imputation],"leave")</f>
        <v>3</v>
      </c>
      <c r="G376" s="7">
        <f>SUMIFS(Tableau4[Montant imputé],Tableau4[Matricule cabinet],Tableau5[[#This Row],[Matricule cabinet]],Tableau4[Type d''imputation],"absence")</f>
        <v>0</v>
      </c>
      <c r="H376" s="7">
        <f>SUM(Tableau5[[#This Row],[B WK]:[Unpaid leave WK]])</f>
        <v>20</v>
      </c>
    </row>
    <row r="377" spans="1:8">
      <c r="A377" s="7" t="s">
        <v>1072</v>
      </c>
      <c r="B377" s="7" t="s">
        <v>1073</v>
      </c>
      <c r="C377" s="7" t="s">
        <v>37</v>
      </c>
      <c r="D377" s="7">
        <f>SUMIFS(Tableau4[Montant imputé],Tableau4[Matricule cabinet],Tableau5[[#This Row],[Matricule cabinet]],Tableau4[Type d''imputation],"sale order")</f>
        <v>0</v>
      </c>
      <c r="E37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77" s="7">
        <f>SUMIFS(Tableau4[Montant imputé],Tableau4[Matricule cabinet],Tableau5[[#This Row],[Matricule cabinet]],Tableau4[Type d''imputation],"leave")</f>
        <v>0</v>
      </c>
      <c r="G377" s="7">
        <f>SUMIFS(Tableau4[Montant imputé],Tableau4[Matricule cabinet],Tableau5[[#This Row],[Matricule cabinet]],Tableau4[Type d''imputation],"absence")</f>
        <v>0</v>
      </c>
      <c r="H377" s="7">
        <f>SUM(Tableau5[[#This Row],[B WK]:[Unpaid leave WK]])</f>
        <v>20</v>
      </c>
    </row>
    <row r="378" spans="1:8">
      <c r="A378" s="7" t="s">
        <v>800</v>
      </c>
      <c r="B378" s="7" t="s">
        <v>801</v>
      </c>
      <c r="C378" s="7" t="s">
        <v>16</v>
      </c>
      <c r="D378" s="7">
        <f>SUMIFS(Tableau4[Montant imputé],Tableau4[Matricule cabinet],Tableau5[[#This Row],[Matricule cabinet]],Tableau4[Type d''imputation],"sale order")</f>
        <v>20</v>
      </c>
      <c r="E37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78" s="7">
        <f>SUMIFS(Tableau4[Montant imputé],Tableau4[Matricule cabinet],Tableau5[[#This Row],[Matricule cabinet]],Tableau4[Type d''imputation],"leave")</f>
        <v>0</v>
      </c>
      <c r="G378" s="7">
        <f>SUMIFS(Tableau4[Montant imputé],Tableau4[Matricule cabinet],Tableau5[[#This Row],[Matricule cabinet]],Tableau4[Type d''imputation],"absence")</f>
        <v>0</v>
      </c>
      <c r="H378" s="7">
        <f>SUM(Tableau5[[#This Row],[B WK]:[Unpaid leave WK]])</f>
        <v>20</v>
      </c>
    </row>
    <row r="379" spans="1:8">
      <c r="A379" s="7" t="s">
        <v>1243</v>
      </c>
      <c r="B379" s="7" t="s">
        <v>1244</v>
      </c>
      <c r="C379" s="7" t="s">
        <v>80</v>
      </c>
      <c r="D379" s="7">
        <f>SUMIFS(Tableau4[Montant imputé],Tableau4[Matricule cabinet],Tableau5[[#This Row],[Matricule cabinet]],Tableau4[Type d''imputation],"sale order")</f>
        <v>0</v>
      </c>
      <c r="E37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379" s="7">
        <f>SUMIFS(Tableau4[Montant imputé],Tableau4[Matricule cabinet],Tableau5[[#This Row],[Matricule cabinet]],Tableau4[Type d''imputation],"leave")</f>
        <v>1</v>
      </c>
      <c r="G379" s="7">
        <f>SUMIFS(Tableau4[Montant imputé],Tableau4[Matricule cabinet],Tableau5[[#This Row],[Matricule cabinet]],Tableau4[Type d''imputation],"absence")</f>
        <v>0</v>
      </c>
      <c r="H379" s="7">
        <f>SUM(Tableau5[[#This Row],[B WK]:[Unpaid leave WK]])</f>
        <v>20</v>
      </c>
    </row>
    <row r="380" spans="1:8">
      <c r="A380" s="7" t="s">
        <v>1190</v>
      </c>
      <c r="B380" s="7" t="s">
        <v>1191</v>
      </c>
      <c r="C380" s="7" t="s">
        <v>55</v>
      </c>
      <c r="D380" s="7">
        <f>SUMIFS(Tableau4[Montant imputé],Tableau4[Matricule cabinet],Tableau5[[#This Row],[Matricule cabinet]],Tableau4[Type d''imputation],"sale order")</f>
        <v>20</v>
      </c>
      <c r="E38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80" s="7">
        <f>SUMIFS(Tableau4[Montant imputé],Tableau4[Matricule cabinet],Tableau5[[#This Row],[Matricule cabinet]],Tableau4[Type d''imputation],"leave")</f>
        <v>0</v>
      </c>
      <c r="G380" s="7">
        <f>SUMIFS(Tableau4[Montant imputé],Tableau4[Matricule cabinet],Tableau5[[#This Row],[Matricule cabinet]],Tableau4[Type d''imputation],"absence")</f>
        <v>0</v>
      </c>
      <c r="H380" s="7">
        <f>SUM(Tableau5[[#This Row],[B WK]:[Unpaid leave WK]])</f>
        <v>20</v>
      </c>
    </row>
    <row r="381" spans="1:8">
      <c r="A381" s="7" t="s">
        <v>1231</v>
      </c>
      <c r="B381" s="7" t="s">
        <v>1232</v>
      </c>
      <c r="C381" s="7" t="s">
        <v>874</v>
      </c>
      <c r="D381" s="7">
        <f>SUMIFS(Tableau4[Montant imputé],Tableau4[Matricule cabinet],Tableau5[[#This Row],[Matricule cabinet]],Tableau4[Type d''imputation],"sale order")</f>
        <v>0</v>
      </c>
      <c r="E38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81" s="7">
        <f>SUMIFS(Tableau4[Montant imputé],Tableau4[Matricule cabinet],Tableau5[[#This Row],[Matricule cabinet]],Tableau4[Type d''imputation],"leave")</f>
        <v>0</v>
      </c>
      <c r="G381" s="7">
        <f>SUMIFS(Tableau4[Montant imputé],Tableau4[Matricule cabinet],Tableau5[[#This Row],[Matricule cabinet]],Tableau4[Type d''imputation],"absence")</f>
        <v>0</v>
      </c>
      <c r="H381" s="7">
        <f>SUM(Tableau5[[#This Row],[B WK]:[Unpaid leave WK]])</f>
        <v>20</v>
      </c>
    </row>
    <row r="382" spans="1:8">
      <c r="A382" s="7" t="s">
        <v>1261</v>
      </c>
      <c r="B382" s="7" t="s">
        <v>1262</v>
      </c>
      <c r="C382" s="7" t="s">
        <v>2</v>
      </c>
      <c r="D382" s="7">
        <f>SUMIFS(Tableau4[Montant imputé],Tableau4[Matricule cabinet],Tableau5[[#This Row],[Matricule cabinet]],Tableau4[Type d''imputation],"sale order")</f>
        <v>18</v>
      </c>
      <c r="E38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382" s="7">
        <f>SUMIFS(Tableau4[Montant imputé],Tableau4[Matricule cabinet],Tableau5[[#This Row],[Matricule cabinet]],Tableau4[Type d''imputation],"leave")</f>
        <v>1.5</v>
      </c>
      <c r="G382" s="7">
        <f>SUMIFS(Tableau4[Montant imputé],Tableau4[Matricule cabinet],Tableau5[[#This Row],[Matricule cabinet]],Tableau4[Type d''imputation],"absence")</f>
        <v>0</v>
      </c>
      <c r="H382" s="7">
        <f>SUM(Tableau5[[#This Row],[B WK]:[Unpaid leave WK]])</f>
        <v>20</v>
      </c>
    </row>
    <row r="383" spans="1:8">
      <c r="A383" s="7" t="s">
        <v>463</v>
      </c>
      <c r="B383" s="7" t="s">
        <v>464</v>
      </c>
      <c r="C383" s="7" t="s">
        <v>43</v>
      </c>
      <c r="D383" s="7">
        <f>SUMIFS(Tableau4[Montant imputé],Tableau4[Matricule cabinet],Tableau5[[#This Row],[Matricule cabinet]],Tableau4[Type d''imputation],"sale order")</f>
        <v>20</v>
      </c>
      <c r="E38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83" s="7">
        <f>SUMIFS(Tableau4[Montant imputé],Tableau4[Matricule cabinet],Tableau5[[#This Row],[Matricule cabinet]],Tableau4[Type d''imputation],"leave")</f>
        <v>0</v>
      </c>
      <c r="G383" s="7">
        <f>SUMIFS(Tableau4[Montant imputé],Tableau4[Matricule cabinet],Tableau5[[#This Row],[Matricule cabinet]],Tableau4[Type d''imputation],"absence")</f>
        <v>0</v>
      </c>
      <c r="H383" s="7">
        <f>SUM(Tableau5[[#This Row],[B WK]:[Unpaid leave WK]])</f>
        <v>20</v>
      </c>
    </row>
    <row r="384" spans="1:8">
      <c r="A384" s="7" t="s">
        <v>602</v>
      </c>
      <c r="B384" s="7" t="s">
        <v>603</v>
      </c>
      <c r="C384" s="7" t="s">
        <v>76</v>
      </c>
      <c r="D384" s="7">
        <f>SUMIFS(Tableau4[Montant imputé],Tableau4[Matricule cabinet],Tableau5[[#This Row],[Matricule cabinet]],Tableau4[Type d''imputation],"sale order")</f>
        <v>0</v>
      </c>
      <c r="E38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384" s="7">
        <f>SUMIFS(Tableau4[Montant imputé],Tableau4[Matricule cabinet],Tableau5[[#This Row],[Matricule cabinet]],Tableau4[Type d''imputation],"leave")</f>
        <v>1</v>
      </c>
      <c r="G384" s="7">
        <f>SUMIFS(Tableau4[Montant imputé],Tableau4[Matricule cabinet],Tableau5[[#This Row],[Matricule cabinet]],Tableau4[Type d''imputation],"absence")</f>
        <v>0</v>
      </c>
      <c r="H384" s="7">
        <f>SUM(Tableau5[[#This Row],[B WK]:[Unpaid leave WK]])</f>
        <v>20</v>
      </c>
    </row>
    <row r="385" spans="1:8">
      <c r="A385" s="7" t="s">
        <v>1415</v>
      </c>
      <c r="B385" s="7" t="s">
        <v>1416</v>
      </c>
      <c r="C385" s="7" t="s">
        <v>32</v>
      </c>
      <c r="D385" s="7">
        <f>SUMIFS(Tableau4[Montant imputé],Tableau4[Matricule cabinet],Tableau5[[#This Row],[Matricule cabinet]],Tableau4[Type d''imputation],"sale order")</f>
        <v>20</v>
      </c>
      <c r="E38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85" s="7">
        <f>SUMIFS(Tableau4[Montant imputé],Tableau4[Matricule cabinet],Tableau5[[#This Row],[Matricule cabinet]],Tableau4[Type d''imputation],"leave")</f>
        <v>0</v>
      </c>
      <c r="G385" s="7">
        <f>SUMIFS(Tableau4[Montant imputé],Tableau4[Matricule cabinet],Tableau5[[#This Row],[Matricule cabinet]],Tableau4[Type d''imputation],"absence")</f>
        <v>0</v>
      </c>
      <c r="H385" s="7">
        <f>SUM(Tableau5[[#This Row],[B WK]:[Unpaid leave WK]])</f>
        <v>20</v>
      </c>
    </row>
    <row r="386" spans="1:8">
      <c r="A386" s="7" t="s">
        <v>478</v>
      </c>
      <c r="B386" s="7" t="s">
        <v>479</v>
      </c>
      <c r="C386" s="7" t="s">
        <v>50</v>
      </c>
      <c r="D386" s="7">
        <f>SUMIFS(Tableau4[Montant imputé],Tableau4[Matricule cabinet],Tableau5[[#This Row],[Matricule cabinet]],Tableau4[Type d''imputation],"sale order")</f>
        <v>0</v>
      </c>
      <c r="E38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86" s="7">
        <f>SUMIFS(Tableau4[Montant imputé],Tableau4[Matricule cabinet],Tableau5[[#This Row],[Matricule cabinet]],Tableau4[Type d''imputation],"leave")</f>
        <v>0</v>
      </c>
      <c r="G386" s="7">
        <f>SUMIFS(Tableau4[Montant imputé],Tableau4[Matricule cabinet],Tableau5[[#This Row],[Matricule cabinet]],Tableau4[Type d''imputation],"absence")</f>
        <v>0</v>
      </c>
      <c r="H386" s="7">
        <f>SUM(Tableau5[[#This Row],[B WK]:[Unpaid leave WK]])</f>
        <v>20</v>
      </c>
    </row>
    <row r="387" spans="1:8">
      <c r="A387" s="7" t="s">
        <v>710</v>
      </c>
      <c r="B387" s="7" t="s">
        <v>711</v>
      </c>
      <c r="C387" s="7" t="s">
        <v>75</v>
      </c>
      <c r="D387" s="7">
        <f>SUMIFS(Tableau4[Montant imputé],Tableau4[Matricule cabinet],Tableau5[[#This Row],[Matricule cabinet]],Tableau4[Type d''imputation],"sale order")</f>
        <v>0</v>
      </c>
      <c r="E38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87" s="7">
        <f>SUMIFS(Tableau4[Montant imputé],Tableau4[Matricule cabinet],Tableau5[[#This Row],[Matricule cabinet]],Tableau4[Type d''imputation],"leave")</f>
        <v>0</v>
      </c>
      <c r="G387" s="7">
        <f>SUMIFS(Tableau4[Montant imputé],Tableau4[Matricule cabinet],Tableau5[[#This Row],[Matricule cabinet]],Tableau4[Type d''imputation],"absence")</f>
        <v>0</v>
      </c>
      <c r="H387" s="7">
        <f>SUM(Tableau5[[#This Row],[B WK]:[Unpaid leave WK]])</f>
        <v>20</v>
      </c>
    </row>
    <row r="388" spans="1:8">
      <c r="A388" s="7" t="s">
        <v>1217</v>
      </c>
      <c r="B388" s="7" t="s">
        <v>1218</v>
      </c>
      <c r="C388" s="7" t="s">
        <v>22</v>
      </c>
      <c r="D388" s="7">
        <f>SUMIFS(Tableau4[Montant imputé],Tableau4[Matricule cabinet],Tableau5[[#This Row],[Matricule cabinet]],Tableau4[Type d''imputation],"sale order")</f>
        <v>19</v>
      </c>
      <c r="E38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88" s="7">
        <f>SUMIFS(Tableau4[Montant imputé],Tableau4[Matricule cabinet],Tableau5[[#This Row],[Matricule cabinet]],Tableau4[Type d''imputation],"leave")</f>
        <v>1</v>
      </c>
      <c r="G388" s="7">
        <f>SUMIFS(Tableau4[Montant imputé],Tableau4[Matricule cabinet],Tableau5[[#This Row],[Matricule cabinet]],Tableau4[Type d''imputation],"absence")</f>
        <v>0</v>
      </c>
      <c r="H388" s="7">
        <f>SUM(Tableau5[[#This Row],[B WK]:[Unpaid leave WK]])</f>
        <v>20</v>
      </c>
    </row>
    <row r="389" spans="1:8">
      <c r="A389" s="7" t="s">
        <v>653</v>
      </c>
      <c r="B389" s="7" t="s">
        <v>654</v>
      </c>
      <c r="C389" s="7" t="s">
        <v>31</v>
      </c>
      <c r="D389" s="7">
        <f>SUMIFS(Tableau4[Montant imputé],Tableau4[Matricule cabinet],Tableau5[[#This Row],[Matricule cabinet]],Tableau4[Type d''imputation],"sale order")</f>
        <v>20</v>
      </c>
      <c r="E38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89" s="7">
        <f>SUMIFS(Tableau4[Montant imputé],Tableau4[Matricule cabinet],Tableau5[[#This Row],[Matricule cabinet]],Tableau4[Type d''imputation],"leave")</f>
        <v>0</v>
      </c>
      <c r="G389" s="7">
        <f>SUMIFS(Tableau4[Montant imputé],Tableau4[Matricule cabinet],Tableau5[[#This Row],[Matricule cabinet]],Tableau4[Type d''imputation],"absence")</f>
        <v>0</v>
      </c>
      <c r="H389" s="7">
        <f>SUM(Tableau5[[#This Row],[B WK]:[Unpaid leave WK]])</f>
        <v>20</v>
      </c>
    </row>
    <row r="390" spans="1:8">
      <c r="A390" s="7" t="s">
        <v>736</v>
      </c>
      <c r="B390" s="7" t="s">
        <v>737</v>
      </c>
      <c r="C390" s="7" t="s">
        <v>72</v>
      </c>
      <c r="D390" s="7">
        <f>SUMIFS(Tableau4[Montant imputé],Tableau4[Matricule cabinet],Tableau5[[#This Row],[Matricule cabinet]],Tableau4[Type d''imputation],"sale order")</f>
        <v>18</v>
      </c>
      <c r="E39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90" s="7">
        <f>SUMIFS(Tableau4[Montant imputé],Tableau4[Matricule cabinet],Tableau5[[#This Row],[Matricule cabinet]],Tableau4[Type d''imputation],"leave")</f>
        <v>2</v>
      </c>
      <c r="G390" s="7">
        <f>SUMIFS(Tableau4[Montant imputé],Tableau4[Matricule cabinet],Tableau5[[#This Row],[Matricule cabinet]],Tableau4[Type d''imputation],"absence")</f>
        <v>0</v>
      </c>
      <c r="H390" s="7">
        <f>SUM(Tableau5[[#This Row],[B WK]:[Unpaid leave WK]])</f>
        <v>20</v>
      </c>
    </row>
    <row r="391" spans="1:8">
      <c r="A391" s="7" t="s">
        <v>263</v>
      </c>
      <c r="B391" s="7" t="s">
        <v>264</v>
      </c>
      <c r="C391" s="7" t="s">
        <v>84</v>
      </c>
      <c r="D391" s="7">
        <f>SUMIFS(Tableau4[Montant imputé],Tableau4[Matricule cabinet],Tableau5[[#This Row],[Matricule cabinet]],Tableau4[Type d''imputation],"sale order")</f>
        <v>20</v>
      </c>
      <c r="E39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91" s="7">
        <f>SUMIFS(Tableau4[Montant imputé],Tableau4[Matricule cabinet],Tableau5[[#This Row],[Matricule cabinet]],Tableau4[Type d''imputation],"leave")</f>
        <v>0</v>
      </c>
      <c r="G391" s="7">
        <f>SUMIFS(Tableau4[Montant imputé],Tableau4[Matricule cabinet],Tableau5[[#This Row],[Matricule cabinet]],Tableau4[Type d''imputation],"absence")</f>
        <v>0</v>
      </c>
      <c r="H391" s="7">
        <f>SUM(Tableau5[[#This Row],[B WK]:[Unpaid leave WK]])</f>
        <v>20</v>
      </c>
    </row>
    <row r="392" spans="1:8">
      <c r="A392" s="7" t="s">
        <v>1051</v>
      </c>
      <c r="B392" s="7" t="s">
        <v>1052</v>
      </c>
      <c r="C392" s="7" t="s">
        <v>1053</v>
      </c>
      <c r="D392" s="7">
        <f>SUMIFS(Tableau4[Montant imputé],Tableau4[Matricule cabinet],Tableau5[[#This Row],[Matricule cabinet]],Tableau4[Type d''imputation],"sale order")</f>
        <v>0</v>
      </c>
      <c r="E39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92" s="7">
        <f>SUMIFS(Tableau4[Montant imputé],Tableau4[Matricule cabinet],Tableau5[[#This Row],[Matricule cabinet]],Tableau4[Type d''imputation],"leave")</f>
        <v>0</v>
      </c>
      <c r="G392" s="7">
        <f>SUMIFS(Tableau4[Montant imputé],Tableau4[Matricule cabinet],Tableau5[[#This Row],[Matricule cabinet]],Tableau4[Type d''imputation],"absence")</f>
        <v>0</v>
      </c>
      <c r="H392" s="7">
        <f>SUM(Tableau5[[#This Row],[B WK]:[Unpaid leave WK]])</f>
        <v>20</v>
      </c>
    </row>
    <row r="393" spans="1:8">
      <c r="A393" s="7" t="s">
        <v>291</v>
      </c>
      <c r="B393" s="7" t="s">
        <v>292</v>
      </c>
      <c r="C393" s="7" t="s">
        <v>3</v>
      </c>
      <c r="D393" s="7">
        <f>SUMIFS(Tableau4[Montant imputé],Tableau4[Matricule cabinet],Tableau5[[#This Row],[Matricule cabinet]],Tableau4[Type d''imputation],"sale order")</f>
        <v>20</v>
      </c>
      <c r="E39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93" s="7">
        <f>SUMIFS(Tableau4[Montant imputé],Tableau4[Matricule cabinet],Tableau5[[#This Row],[Matricule cabinet]],Tableau4[Type d''imputation],"leave")</f>
        <v>0</v>
      </c>
      <c r="G393" s="7">
        <f>SUMIFS(Tableau4[Montant imputé],Tableau4[Matricule cabinet],Tableau5[[#This Row],[Matricule cabinet]],Tableau4[Type d''imputation],"absence")</f>
        <v>0</v>
      </c>
      <c r="H393" s="7">
        <f>SUM(Tableau5[[#This Row],[B WK]:[Unpaid leave WK]])</f>
        <v>20</v>
      </c>
    </row>
    <row r="394" spans="1:8">
      <c r="A394" s="7" t="s">
        <v>1074</v>
      </c>
      <c r="B394" s="7" t="s">
        <v>1075</v>
      </c>
      <c r="C394" s="7" t="s">
        <v>37</v>
      </c>
      <c r="D394" s="7">
        <f>SUMIFS(Tableau4[Montant imputé],Tableau4[Matricule cabinet],Tableau5[[#This Row],[Matricule cabinet]],Tableau4[Type d''imputation],"sale order")</f>
        <v>20</v>
      </c>
      <c r="E39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94" s="7">
        <f>SUMIFS(Tableau4[Montant imputé],Tableau4[Matricule cabinet],Tableau5[[#This Row],[Matricule cabinet]],Tableau4[Type d''imputation],"leave")</f>
        <v>0</v>
      </c>
      <c r="G394" s="7">
        <f>SUMIFS(Tableau4[Montant imputé],Tableau4[Matricule cabinet],Tableau5[[#This Row],[Matricule cabinet]],Tableau4[Type d''imputation],"absence")</f>
        <v>0</v>
      </c>
      <c r="H394" s="7">
        <f>SUM(Tableau5[[#This Row],[B WK]:[Unpaid leave WK]])</f>
        <v>20</v>
      </c>
    </row>
    <row r="395" spans="1:8">
      <c r="A395" s="7" t="s">
        <v>1293</v>
      </c>
      <c r="B395" s="7" t="s">
        <v>1294</v>
      </c>
      <c r="C395" s="7" t="s">
        <v>357</v>
      </c>
      <c r="D395" s="7">
        <f>SUMIFS(Tableau4[Montant imputé],Tableau4[Matricule cabinet],Tableau5[[#This Row],[Matricule cabinet]],Tableau4[Type d''imputation],"sale order")</f>
        <v>0</v>
      </c>
      <c r="E39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95" s="7">
        <f>SUMIFS(Tableau4[Montant imputé],Tableau4[Matricule cabinet],Tableau5[[#This Row],[Matricule cabinet]],Tableau4[Type d''imputation],"leave")</f>
        <v>0</v>
      </c>
      <c r="G395" s="7">
        <f>SUMIFS(Tableau4[Montant imputé],Tableau4[Matricule cabinet],Tableau5[[#This Row],[Matricule cabinet]],Tableau4[Type d''imputation],"absence")</f>
        <v>0</v>
      </c>
      <c r="H395" s="7">
        <f>SUM(Tableau5[[#This Row],[B WK]:[Unpaid leave WK]])</f>
        <v>20</v>
      </c>
    </row>
    <row r="396" spans="1:8">
      <c r="A396" s="7" t="s">
        <v>1391</v>
      </c>
      <c r="B396" s="7" t="s">
        <v>93</v>
      </c>
      <c r="C396" s="7" t="s">
        <v>38</v>
      </c>
      <c r="D396" s="7">
        <f>SUMIFS(Tableau4[Montant imputé],Tableau4[Matricule cabinet],Tableau5[[#This Row],[Matricule cabinet]],Tableau4[Type d''imputation],"sale order")</f>
        <v>0</v>
      </c>
      <c r="E39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396" s="7">
        <f>SUMIFS(Tableau4[Montant imputé],Tableau4[Matricule cabinet],Tableau5[[#This Row],[Matricule cabinet]],Tableau4[Type d''imputation],"leave")</f>
        <v>0</v>
      </c>
      <c r="G396" s="7">
        <f>SUMIFS(Tableau4[Montant imputé],Tableau4[Matricule cabinet],Tableau5[[#This Row],[Matricule cabinet]],Tableau4[Type d''imputation],"absence")</f>
        <v>0</v>
      </c>
      <c r="H396" s="7">
        <f>SUM(Tableau5[[#This Row],[B WK]:[Unpaid leave WK]])</f>
        <v>20</v>
      </c>
    </row>
    <row r="397" spans="1:8">
      <c r="A397" s="7" t="s">
        <v>604</v>
      </c>
      <c r="B397" s="7" t="s">
        <v>605</v>
      </c>
      <c r="C397" s="7" t="s">
        <v>76</v>
      </c>
      <c r="D397" s="7">
        <f>SUMIFS(Tableau4[Montant imputé],Tableau4[Matricule cabinet],Tableau5[[#This Row],[Matricule cabinet]],Tableau4[Type d''imputation],"sale order")</f>
        <v>18</v>
      </c>
      <c r="E39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397" s="7">
        <f>SUMIFS(Tableau4[Montant imputé],Tableau4[Matricule cabinet],Tableau5[[#This Row],[Matricule cabinet]],Tableau4[Type d''imputation],"leave")</f>
        <v>2</v>
      </c>
      <c r="G397" s="7">
        <f>SUMIFS(Tableau4[Montant imputé],Tableau4[Matricule cabinet],Tableau5[[#This Row],[Matricule cabinet]],Tableau4[Type d''imputation],"absence")</f>
        <v>0</v>
      </c>
      <c r="H397" s="7">
        <f>SUM(Tableau5[[#This Row],[B WK]:[Unpaid leave WK]])</f>
        <v>20</v>
      </c>
    </row>
    <row r="398" spans="1:8">
      <c r="A398" s="7" t="s">
        <v>1381</v>
      </c>
      <c r="B398" s="7" t="s">
        <v>1382</v>
      </c>
      <c r="C398" s="7" t="s">
        <v>78</v>
      </c>
      <c r="D398" s="7">
        <f>SUMIFS(Tableau4[Montant imputé],Tableau4[Matricule cabinet],Tableau5[[#This Row],[Matricule cabinet]],Tableau4[Type d''imputation],"sale order")</f>
        <v>10</v>
      </c>
      <c r="E39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9.5</v>
      </c>
      <c r="F398" s="7">
        <f>SUMIFS(Tableau4[Montant imputé],Tableau4[Matricule cabinet],Tableau5[[#This Row],[Matricule cabinet]],Tableau4[Type d''imputation],"leave")</f>
        <v>0.5</v>
      </c>
      <c r="G398" s="7">
        <f>SUMIFS(Tableau4[Montant imputé],Tableau4[Matricule cabinet],Tableau5[[#This Row],[Matricule cabinet]],Tableau4[Type d''imputation],"absence")</f>
        <v>0</v>
      </c>
      <c r="H398" s="7">
        <f>SUM(Tableau5[[#This Row],[B WK]:[Unpaid leave WK]])</f>
        <v>20</v>
      </c>
    </row>
    <row r="399" spans="1:8">
      <c r="A399" s="7" t="s">
        <v>1528</v>
      </c>
      <c r="B399" s="7" t="s">
        <v>1529</v>
      </c>
      <c r="C399" s="7" t="s">
        <v>4</v>
      </c>
      <c r="D399" s="7">
        <f>SUMIFS(Tableau4[Montant imputé],Tableau4[Matricule cabinet],Tableau5[[#This Row],[Matricule cabinet]],Tableau4[Type d''imputation],"sale order")</f>
        <v>19.5</v>
      </c>
      <c r="E39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399" s="7">
        <f>SUMIFS(Tableau4[Montant imputé],Tableau4[Matricule cabinet],Tableau5[[#This Row],[Matricule cabinet]],Tableau4[Type d''imputation],"leave")</f>
        <v>0</v>
      </c>
      <c r="G399" s="7">
        <f>SUMIFS(Tableau4[Montant imputé],Tableau4[Matricule cabinet],Tableau5[[#This Row],[Matricule cabinet]],Tableau4[Type d''imputation],"absence")</f>
        <v>0</v>
      </c>
      <c r="H399" s="7">
        <f>SUM(Tableau5[[#This Row],[B WK]:[Unpaid leave WK]])</f>
        <v>20</v>
      </c>
    </row>
    <row r="400" spans="1:8">
      <c r="A400" s="7" t="s">
        <v>227</v>
      </c>
      <c r="B400" s="7" t="s">
        <v>228</v>
      </c>
      <c r="C400" s="7" t="s">
        <v>52</v>
      </c>
      <c r="D400" s="7">
        <f>SUMIFS(Tableau4[Montant imputé],Tableau4[Matricule cabinet],Tableau5[[#This Row],[Matricule cabinet]],Tableau4[Type d''imputation],"sale order")</f>
        <v>20</v>
      </c>
      <c r="E40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00" s="7">
        <f>SUMIFS(Tableau4[Montant imputé],Tableau4[Matricule cabinet],Tableau5[[#This Row],[Matricule cabinet]],Tableau4[Type d''imputation],"leave")</f>
        <v>0</v>
      </c>
      <c r="G400" s="7">
        <f>SUMIFS(Tableau4[Montant imputé],Tableau4[Matricule cabinet],Tableau5[[#This Row],[Matricule cabinet]],Tableau4[Type d''imputation],"absence")</f>
        <v>0</v>
      </c>
      <c r="H400" s="7">
        <f>SUM(Tableau5[[#This Row],[B WK]:[Unpaid leave WK]])</f>
        <v>20</v>
      </c>
    </row>
    <row r="401" spans="1:8">
      <c r="A401" s="7" t="s">
        <v>1544</v>
      </c>
      <c r="B401" s="7" t="s">
        <v>1545</v>
      </c>
      <c r="C401" s="7" t="s">
        <v>85</v>
      </c>
      <c r="D401" s="7">
        <f>SUMIFS(Tableau4[Montant imputé],Tableau4[Matricule cabinet],Tableau5[[#This Row],[Matricule cabinet]],Tableau4[Type d''imputation],"sale order")</f>
        <v>18</v>
      </c>
      <c r="E40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401" s="7">
        <f>SUMIFS(Tableau4[Montant imputé],Tableau4[Matricule cabinet],Tableau5[[#This Row],[Matricule cabinet]],Tableau4[Type d''imputation],"leave")</f>
        <v>0</v>
      </c>
      <c r="G401" s="7">
        <f>SUMIFS(Tableau4[Montant imputé],Tableau4[Matricule cabinet],Tableau5[[#This Row],[Matricule cabinet]],Tableau4[Type d''imputation],"absence")</f>
        <v>0</v>
      </c>
      <c r="H401" s="7">
        <f>SUM(Tableau5[[#This Row],[B WK]:[Unpaid leave WK]])</f>
        <v>20</v>
      </c>
    </row>
    <row r="402" spans="1:8">
      <c r="A402" s="7" t="s">
        <v>461</v>
      </c>
      <c r="B402" s="7" t="s">
        <v>462</v>
      </c>
      <c r="C402" s="7" t="s">
        <v>67</v>
      </c>
      <c r="D402" s="7">
        <f>SUMIFS(Tableau4[Montant imputé],Tableau4[Matricule cabinet],Tableau5[[#This Row],[Matricule cabinet]],Tableau4[Type d''imputation],"sale order")</f>
        <v>13</v>
      </c>
      <c r="E40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402" s="7">
        <f>SUMIFS(Tableau4[Montant imputé],Tableau4[Matricule cabinet],Tableau5[[#This Row],[Matricule cabinet]],Tableau4[Type d''imputation],"leave")</f>
        <v>0</v>
      </c>
      <c r="G402" s="7">
        <f>SUMIFS(Tableau4[Montant imputé],Tableau4[Matricule cabinet],Tableau5[[#This Row],[Matricule cabinet]],Tableau4[Type d''imputation],"absence")</f>
        <v>4</v>
      </c>
      <c r="H402" s="7">
        <f>SUM(Tableau5[[#This Row],[B WK]:[Unpaid leave WK]])</f>
        <v>20</v>
      </c>
    </row>
    <row r="403" spans="1:8">
      <c r="A403" s="7" t="s">
        <v>920</v>
      </c>
      <c r="B403" s="7" t="s">
        <v>921</v>
      </c>
      <c r="C403" s="7" t="s">
        <v>66</v>
      </c>
      <c r="D403" s="7">
        <f>SUMIFS(Tableau4[Montant imputé],Tableau4[Matricule cabinet],Tableau5[[#This Row],[Matricule cabinet]],Tableau4[Type d''imputation],"sale order")</f>
        <v>20</v>
      </c>
      <c r="E40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03" s="7">
        <f>SUMIFS(Tableau4[Montant imputé],Tableau4[Matricule cabinet],Tableau5[[#This Row],[Matricule cabinet]],Tableau4[Type d''imputation],"leave")</f>
        <v>0</v>
      </c>
      <c r="G403" s="7">
        <f>SUMIFS(Tableau4[Montant imputé],Tableau4[Matricule cabinet],Tableau5[[#This Row],[Matricule cabinet]],Tableau4[Type d''imputation],"absence")</f>
        <v>0</v>
      </c>
      <c r="H403" s="7">
        <f>SUM(Tableau5[[#This Row],[B WK]:[Unpaid leave WK]])</f>
        <v>20</v>
      </c>
    </row>
    <row r="404" spans="1:8">
      <c r="A404" s="7" t="s">
        <v>384</v>
      </c>
      <c r="B404" s="7" t="s">
        <v>385</v>
      </c>
      <c r="C404" s="7" t="s">
        <v>64</v>
      </c>
      <c r="D404" s="7">
        <f>SUMIFS(Tableau4[Montant imputé],Tableau4[Matricule cabinet],Tableau5[[#This Row],[Matricule cabinet]],Tableau4[Type d''imputation],"sale order")</f>
        <v>1.5</v>
      </c>
      <c r="E40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14.5</v>
      </c>
      <c r="F404" s="7">
        <f>SUMIFS(Tableau4[Montant imputé],Tableau4[Matricule cabinet],Tableau5[[#This Row],[Matricule cabinet]],Tableau4[Type d''imputation],"leave")</f>
        <v>4</v>
      </c>
      <c r="G404" s="7">
        <f>SUMIFS(Tableau4[Montant imputé],Tableau4[Matricule cabinet],Tableau5[[#This Row],[Matricule cabinet]],Tableau4[Type d''imputation],"absence")</f>
        <v>0</v>
      </c>
      <c r="H404" s="7">
        <f>SUM(Tableau5[[#This Row],[B WK]:[Unpaid leave WK]])</f>
        <v>20</v>
      </c>
    </row>
    <row r="405" spans="1:8">
      <c r="A405" s="7" t="s">
        <v>624</v>
      </c>
      <c r="B405" s="7" t="s">
        <v>625</v>
      </c>
      <c r="C405" s="7" t="s">
        <v>82</v>
      </c>
      <c r="D405" s="7">
        <f>SUMIFS(Tableau4[Montant imputé],Tableau4[Matricule cabinet],Tableau5[[#This Row],[Matricule cabinet]],Tableau4[Type d''imputation],"sale order")</f>
        <v>14</v>
      </c>
      <c r="E40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</v>
      </c>
      <c r="F405" s="7">
        <f>SUMIFS(Tableau4[Montant imputé],Tableau4[Matricule cabinet],Tableau5[[#This Row],[Matricule cabinet]],Tableau4[Type d''imputation],"leave")</f>
        <v>0</v>
      </c>
      <c r="G405" s="7">
        <f>SUMIFS(Tableau4[Montant imputé],Tableau4[Matricule cabinet],Tableau5[[#This Row],[Matricule cabinet]],Tableau4[Type d''imputation],"absence")</f>
        <v>0</v>
      </c>
      <c r="H405" s="7">
        <f>SUM(Tableau5[[#This Row],[B WK]:[Unpaid leave WK]])</f>
        <v>20</v>
      </c>
    </row>
    <row r="406" spans="1:8">
      <c r="A406" s="7" t="s">
        <v>934</v>
      </c>
      <c r="B406" s="7" t="s">
        <v>935</v>
      </c>
      <c r="C406" s="7" t="s">
        <v>93</v>
      </c>
      <c r="D406" s="7">
        <f>SUMIFS(Tableau4[Montant imputé],Tableau4[Matricule cabinet],Tableau5[[#This Row],[Matricule cabinet]],Tableau4[Type d''imputation],"sale order")</f>
        <v>20</v>
      </c>
      <c r="E40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06" s="7">
        <f>SUMIFS(Tableau4[Montant imputé],Tableau4[Matricule cabinet],Tableau5[[#This Row],[Matricule cabinet]],Tableau4[Type d''imputation],"leave")</f>
        <v>0</v>
      </c>
      <c r="G406" s="7">
        <f>SUMIFS(Tableau4[Montant imputé],Tableau4[Matricule cabinet],Tableau5[[#This Row],[Matricule cabinet]],Tableau4[Type d''imputation],"absence")</f>
        <v>0</v>
      </c>
      <c r="H406" s="7">
        <f>SUM(Tableau5[[#This Row],[B WK]:[Unpaid leave WK]])</f>
        <v>20</v>
      </c>
    </row>
    <row r="407" spans="1:8">
      <c r="A407" s="7" t="s">
        <v>786</v>
      </c>
      <c r="B407" s="7" t="s">
        <v>787</v>
      </c>
      <c r="C407" s="7" t="s">
        <v>35</v>
      </c>
      <c r="D407" s="7">
        <f>SUMIFS(Tableau4[Montant imputé],Tableau4[Matricule cabinet],Tableau5[[#This Row],[Matricule cabinet]],Tableau4[Type d''imputation],"sale order")</f>
        <v>3</v>
      </c>
      <c r="E40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17</v>
      </c>
      <c r="F407" s="7">
        <f>SUMIFS(Tableau4[Montant imputé],Tableau4[Matricule cabinet],Tableau5[[#This Row],[Matricule cabinet]],Tableau4[Type d''imputation],"leave")</f>
        <v>0</v>
      </c>
      <c r="G407" s="7">
        <f>SUMIFS(Tableau4[Montant imputé],Tableau4[Matricule cabinet],Tableau5[[#This Row],[Matricule cabinet]],Tableau4[Type d''imputation],"absence")</f>
        <v>0</v>
      </c>
      <c r="H407" s="7">
        <f>SUM(Tableau5[[#This Row],[B WK]:[Unpaid leave WK]])</f>
        <v>20</v>
      </c>
    </row>
    <row r="408" spans="1:8">
      <c r="A408" s="7" t="s">
        <v>229</v>
      </c>
      <c r="B408" s="7" t="s">
        <v>230</v>
      </c>
      <c r="C408" s="7" t="s">
        <v>52</v>
      </c>
      <c r="D408" s="7">
        <f>SUMIFS(Tableau4[Montant imputé],Tableau4[Matricule cabinet],Tableau5[[#This Row],[Matricule cabinet]],Tableau4[Type d''imputation],"sale order")</f>
        <v>0</v>
      </c>
      <c r="E40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08" s="7">
        <f>SUMIFS(Tableau4[Montant imputé],Tableau4[Matricule cabinet],Tableau5[[#This Row],[Matricule cabinet]],Tableau4[Type d''imputation],"leave")</f>
        <v>0</v>
      </c>
      <c r="G408" s="7">
        <f>SUMIFS(Tableau4[Montant imputé],Tableau4[Matricule cabinet],Tableau5[[#This Row],[Matricule cabinet]],Tableau4[Type d''imputation],"absence")</f>
        <v>0</v>
      </c>
      <c r="H408" s="7">
        <f>SUM(Tableau5[[#This Row],[B WK]:[Unpaid leave WK]])</f>
        <v>20</v>
      </c>
    </row>
    <row r="409" spans="1:8">
      <c r="A409" s="7" t="s">
        <v>655</v>
      </c>
      <c r="B409" s="7" t="s">
        <v>656</v>
      </c>
      <c r="C409" s="7" t="s">
        <v>31</v>
      </c>
      <c r="D409" s="7">
        <f>SUMIFS(Tableau4[Montant imputé],Tableau4[Matricule cabinet],Tableau5[[#This Row],[Matricule cabinet]],Tableau4[Type d''imputation],"sale order")</f>
        <v>13</v>
      </c>
      <c r="E40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409" s="7">
        <f>SUMIFS(Tableau4[Montant imputé],Tableau4[Matricule cabinet],Tableau5[[#This Row],[Matricule cabinet]],Tableau4[Type d''imputation],"leave")</f>
        <v>5</v>
      </c>
      <c r="G409" s="7">
        <f>SUMIFS(Tableau4[Montant imputé],Tableau4[Matricule cabinet],Tableau5[[#This Row],[Matricule cabinet]],Tableau4[Type d''imputation],"absence")</f>
        <v>0</v>
      </c>
      <c r="H409" s="7">
        <f>SUM(Tableau5[[#This Row],[B WK]:[Unpaid leave WK]])</f>
        <v>20</v>
      </c>
    </row>
    <row r="410" spans="1:8">
      <c r="A410" s="7" t="s">
        <v>1546</v>
      </c>
      <c r="B410" s="7" t="s">
        <v>1547</v>
      </c>
      <c r="C410" s="7" t="s">
        <v>85</v>
      </c>
      <c r="D410" s="7">
        <f>SUMIFS(Tableau4[Montant imputé],Tableau4[Matricule cabinet],Tableau5[[#This Row],[Matricule cabinet]],Tableau4[Type d''imputation],"sale order")</f>
        <v>0</v>
      </c>
      <c r="E41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10" s="7">
        <f>SUMIFS(Tableau4[Montant imputé],Tableau4[Matricule cabinet],Tableau5[[#This Row],[Matricule cabinet]],Tableau4[Type d''imputation],"leave")</f>
        <v>0</v>
      </c>
      <c r="G410" s="7">
        <f>SUMIFS(Tableau4[Montant imputé],Tableau4[Matricule cabinet],Tableau5[[#This Row],[Matricule cabinet]],Tableau4[Type d''imputation],"absence")</f>
        <v>0</v>
      </c>
      <c r="H410" s="7">
        <f>SUM(Tableau5[[#This Row],[B WK]:[Unpaid leave WK]])</f>
        <v>20</v>
      </c>
    </row>
    <row r="411" spans="1:8">
      <c r="A411" s="7" t="s">
        <v>293</v>
      </c>
      <c r="B411" s="7" t="s">
        <v>294</v>
      </c>
      <c r="C411" s="7" t="s">
        <v>3</v>
      </c>
      <c r="D411" s="7">
        <f>SUMIFS(Tableau4[Montant imputé],Tableau4[Matricule cabinet],Tableau5[[#This Row],[Matricule cabinet]],Tableau4[Type d''imputation],"sale order")</f>
        <v>18</v>
      </c>
      <c r="E41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11" s="7">
        <f>SUMIFS(Tableau4[Montant imputé],Tableau4[Matricule cabinet],Tableau5[[#This Row],[Matricule cabinet]],Tableau4[Type d''imputation],"leave")</f>
        <v>2</v>
      </c>
      <c r="G411" s="7">
        <f>SUMIFS(Tableau4[Montant imputé],Tableau4[Matricule cabinet],Tableau5[[#This Row],[Matricule cabinet]],Tableau4[Type d''imputation],"absence")</f>
        <v>0</v>
      </c>
      <c r="H411" s="7">
        <f>SUM(Tableau5[[#This Row],[B WK]:[Unpaid leave WK]])</f>
        <v>20</v>
      </c>
    </row>
    <row r="412" spans="1:8">
      <c r="A412" s="7" t="s">
        <v>1349</v>
      </c>
      <c r="B412" s="7" t="s">
        <v>1350</v>
      </c>
      <c r="C412" s="7" t="s">
        <v>53</v>
      </c>
      <c r="D412" s="7">
        <f>SUMIFS(Tableau4[Montant imputé],Tableau4[Matricule cabinet],Tableau5[[#This Row],[Matricule cabinet]],Tableau4[Type d''imputation],"sale order")</f>
        <v>14</v>
      </c>
      <c r="E41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412" s="7">
        <f>SUMIFS(Tableau4[Montant imputé],Tableau4[Matricule cabinet],Tableau5[[#This Row],[Matricule cabinet]],Tableau4[Type d''imputation],"leave")</f>
        <v>4</v>
      </c>
      <c r="G412" s="7">
        <f>SUMIFS(Tableau4[Montant imputé],Tableau4[Matricule cabinet],Tableau5[[#This Row],[Matricule cabinet]],Tableau4[Type d''imputation],"absence")</f>
        <v>0</v>
      </c>
      <c r="H412" s="7">
        <f>SUM(Tableau5[[#This Row],[B WK]:[Unpaid leave WK]])</f>
        <v>20</v>
      </c>
    </row>
    <row r="413" spans="1:8">
      <c r="A413" s="7" t="s">
        <v>521</v>
      </c>
      <c r="B413" s="7" t="s">
        <v>522</v>
      </c>
      <c r="C413" s="7" t="s">
        <v>4</v>
      </c>
      <c r="D413" s="7">
        <f>SUMIFS(Tableau4[Montant imputé],Tableau4[Matricule cabinet],Tableau5[[#This Row],[Matricule cabinet]],Tableau4[Type d''imputation],"sale order")</f>
        <v>19</v>
      </c>
      <c r="E41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13" s="7">
        <f>SUMIFS(Tableau4[Montant imputé],Tableau4[Matricule cabinet],Tableau5[[#This Row],[Matricule cabinet]],Tableau4[Type d''imputation],"leave")</f>
        <v>1</v>
      </c>
      <c r="G413" s="7">
        <f>SUMIFS(Tableau4[Montant imputé],Tableau4[Matricule cabinet],Tableau5[[#This Row],[Matricule cabinet]],Tableau4[Type d''imputation],"absence")</f>
        <v>0</v>
      </c>
      <c r="H413" s="7">
        <f>SUM(Tableau5[[#This Row],[B WK]:[Unpaid leave WK]])</f>
        <v>20</v>
      </c>
    </row>
    <row r="414" spans="1:8">
      <c r="A414" s="7" t="s">
        <v>1383</v>
      </c>
      <c r="B414" s="7" t="s">
        <v>1384</v>
      </c>
      <c r="C414" s="7" t="s">
        <v>78</v>
      </c>
      <c r="D414" s="7">
        <f>SUMIFS(Tableau4[Montant imputé],Tableau4[Matricule cabinet],Tableau5[[#This Row],[Matricule cabinet]],Tableau4[Type d''imputation],"sale order")</f>
        <v>0</v>
      </c>
      <c r="E41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14" s="7">
        <f>SUMIFS(Tableau4[Montant imputé],Tableau4[Matricule cabinet],Tableau5[[#This Row],[Matricule cabinet]],Tableau4[Type d''imputation],"leave")</f>
        <v>0</v>
      </c>
      <c r="G414" s="7">
        <f>SUMIFS(Tableau4[Montant imputé],Tableau4[Matricule cabinet],Tableau5[[#This Row],[Matricule cabinet]],Tableau4[Type d''imputation],"absence")</f>
        <v>0</v>
      </c>
      <c r="H414" s="7">
        <f>SUM(Tableau5[[#This Row],[B WK]:[Unpaid leave WK]])</f>
        <v>20</v>
      </c>
    </row>
    <row r="415" spans="1:8">
      <c r="A415" s="7" t="s">
        <v>668</v>
      </c>
      <c r="B415" s="7" t="s">
        <v>669</v>
      </c>
      <c r="C415" s="7" t="s">
        <v>39</v>
      </c>
      <c r="D415" s="7">
        <f>SUMIFS(Tableau4[Montant imputé],Tableau4[Matricule cabinet],Tableau5[[#This Row],[Matricule cabinet]],Tableau4[Type d''imputation],"sale order")</f>
        <v>20</v>
      </c>
      <c r="E41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15" s="7">
        <f>SUMIFS(Tableau4[Montant imputé],Tableau4[Matricule cabinet],Tableau5[[#This Row],[Matricule cabinet]],Tableau4[Type d''imputation],"leave")</f>
        <v>0</v>
      </c>
      <c r="G415" s="7">
        <f>SUMIFS(Tableau4[Montant imputé],Tableau4[Matricule cabinet],Tableau5[[#This Row],[Matricule cabinet]],Tableau4[Type d''imputation],"absence")</f>
        <v>0</v>
      </c>
      <c r="H415" s="7">
        <f>SUM(Tableau5[[#This Row],[B WK]:[Unpaid leave WK]])</f>
        <v>20</v>
      </c>
    </row>
    <row r="416" spans="1:8">
      <c r="A416" s="7" t="s">
        <v>1455</v>
      </c>
      <c r="B416" s="7" t="s">
        <v>1456</v>
      </c>
      <c r="C416" s="7" t="s">
        <v>82</v>
      </c>
      <c r="D416" s="7">
        <f>SUMIFS(Tableau4[Montant imputé],Tableau4[Matricule cabinet],Tableau5[[#This Row],[Matricule cabinet]],Tableau4[Type d''imputation],"sale order")</f>
        <v>17</v>
      </c>
      <c r="E41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416" s="7">
        <f>SUMIFS(Tableau4[Montant imputé],Tableau4[Matricule cabinet],Tableau5[[#This Row],[Matricule cabinet]],Tableau4[Type d''imputation],"leave")</f>
        <v>0</v>
      </c>
      <c r="G416" s="7">
        <f>SUMIFS(Tableau4[Montant imputé],Tableau4[Matricule cabinet],Tableau5[[#This Row],[Matricule cabinet]],Tableau4[Type d''imputation],"absence")</f>
        <v>0</v>
      </c>
      <c r="H416" s="7">
        <f>SUM(Tableau5[[#This Row],[B WK]:[Unpaid leave WK]])</f>
        <v>20</v>
      </c>
    </row>
    <row r="417" spans="1:8">
      <c r="A417" s="7" t="s">
        <v>512</v>
      </c>
      <c r="B417" s="7" t="s">
        <v>513</v>
      </c>
      <c r="C417" s="7" t="s">
        <v>12</v>
      </c>
      <c r="D417" s="7">
        <f>SUMIFS(Tableau4[Montant imputé],Tableau4[Matricule cabinet],Tableau5[[#This Row],[Matricule cabinet]],Tableau4[Type d''imputation],"sale order")</f>
        <v>17</v>
      </c>
      <c r="E41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417" s="7">
        <f>SUMIFS(Tableau4[Montant imputé],Tableau4[Matricule cabinet],Tableau5[[#This Row],[Matricule cabinet]],Tableau4[Type d''imputation],"leave")</f>
        <v>0</v>
      </c>
      <c r="G417" s="7">
        <f>SUMIFS(Tableau4[Montant imputé],Tableau4[Matricule cabinet],Tableau5[[#This Row],[Matricule cabinet]],Tableau4[Type d''imputation],"absence")</f>
        <v>0</v>
      </c>
      <c r="H417" s="7">
        <f>SUM(Tableau5[[#This Row],[B WK]:[Unpaid leave WK]])</f>
        <v>20</v>
      </c>
    </row>
    <row r="418" spans="1:8">
      <c r="A418" s="7" t="s">
        <v>541</v>
      </c>
      <c r="B418" s="7" t="s">
        <v>98</v>
      </c>
      <c r="C418" s="7" t="s">
        <v>6</v>
      </c>
      <c r="D418" s="7">
        <f>SUMIFS(Tableau4[Montant imputé],Tableau4[Matricule cabinet],Tableau5[[#This Row],[Matricule cabinet]],Tableau4[Type d''imputation],"sale order")</f>
        <v>0</v>
      </c>
      <c r="E41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18" s="7">
        <f>SUMIFS(Tableau4[Montant imputé],Tableau4[Matricule cabinet],Tableau5[[#This Row],[Matricule cabinet]],Tableau4[Type d''imputation],"leave")</f>
        <v>0</v>
      </c>
      <c r="G418" s="7">
        <f>SUMIFS(Tableau4[Montant imputé],Tableau4[Matricule cabinet],Tableau5[[#This Row],[Matricule cabinet]],Tableau4[Type d''imputation],"absence")</f>
        <v>0</v>
      </c>
      <c r="H418" s="7">
        <f>SUM(Tableau5[[#This Row],[B WK]:[Unpaid leave WK]])</f>
        <v>20</v>
      </c>
    </row>
    <row r="419" spans="1:8">
      <c r="A419" s="7" t="s">
        <v>802</v>
      </c>
      <c r="B419" s="7" t="s">
        <v>803</v>
      </c>
      <c r="C419" s="7" t="s">
        <v>16</v>
      </c>
      <c r="D419" s="7">
        <f>SUMIFS(Tableau4[Montant imputé],Tableau4[Matricule cabinet],Tableau5[[#This Row],[Matricule cabinet]],Tableau4[Type d''imputation],"sale order")</f>
        <v>20</v>
      </c>
      <c r="E41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19" s="7">
        <f>SUMIFS(Tableau4[Montant imputé],Tableau4[Matricule cabinet],Tableau5[[#This Row],[Matricule cabinet]],Tableau4[Type d''imputation],"leave")</f>
        <v>0</v>
      </c>
      <c r="G419" s="7">
        <f>SUMIFS(Tableau4[Montant imputé],Tableau4[Matricule cabinet],Tableau5[[#This Row],[Matricule cabinet]],Tableau4[Type d''imputation],"absence")</f>
        <v>0</v>
      </c>
      <c r="H419" s="7">
        <f>SUM(Tableau5[[#This Row],[B WK]:[Unpaid leave WK]])</f>
        <v>20</v>
      </c>
    </row>
    <row r="420" spans="1:8">
      <c r="A420" s="7" t="s">
        <v>744</v>
      </c>
      <c r="B420" s="7" t="s">
        <v>745</v>
      </c>
      <c r="C420" s="7" t="s">
        <v>91</v>
      </c>
      <c r="D420" s="7">
        <f>SUMIFS(Tableau4[Montant imputé],Tableau4[Matricule cabinet],Tableau5[[#This Row],[Matricule cabinet]],Tableau4[Type d''imputation],"sale order")</f>
        <v>20</v>
      </c>
      <c r="E42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20" s="7">
        <f>SUMIFS(Tableau4[Montant imputé],Tableau4[Matricule cabinet],Tableau5[[#This Row],[Matricule cabinet]],Tableau4[Type d''imputation],"leave")</f>
        <v>0</v>
      </c>
      <c r="G420" s="7">
        <f>SUMIFS(Tableau4[Montant imputé],Tableau4[Matricule cabinet],Tableau5[[#This Row],[Matricule cabinet]],Tableau4[Type d''imputation],"absence")</f>
        <v>0</v>
      </c>
      <c r="H420" s="7">
        <f>SUM(Tableau5[[#This Row],[B WK]:[Unpaid leave WK]])</f>
        <v>20</v>
      </c>
    </row>
    <row r="421" spans="1:8">
      <c r="A421" s="7" t="s">
        <v>1446</v>
      </c>
      <c r="B421" s="7" t="s">
        <v>45</v>
      </c>
      <c r="C421" s="7" t="s">
        <v>54</v>
      </c>
      <c r="D421" s="7">
        <f>SUMIFS(Tableau4[Montant imputé],Tableau4[Matricule cabinet],Tableau5[[#This Row],[Matricule cabinet]],Tableau4[Type d''imputation],"sale order")</f>
        <v>10</v>
      </c>
      <c r="E42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421" s="7">
        <f>SUMIFS(Tableau4[Montant imputé],Tableau4[Matricule cabinet],Tableau5[[#This Row],[Matricule cabinet]],Tableau4[Type d''imputation],"leave")</f>
        <v>2</v>
      </c>
      <c r="G421" s="7">
        <f>SUMIFS(Tableau4[Montant imputé],Tableau4[Matricule cabinet],Tableau5[[#This Row],[Matricule cabinet]],Tableau4[Type d''imputation],"absence")</f>
        <v>0</v>
      </c>
      <c r="H421" s="7">
        <f>SUM(Tableau5[[#This Row],[B WK]:[Unpaid leave WK]])</f>
        <v>20</v>
      </c>
    </row>
    <row r="422" spans="1:8">
      <c r="A422" s="7" t="s">
        <v>1310</v>
      </c>
      <c r="B422" s="7" t="s">
        <v>5</v>
      </c>
      <c r="C422" s="7" t="s">
        <v>31</v>
      </c>
      <c r="D422" s="7">
        <f>SUMIFS(Tableau4[Montant imputé],Tableau4[Matricule cabinet],Tableau5[[#This Row],[Matricule cabinet]],Tableau4[Type d''imputation],"sale order")</f>
        <v>0</v>
      </c>
      <c r="E42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11</v>
      </c>
      <c r="F422" s="7">
        <f>SUMIFS(Tableau4[Montant imputé],Tableau4[Matricule cabinet],Tableau5[[#This Row],[Matricule cabinet]],Tableau4[Type d''imputation],"leave")</f>
        <v>9</v>
      </c>
      <c r="G422" s="7">
        <f>SUMIFS(Tableau4[Montant imputé],Tableau4[Matricule cabinet],Tableau5[[#This Row],[Matricule cabinet]],Tableau4[Type d''imputation],"absence")</f>
        <v>0</v>
      </c>
      <c r="H422" s="7">
        <f>SUM(Tableau5[[#This Row],[B WK]:[Unpaid leave WK]])</f>
        <v>20</v>
      </c>
    </row>
    <row r="423" spans="1:8">
      <c r="A423" s="7" t="s">
        <v>678</v>
      </c>
      <c r="B423" s="7" t="s">
        <v>679</v>
      </c>
      <c r="C423" s="7" t="s">
        <v>637</v>
      </c>
      <c r="D423" s="7">
        <f>SUMIFS(Tableau4[Montant imputé],Tableau4[Matricule cabinet],Tableau5[[#This Row],[Matricule cabinet]],Tableau4[Type d''imputation],"sale order")</f>
        <v>0</v>
      </c>
      <c r="E42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19.5</v>
      </c>
      <c r="F423" s="7">
        <f>SUMIFS(Tableau4[Montant imputé],Tableau4[Matricule cabinet],Tableau5[[#This Row],[Matricule cabinet]],Tableau4[Type d''imputation],"leave")</f>
        <v>0.5</v>
      </c>
      <c r="G423" s="7">
        <f>SUMIFS(Tableau4[Montant imputé],Tableau4[Matricule cabinet],Tableau5[[#This Row],[Matricule cabinet]],Tableau4[Type d''imputation],"absence")</f>
        <v>0</v>
      </c>
      <c r="H423" s="7">
        <f>SUM(Tableau5[[#This Row],[B WK]:[Unpaid leave WK]])</f>
        <v>20</v>
      </c>
    </row>
    <row r="424" spans="1:8">
      <c r="A424" s="7" t="s">
        <v>992</v>
      </c>
      <c r="B424" s="7" t="s">
        <v>993</v>
      </c>
      <c r="C424" s="7" t="s">
        <v>96</v>
      </c>
      <c r="D424" s="7">
        <f>SUMIFS(Tableau4[Montant imputé],Tableau4[Matricule cabinet],Tableau5[[#This Row],[Matricule cabinet]],Tableau4[Type d''imputation],"sale order")</f>
        <v>20</v>
      </c>
      <c r="E42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24" s="7">
        <f>SUMIFS(Tableau4[Montant imputé],Tableau4[Matricule cabinet],Tableau5[[#This Row],[Matricule cabinet]],Tableau4[Type d''imputation],"leave")</f>
        <v>0</v>
      </c>
      <c r="G424" s="7">
        <f>SUMIFS(Tableau4[Montant imputé],Tableau4[Matricule cabinet],Tableau5[[#This Row],[Matricule cabinet]],Tableau4[Type d''imputation],"absence")</f>
        <v>0</v>
      </c>
      <c r="H424" s="7">
        <f>SUM(Tableau5[[#This Row],[B WK]:[Unpaid leave WK]])</f>
        <v>20</v>
      </c>
    </row>
    <row r="425" spans="1:8">
      <c r="A425" s="7" t="s">
        <v>1002</v>
      </c>
      <c r="B425" s="7" t="s">
        <v>1003</v>
      </c>
      <c r="C425" s="7" t="s">
        <v>577</v>
      </c>
      <c r="D425" s="7">
        <f>SUMIFS(Tableau4[Montant imputé],Tableau4[Matricule cabinet],Tableau5[[#This Row],[Matricule cabinet]],Tableau4[Type d''imputation],"sale order")</f>
        <v>20</v>
      </c>
      <c r="E42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25" s="7">
        <f>SUMIFS(Tableau4[Montant imputé],Tableau4[Matricule cabinet],Tableau5[[#This Row],[Matricule cabinet]],Tableau4[Type d''imputation],"leave")</f>
        <v>0</v>
      </c>
      <c r="G425" s="7">
        <f>SUMIFS(Tableau4[Montant imputé],Tableau4[Matricule cabinet],Tableau5[[#This Row],[Matricule cabinet]],Tableau4[Type d''imputation],"absence")</f>
        <v>0</v>
      </c>
      <c r="H425" s="7">
        <f>SUM(Tableau5[[#This Row],[B WK]:[Unpaid leave WK]])</f>
        <v>20</v>
      </c>
    </row>
    <row r="426" spans="1:8">
      <c r="A426" s="7" t="s">
        <v>606</v>
      </c>
      <c r="B426" s="7" t="s">
        <v>607</v>
      </c>
      <c r="C426" s="7" t="s">
        <v>76</v>
      </c>
      <c r="D426" s="7">
        <f>SUMIFS(Tableau4[Montant imputé],Tableau4[Matricule cabinet],Tableau5[[#This Row],[Matricule cabinet]],Tableau4[Type d''imputation],"sale order")</f>
        <v>19.5</v>
      </c>
      <c r="E42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26" s="7">
        <f>SUMIFS(Tableau4[Montant imputé],Tableau4[Matricule cabinet],Tableau5[[#This Row],[Matricule cabinet]],Tableau4[Type d''imputation],"leave")</f>
        <v>0.5</v>
      </c>
      <c r="G426" s="7">
        <f>SUMIFS(Tableau4[Montant imputé],Tableau4[Matricule cabinet],Tableau5[[#This Row],[Matricule cabinet]],Tableau4[Type d''imputation],"absence")</f>
        <v>0</v>
      </c>
      <c r="H426" s="7">
        <f>SUM(Tableau5[[#This Row],[B WK]:[Unpaid leave WK]])</f>
        <v>20</v>
      </c>
    </row>
    <row r="427" spans="1:8">
      <c r="A427" s="7" t="s">
        <v>775</v>
      </c>
      <c r="B427" s="7" t="s">
        <v>776</v>
      </c>
      <c r="C427" s="7" t="s">
        <v>69</v>
      </c>
      <c r="D427" s="7">
        <f>SUMIFS(Tableau4[Montant imputé],Tableau4[Matricule cabinet],Tableau5[[#This Row],[Matricule cabinet]],Tableau4[Type d''imputation],"sale order")</f>
        <v>17</v>
      </c>
      <c r="E42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2.5</v>
      </c>
      <c r="F427" s="7">
        <f>SUMIFS(Tableau4[Montant imputé],Tableau4[Matricule cabinet],Tableau5[[#This Row],[Matricule cabinet]],Tableau4[Type d''imputation],"leave")</f>
        <v>0.5</v>
      </c>
      <c r="G427" s="7">
        <f>SUMIFS(Tableau4[Montant imputé],Tableau4[Matricule cabinet],Tableau5[[#This Row],[Matricule cabinet]],Tableau4[Type d''imputation],"absence")</f>
        <v>0</v>
      </c>
      <c r="H427" s="7">
        <f>SUM(Tableau5[[#This Row],[B WK]:[Unpaid leave WK]])</f>
        <v>20</v>
      </c>
    </row>
    <row r="428" spans="1:8">
      <c r="A428" s="7" t="s">
        <v>871</v>
      </c>
      <c r="B428" s="7" t="s">
        <v>57</v>
      </c>
      <c r="C428" s="7" t="s">
        <v>31</v>
      </c>
      <c r="D428" s="7">
        <f>SUMIFS(Tableau4[Montant imputé],Tableau4[Matricule cabinet],Tableau5[[#This Row],[Matricule cabinet]],Tableau4[Type d''imputation],"sale order")</f>
        <v>7</v>
      </c>
      <c r="E42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</v>
      </c>
      <c r="F428" s="7">
        <f>SUMIFS(Tableau4[Montant imputé],Tableau4[Matricule cabinet],Tableau5[[#This Row],[Matricule cabinet]],Tableau4[Type d''imputation],"leave")</f>
        <v>3</v>
      </c>
      <c r="G428" s="7">
        <f>SUMIFS(Tableau4[Montant imputé],Tableau4[Matricule cabinet],Tableau5[[#This Row],[Matricule cabinet]],Tableau4[Type d''imputation],"absence")</f>
        <v>0</v>
      </c>
      <c r="H428" s="7">
        <f>SUM(Tableau5[[#This Row],[B WK]:[Unpaid leave WK]])</f>
        <v>20</v>
      </c>
    </row>
    <row r="429" spans="1:8">
      <c r="A429" s="7" t="s">
        <v>860</v>
      </c>
      <c r="B429" s="7" t="s">
        <v>861</v>
      </c>
      <c r="C429" s="7" t="s">
        <v>36</v>
      </c>
      <c r="D429" s="7">
        <f>SUMIFS(Tableau4[Montant imputé],Tableau4[Matricule cabinet],Tableau5[[#This Row],[Matricule cabinet]],Tableau4[Type d''imputation],"sale order")</f>
        <v>19.5</v>
      </c>
      <c r="E42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29" s="7">
        <f>SUMIFS(Tableau4[Montant imputé],Tableau4[Matricule cabinet],Tableau5[[#This Row],[Matricule cabinet]],Tableau4[Type d''imputation],"leave")</f>
        <v>0.5</v>
      </c>
      <c r="G429" s="7">
        <f>SUMIFS(Tableau4[Montant imputé],Tableau4[Matricule cabinet],Tableau5[[#This Row],[Matricule cabinet]],Tableau4[Type d''imputation],"absence")</f>
        <v>0</v>
      </c>
      <c r="H429" s="7">
        <f>SUM(Tableau5[[#This Row],[B WK]:[Unpaid leave WK]])</f>
        <v>20</v>
      </c>
    </row>
    <row r="430" spans="1:8">
      <c r="A430" s="7" t="s">
        <v>746</v>
      </c>
      <c r="B430" s="7" t="s">
        <v>747</v>
      </c>
      <c r="C430" s="7" t="s">
        <v>91</v>
      </c>
      <c r="D430" s="7">
        <f>SUMIFS(Tableau4[Montant imputé],Tableau4[Matricule cabinet],Tableau5[[#This Row],[Matricule cabinet]],Tableau4[Type d''imputation],"sale order")</f>
        <v>0</v>
      </c>
      <c r="E43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18</v>
      </c>
      <c r="F430" s="7">
        <f>SUMIFS(Tableau4[Montant imputé],Tableau4[Matricule cabinet],Tableau5[[#This Row],[Matricule cabinet]],Tableau4[Type d''imputation],"leave")</f>
        <v>1</v>
      </c>
      <c r="G430" s="7">
        <f>SUMIFS(Tableau4[Montant imputé],Tableau4[Matricule cabinet],Tableau5[[#This Row],[Matricule cabinet]],Tableau4[Type d''imputation],"absence")</f>
        <v>1</v>
      </c>
      <c r="H430" s="7">
        <f>SUM(Tableau5[[#This Row],[B WK]:[Unpaid leave WK]])</f>
        <v>20</v>
      </c>
    </row>
    <row r="431" spans="1:8">
      <c r="A431" s="7" t="s">
        <v>766</v>
      </c>
      <c r="B431" s="7" t="s">
        <v>96</v>
      </c>
      <c r="C431" s="7" t="s">
        <v>56</v>
      </c>
      <c r="D431" s="7">
        <f>SUMIFS(Tableau4[Montant imputé],Tableau4[Matricule cabinet],Tableau5[[#This Row],[Matricule cabinet]],Tableau4[Type d''imputation],"sale order")</f>
        <v>12</v>
      </c>
      <c r="E43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431" s="7">
        <f>SUMIFS(Tableau4[Montant imputé],Tableau4[Matricule cabinet],Tableau5[[#This Row],[Matricule cabinet]],Tableau4[Type d''imputation],"leave")</f>
        <v>6</v>
      </c>
      <c r="G431" s="7">
        <f>SUMIFS(Tableau4[Montant imputé],Tableau4[Matricule cabinet],Tableau5[[#This Row],[Matricule cabinet]],Tableau4[Type d''imputation],"absence")</f>
        <v>0</v>
      </c>
      <c r="H431" s="7">
        <f>SUM(Tableau5[[#This Row],[B WK]:[Unpaid leave WK]])</f>
        <v>20</v>
      </c>
    </row>
    <row r="432" spans="1:8">
      <c r="A432" s="7" t="s">
        <v>1137</v>
      </c>
      <c r="B432" s="7" t="s">
        <v>79</v>
      </c>
      <c r="C432" s="7" t="s">
        <v>543</v>
      </c>
      <c r="D432" s="7">
        <f>SUMIFS(Tableau4[Montant imputé],Tableau4[Matricule cabinet],Tableau5[[#This Row],[Matricule cabinet]],Tableau4[Type d''imputation],"sale order")</f>
        <v>0</v>
      </c>
      <c r="E43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32" s="7">
        <f>SUMIFS(Tableau4[Montant imputé],Tableau4[Matricule cabinet],Tableau5[[#This Row],[Matricule cabinet]],Tableau4[Type d''imputation],"leave")</f>
        <v>0</v>
      </c>
      <c r="G432" s="7">
        <f>SUMIFS(Tableau4[Montant imputé],Tableau4[Matricule cabinet],Tableau5[[#This Row],[Matricule cabinet]],Tableau4[Type d''imputation],"absence")</f>
        <v>0</v>
      </c>
      <c r="H432" s="7">
        <f>SUM(Tableau5[[#This Row],[B WK]:[Unpaid leave WK]])</f>
        <v>20</v>
      </c>
    </row>
    <row r="433" spans="1:8">
      <c r="A433" s="7" t="s">
        <v>469</v>
      </c>
      <c r="B433" s="7" t="s">
        <v>470</v>
      </c>
      <c r="C433" s="7" t="s">
        <v>50</v>
      </c>
      <c r="D433" s="7">
        <f>SUMIFS(Tableau4[Montant imputé],Tableau4[Matricule cabinet],Tableau5[[#This Row],[Matricule cabinet]],Tableau4[Type d''imputation],"sale order")</f>
        <v>17</v>
      </c>
      <c r="E43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33" s="7">
        <f>SUMIFS(Tableau4[Montant imputé],Tableau4[Matricule cabinet],Tableau5[[#This Row],[Matricule cabinet]],Tableau4[Type d''imputation],"leave")</f>
        <v>3</v>
      </c>
      <c r="G433" s="7">
        <f>SUMIFS(Tableau4[Montant imputé],Tableau4[Matricule cabinet],Tableau5[[#This Row],[Matricule cabinet]],Tableau4[Type d''imputation],"absence")</f>
        <v>0</v>
      </c>
      <c r="H433" s="7">
        <f>SUM(Tableau5[[#This Row],[B WK]:[Unpaid leave WK]])</f>
        <v>20</v>
      </c>
    </row>
    <row r="434" spans="1:8">
      <c r="A434" s="7" t="s">
        <v>576</v>
      </c>
      <c r="B434" s="7" t="s">
        <v>577</v>
      </c>
      <c r="C434" s="7" t="s">
        <v>29</v>
      </c>
      <c r="D434" s="7">
        <f>SUMIFS(Tableau4[Montant imputé],Tableau4[Matricule cabinet],Tableau5[[#This Row],[Matricule cabinet]],Tableau4[Type d''imputation],"sale order")</f>
        <v>0</v>
      </c>
      <c r="E43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434" s="7">
        <f>SUMIFS(Tableau4[Montant imputé],Tableau4[Matricule cabinet],Tableau5[[#This Row],[Matricule cabinet]],Tableau4[Type d''imputation],"leave")</f>
        <v>11</v>
      </c>
      <c r="G434" s="7">
        <f>SUMIFS(Tableau4[Montant imputé],Tableau4[Matricule cabinet],Tableau5[[#This Row],[Matricule cabinet]],Tableau4[Type d''imputation],"absence")</f>
        <v>0</v>
      </c>
      <c r="H434" s="7">
        <f>SUM(Tableau5[[#This Row],[B WK]:[Unpaid leave WK]])</f>
        <v>20</v>
      </c>
    </row>
    <row r="435" spans="1:8">
      <c r="A435" s="7" t="s">
        <v>1505</v>
      </c>
      <c r="B435" s="7" t="s">
        <v>49</v>
      </c>
      <c r="C435" s="7" t="s">
        <v>54</v>
      </c>
      <c r="D435" s="7">
        <f>SUMIFS(Tableau4[Montant imputé],Tableau4[Matricule cabinet],Tableau5[[#This Row],[Matricule cabinet]],Tableau4[Type d''imputation],"sale order")</f>
        <v>16</v>
      </c>
      <c r="E43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35" s="7">
        <f>SUMIFS(Tableau4[Montant imputé],Tableau4[Matricule cabinet],Tableau5[[#This Row],[Matricule cabinet]],Tableau4[Type d''imputation],"leave")</f>
        <v>4</v>
      </c>
      <c r="G435" s="7">
        <f>SUMIFS(Tableau4[Montant imputé],Tableau4[Matricule cabinet],Tableau5[[#This Row],[Matricule cabinet]],Tableau4[Type d''imputation],"absence")</f>
        <v>0</v>
      </c>
      <c r="H435" s="7">
        <f>SUM(Tableau5[[#This Row],[B WK]:[Unpaid leave WK]])</f>
        <v>20</v>
      </c>
    </row>
    <row r="436" spans="1:8">
      <c r="A436" s="7" t="s">
        <v>804</v>
      </c>
      <c r="B436" s="7" t="s">
        <v>24</v>
      </c>
      <c r="C436" s="7" t="s">
        <v>16</v>
      </c>
      <c r="D436" s="7">
        <f>SUMIFS(Tableau4[Montant imputé],Tableau4[Matricule cabinet],Tableau5[[#This Row],[Matricule cabinet]],Tableau4[Type d''imputation],"sale order")</f>
        <v>14</v>
      </c>
      <c r="E43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</v>
      </c>
      <c r="F436" s="7">
        <f>SUMIFS(Tableau4[Montant imputé],Tableau4[Matricule cabinet],Tableau5[[#This Row],[Matricule cabinet]],Tableau4[Type d''imputation],"leave")</f>
        <v>0</v>
      </c>
      <c r="G436" s="7">
        <f>SUMIFS(Tableau4[Montant imputé],Tableau4[Matricule cabinet],Tableau5[[#This Row],[Matricule cabinet]],Tableau4[Type d''imputation],"absence")</f>
        <v>0</v>
      </c>
      <c r="H436" s="7">
        <f>SUM(Tableau5[[#This Row],[B WK]:[Unpaid leave WK]])</f>
        <v>20</v>
      </c>
    </row>
    <row r="437" spans="1:8">
      <c r="A437" s="7" t="s">
        <v>289</v>
      </c>
      <c r="B437" s="7" t="s">
        <v>44</v>
      </c>
      <c r="C437" s="7" t="s">
        <v>60</v>
      </c>
      <c r="D437" s="7">
        <f>SUMIFS(Tableau4[Montant imputé],Tableau4[Matricule cabinet],Tableau5[[#This Row],[Matricule cabinet]],Tableau4[Type d''imputation],"sale order")</f>
        <v>11</v>
      </c>
      <c r="E43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</v>
      </c>
      <c r="F437" s="7">
        <f>SUMIFS(Tableau4[Montant imputé],Tableau4[Matricule cabinet],Tableau5[[#This Row],[Matricule cabinet]],Tableau4[Type d''imputation],"leave")</f>
        <v>2</v>
      </c>
      <c r="G437" s="7">
        <f>SUMIFS(Tableau4[Montant imputé],Tableau4[Matricule cabinet],Tableau5[[#This Row],[Matricule cabinet]],Tableau4[Type d''imputation],"absence")</f>
        <v>0</v>
      </c>
      <c r="H437" s="7">
        <f>SUM(Tableau5[[#This Row],[B WK]:[Unpaid leave WK]])</f>
        <v>20</v>
      </c>
    </row>
    <row r="438" spans="1:8">
      <c r="A438" s="7" t="s">
        <v>490</v>
      </c>
      <c r="B438" s="7" t="s">
        <v>491</v>
      </c>
      <c r="C438" s="7" t="s">
        <v>33</v>
      </c>
      <c r="D438" s="7">
        <f>SUMIFS(Tableau4[Montant imputé],Tableau4[Matricule cabinet],Tableau5[[#This Row],[Matricule cabinet]],Tableau4[Type d''imputation],"sale order")</f>
        <v>15</v>
      </c>
      <c r="E43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38" s="7">
        <f>SUMIFS(Tableau4[Montant imputé],Tableau4[Matricule cabinet],Tableau5[[#This Row],[Matricule cabinet]],Tableau4[Type d''imputation],"leave")</f>
        <v>5</v>
      </c>
      <c r="G438" s="7">
        <f>SUMIFS(Tableau4[Montant imputé],Tableau4[Matricule cabinet],Tableau5[[#This Row],[Matricule cabinet]],Tableau4[Type d''imputation],"absence")</f>
        <v>0</v>
      </c>
      <c r="H438" s="7">
        <f>SUM(Tableau5[[#This Row],[B WK]:[Unpaid leave WK]])</f>
        <v>20</v>
      </c>
    </row>
    <row r="439" spans="1:8">
      <c r="A439" s="7" t="s">
        <v>1206</v>
      </c>
      <c r="B439" s="7" t="s">
        <v>1053</v>
      </c>
      <c r="C439" s="7" t="s">
        <v>38</v>
      </c>
      <c r="D439" s="7">
        <f>SUMIFS(Tableau4[Montant imputé],Tableau4[Matricule cabinet],Tableau5[[#This Row],[Matricule cabinet]],Tableau4[Type d''imputation],"sale order")</f>
        <v>19</v>
      </c>
      <c r="E43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439" s="7">
        <f>SUMIFS(Tableau4[Montant imputé],Tableau4[Matricule cabinet],Tableau5[[#This Row],[Matricule cabinet]],Tableau4[Type d''imputation],"leave")</f>
        <v>0</v>
      </c>
      <c r="G439" s="7">
        <f>SUMIFS(Tableau4[Montant imputé],Tableau4[Matricule cabinet],Tableau5[[#This Row],[Matricule cabinet]],Tableau4[Type d''imputation],"absence")</f>
        <v>0</v>
      </c>
      <c r="H439" s="7">
        <f>SUM(Tableau5[[#This Row],[B WK]:[Unpaid leave WK]])</f>
        <v>20</v>
      </c>
    </row>
    <row r="440" spans="1:8">
      <c r="A440" s="7" t="s">
        <v>456</v>
      </c>
      <c r="B440" s="7" t="s">
        <v>361</v>
      </c>
      <c r="C440" s="7" t="s">
        <v>70</v>
      </c>
      <c r="D440" s="7">
        <f>SUMIFS(Tableau4[Montant imputé],Tableau4[Matricule cabinet],Tableau5[[#This Row],[Matricule cabinet]],Tableau4[Type d''imputation],"sale order")</f>
        <v>20</v>
      </c>
      <c r="E44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40" s="7">
        <f>SUMIFS(Tableau4[Montant imputé],Tableau4[Matricule cabinet],Tableau5[[#This Row],[Matricule cabinet]],Tableau4[Type d''imputation],"leave")</f>
        <v>0</v>
      </c>
      <c r="G440" s="7">
        <f>SUMIFS(Tableau4[Montant imputé],Tableau4[Matricule cabinet],Tableau5[[#This Row],[Matricule cabinet]],Tableau4[Type d''imputation],"absence")</f>
        <v>0</v>
      </c>
      <c r="H440" s="7">
        <f>SUM(Tableau5[[#This Row],[B WK]:[Unpaid leave WK]])</f>
        <v>20</v>
      </c>
    </row>
    <row r="441" spans="1:8">
      <c r="A441" s="7" t="s">
        <v>148</v>
      </c>
      <c r="B441" s="7" t="s">
        <v>77</v>
      </c>
      <c r="C441" s="7" t="s">
        <v>60</v>
      </c>
      <c r="D441" s="7">
        <f>SUMIFS(Tableau4[Montant imputé],Tableau4[Matricule cabinet],Tableau5[[#This Row],[Matricule cabinet]],Tableau4[Type d''imputation],"sale order")</f>
        <v>18.5</v>
      </c>
      <c r="E44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441" s="7">
        <f>SUMIFS(Tableau4[Montant imputé],Tableau4[Matricule cabinet],Tableau5[[#This Row],[Matricule cabinet]],Tableau4[Type d''imputation],"leave")</f>
        <v>0.5</v>
      </c>
      <c r="G441" s="7">
        <f>SUMIFS(Tableau4[Montant imputé],Tableau4[Matricule cabinet],Tableau5[[#This Row],[Matricule cabinet]],Tableau4[Type d''imputation],"absence")</f>
        <v>0</v>
      </c>
      <c r="H441" s="7">
        <f>SUM(Tableau5[[#This Row],[B WK]:[Unpaid leave WK]])</f>
        <v>20</v>
      </c>
    </row>
    <row r="442" spans="1:8">
      <c r="A442" s="7" t="s">
        <v>310</v>
      </c>
      <c r="B442" s="7" t="s">
        <v>311</v>
      </c>
      <c r="C442" s="7" t="s">
        <v>17</v>
      </c>
      <c r="D442" s="7">
        <f>SUMIFS(Tableau4[Montant imputé],Tableau4[Matricule cabinet],Tableau5[[#This Row],[Matricule cabinet]],Tableau4[Type d''imputation],"sale order")</f>
        <v>20</v>
      </c>
      <c r="E44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42" s="7">
        <f>SUMIFS(Tableau4[Montant imputé],Tableau4[Matricule cabinet],Tableau5[[#This Row],[Matricule cabinet]],Tableau4[Type d''imputation],"leave")</f>
        <v>0</v>
      </c>
      <c r="G442" s="7">
        <f>SUMIFS(Tableau4[Montant imputé],Tableau4[Matricule cabinet],Tableau5[[#This Row],[Matricule cabinet]],Tableau4[Type d''imputation],"absence")</f>
        <v>0</v>
      </c>
      <c r="H442" s="7">
        <f>SUM(Tableau5[[#This Row],[B WK]:[Unpaid leave WK]])</f>
        <v>20</v>
      </c>
    </row>
    <row r="443" spans="1:8">
      <c r="A443" s="7" t="s">
        <v>1245</v>
      </c>
      <c r="B443" s="7" t="s">
        <v>1246</v>
      </c>
      <c r="C443" s="7" t="s">
        <v>80</v>
      </c>
      <c r="D443" s="7">
        <f>SUMIFS(Tableau4[Montant imputé],Tableau4[Matricule cabinet],Tableau5[[#This Row],[Matricule cabinet]],Tableau4[Type d''imputation],"sale order")</f>
        <v>18</v>
      </c>
      <c r="E44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43" s="7">
        <f>SUMIFS(Tableau4[Montant imputé],Tableau4[Matricule cabinet],Tableau5[[#This Row],[Matricule cabinet]],Tableau4[Type d''imputation],"leave")</f>
        <v>2</v>
      </c>
      <c r="G443" s="7">
        <f>SUMIFS(Tableau4[Montant imputé],Tableau4[Matricule cabinet],Tableau5[[#This Row],[Matricule cabinet]],Tableau4[Type d''imputation],"absence")</f>
        <v>0</v>
      </c>
      <c r="H443" s="7">
        <f>SUM(Tableau5[[#This Row],[B WK]:[Unpaid leave WK]])</f>
        <v>20</v>
      </c>
    </row>
    <row r="444" spans="1:8">
      <c r="A444" s="7" t="s">
        <v>1267</v>
      </c>
      <c r="B444" s="7" t="s">
        <v>1268</v>
      </c>
      <c r="C444" s="7" t="s">
        <v>28</v>
      </c>
      <c r="D444" s="7">
        <f>SUMIFS(Tableau4[Montant imputé],Tableau4[Matricule cabinet],Tableau5[[#This Row],[Matricule cabinet]],Tableau4[Type d''imputation],"sale order")</f>
        <v>10</v>
      </c>
      <c r="E44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444" s="7">
        <f>SUMIFS(Tableau4[Montant imputé],Tableau4[Matricule cabinet],Tableau5[[#This Row],[Matricule cabinet]],Tableau4[Type d''imputation],"leave")</f>
        <v>0</v>
      </c>
      <c r="G444" s="7">
        <f>SUMIFS(Tableau4[Montant imputé],Tableau4[Matricule cabinet],Tableau5[[#This Row],[Matricule cabinet]],Tableau4[Type d''imputation],"absence")</f>
        <v>6</v>
      </c>
      <c r="H444" s="7">
        <f>SUM(Tableau5[[#This Row],[B WK]:[Unpaid leave WK]])</f>
        <v>20</v>
      </c>
    </row>
    <row r="445" spans="1:8">
      <c r="A445" s="7" t="s">
        <v>1247</v>
      </c>
      <c r="B445" s="7" t="s">
        <v>1248</v>
      </c>
      <c r="C445" s="7" t="s">
        <v>80</v>
      </c>
      <c r="D445" s="7">
        <f>SUMIFS(Tableau4[Montant imputé],Tableau4[Matricule cabinet],Tableau5[[#This Row],[Matricule cabinet]],Tableau4[Type d''imputation],"sale order")</f>
        <v>16</v>
      </c>
      <c r="E44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45" s="7">
        <f>SUMIFS(Tableau4[Montant imputé],Tableau4[Matricule cabinet],Tableau5[[#This Row],[Matricule cabinet]],Tableau4[Type d''imputation],"leave")</f>
        <v>4</v>
      </c>
      <c r="G445" s="7">
        <f>SUMIFS(Tableau4[Montant imputé],Tableau4[Matricule cabinet],Tableau5[[#This Row],[Matricule cabinet]],Tableau4[Type d''imputation],"absence")</f>
        <v>0</v>
      </c>
      <c r="H445" s="7">
        <f>SUM(Tableau5[[#This Row],[B WK]:[Unpaid leave WK]])</f>
        <v>20</v>
      </c>
    </row>
    <row r="446" spans="1:8">
      <c r="A446" s="7" t="s">
        <v>616</v>
      </c>
      <c r="B446" s="7" t="s">
        <v>617</v>
      </c>
      <c r="C446" s="7" t="s">
        <v>35</v>
      </c>
      <c r="D446" s="7">
        <f>SUMIFS(Tableau4[Montant imputé],Tableau4[Matricule cabinet],Tableau5[[#This Row],[Matricule cabinet]],Tableau4[Type d''imputation],"sale order")</f>
        <v>16</v>
      </c>
      <c r="E44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446" s="7">
        <f>SUMIFS(Tableau4[Montant imputé],Tableau4[Matricule cabinet],Tableau5[[#This Row],[Matricule cabinet]],Tableau4[Type d''imputation],"leave")</f>
        <v>2</v>
      </c>
      <c r="G446" s="7">
        <f>SUMIFS(Tableau4[Montant imputé],Tableau4[Matricule cabinet],Tableau5[[#This Row],[Matricule cabinet]],Tableau4[Type d''imputation],"absence")</f>
        <v>0</v>
      </c>
      <c r="H446" s="7">
        <f>SUM(Tableau5[[#This Row],[B WK]:[Unpaid leave WK]])</f>
        <v>20</v>
      </c>
    </row>
    <row r="447" spans="1:8">
      <c r="A447" s="7" t="s">
        <v>1207</v>
      </c>
      <c r="B447" s="7" t="s">
        <v>37</v>
      </c>
      <c r="C447" s="7" t="s">
        <v>38</v>
      </c>
      <c r="D447" s="7">
        <f>SUMIFS(Tableau4[Montant imputé],Tableau4[Matricule cabinet],Tableau5[[#This Row],[Matricule cabinet]],Tableau4[Type d''imputation],"sale order")</f>
        <v>14</v>
      </c>
      <c r="E44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447" s="7">
        <f>SUMIFS(Tableau4[Montant imputé],Tableau4[Matricule cabinet],Tableau5[[#This Row],[Matricule cabinet]],Tableau4[Type d''imputation],"leave")</f>
        <v>4</v>
      </c>
      <c r="G447" s="7">
        <f>SUMIFS(Tableau4[Montant imputé],Tableau4[Matricule cabinet],Tableau5[[#This Row],[Matricule cabinet]],Tableau4[Type d''imputation],"absence")</f>
        <v>0</v>
      </c>
      <c r="H447" s="7">
        <f>SUM(Tableau5[[#This Row],[B WK]:[Unpaid leave WK]])</f>
        <v>20</v>
      </c>
    </row>
    <row r="448" spans="1:8">
      <c r="A448" s="7" t="s">
        <v>1337</v>
      </c>
      <c r="B448" s="7" t="s">
        <v>1338</v>
      </c>
      <c r="C448" s="7" t="s">
        <v>5</v>
      </c>
      <c r="D448" s="7">
        <f>SUMIFS(Tableau4[Montant imputé],Tableau4[Matricule cabinet],Tableau5[[#This Row],[Matricule cabinet]],Tableau4[Type d''imputation],"sale order")</f>
        <v>0</v>
      </c>
      <c r="E44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48" s="7">
        <f>SUMIFS(Tableau4[Montant imputé],Tableau4[Matricule cabinet],Tableau5[[#This Row],[Matricule cabinet]],Tableau4[Type d''imputation],"leave")</f>
        <v>0</v>
      </c>
      <c r="G448" s="7">
        <f>SUMIFS(Tableau4[Montant imputé],Tableau4[Matricule cabinet],Tableau5[[#This Row],[Matricule cabinet]],Tableau4[Type d''imputation],"absence")</f>
        <v>0</v>
      </c>
      <c r="H448" s="7">
        <f>SUM(Tableau5[[#This Row],[B WK]:[Unpaid leave WK]])</f>
        <v>20</v>
      </c>
    </row>
    <row r="449" spans="1:8">
      <c r="A449" s="7" t="s">
        <v>578</v>
      </c>
      <c r="B449" s="7" t="s">
        <v>579</v>
      </c>
      <c r="C449" s="7" t="s">
        <v>29</v>
      </c>
      <c r="D449" s="7">
        <f>SUMIFS(Tableau4[Montant imputé],Tableau4[Matricule cabinet],Tableau5[[#This Row],[Matricule cabinet]],Tableau4[Type d''imputation],"sale order")</f>
        <v>0</v>
      </c>
      <c r="E44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449" s="7">
        <f>SUMIFS(Tableau4[Montant imputé],Tableau4[Matricule cabinet],Tableau5[[#This Row],[Matricule cabinet]],Tableau4[Type d''imputation],"leave")</f>
        <v>0</v>
      </c>
      <c r="G449" s="7">
        <f>SUMIFS(Tableau4[Montant imputé],Tableau4[Matricule cabinet],Tableau5[[#This Row],[Matricule cabinet]],Tableau4[Type d''imputation],"absence")</f>
        <v>19</v>
      </c>
      <c r="H449" s="7">
        <f>SUM(Tableau5[[#This Row],[B WK]:[Unpaid leave WK]])</f>
        <v>20</v>
      </c>
    </row>
    <row r="450" spans="1:8">
      <c r="A450" s="7" t="s">
        <v>712</v>
      </c>
      <c r="B450" s="7" t="s">
        <v>713</v>
      </c>
      <c r="C450" s="7" t="s">
        <v>75</v>
      </c>
      <c r="D450" s="7">
        <f>SUMIFS(Tableau4[Montant imputé],Tableau4[Matricule cabinet],Tableau5[[#This Row],[Matricule cabinet]],Tableau4[Type d''imputation],"sale order")</f>
        <v>19.5</v>
      </c>
      <c r="E45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50" s="7">
        <f>SUMIFS(Tableau4[Montant imputé],Tableau4[Matricule cabinet],Tableau5[[#This Row],[Matricule cabinet]],Tableau4[Type d''imputation],"leave")</f>
        <v>0.5</v>
      </c>
      <c r="G450" s="7">
        <f>SUMIFS(Tableau4[Montant imputé],Tableau4[Matricule cabinet],Tableau5[[#This Row],[Matricule cabinet]],Tableau4[Type d''imputation],"absence")</f>
        <v>0</v>
      </c>
      <c r="H450" s="7">
        <f>SUM(Tableau5[[#This Row],[B WK]:[Unpaid leave WK]])</f>
        <v>20</v>
      </c>
    </row>
    <row r="451" spans="1:8">
      <c r="A451" s="7" t="s">
        <v>1355</v>
      </c>
      <c r="B451" s="7" t="s">
        <v>1356</v>
      </c>
      <c r="C451" s="7" t="s">
        <v>77</v>
      </c>
      <c r="D451" s="7">
        <f>SUMIFS(Tableau4[Montant imputé],Tableau4[Matricule cabinet],Tableau5[[#This Row],[Matricule cabinet]],Tableau4[Type d''imputation],"sale order")</f>
        <v>4</v>
      </c>
      <c r="E45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14.5</v>
      </c>
      <c r="F451" s="7">
        <f>SUMIFS(Tableau4[Montant imputé],Tableau4[Matricule cabinet],Tableau5[[#This Row],[Matricule cabinet]],Tableau4[Type d''imputation],"leave")</f>
        <v>1.5</v>
      </c>
      <c r="G451" s="7">
        <f>SUMIFS(Tableau4[Montant imputé],Tableau4[Matricule cabinet],Tableau5[[#This Row],[Matricule cabinet]],Tableau4[Type d''imputation],"absence")</f>
        <v>0</v>
      </c>
      <c r="H451" s="7">
        <f>SUM(Tableau5[[#This Row],[B WK]:[Unpaid leave WK]])</f>
        <v>20</v>
      </c>
    </row>
    <row r="452" spans="1:8">
      <c r="A452" s="7" t="s">
        <v>1385</v>
      </c>
      <c r="B452" s="7" t="s">
        <v>1386</v>
      </c>
      <c r="C452" s="7" t="s">
        <v>78</v>
      </c>
      <c r="D452" s="7">
        <f>SUMIFS(Tableau4[Montant imputé],Tableau4[Matricule cabinet],Tableau5[[#This Row],[Matricule cabinet]],Tableau4[Type d''imputation],"sale order")</f>
        <v>0</v>
      </c>
      <c r="E45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15</v>
      </c>
      <c r="F452" s="7">
        <f>SUMIFS(Tableau4[Montant imputé],Tableau4[Matricule cabinet],Tableau5[[#This Row],[Matricule cabinet]],Tableau4[Type d''imputation],"leave")</f>
        <v>5</v>
      </c>
      <c r="G452" s="7">
        <f>SUMIFS(Tableau4[Montant imputé],Tableau4[Matricule cabinet],Tableau5[[#This Row],[Matricule cabinet]],Tableau4[Type d''imputation],"absence")</f>
        <v>0</v>
      </c>
      <c r="H452" s="7">
        <f>SUM(Tableau5[[#This Row],[B WK]:[Unpaid leave WK]])</f>
        <v>20</v>
      </c>
    </row>
    <row r="453" spans="1:8">
      <c r="A453" s="7" t="s">
        <v>457</v>
      </c>
      <c r="B453" s="7" t="s">
        <v>458</v>
      </c>
      <c r="C453" s="7" t="s">
        <v>70</v>
      </c>
      <c r="D453" s="7">
        <f>SUMIFS(Tableau4[Montant imputé],Tableau4[Matricule cabinet],Tableau5[[#This Row],[Matricule cabinet]],Tableau4[Type d''imputation],"sale order")</f>
        <v>19.5</v>
      </c>
      <c r="E45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53" s="7">
        <f>SUMIFS(Tableau4[Montant imputé],Tableau4[Matricule cabinet],Tableau5[[#This Row],[Matricule cabinet]],Tableau4[Type d''imputation],"leave")</f>
        <v>0.5</v>
      </c>
      <c r="G453" s="7">
        <f>SUMIFS(Tableau4[Montant imputé],Tableau4[Matricule cabinet],Tableau5[[#This Row],[Matricule cabinet]],Tableau4[Type d''imputation],"absence")</f>
        <v>0</v>
      </c>
      <c r="H453" s="7">
        <f>SUM(Tableau5[[#This Row],[B WK]:[Unpaid leave WK]])</f>
        <v>20</v>
      </c>
    </row>
    <row r="454" spans="1:8">
      <c r="A454" s="7" t="s">
        <v>492</v>
      </c>
      <c r="B454" s="7" t="s">
        <v>493</v>
      </c>
      <c r="C454" s="7" t="s">
        <v>33</v>
      </c>
      <c r="D454" s="7">
        <f>SUMIFS(Tableau4[Montant imputé],Tableau4[Matricule cabinet],Tableau5[[#This Row],[Matricule cabinet]],Tableau4[Type d''imputation],"sale order")</f>
        <v>20</v>
      </c>
      <c r="E45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54" s="7">
        <f>SUMIFS(Tableau4[Montant imputé],Tableau4[Matricule cabinet],Tableau5[[#This Row],[Matricule cabinet]],Tableau4[Type d''imputation],"leave")</f>
        <v>0</v>
      </c>
      <c r="G454" s="7">
        <f>SUMIFS(Tableau4[Montant imputé],Tableau4[Matricule cabinet],Tableau5[[#This Row],[Matricule cabinet]],Tableau4[Type d''imputation],"absence")</f>
        <v>0</v>
      </c>
      <c r="H454" s="7">
        <f>SUM(Tableau5[[#This Row],[B WK]:[Unpaid leave WK]])</f>
        <v>20</v>
      </c>
    </row>
    <row r="455" spans="1:8">
      <c r="A455" s="7" t="s">
        <v>1060</v>
      </c>
      <c r="B455" s="7" t="s">
        <v>1061</v>
      </c>
      <c r="C455" s="7" t="s">
        <v>7</v>
      </c>
      <c r="D455" s="7">
        <f>SUMIFS(Tableau4[Montant imputé],Tableau4[Matricule cabinet],Tableau5[[#This Row],[Matricule cabinet]],Tableau4[Type d''imputation],"sale order")</f>
        <v>18.5</v>
      </c>
      <c r="E45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455" s="7">
        <f>SUMIFS(Tableau4[Montant imputé],Tableau4[Matricule cabinet],Tableau5[[#This Row],[Matricule cabinet]],Tableau4[Type d''imputation],"leave")</f>
        <v>1</v>
      </c>
      <c r="G455" s="7">
        <f>SUMIFS(Tableau4[Montant imputé],Tableau4[Matricule cabinet],Tableau5[[#This Row],[Matricule cabinet]],Tableau4[Type d''imputation],"absence")</f>
        <v>0</v>
      </c>
      <c r="H455" s="7">
        <f>SUM(Tableau5[[#This Row],[B WK]:[Unpaid leave WK]])</f>
        <v>20</v>
      </c>
    </row>
    <row r="456" spans="1:8">
      <c r="A456" s="7" t="s">
        <v>501</v>
      </c>
      <c r="B456" s="7" t="s">
        <v>502</v>
      </c>
      <c r="C456" s="7" t="s">
        <v>143</v>
      </c>
      <c r="D456" s="7">
        <f>SUMIFS(Tableau4[Montant imputé],Tableau4[Matricule cabinet],Tableau5[[#This Row],[Matricule cabinet]],Tableau4[Type d''imputation],"sale order")</f>
        <v>0</v>
      </c>
      <c r="E45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456" s="7">
        <f>SUMIFS(Tableau4[Montant imputé],Tableau4[Matricule cabinet],Tableau5[[#This Row],[Matricule cabinet]],Tableau4[Type d''imputation],"leave")</f>
        <v>1</v>
      </c>
      <c r="G456" s="7">
        <f>SUMIFS(Tableau4[Montant imputé],Tableau4[Matricule cabinet],Tableau5[[#This Row],[Matricule cabinet]],Tableau4[Type d''imputation],"absence")</f>
        <v>0</v>
      </c>
      <c r="H456" s="7">
        <f>SUM(Tableau5[[#This Row],[B WK]:[Unpaid leave WK]])</f>
        <v>20</v>
      </c>
    </row>
    <row r="457" spans="1:8">
      <c r="A457" s="7" t="s">
        <v>714</v>
      </c>
      <c r="B457" s="7" t="s">
        <v>715</v>
      </c>
      <c r="C457" s="7" t="s">
        <v>75</v>
      </c>
      <c r="D457" s="7">
        <f>SUMIFS(Tableau4[Montant imputé],Tableau4[Matricule cabinet],Tableau5[[#This Row],[Matricule cabinet]],Tableau4[Type d''imputation],"sale order")</f>
        <v>20</v>
      </c>
      <c r="E45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57" s="7">
        <f>SUMIFS(Tableau4[Montant imputé],Tableau4[Matricule cabinet],Tableau5[[#This Row],[Matricule cabinet]],Tableau4[Type d''imputation],"leave")</f>
        <v>0</v>
      </c>
      <c r="G457" s="7">
        <f>SUMIFS(Tableau4[Montant imputé],Tableau4[Matricule cabinet],Tableau5[[#This Row],[Matricule cabinet]],Tableau4[Type d''imputation],"absence")</f>
        <v>0</v>
      </c>
      <c r="H457" s="7">
        <f>SUM(Tableau5[[#This Row],[B WK]:[Unpaid leave WK]])</f>
        <v>20</v>
      </c>
    </row>
    <row r="458" spans="1:8">
      <c r="A458" s="7" t="s">
        <v>1549</v>
      </c>
      <c r="B458" s="7" t="s">
        <v>1550</v>
      </c>
      <c r="C458" s="7" t="s">
        <v>85</v>
      </c>
      <c r="D458" s="7">
        <f>SUMIFS(Tableau4[Montant imputé],Tableau4[Matricule cabinet],Tableau5[[#This Row],[Matricule cabinet]],Tableau4[Type d''imputation],"sale order")</f>
        <v>20</v>
      </c>
      <c r="E45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58" s="7">
        <f>SUMIFS(Tableau4[Montant imputé],Tableau4[Matricule cabinet],Tableau5[[#This Row],[Matricule cabinet]],Tableau4[Type d''imputation],"leave")</f>
        <v>0</v>
      </c>
      <c r="G458" s="7">
        <f>SUMIFS(Tableau4[Montant imputé],Tableau4[Matricule cabinet],Tableau5[[#This Row],[Matricule cabinet]],Tableau4[Type d''imputation],"absence")</f>
        <v>0</v>
      </c>
      <c r="H458" s="7">
        <f>SUM(Tableau5[[#This Row],[B WK]:[Unpaid leave WK]])</f>
        <v>20</v>
      </c>
    </row>
    <row r="459" spans="1:8">
      <c r="A459" s="7" t="s">
        <v>1536</v>
      </c>
      <c r="B459" s="7" t="s">
        <v>1537</v>
      </c>
      <c r="C459" s="7" t="s">
        <v>45</v>
      </c>
      <c r="D459" s="7">
        <f>SUMIFS(Tableau4[Montant imputé],Tableau4[Matricule cabinet],Tableau5[[#This Row],[Matricule cabinet]],Tableau4[Type d''imputation],"sale order")</f>
        <v>10.5</v>
      </c>
      <c r="E45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9.5</v>
      </c>
      <c r="F459" s="7">
        <f>SUMIFS(Tableau4[Montant imputé],Tableau4[Matricule cabinet],Tableau5[[#This Row],[Matricule cabinet]],Tableau4[Type d''imputation],"leave")</f>
        <v>0</v>
      </c>
      <c r="G459" s="7">
        <f>SUMIFS(Tableau4[Montant imputé],Tableau4[Matricule cabinet],Tableau5[[#This Row],[Matricule cabinet]],Tableau4[Type d''imputation],"absence")</f>
        <v>0</v>
      </c>
      <c r="H459" s="7">
        <f>SUM(Tableau5[[#This Row],[B WK]:[Unpaid leave WK]])</f>
        <v>20</v>
      </c>
    </row>
    <row r="460" spans="1:8">
      <c r="A460" s="7" t="s">
        <v>186</v>
      </c>
      <c r="B460" s="7" t="s">
        <v>187</v>
      </c>
      <c r="C460" s="7" t="s">
        <v>47</v>
      </c>
      <c r="D460" s="7">
        <f>SUMIFS(Tableau4[Montant imputé],Tableau4[Matricule cabinet],Tableau5[[#This Row],[Matricule cabinet]],Tableau4[Type d''imputation],"sale order")</f>
        <v>19.5</v>
      </c>
      <c r="E46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60" s="7">
        <f>SUMIFS(Tableau4[Montant imputé],Tableau4[Matricule cabinet],Tableau5[[#This Row],[Matricule cabinet]],Tableau4[Type d''imputation],"leave")</f>
        <v>0.5</v>
      </c>
      <c r="G460" s="7">
        <f>SUMIFS(Tableau4[Montant imputé],Tableau4[Matricule cabinet],Tableau5[[#This Row],[Matricule cabinet]],Tableau4[Type d''imputation],"absence")</f>
        <v>0</v>
      </c>
      <c r="H460" s="7">
        <f>SUM(Tableau5[[#This Row],[B WK]:[Unpaid leave WK]])</f>
        <v>20</v>
      </c>
    </row>
    <row r="461" spans="1:8">
      <c r="A461" s="7" t="s">
        <v>944</v>
      </c>
      <c r="B461" s="7" t="s">
        <v>945</v>
      </c>
      <c r="C461" s="7" t="s">
        <v>45</v>
      </c>
      <c r="D461" s="7">
        <f>SUMIFS(Tableau4[Montant imputé],Tableau4[Matricule cabinet],Tableau5[[#This Row],[Matricule cabinet]],Tableau4[Type d''imputation],"sale order")</f>
        <v>15</v>
      </c>
      <c r="E46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61" s="7">
        <f>SUMIFS(Tableau4[Montant imputé],Tableau4[Matricule cabinet],Tableau5[[#This Row],[Matricule cabinet]],Tableau4[Type d''imputation],"leave")</f>
        <v>5</v>
      </c>
      <c r="G461" s="7">
        <f>SUMIFS(Tableau4[Montant imputé],Tableau4[Matricule cabinet],Tableau5[[#This Row],[Matricule cabinet]],Tableau4[Type d''imputation],"absence")</f>
        <v>0</v>
      </c>
      <c r="H461" s="7">
        <f>SUM(Tableau5[[#This Row],[B WK]:[Unpaid leave WK]])</f>
        <v>20</v>
      </c>
    </row>
    <row r="462" spans="1:8">
      <c r="A462" s="7" t="s">
        <v>332</v>
      </c>
      <c r="B462" s="7" t="s">
        <v>333</v>
      </c>
      <c r="C462" s="7" t="s">
        <v>64</v>
      </c>
      <c r="D462" s="7">
        <f>SUMIFS(Tableau4[Montant imputé],Tableau4[Matricule cabinet],Tableau5[[#This Row],[Matricule cabinet]],Tableau4[Type d''imputation],"sale order")</f>
        <v>15</v>
      </c>
      <c r="E46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62" s="7">
        <f>SUMIFS(Tableau4[Montant imputé],Tableau4[Matricule cabinet],Tableau5[[#This Row],[Matricule cabinet]],Tableau4[Type d''imputation],"leave")</f>
        <v>5</v>
      </c>
      <c r="G462" s="7">
        <f>SUMIFS(Tableau4[Montant imputé],Tableau4[Matricule cabinet],Tableau5[[#This Row],[Matricule cabinet]],Tableau4[Type d''imputation],"absence")</f>
        <v>0</v>
      </c>
      <c r="H462" s="7">
        <f>SUM(Tableau5[[#This Row],[B WK]:[Unpaid leave WK]])</f>
        <v>20</v>
      </c>
    </row>
    <row r="463" spans="1:8">
      <c r="A463" s="7" t="s">
        <v>1091</v>
      </c>
      <c r="B463" s="7" t="s">
        <v>1092</v>
      </c>
      <c r="C463" s="7" t="s">
        <v>51</v>
      </c>
      <c r="D463" s="7">
        <f>SUMIFS(Tableau4[Montant imputé],Tableau4[Matricule cabinet],Tableau5[[#This Row],[Matricule cabinet]],Tableau4[Type d''imputation],"sale order")</f>
        <v>20</v>
      </c>
      <c r="E46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63" s="7">
        <f>SUMIFS(Tableau4[Montant imputé],Tableau4[Matricule cabinet],Tableau5[[#This Row],[Matricule cabinet]],Tableau4[Type d''imputation],"leave")</f>
        <v>0</v>
      </c>
      <c r="G463" s="7">
        <f>SUMIFS(Tableau4[Montant imputé],Tableau4[Matricule cabinet],Tableau5[[#This Row],[Matricule cabinet]],Tableau4[Type d''imputation],"absence")</f>
        <v>0</v>
      </c>
      <c r="H463" s="7">
        <f>SUM(Tableau5[[#This Row],[B WK]:[Unpaid leave WK]])</f>
        <v>20</v>
      </c>
    </row>
    <row r="464" spans="1:8">
      <c r="A464" s="7" t="s">
        <v>265</v>
      </c>
      <c r="B464" s="7" t="s">
        <v>266</v>
      </c>
      <c r="C464" s="7" t="s">
        <v>84</v>
      </c>
      <c r="D464" s="7">
        <f>SUMIFS(Tableau4[Montant imputé],Tableau4[Matricule cabinet],Tableau5[[#This Row],[Matricule cabinet]],Tableau4[Type d''imputation],"sale order")</f>
        <v>19.5</v>
      </c>
      <c r="E46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464" s="7">
        <f>SUMIFS(Tableau4[Montant imputé],Tableau4[Matricule cabinet],Tableau5[[#This Row],[Matricule cabinet]],Tableau4[Type d''imputation],"leave")</f>
        <v>0</v>
      </c>
      <c r="G464" s="7">
        <f>SUMIFS(Tableau4[Montant imputé],Tableau4[Matricule cabinet],Tableau5[[#This Row],[Matricule cabinet]],Tableau4[Type d''imputation],"absence")</f>
        <v>0</v>
      </c>
      <c r="H464" s="7">
        <f>SUM(Tableau5[[#This Row],[B WK]:[Unpaid leave WK]])</f>
        <v>20</v>
      </c>
    </row>
    <row r="465" spans="1:8">
      <c r="A465" s="7" t="s">
        <v>166</v>
      </c>
      <c r="B465" s="7" t="s">
        <v>167</v>
      </c>
      <c r="C465" s="7" t="s">
        <v>7</v>
      </c>
      <c r="D465" s="7">
        <f>SUMIFS(Tableau4[Montant imputé],Tableau4[Matricule cabinet],Tableau5[[#This Row],[Matricule cabinet]],Tableau4[Type d''imputation],"sale order")</f>
        <v>0</v>
      </c>
      <c r="E46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65" s="7">
        <f>SUMIFS(Tableau4[Montant imputé],Tableau4[Matricule cabinet],Tableau5[[#This Row],[Matricule cabinet]],Tableau4[Type d''imputation],"leave")</f>
        <v>0</v>
      </c>
      <c r="G465" s="7">
        <f>SUMIFS(Tableau4[Montant imputé],Tableau4[Matricule cabinet],Tableau5[[#This Row],[Matricule cabinet]],Tableau4[Type d''imputation],"absence")</f>
        <v>0</v>
      </c>
      <c r="H465" s="7">
        <f>SUM(Tableau5[[#This Row],[B WK]:[Unpaid leave WK]])</f>
        <v>20</v>
      </c>
    </row>
    <row r="466" spans="1:8">
      <c r="A466" s="7" t="s">
        <v>1084</v>
      </c>
      <c r="B466" s="7" t="s">
        <v>1085</v>
      </c>
      <c r="C466" s="7" t="s">
        <v>609</v>
      </c>
      <c r="D466" s="7">
        <f>SUMIFS(Tableau4[Montant imputé],Tableau4[Matricule cabinet],Tableau5[[#This Row],[Matricule cabinet]],Tableau4[Type d''imputation],"sale order")</f>
        <v>0</v>
      </c>
      <c r="E46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66" s="7">
        <f>SUMIFS(Tableau4[Montant imputé],Tableau4[Matricule cabinet],Tableau5[[#This Row],[Matricule cabinet]],Tableau4[Type d''imputation],"leave")</f>
        <v>0</v>
      </c>
      <c r="G466" s="7">
        <f>SUMIFS(Tableau4[Montant imputé],Tableau4[Matricule cabinet],Tableau5[[#This Row],[Matricule cabinet]],Tableau4[Type d''imputation],"absence")</f>
        <v>0</v>
      </c>
      <c r="H466" s="7">
        <f>SUM(Tableau5[[#This Row],[B WK]:[Unpaid leave WK]])</f>
        <v>20</v>
      </c>
    </row>
    <row r="467" spans="1:8">
      <c r="A467" s="7" t="s">
        <v>608</v>
      </c>
      <c r="B467" s="7" t="s">
        <v>609</v>
      </c>
      <c r="C467" s="7" t="s">
        <v>76</v>
      </c>
      <c r="D467" s="7">
        <f>SUMIFS(Tableau4[Montant imputé],Tableau4[Matricule cabinet],Tableau5[[#This Row],[Matricule cabinet]],Tableau4[Type d''imputation],"sale order")</f>
        <v>17</v>
      </c>
      <c r="E46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467" s="7">
        <f>SUMIFS(Tableau4[Montant imputé],Tableau4[Matricule cabinet],Tableau5[[#This Row],[Matricule cabinet]],Tableau4[Type d''imputation],"leave")</f>
        <v>1</v>
      </c>
      <c r="G467" s="7">
        <f>SUMIFS(Tableau4[Montant imputé],Tableau4[Matricule cabinet],Tableau5[[#This Row],[Matricule cabinet]],Tableau4[Type d''imputation],"absence")</f>
        <v>0</v>
      </c>
      <c r="H467" s="7">
        <f>SUM(Tableau5[[#This Row],[B WK]:[Unpaid leave WK]])</f>
        <v>20</v>
      </c>
    </row>
    <row r="468" spans="1:8">
      <c r="A468" s="7" t="s">
        <v>1219</v>
      </c>
      <c r="B468" s="7" t="s">
        <v>1220</v>
      </c>
      <c r="C468" s="7" t="s">
        <v>22</v>
      </c>
      <c r="D468" s="7">
        <f>SUMIFS(Tableau4[Montant imputé],Tableau4[Matricule cabinet],Tableau5[[#This Row],[Matricule cabinet]],Tableau4[Type d''imputation],"sale order")</f>
        <v>19</v>
      </c>
      <c r="E46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68" s="7">
        <f>SUMIFS(Tableau4[Montant imputé],Tableau4[Matricule cabinet],Tableau5[[#This Row],[Matricule cabinet]],Tableau4[Type d''imputation],"leave")</f>
        <v>1</v>
      </c>
      <c r="G468" s="7">
        <f>SUMIFS(Tableau4[Montant imputé],Tableau4[Matricule cabinet],Tableau5[[#This Row],[Matricule cabinet]],Tableau4[Type d''imputation],"absence")</f>
        <v>0</v>
      </c>
      <c r="H468" s="7">
        <f>SUM(Tableau5[[#This Row],[B WK]:[Unpaid leave WK]])</f>
        <v>20</v>
      </c>
    </row>
    <row r="469" spans="1:8">
      <c r="A469" s="7" t="s">
        <v>231</v>
      </c>
      <c r="B469" s="7" t="s">
        <v>232</v>
      </c>
      <c r="C469" s="7" t="s">
        <v>52</v>
      </c>
      <c r="D469" s="7">
        <f>SUMIFS(Tableau4[Montant imputé],Tableau4[Matricule cabinet],Tableau5[[#This Row],[Matricule cabinet]],Tableau4[Type d''imputation],"sale order")</f>
        <v>17</v>
      </c>
      <c r="E46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69" s="7">
        <f>SUMIFS(Tableau4[Montant imputé],Tableau4[Matricule cabinet],Tableau5[[#This Row],[Matricule cabinet]],Tableau4[Type d''imputation],"leave")</f>
        <v>3</v>
      </c>
      <c r="G469" s="7">
        <f>SUMIFS(Tableau4[Montant imputé],Tableau4[Matricule cabinet],Tableau5[[#This Row],[Matricule cabinet]],Tableau4[Type d''imputation],"absence")</f>
        <v>0</v>
      </c>
      <c r="H469" s="7">
        <f>SUM(Tableau5[[#This Row],[B WK]:[Unpaid leave WK]])</f>
        <v>20</v>
      </c>
    </row>
    <row r="470" spans="1:8">
      <c r="A470" s="7" t="s">
        <v>1525</v>
      </c>
      <c r="B470" s="7" t="s">
        <v>1526</v>
      </c>
      <c r="C470" s="7" t="s">
        <v>8</v>
      </c>
      <c r="D470" s="7">
        <f>SUMIFS(Tableau4[Montant imputé],Tableau4[Matricule cabinet],Tableau5[[#This Row],[Matricule cabinet]],Tableau4[Type d''imputation],"sale order")</f>
        <v>19</v>
      </c>
      <c r="E47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70" s="7">
        <f>SUMIFS(Tableau4[Montant imputé],Tableau4[Matricule cabinet],Tableau5[[#This Row],[Matricule cabinet]],Tableau4[Type d''imputation],"leave")</f>
        <v>1</v>
      </c>
      <c r="G470" s="7">
        <f>SUMIFS(Tableau4[Montant imputé],Tableau4[Matricule cabinet],Tableau5[[#This Row],[Matricule cabinet]],Tableau4[Type d''imputation],"absence")</f>
        <v>0</v>
      </c>
      <c r="H470" s="7">
        <f>SUM(Tableau5[[#This Row],[B WK]:[Unpaid leave WK]])</f>
        <v>20</v>
      </c>
    </row>
    <row r="471" spans="1:8">
      <c r="A471" s="7" t="s">
        <v>1398</v>
      </c>
      <c r="B471" s="7" t="s">
        <v>1399</v>
      </c>
      <c r="C471" s="7" t="s">
        <v>95</v>
      </c>
      <c r="D471" s="7">
        <f>SUMIFS(Tableau4[Montant imputé],Tableau4[Matricule cabinet],Tableau5[[#This Row],[Matricule cabinet]],Tableau4[Type d''imputation],"sale order")</f>
        <v>19</v>
      </c>
      <c r="E47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71" s="7">
        <f>SUMIFS(Tableau4[Montant imputé],Tableau4[Matricule cabinet],Tableau5[[#This Row],[Matricule cabinet]],Tableau4[Type d''imputation],"leave")</f>
        <v>1</v>
      </c>
      <c r="G471" s="7">
        <f>SUMIFS(Tableau4[Montant imputé],Tableau4[Matricule cabinet],Tableau5[[#This Row],[Matricule cabinet]],Tableau4[Type d''imputation],"absence")</f>
        <v>0</v>
      </c>
      <c r="H471" s="7">
        <f>SUM(Tableau5[[#This Row],[B WK]:[Unpaid leave WK]])</f>
        <v>20</v>
      </c>
    </row>
    <row r="472" spans="1:8">
      <c r="A472" s="7" t="s">
        <v>698</v>
      </c>
      <c r="B472" s="7" t="s">
        <v>699</v>
      </c>
      <c r="C472" s="7" t="s">
        <v>26</v>
      </c>
      <c r="D472" s="7">
        <f>SUMIFS(Tableau4[Montant imputé],Tableau4[Matricule cabinet],Tableau5[[#This Row],[Matricule cabinet]],Tableau4[Type d''imputation],"sale order")</f>
        <v>1</v>
      </c>
      <c r="E47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17</v>
      </c>
      <c r="F472" s="7">
        <f>SUMIFS(Tableau4[Montant imputé],Tableau4[Matricule cabinet],Tableau5[[#This Row],[Matricule cabinet]],Tableau4[Type d''imputation],"leave")</f>
        <v>2</v>
      </c>
      <c r="G472" s="7">
        <f>SUMIFS(Tableau4[Montant imputé],Tableau4[Matricule cabinet],Tableau5[[#This Row],[Matricule cabinet]],Tableau4[Type d''imputation],"absence")</f>
        <v>0</v>
      </c>
      <c r="H472" s="7">
        <f>SUM(Tableau5[[#This Row],[B WK]:[Unpaid leave WK]])</f>
        <v>20</v>
      </c>
    </row>
    <row r="473" spans="1:8">
      <c r="A473" s="7" t="s">
        <v>1351</v>
      </c>
      <c r="B473" s="7" t="s">
        <v>1352</v>
      </c>
      <c r="C473" s="7" t="s">
        <v>5</v>
      </c>
      <c r="D473" s="7">
        <f>SUMIFS(Tableau4[Montant imputé],Tableau4[Matricule cabinet],Tableau5[[#This Row],[Matricule cabinet]],Tableau4[Type d''imputation],"sale order")</f>
        <v>0</v>
      </c>
      <c r="E47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12</v>
      </c>
      <c r="F473" s="7">
        <f>SUMIFS(Tableau4[Montant imputé],Tableau4[Matricule cabinet],Tableau5[[#This Row],[Matricule cabinet]],Tableau4[Type d''imputation],"leave")</f>
        <v>8</v>
      </c>
      <c r="G473" s="7">
        <f>SUMIFS(Tableau4[Montant imputé],Tableau4[Matricule cabinet],Tableau5[[#This Row],[Matricule cabinet]],Tableau4[Type d''imputation],"absence")</f>
        <v>0</v>
      </c>
      <c r="H473" s="7">
        <f>SUM(Tableau5[[#This Row],[B WK]:[Unpaid leave WK]])</f>
        <v>20</v>
      </c>
    </row>
    <row r="474" spans="1:8">
      <c r="A474" s="7" t="s">
        <v>312</v>
      </c>
      <c r="B474" s="7" t="s">
        <v>313</v>
      </c>
      <c r="C474" s="7" t="s">
        <v>17</v>
      </c>
      <c r="D474" s="7">
        <f>SUMIFS(Tableau4[Montant imputé],Tableau4[Matricule cabinet],Tableau5[[#This Row],[Matricule cabinet]],Tableau4[Type d''imputation],"sale order")</f>
        <v>0</v>
      </c>
      <c r="E47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17</v>
      </c>
      <c r="F474" s="7">
        <f>SUMIFS(Tableau4[Montant imputé],Tableau4[Matricule cabinet],Tableau5[[#This Row],[Matricule cabinet]],Tableau4[Type d''imputation],"leave")</f>
        <v>3</v>
      </c>
      <c r="G474" s="7">
        <f>SUMIFS(Tableau4[Montant imputé],Tableau4[Matricule cabinet],Tableau5[[#This Row],[Matricule cabinet]],Tableau4[Type d''imputation],"absence")</f>
        <v>0</v>
      </c>
      <c r="H474" s="7">
        <f>SUM(Tableau5[[#This Row],[B WK]:[Unpaid leave WK]])</f>
        <v>20</v>
      </c>
    </row>
    <row r="475" spans="1:8">
      <c r="A475" s="7" t="s">
        <v>975</v>
      </c>
      <c r="B475" s="7" t="s">
        <v>976</v>
      </c>
      <c r="C475" s="7" t="s">
        <v>5</v>
      </c>
      <c r="D475" s="7">
        <f>SUMIFS(Tableau4[Montant imputé],Tableau4[Matricule cabinet],Tableau5[[#This Row],[Matricule cabinet]],Tableau4[Type d''imputation],"sale order")</f>
        <v>0</v>
      </c>
      <c r="E47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75" s="7">
        <f>SUMIFS(Tableau4[Montant imputé],Tableau4[Matricule cabinet],Tableau5[[#This Row],[Matricule cabinet]],Tableau4[Type d''imputation],"leave")</f>
        <v>0</v>
      </c>
      <c r="G475" s="7">
        <f>SUMIFS(Tableau4[Montant imputé],Tableau4[Matricule cabinet],Tableau5[[#This Row],[Matricule cabinet]],Tableau4[Type d''imputation],"absence")</f>
        <v>0</v>
      </c>
      <c r="H475" s="7">
        <f>SUM(Tableau5[[#This Row],[B WK]:[Unpaid leave WK]])</f>
        <v>20</v>
      </c>
    </row>
    <row r="476" spans="1:8">
      <c r="A476" s="7" t="s">
        <v>580</v>
      </c>
      <c r="B476" s="7" t="s">
        <v>581</v>
      </c>
      <c r="C476" s="7" t="s">
        <v>29</v>
      </c>
      <c r="D476" s="7">
        <f>SUMIFS(Tableau4[Montant imputé],Tableau4[Matricule cabinet],Tableau5[[#This Row],[Matricule cabinet]],Tableau4[Type d''imputation],"sale order")</f>
        <v>19</v>
      </c>
      <c r="E47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76" s="7">
        <f>SUMIFS(Tableau4[Montant imputé],Tableau4[Matricule cabinet],Tableau5[[#This Row],[Matricule cabinet]],Tableau4[Type d''imputation],"leave")</f>
        <v>1</v>
      </c>
      <c r="G476" s="7">
        <f>SUMIFS(Tableau4[Montant imputé],Tableau4[Matricule cabinet],Tableau5[[#This Row],[Matricule cabinet]],Tableau4[Type d''imputation],"absence")</f>
        <v>0</v>
      </c>
      <c r="H476" s="7">
        <f>SUM(Tableau5[[#This Row],[B WK]:[Unpaid leave WK]])</f>
        <v>20</v>
      </c>
    </row>
    <row r="477" spans="1:8">
      <c r="A477" s="7" t="s">
        <v>188</v>
      </c>
      <c r="B477" s="7" t="s">
        <v>189</v>
      </c>
      <c r="C477" s="7" t="s">
        <v>47</v>
      </c>
      <c r="D477" s="7">
        <f>SUMIFS(Tableau4[Montant imputé],Tableau4[Matricule cabinet],Tableau5[[#This Row],[Matricule cabinet]],Tableau4[Type d''imputation],"sale order")</f>
        <v>8</v>
      </c>
      <c r="E47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77" s="7">
        <f>SUMIFS(Tableau4[Montant imputé],Tableau4[Matricule cabinet],Tableau5[[#This Row],[Matricule cabinet]],Tableau4[Type d''imputation],"leave")</f>
        <v>12</v>
      </c>
      <c r="G477" s="7">
        <f>SUMIFS(Tableau4[Montant imputé],Tableau4[Matricule cabinet],Tableau5[[#This Row],[Matricule cabinet]],Tableau4[Type d''imputation],"absence")</f>
        <v>0</v>
      </c>
      <c r="H477" s="7">
        <f>SUM(Tableau5[[#This Row],[B WK]:[Unpaid leave WK]])</f>
        <v>20</v>
      </c>
    </row>
    <row r="478" spans="1:8">
      <c r="A478" s="7" t="s">
        <v>795</v>
      </c>
      <c r="B478" s="7" t="s">
        <v>796</v>
      </c>
      <c r="C478" s="7" t="s">
        <v>16</v>
      </c>
      <c r="D478" s="7">
        <f>SUMIFS(Tableau4[Montant imputé],Tableau4[Matricule cabinet],Tableau5[[#This Row],[Matricule cabinet]],Tableau4[Type d''imputation],"sale order")</f>
        <v>19.5</v>
      </c>
      <c r="E47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78" s="7">
        <f>SUMIFS(Tableau4[Montant imputé],Tableau4[Matricule cabinet],Tableau5[[#This Row],[Matricule cabinet]],Tableau4[Type d''imputation],"leave")</f>
        <v>0.5</v>
      </c>
      <c r="G478" s="7">
        <f>SUMIFS(Tableau4[Montant imputé],Tableau4[Matricule cabinet],Tableau5[[#This Row],[Matricule cabinet]],Tableau4[Type d''imputation],"absence")</f>
        <v>0</v>
      </c>
      <c r="H478" s="7">
        <f>SUM(Tableau5[[#This Row],[B WK]:[Unpaid leave WK]])</f>
        <v>20</v>
      </c>
    </row>
    <row r="479" spans="1:8">
      <c r="A479" s="7" t="s">
        <v>1093</v>
      </c>
      <c r="B479" s="7" t="s">
        <v>1094</v>
      </c>
      <c r="C479" s="7" t="s">
        <v>51</v>
      </c>
      <c r="D479" s="7">
        <f>SUMIFS(Tableau4[Montant imputé],Tableau4[Matricule cabinet],Tableau5[[#This Row],[Matricule cabinet]],Tableau4[Type d''imputation],"sale order")</f>
        <v>20</v>
      </c>
      <c r="E47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79" s="7">
        <f>SUMIFS(Tableau4[Montant imputé],Tableau4[Matricule cabinet],Tableau5[[#This Row],[Matricule cabinet]],Tableau4[Type d''imputation],"leave")</f>
        <v>0</v>
      </c>
      <c r="G479" s="7">
        <f>SUMIFS(Tableau4[Montant imputé],Tableau4[Matricule cabinet],Tableau5[[#This Row],[Matricule cabinet]],Tableau4[Type d''imputation],"absence")</f>
        <v>0</v>
      </c>
      <c r="H479" s="7">
        <f>SUM(Tableau5[[#This Row],[B WK]:[Unpaid leave WK]])</f>
        <v>20</v>
      </c>
    </row>
    <row r="480" spans="1:8">
      <c r="A480" s="7" t="s">
        <v>1516</v>
      </c>
      <c r="B480" s="7" t="s">
        <v>1517</v>
      </c>
      <c r="C480" s="7" t="s">
        <v>7</v>
      </c>
      <c r="D480" s="7">
        <f>SUMIFS(Tableau4[Montant imputé],Tableau4[Matricule cabinet],Tableau5[[#This Row],[Matricule cabinet]],Tableau4[Type d''imputation],"sale order")</f>
        <v>20</v>
      </c>
      <c r="E48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80" s="7">
        <f>SUMIFS(Tableau4[Montant imputé],Tableau4[Matricule cabinet],Tableau5[[#This Row],[Matricule cabinet]],Tableau4[Type d''imputation],"leave")</f>
        <v>0</v>
      </c>
      <c r="G480" s="7">
        <f>SUMIFS(Tableau4[Montant imputé],Tableau4[Matricule cabinet],Tableau5[[#This Row],[Matricule cabinet]],Tableau4[Type d''imputation],"absence")</f>
        <v>0</v>
      </c>
      <c r="H480" s="7">
        <f>SUM(Tableau5[[#This Row],[B WK]:[Unpaid leave WK]])</f>
        <v>20</v>
      </c>
    </row>
    <row r="481" spans="1:8">
      <c r="A481" s="7" t="s">
        <v>253</v>
      </c>
      <c r="B481" s="7" t="s">
        <v>254</v>
      </c>
      <c r="C481" s="7" t="s">
        <v>62</v>
      </c>
      <c r="D481" s="7">
        <f>SUMIFS(Tableau4[Montant imputé],Tableau4[Matricule cabinet],Tableau5[[#This Row],[Matricule cabinet]],Tableau4[Type d''imputation],"sale order")</f>
        <v>14</v>
      </c>
      <c r="E48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481" s="7">
        <f>SUMIFS(Tableau4[Montant imputé],Tableau4[Matricule cabinet],Tableau5[[#This Row],[Matricule cabinet]],Tableau4[Type d''imputation],"leave")</f>
        <v>5</v>
      </c>
      <c r="G481" s="7">
        <f>SUMIFS(Tableau4[Montant imputé],Tableau4[Matricule cabinet],Tableau5[[#This Row],[Matricule cabinet]],Tableau4[Type d''imputation],"absence")</f>
        <v>0</v>
      </c>
      <c r="H481" s="7">
        <f>SUM(Tableau5[[#This Row],[B WK]:[Unpaid leave WK]])</f>
        <v>20</v>
      </c>
    </row>
    <row r="482" spans="1:8">
      <c r="A482" s="7" t="s">
        <v>696</v>
      </c>
      <c r="B482" s="7" t="s">
        <v>697</v>
      </c>
      <c r="C482" s="7" t="s">
        <v>46</v>
      </c>
      <c r="D482" s="7">
        <f>SUMIFS(Tableau4[Montant imputé],Tableau4[Matricule cabinet],Tableau5[[#This Row],[Matricule cabinet]],Tableau4[Type d''imputation],"sale order")</f>
        <v>20</v>
      </c>
      <c r="E48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82" s="7">
        <f>SUMIFS(Tableau4[Montant imputé],Tableau4[Matricule cabinet],Tableau5[[#This Row],[Matricule cabinet]],Tableau4[Type d''imputation],"leave")</f>
        <v>0</v>
      </c>
      <c r="G482" s="7">
        <f>SUMIFS(Tableau4[Montant imputé],Tableau4[Matricule cabinet],Tableau5[[#This Row],[Matricule cabinet]],Tableau4[Type d''imputation],"absence")</f>
        <v>0</v>
      </c>
      <c r="H482" s="7">
        <f>SUM(Tableau5[[#This Row],[B WK]:[Unpaid leave WK]])</f>
        <v>20</v>
      </c>
    </row>
    <row r="483" spans="1:8">
      <c r="A483" s="7" t="s">
        <v>562</v>
      </c>
      <c r="B483" s="7" t="s">
        <v>563</v>
      </c>
      <c r="C483" s="7" t="s">
        <v>43</v>
      </c>
      <c r="D483" s="7">
        <f>SUMIFS(Tableau4[Montant imputé],Tableau4[Matricule cabinet],Tableau5[[#This Row],[Matricule cabinet]],Tableau4[Type d''imputation],"sale order")</f>
        <v>18</v>
      </c>
      <c r="E48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483" s="7">
        <f>SUMIFS(Tableau4[Montant imputé],Tableau4[Matricule cabinet],Tableau5[[#This Row],[Matricule cabinet]],Tableau4[Type d''imputation],"leave")</f>
        <v>0</v>
      </c>
      <c r="G483" s="7">
        <f>SUMIFS(Tableau4[Montant imputé],Tableau4[Matricule cabinet],Tableau5[[#This Row],[Matricule cabinet]],Tableau4[Type d''imputation],"absence")</f>
        <v>0</v>
      </c>
      <c r="H483" s="7">
        <f>SUM(Tableau5[[#This Row],[B WK]:[Unpaid leave WK]])</f>
        <v>20</v>
      </c>
    </row>
    <row r="484" spans="1:8">
      <c r="A484" s="7" t="s">
        <v>1484</v>
      </c>
      <c r="B484" s="7" t="s">
        <v>1485</v>
      </c>
      <c r="C484" s="7" t="s">
        <v>26</v>
      </c>
      <c r="D484" s="7">
        <f>SUMIFS(Tableau4[Montant imputé],Tableau4[Matricule cabinet],Tableau5[[#This Row],[Matricule cabinet]],Tableau4[Type d''imputation],"sale order")</f>
        <v>20</v>
      </c>
      <c r="E48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84" s="7">
        <f>SUMIFS(Tableau4[Montant imputé],Tableau4[Matricule cabinet],Tableau5[[#This Row],[Matricule cabinet]],Tableau4[Type d''imputation],"leave")</f>
        <v>0</v>
      </c>
      <c r="G484" s="7">
        <f>SUMIFS(Tableau4[Montant imputé],Tableau4[Matricule cabinet],Tableau5[[#This Row],[Matricule cabinet]],Tableau4[Type d''imputation],"absence")</f>
        <v>0</v>
      </c>
      <c r="H484" s="7">
        <f>SUM(Tableau5[[#This Row],[B WK]:[Unpaid leave WK]])</f>
        <v>20</v>
      </c>
    </row>
    <row r="485" spans="1:8">
      <c r="A485" s="7" t="s">
        <v>190</v>
      </c>
      <c r="B485" s="7" t="s">
        <v>191</v>
      </c>
      <c r="C485" s="7" t="s">
        <v>47</v>
      </c>
      <c r="D485" s="7">
        <f>SUMIFS(Tableau4[Montant imputé],Tableau4[Matricule cabinet],Tableau5[[#This Row],[Matricule cabinet]],Tableau4[Type d''imputation],"sale order")</f>
        <v>17</v>
      </c>
      <c r="E48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85" s="7">
        <f>SUMIFS(Tableau4[Montant imputé],Tableau4[Matricule cabinet],Tableau5[[#This Row],[Matricule cabinet]],Tableau4[Type d''imputation],"leave")</f>
        <v>3</v>
      </c>
      <c r="G485" s="7">
        <f>SUMIFS(Tableau4[Montant imputé],Tableau4[Matricule cabinet],Tableau5[[#This Row],[Matricule cabinet]],Tableau4[Type d''imputation],"absence")</f>
        <v>0</v>
      </c>
      <c r="H485" s="7">
        <f>SUM(Tableau5[[#This Row],[B WK]:[Unpaid leave WK]])</f>
        <v>20</v>
      </c>
    </row>
    <row r="486" spans="1:8">
      <c r="A486" s="7" t="s">
        <v>922</v>
      </c>
      <c r="B486" s="7" t="s">
        <v>923</v>
      </c>
      <c r="C486" s="7" t="s">
        <v>66</v>
      </c>
      <c r="D486" s="7">
        <f>SUMIFS(Tableau4[Montant imputé],Tableau4[Matricule cabinet],Tableau5[[#This Row],[Matricule cabinet]],Tableau4[Type d''imputation],"sale order")</f>
        <v>20</v>
      </c>
      <c r="E48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86" s="7">
        <f>SUMIFS(Tableau4[Montant imputé],Tableau4[Matricule cabinet],Tableau5[[#This Row],[Matricule cabinet]],Tableau4[Type d''imputation],"leave")</f>
        <v>0</v>
      </c>
      <c r="G486" s="7">
        <f>SUMIFS(Tableau4[Montant imputé],Tableau4[Matricule cabinet],Tableau5[[#This Row],[Matricule cabinet]],Tableau4[Type d''imputation],"absence")</f>
        <v>0</v>
      </c>
      <c r="H486" s="7">
        <f>SUM(Tableau5[[#This Row],[B WK]:[Unpaid leave WK]])</f>
        <v>20</v>
      </c>
    </row>
    <row r="487" spans="1:8">
      <c r="A487" s="7" t="s">
        <v>1221</v>
      </c>
      <c r="B487" s="7" t="s">
        <v>1222</v>
      </c>
      <c r="C487" s="7" t="s">
        <v>22</v>
      </c>
      <c r="D487" s="7">
        <f>SUMIFS(Tableau4[Montant imputé],Tableau4[Matricule cabinet],Tableau5[[#This Row],[Matricule cabinet]],Tableau4[Type d''imputation],"sale order")</f>
        <v>20</v>
      </c>
      <c r="E48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87" s="7">
        <f>SUMIFS(Tableau4[Montant imputé],Tableau4[Matricule cabinet],Tableau5[[#This Row],[Matricule cabinet]],Tableau4[Type d''imputation],"leave")</f>
        <v>0</v>
      </c>
      <c r="G487" s="7">
        <f>SUMIFS(Tableau4[Montant imputé],Tableau4[Matricule cabinet],Tableau5[[#This Row],[Matricule cabinet]],Tableau4[Type d''imputation],"absence")</f>
        <v>0</v>
      </c>
      <c r="H487" s="7">
        <f>SUM(Tableau5[[#This Row],[B WK]:[Unpaid leave WK]])</f>
        <v>20</v>
      </c>
    </row>
    <row r="488" spans="1:8">
      <c r="A488" s="7" t="s">
        <v>372</v>
      </c>
      <c r="B488" s="7" t="s">
        <v>373</v>
      </c>
      <c r="C488" s="7" t="s">
        <v>37</v>
      </c>
      <c r="D488" s="7">
        <f>SUMIFS(Tableau4[Montant imputé],Tableau4[Matricule cabinet],Tableau5[[#This Row],[Matricule cabinet]],Tableau4[Type d''imputation],"sale order")</f>
        <v>7.5</v>
      </c>
      <c r="E48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7.5</v>
      </c>
      <c r="F488" s="7">
        <f>SUMIFS(Tableau4[Montant imputé],Tableau4[Matricule cabinet],Tableau5[[#This Row],[Matricule cabinet]],Tableau4[Type d''imputation],"leave")</f>
        <v>5</v>
      </c>
      <c r="G488" s="7">
        <f>SUMIFS(Tableau4[Montant imputé],Tableau4[Matricule cabinet],Tableau5[[#This Row],[Matricule cabinet]],Tableau4[Type d''imputation],"absence")</f>
        <v>0</v>
      </c>
      <c r="H488" s="7">
        <f>SUM(Tableau5[[#This Row],[B WK]:[Unpaid leave WK]])</f>
        <v>20</v>
      </c>
    </row>
    <row r="489" spans="1:8">
      <c r="A489" s="7" t="s">
        <v>1127</v>
      </c>
      <c r="B489" s="7" t="s">
        <v>1128</v>
      </c>
      <c r="C489" s="7" t="s">
        <v>73</v>
      </c>
      <c r="D489" s="7">
        <f>SUMIFS(Tableau4[Montant imputé],Tableau4[Matricule cabinet],Tableau5[[#This Row],[Matricule cabinet]],Tableau4[Type d''imputation],"sale order")</f>
        <v>19.5</v>
      </c>
      <c r="E48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89" s="7">
        <f>SUMIFS(Tableau4[Montant imputé],Tableau4[Matricule cabinet],Tableau5[[#This Row],[Matricule cabinet]],Tableau4[Type d''imputation],"leave")</f>
        <v>0.5</v>
      </c>
      <c r="G489" s="7">
        <f>SUMIFS(Tableau4[Montant imputé],Tableau4[Matricule cabinet],Tableau5[[#This Row],[Matricule cabinet]],Tableau4[Type d''imputation],"absence")</f>
        <v>0</v>
      </c>
      <c r="H489" s="7">
        <f>SUM(Tableau5[[#This Row],[B WK]:[Unpaid leave WK]])</f>
        <v>20</v>
      </c>
    </row>
    <row r="490" spans="1:8">
      <c r="A490" s="7" t="s">
        <v>1152</v>
      </c>
      <c r="B490" s="7" t="s">
        <v>1153</v>
      </c>
      <c r="C490" s="7" t="s">
        <v>12</v>
      </c>
      <c r="D490" s="7">
        <f>SUMIFS(Tableau4[Montant imputé],Tableau4[Matricule cabinet],Tableau5[[#This Row],[Matricule cabinet]],Tableau4[Type d''imputation],"sale order")</f>
        <v>18.5</v>
      </c>
      <c r="E49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490" s="7">
        <f>SUMIFS(Tableau4[Montant imputé],Tableau4[Matricule cabinet],Tableau5[[#This Row],[Matricule cabinet]],Tableau4[Type d''imputation],"leave")</f>
        <v>1</v>
      </c>
      <c r="G490" s="7">
        <f>SUMIFS(Tableau4[Montant imputé],Tableau4[Matricule cabinet],Tableau5[[#This Row],[Matricule cabinet]],Tableau4[Type d''imputation],"absence")</f>
        <v>0</v>
      </c>
      <c r="H490" s="7">
        <f>SUM(Tableau5[[#This Row],[B WK]:[Unpaid leave WK]])</f>
        <v>20</v>
      </c>
    </row>
    <row r="491" spans="1:8">
      <c r="A491" s="7" t="s">
        <v>1486</v>
      </c>
      <c r="B491" s="7" t="s">
        <v>1487</v>
      </c>
      <c r="C491" s="7" t="s">
        <v>26</v>
      </c>
      <c r="D491" s="7">
        <f>SUMIFS(Tableau4[Montant imputé],Tableau4[Matricule cabinet],Tableau5[[#This Row],[Matricule cabinet]],Tableau4[Type d''imputation],"sale order")</f>
        <v>19</v>
      </c>
      <c r="E49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91" s="7">
        <f>SUMIFS(Tableau4[Montant imputé],Tableau4[Matricule cabinet],Tableau5[[#This Row],[Matricule cabinet]],Tableau4[Type d''imputation],"leave")</f>
        <v>1</v>
      </c>
      <c r="G491" s="7">
        <f>SUMIFS(Tableau4[Montant imputé],Tableau4[Matricule cabinet],Tableau5[[#This Row],[Matricule cabinet]],Tableau4[Type d''imputation],"absence")</f>
        <v>0</v>
      </c>
      <c r="H491" s="7">
        <f>SUM(Tableau5[[#This Row],[B WK]:[Unpaid leave WK]])</f>
        <v>20</v>
      </c>
    </row>
    <row r="492" spans="1:8">
      <c r="A492" s="7" t="s">
        <v>985</v>
      </c>
      <c r="B492" s="7" t="s">
        <v>986</v>
      </c>
      <c r="C492" s="7" t="s">
        <v>55</v>
      </c>
      <c r="D492" s="7">
        <f>SUMIFS(Tableau4[Montant imputé],Tableau4[Matricule cabinet],Tableau5[[#This Row],[Matricule cabinet]],Tableau4[Type d''imputation],"sale order")</f>
        <v>17</v>
      </c>
      <c r="E49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492" s="7">
        <f>SUMIFS(Tableau4[Montant imputé],Tableau4[Matricule cabinet],Tableau5[[#This Row],[Matricule cabinet]],Tableau4[Type d''imputation],"leave")</f>
        <v>2</v>
      </c>
      <c r="G492" s="7">
        <f>SUMIFS(Tableau4[Montant imputé],Tableau4[Matricule cabinet],Tableau5[[#This Row],[Matricule cabinet]],Tableau4[Type d''imputation],"absence")</f>
        <v>0</v>
      </c>
      <c r="H492" s="7">
        <f>SUM(Tableau5[[#This Row],[B WK]:[Unpaid leave WK]])</f>
        <v>20</v>
      </c>
    </row>
    <row r="493" spans="1:8">
      <c r="A493" s="7" t="s">
        <v>459</v>
      </c>
      <c r="B493" s="7" t="s">
        <v>460</v>
      </c>
      <c r="C493" s="7" t="s">
        <v>70</v>
      </c>
      <c r="D493" s="7">
        <f>SUMIFS(Tableau4[Montant imputé],Tableau4[Matricule cabinet],Tableau5[[#This Row],[Matricule cabinet]],Tableau4[Type d''imputation],"sale order")</f>
        <v>16</v>
      </c>
      <c r="E49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93" s="7">
        <f>SUMIFS(Tableau4[Montant imputé],Tableau4[Matricule cabinet],Tableau5[[#This Row],[Matricule cabinet]],Tableau4[Type d''imputation],"leave")</f>
        <v>4</v>
      </c>
      <c r="G493" s="7">
        <f>SUMIFS(Tableau4[Montant imputé],Tableau4[Matricule cabinet],Tableau5[[#This Row],[Matricule cabinet]],Tableau4[Type d''imputation],"absence")</f>
        <v>0</v>
      </c>
      <c r="H493" s="7">
        <f>SUM(Tableau5[[#This Row],[B WK]:[Unpaid leave WK]])</f>
        <v>20</v>
      </c>
    </row>
    <row r="494" spans="1:8">
      <c r="A494" s="7" t="s">
        <v>1494</v>
      </c>
      <c r="B494" s="7" t="s">
        <v>1495</v>
      </c>
      <c r="C494" s="7" t="s">
        <v>46</v>
      </c>
      <c r="D494" s="7">
        <f>SUMIFS(Tableau4[Montant imputé],Tableau4[Matricule cabinet],Tableau5[[#This Row],[Matricule cabinet]],Tableau4[Type d''imputation],"sale order")</f>
        <v>18</v>
      </c>
      <c r="E49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494" s="7">
        <f>SUMIFS(Tableau4[Montant imputé],Tableau4[Matricule cabinet],Tableau5[[#This Row],[Matricule cabinet]],Tableau4[Type d''imputation],"leave")</f>
        <v>0</v>
      </c>
      <c r="G494" s="7">
        <f>SUMIFS(Tableau4[Montant imputé],Tableau4[Matricule cabinet],Tableau5[[#This Row],[Matricule cabinet]],Tableau4[Type d''imputation],"absence")</f>
        <v>0</v>
      </c>
      <c r="H494" s="7">
        <f>SUM(Tableau5[[#This Row],[B WK]:[Unpaid leave WK]])</f>
        <v>20</v>
      </c>
    </row>
    <row r="495" spans="1:8">
      <c r="A495" s="7" t="s">
        <v>421</v>
      </c>
      <c r="B495" s="7" t="s">
        <v>422</v>
      </c>
      <c r="C495" s="7" t="s">
        <v>21</v>
      </c>
      <c r="D495" s="7">
        <f>SUMIFS(Tableau4[Montant imputé],Tableau4[Matricule cabinet],Tableau5[[#This Row],[Matricule cabinet]],Tableau4[Type d''imputation],"sale order")</f>
        <v>0</v>
      </c>
      <c r="E49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18</v>
      </c>
      <c r="F495" s="7">
        <f>SUMIFS(Tableau4[Montant imputé],Tableau4[Matricule cabinet],Tableau5[[#This Row],[Matricule cabinet]],Tableau4[Type d''imputation],"leave")</f>
        <v>2</v>
      </c>
      <c r="G495" s="7">
        <f>SUMIFS(Tableau4[Montant imputé],Tableau4[Matricule cabinet],Tableau5[[#This Row],[Matricule cabinet]],Tableau4[Type d''imputation],"absence")</f>
        <v>0</v>
      </c>
      <c r="H495" s="7">
        <f>SUM(Tableau5[[#This Row],[B WK]:[Unpaid leave WK]])</f>
        <v>20</v>
      </c>
    </row>
    <row r="496" spans="1:8">
      <c r="A496" s="7" t="s">
        <v>1431</v>
      </c>
      <c r="B496" s="7" t="s">
        <v>1432</v>
      </c>
      <c r="C496" s="7" t="s">
        <v>10</v>
      </c>
      <c r="D496" s="7">
        <f>SUMIFS(Tableau4[Montant imputé],Tableau4[Matricule cabinet],Tableau5[[#This Row],[Matricule cabinet]],Tableau4[Type d''imputation],"sale order")</f>
        <v>0</v>
      </c>
      <c r="E49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496" s="7">
        <f>SUMIFS(Tableau4[Montant imputé],Tableau4[Matricule cabinet],Tableau5[[#This Row],[Matricule cabinet]],Tableau4[Type d''imputation],"leave")</f>
        <v>0</v>
      </c>
      <c r="G496" s="7">
        <f>SUMIFS(Tableau4[Montant imputé],Tableau4[Matricule cabinet],Tableau5[[#This Row],[Matricule cabinet]],Tableau4[Type d''imputation],"absence")</f>
        <v>0</v>
      </c>
      <c r="H496" s="7">
        <f>SUM(Tableau5[[#This Row],[B WK]:[Unpaid leave WK]])</f>
        <v>20</v>
      </c>
    </row>
    <row r="497" spans="1:8">
      <c r="A497" s="7" t="s">
        <v>1107</v>
      </c>
      <c r="B497" s="7" t="s">
        <v>1108</v>
      </c>
      <c r="C497" s="7" t="s">
        <v>18</v>
      </c>
      <c r="D497" s="7">
        <f>SUMIFS(Tableau4[Montant imputé],Tableau4[Matricule cabinet],Tableau5[[#This Row],[Matricule cabinet]],Tableau4[Type d''imputation],"sale order")</f>
        <v>20</v>
      </c>
      <c r="E49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97" s="7">
        <f>SUMIFS(Tableau4[Montant imputé],Tableau4[Matricule cabinet],Tableau5[[#This Row],[Matricule cabinet]],Tableau4[Type d''imputation],"leave")</f>
        <v>0</v>
      </c>
      <c r="G497" s="7">
        <f>SUMIFS(Tableau4[Montant imputé],Tableau4[Matricule cabinet],Tableau5[[#This Row],[Matricule cabinet]],Tableau4[Type d''imputation],"absence")</f>
        <v>0</v>
      </c>
      <c r="H497" s="7">
        <f>SUM(Tableau5[[#This Row],[B WK]:[Unpaid leave WK]])</f>
        <v>20</v>
      </c>
    </row>
    <row r="498" spans="1:8">
      <c r="A498" s="7" t="s">
        <v>374</v>
      </c>
      <c r="B498" s="7" t="s">
        <v>375</v>
      </c>
      <c r="C498" s="7" t="s">
        <v>67</v>
      </c>
      <c r="D498" s="7">
        <f>SUMIFS(Tableau4[Montant imputé],Tableau4[Matricule cabinet],Tableau5[[#This Row],[Matricule cabinet]],Tableau4[Type d''imputation],"sale order")</f>
        <v>18</v>
      </c>
      <c r="E49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98" s="7">
        <f>SUMIFS(Tableau4[Montant imputé],Tableau4[Matricule cabinet],Tableau5[[#This Row],[Matricule cabinet]],Tableau4[Type d''imputation],"leave")</f>
        <v>2</v>
      </c>
      <c r="G498" s="7">
        <f>SUMIFS(Tableau4[Montant imputé],Tableau4[Matricule cabinet],Tableau5[[#This Row],[Matricule cabinet]],Tableau4[Type d''imputation],"absence")</f>
        <v>0</v>
      </c>
      <c r="H498" s="7">
        <f>SUM(Tableau5[[#This Row],[B WK]:[Unpaid leave WK]])</f>
        <v>20</v>
      </c>
    </row>
    <row r="499" spans="1:8">
      <c r="A499" s="7" t="s">
        <v>946</v>
      </c>
      <c r="B499" s="7" t="s">
        <v>947</v>
      </c>
      <c r="C499" s="7" t="s">
        <v>45</v>
      </c>
      <c r="D499" s="7">
        <f>SUMIFS(Tableau4[Montant imputé],Tableau4[Matricule cabinet],Tableau5[[#This Row],[Matricule cabinet]],Tableau4[Type d''imputation],"sale order")</f>
        <v>20</v>
      </c>
      <c r="E49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499" s="7">
        <f>SUMIFS(Tableau4[Montant imputé],Tableau4[Matricule cabinet],Tableau5[[#This Row],[Matricule cabinet]],Tableau4[Type d''imputation],"leave")</f>
        <v>0</v>
      </c>
      <c r="G499" s="7">
        <f>SUMIFS(Tableau4[Montant imputé],Tableau4[Matricule cabinet],Tableau5[[#This Row],[Matricule cabinet]],Tableau4[Type d''imputation],"absence")</f>
        <v>0</v>
      </c>
      <c r="H499" s="7">
        <f>SUM(Tableau5[[#This Row],[B WK]:[Unpaid leave WK]])</f>
        <v>20</v>
      </c>
    </row>
    <row r="500" spans="1:8">
      <c r="A500" s="7" t="s">
        <v>211</v>
      </c>
      <c r="B500" s="7" t="s">
        <v>212</v>
      </c>
      <c r="C500" s="7" t="s">
        <v>11</v>
      </c>
      <c r="D500" s="7">
        <f>SUMIFS(Tableau4[Montant imputé],Tableau4[Matricule cabinet],Tableau5[[#This Row],[Matricule cabinet]],Tableau4[Type d''imputation],"sale order")</f>
        <v>0</v>
      </c>
      <c r="E50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11</v>
      </c>
      <c r="F500" s="7">
        <f>SUMIFS(Tableau4[Montant imputé],Tableau4[Matricule cabinet],Tableau5[[#This Row],[Matricule cabinet]],Tableau4[Type d''imputation],"leave")</f>
        <v>9</v>
      </c>
      <c r="G500" s="7">
        <f>SUMIFS(Tableau4[Montant imputé],Tableau4[Matricule cabinet],Tableau5[[#This Row],[Matricule cabinet]],Tableau4[Type d''imputation],"absence")</f>
        <v>0</v>
      </c>
      <c r="H500" s="7">
        <f>SUM(Tableau5[[#This Row],[B WK]:[Unpaid leave WK]])</f>
        <v>20</v>
      </c>
    </row>
    <row r="501" spans="1:8">
      <c r="A501" s="7" t="s">
        <v>1097</v>
      </c>
      <c r="B501" s="7" t="s">
        <v>1098</v>
      </c>
      <c r="C501" s="7" t="s">
        <v>13</v>
      </c>
      <c r="D501" s="7">
        <f>SUMIFS(Tableau4[Montant imputé],Tableau4[Matricule cabinet],Tableau5[[#This Row],[Matricule cabinet]],Tableau4[Type d''imputation],"sale order")</f>
        <v>19.5</v>
      </c>
      <c r="E50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501" s="7">
        <f>SUMIFS(Tableau4[Montant imputé],Tableau4[Matricule cabinet],Tableau5[[#This Row],[Matricule cabinet]],Tableau4[Type d''imputation],"leave")</f>
        <v>0</v>
      </c>
      <c r="G501" s="7">
        <f>SUMIFS(Tableau4[Montant imputé],Tableau4[Matricule cabinet],Tableau5[[#This Row],[Matricule cabinet]],Tableau4[Type d''imputation],"absence")</f>
        <v>0</v>
      </c>
      <c r="H501" s="7">
        <f>SUM(Tableau5[[#This Row],[B WK]:[Unpaid leave WK]])</f>
        <v>20</v>
      </c>
    </row>
    <row r="502" spans="1:8">
      <c r="A502" s="7" t="s">
        <v>610</v>
      </c>
      <c r="B502" s="7" t="s">
        <v>611</v>
      </c>
      <c r="C502" s="7" t="s">
        <v>76</v>
      </c>
      <c r="D502" s="7">
        <f>SUMIFS(Tableau4[Montant imputé],Tableau4[Matricule cabinet],Tableau5[[#This Row],[Matricule cabinet]],Tableau4[Type d''imputation],"sale order")</f>
        <v>8.5</v>
      </c>
      <c r="E50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6.5</v>
      </c>
      <c r="F502" s="7">
        <f>SUMIFS(Tableau4[Montant imputé],Tableau4[Matricule cabinet],Tableau5[[#This Row],[Matricule cabinet]],Tableau4[Type d''imputation],"leave")</f>
        <v>5</v>
      </c>
      <c r="G502" s="7">
        <f>SUMIFS(Tableau4[Montant imputé],Tableau4[Matricule cabinet],Tableau5[[#This Row],[Matricule cabinet]],Tableau4[Type d''imputation],"absence")</f>
        <v>0</v>
      </c>
      <c r="H502" s="7">
        <f>SUM(Tableau5[[#This Row],[B WK]:[Unpaid leave WK]])</f>
        <v>20</v>
      </c>
    </row>
    <row r="503" spans="1:8">
      <c r="A503" s="7" t="s">
        <v>437</v>
      </c>
      <c r="B503" s="7" t="s">
        <v>438</v>
      </c>
      <c r="C503" s="7" t="s">
        <v>140</v>
      </c>
      <c r="D503" s="7">
        <f>SUMIFS(Tableau4[Montant imputé],Tableau4[Matricule cabinet],Tableau5[[#This Row],[Matricule cabinet]],Tableau4[Type d''imputation],"sale order")</f>
        <v>0</v>
      </c>
      <c r="E50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03" s="7">
        <f>SUMIFS(Tableau4[Montant imputé],Tableau4[Matricule cabinet],Tableau5[[#This Row],[Matricule cabinet]],Tableau4[Type d''imputation],"leave")</f>
        <v>0</v>
      </c>
      <c r="G503" s="7">
        <f>SUMIFS(Tableau4[Montant imputé],Tableau4[Matricule cabinet],Tableau5[[#This Row],[Matricule cabinet]],Tableau4[Type d''imputation],"absence")</f>
        <v>0</v>
      </c>
      <c r="H503" s="7">
        <f>SUM(Tableau5[[#This Row],[B WK]:[Unpaid leave WK]])</f>
        <v>20</v>
      </c>
    </row>
    <row r="504" spans="1:8">
      <c r="A504" s="7" t="s">
        <v>494</v>
      </c>
      <c r="B504" s="7" t="s">
        <v>495</v>
      </c>
      <c r="C504" s="7" t="s">
        <v>33</v>
      </c>
      <c r="D504" s="7">
        <f>SUMIFS(Tableau4[Montant imputé],Tableau4[Matricule cabinet],Tableau5[[#This Row],[Matricule cabinet]],Tableau4[Type d''imputation],"sale order")</f>
        <v>20</v>
      </c>
      <c r="E50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04" s="7">
        <f>SUMIFS(Tableau4[Montant imputé],Tableau4[Matricule cabinet],Tableau5[[#This Row],[Matricule cabinet]],Tableau4[Type d''imputation],"leave")</f>
        <v>0</v>
      </c>
      <c r="G504" s="7">
        <f>SUMIFS(Tableau4[Montant imputé],Tableau4[Matricule cabinet],Tableau5[[#This Row],[Matricule cabinet]],Tableau4[Type d''imputation],"absence")</f>
        <v>0</v>
      </c>
      <c r="H504" s="7">
        <f>SUM(Tableau5[[#This Row],[B WK]:[Unpaid leave WK]])</f>
        <v>20</v>
      </c>
    </row>
    <row r="505" spans="1:8">
      <c r="A505" s="7" t="s">
        <v>163</v>
      </c>
      <c r="B505" s="7" t="s">
        <v>164</v>
      </c>
      <c r="C505" s="7" t="s">
        <v>67</v>
      </c>
      <c r="D505" s="7">
        <f>SUMIFS(Tableau4[Montant imputé],Tableau4[Matricule cabinet],Tableau5[[#This Row],[Matricule cabinet]],Tableau4[Type d''imputation],"sale order")</f>
        <v>0</v>
      </c>
      <c r="E50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505" s="7">
        <f>SUMIFS(Tableau4[Montant imputé],Tableau4[Matricule cabinet],Tableau5[[#This Row],[Matricule cabinet]],Tableau4[Type d''imputation],"leave")</f>
        <v>1</v>
      </c>
      <c r="G505" s="7">
        <f>SUMIFS(Tableau4[Montant imputé],Tableau4[Matricule cabinet],Tableau5[[#This Row],[Matricule cabinet]],Tableau4[Type d''imputation],"absence")</f>
        <v>0</v>
      </c>
      <c r="H505" s="7">
        <f>SUM(Tableau5[[#This Row],[B WK]:[Unpaid leave WK]])</f>
        <v>20</v>
      </c>
    </row>
    <row r="506" spans="1:8">
      <c r="A506" s="7" t="s">
        <v>1004</v>
      </c>
      <c r="B506" s="7" t="s">
        <v>1005</v>
      </c>
      <c r="C506" s="7" t="s">
        <v>577</v>
      </c>
      <c r="D506" s="7">
        <f>SUMIFS(Tableau4[Montant imputé],Tableau4[Matricule cabinet],Tableau5[[#This Row],[Matricule cabinet]],Tableau4[Type d''imputation],"sale order")</f>
        <v>20</v>
      </c>
      <c r="E50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06" s="7">
        <f>SUMIFS(Tableau4[Montant imputé],Tableau4[Matricule cabinet],Tableau5[[#This Row],[Matricule cabinet]],Tableau4[Type d''imputation],"leave")</f>
        <v>0</v>
      </c>
      <c r="G506" s="7">
        <f>SUMIFS(Tableau4[Montant imputé],Tableau4[Matricule cabinet],Tableau5[[#This Row],[Matricule cabinet]],Tableau4[Type d''imputation],"absence")</f>
        <v>0</v>
      </c>
      <c r="H506" s="7">
        <f>SUM(Tableau5[[#This Row],[B WK]:[Unpaid leave WK]])</f>
        <v>20</v>
      </c>
    </row>
    <row r="507" spans="1:8">
      <c r="A507" s="7" t="s">
        <v>334</v>
      </c>
      <c r="B507" s="7" t="s">
        <v>335</v>
      </c>
      <c r="C507" s="7" t="s">
        <v>64</v>
      </c>
      <c r="D507" s="7">
        <f>SUMIFS(Tableau4[Montant imputé],Tableau4[Matricule cabinet],Tableau5[[#This Row],[Matricule cabinet]],Tableau4[Type d''imputation],"sale order")</f>
        <v>18</v>
      </c>
      <c r="E50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07" s="7">
        <f>SUMIFS(Tableau4[Montant imputé],Tableau4[Matricule cabinet],Tableau5[[#This Row],[Matricule cabinet]],Tableau4[Type d''imputation],"leave")</f>
        <v>2</v>
      </c>
      <c r="G507" s="7">
        <f>SUMIFS(Tableau4[Montant imputé],Tableau4[Matricule cabinet],Tableau5[[#This Row],[Matricule cabinet]],Tableau4[Type d''imputation],"absence")</f>
        <v>0</v>
      </c>
      <c r="H507" s="7">
        <f>SUM(Tableau5[[#This Row],[B WK]:[Unpaid leave WK]])</f>
        <v>20</v>
      </c>
    </row>
    <row r="508" spans="1:8">
      <c r="A508" s="7" t="s">
        <v>827</v>
      </c>
      <c r="B508" s="7" t="s">
        <v>828</v>
      </c>
      <c r="C508" s="7" t="s">
        <v>19</v>
      </c>
      <c r="D508" s="7">
        <f>SUMIFS(Tableau4[Montant imputé],Tableau4[Matricule cabinet],Tableau5[[#This Row],[Matricule cabinet]],Tableau4[Type d''imputation],"sale order")</f>
        <v>19</v>
      </c>
      <c r="E50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08" s="7">
        <f>SUMIFS(Tableau4[Montant imputé],Tableau4[Matricule cabinet],Tableau5[[#This Row],[Matricule cabinet]],Tableau4[Type d''imputation],"leave")</f>
        <v>1</v>
      </c>
      <c r="G508" s="7">
        <f>SUMIFS(Tableau4[Montant imputé],Tableau4[Matricule cabinet],Tableau5[[#This Row],[Matricule cabinet]],Tableau4[Type d''imputation],"absence")</f>
        <v>0</v>
      </c>
      <c r="H508" s="7">
        <f>SUM(Tableau5[[#This Row],[B WK]:[Unpaid leave WK]])</f>
        <v>20</v>
      </c>
    </row>
    <row r="509" spans="1:8">
      <c r="A509" s="7" t="s">
        <v>267</v>
      </c>
      <c r="B509" s="7" t="s">
        <v>268</v>
      </c>
      <c r="C509" s="7" t="s">
        <v>84</v>
      </c>
      <c r="D509" s="7">
        <f>SUMIFS(Tableau4[Montant imputé],Tableau4[Matricule cabinet],Tableau5[[#This Row],[Matricule cabinet]],Tableau4[Type d''imputation],"sale order")</f>
        <v>14</v>
      </c>
      <c r="E50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509" s="7">
        <f>SUMIFS(Tableau4[Montant imputé],Tableau4[Matricule cabinet],Tableau5[[#This Row],[Matricule cabinet]],Tableau4[Type d''imputation],"leave")</f>
        <v>2</v>
      </c>
      <c r="G509" s="7">
        <f>SUMIFS(Tableau4[Montant imputé],Tableau4[Matricule cabinet],Tableau5[[#This Row],[Matricule cabinet]],Tableau4[Type d''imputation],"absence")</f>
        <v>0</v>
      </c>
      <c r="H509" s="7">
        <f>SUM(Tableau5[[#This Row],[B WK]:[Unpaid leave WK]])</f>
        <v>20</v>
      </c>
    </row>
    <row r="510" spans="1:8">
      <c r="A510" s="7" t="s">
        <v>900</v>
      </c>
      <c r="B510" s="7" t="s">
        <v>901</v>
      </c>
      <c r="C510" s="7" t="s">
        <v>14</v>
      </c>
      <c r="D510" s="7">
        <f>SUMIFS(Tableau4[Montant imputé],Tableau4[Matricule cabinet],Tableau5[[#This Row],[Matricule cabinet]],Tableau4[Type d''imputation],"sale order")</f>
        <v>9</v>
      </c>
      <c r="E51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11</v>
      </c>
      <c r="F510" s="7">
        <f>SUMIFS(Tableau4[Montant imputé],Tableau4[Matricule cabinet],Tableau5[[#This Row],[Matricule cabinet]],Tableau4[Type d''imputation],"leave")</f>
        <v>0</v>
      </c>
      <c r="G510" s="7">
        <f>SUMIFS(Tableau4[Montant imputé],Tableau4[Matricule cabinet],Tableau5[[#This Row],[Matricule cabinet]],Tableau4[Type d''imputation],"absence")</f>
        <v>0</v>
      </c>
      <c r="H510" s="7">
        <f>SUM(Tableau5[[#This Row],[B WK]:[Unpaid leave WK]])</f>
        <v>20</v>
      </c>
    </row>
    <row r="511" spans="1:8">
      <c r="A511" s="7" t="s">
        <v>858</v>
      </c>
      <c r="B511" s="7" t="s">
        <v>859</v>
      </c>
      <c r="C511" s="7" t="s">
        <v>61</v>
      </c>
      <c r="D511" s="7">
        <f>SUMIFS(Tableau4[Montant imputé],Tableau4[Matricule cabinet],Tableau5[[#This Row],[Matricule cabinet]],Tableau4[Type d''imputation],"sale order")</f>
        <v>17</v>
      </c>
      <c r="E51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511" s="7">
        <f>SUMIFS(Tableau4[Montant imputé],Tableau4[Matricule cabinet],Tableau5[[#This Row],[Matricule cabinet]],Tableau4[Type d''imputation],"leave")</f>
        <v>2</v>
      </c>
      <c r="G511" s="7">
        <f>SUMIFS(Tableau4[Montant imputé],Tableau4[Matricule cabinet],Tableau5[[#This Row],[Matricule cabinet]],Tableau4[Type d''imputation],"absence")</f>
        <v>0</v>
      </c>
      <c r="H511" s="7">
        <f>SUM(Tableau5[[#This Row],[B WK]:[Unpaid leave WK]])</f>
        <v>20</v>
      </c>
    </row>
    <row r="512" spans="1:8">
      <c r="A512" s="7" t="s">
        <v>872</v>
      </c>
      <c r="B512" s="7" t="s">
        <v>51</v>
      </c>
      <c r="C512" s="7" t="s">
        <v>31</v>
      </c>
      <c r="D512" s="7">
        <f>SUMIFS(Tableau4[Montant imputé],Tableau4[Matricule cabinet],Tableau5[[#This Row],[Matricule cabinet]],Tableau4[Type d''imputation],"sale order")</f>
        <v>13</v>
      </c>
      <c r="E51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512" s="7">
        <f>SUMIFS(Tableau4[Montant imputé],Tableau4[Matricule cabinet],Tableau5[[#This Row],[Matricule cabinet]],Tableau4[Type d''imputation],"leave")</f>
        <v>6</v>
      </c>
      <c r="G512" s="7">
        <f>SUMIFS(Tableau4[Montant imputé],Tableau4[Matricule cabinet],Tableau5[[#This Row],[Matricule cabinet]],Tableau4[Type d''imputation],"absence")</f>
        <v>0</v>
      </c>
      <c r="H512" s="7">
        <f>SUM(Tableau5[[#This Row],[B WK]:[Unpaid leave WK]])</f>
        <v>20</v>
      </c>
    </row>
    <row r="513" spans="1:8">
      <c r="A513" s="7" t="s">
        <v>730</v>
      </c>
      <c r="B513" s="7" t="s">
        <v>731</v>
      </c>
      <c r="C513" s="7" t="s">
        <v>25</v>
      </c>
      <c r="D513" s="7">
        <f>SUMIFS(Tableau4[Montant imputé],Tableau4[Matricule cabinet],Tableau5[[#This Row],[Matricule cabinet]],Tableau4[Type d''imputation],"sale order")</f>
        <v>10</v>
      </c>
      <c r="E51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</v>
      </c>
      <c r="F513" s="7">
        <f>SUMIFS(Tableau4[Montant imputé],Tableau4[Matricule cabinet],Tableau5[[#This Row],[Matricule cabinet]],Tableau4[Type d''imputation],"leave")</f>
        <v>0</v>
      </c>
      <c r="G513" s="7">
        <f>SUMIFS(Tableau4[Montant imputé],Tableau4[Matricule cabinet],Tableau5[[#This Row],[Matricule cabinet]],Tableau4[Type d''imputation],"absence")</f>
        <v>0</v>
      </c>
      <c r="H513" s="7">
        <f>SUM(Tableau5[[#This Row],[B WK]:[Unpaid leave WK]])</f>
        <v>20</v>
      </c>
    </row>
    <row r="514" spans="1:8">
      <c r="A514" s="7" t="s">
        <v>523</v>
      </c>
      <c r="B514" s="7" t="s">
        <v>524</v>
      </c>
      <c r="C514" s="7" t="s">
        <v>4</v>
      </c>
      <c r="D514" s="7">
        <f>SUMIFS(Tableau4[Montant imputé],Tableau4[Matricule cabinet],Tableau5[[#This Row],[Matricule cabinet]],Tableau4[Type d''imputation],"sale order")</f>
        <v>16</v>
      </c>
      <c r="E51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14" s="7">
        <f>SUMIFS(Tableau4[Montant imputé],Tableau4[Matricule cabinet],Tableau5[[#This Row],[Matricule cabinet]],Tableau4[Type d''imputation],"leave")</f>
        <v>4</v>
      </c>
      <c r="G514" s="7">
        <f>SUMIFS(Tableau4[Montant imputé],Tableau4[Matricule cabinet],Tableau5[[#This Row],[Matricule cabinet]],Tableau4[Type d''imputation],"absence")</f>
        <v>0</v>
      </c>
      <c r="H514" s="7">
        <f>SUM(Tableau5[[#This Row],[B WK]:[Unpaid leave WK]])</f>
        <v>20</v>
      </c>
    </row>
    <row r="515" spans="1:8">
      <c r="A515" s="7" t="s">
        <v>821</v>
      </c>
      <c r="B515" s="7" t="s">
        <v>822</v>
      </c>
      <c r="C515" s="7" t="s">
        <v>10</v>
      </c>
      <c r="D515" s="7">
        <f>SUMIFS(Tableau4[Montant imputé],Tableau4[Matricule cabinet],Tableau5[[#This Row],[Matricule cabinet]],Tableau4[Type d''imputation],"sale order")</f>
        <v>17.5</v>
      </c>
      <c r="E51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1.5</v>
      </c>
      <c r="F515" s="7">
        <f>SUMIFS(Tableau4[Montant imputé],Tableau4[Matricule cabinet],Tableau5[[#This Row],[Matricule cabinet]],Tableau4[Type d''imputation],"leave")</f>
        <v>1</v>
      </c>
      <c r="G515" s="7">
        <f>SUMIFS(Tableau4[Montant imputé],Tableau4[Matricule cabinet],Tableau5[[#This Row],[Matricule cabinet]],Tableau4[Type d''imputation],"absence")</f>
        <v>0</v>
      </c>
      <c r="H515" s="7">
        <f>SUM(Tableau5[[#This Row],[B WK]:[Unpaid leave WK]])</f>
        <v>20</v>
      </c>
    </row>
    <row r="516" spans="1:8">
      <c r="A516" s="7" t="s">
        <v>701</v>
      </c>
      <c r="B516" s="7" t="s">
        <v>18</v>
      </c>
      <c r="C516" s="7" t="s">
        <v>46</v>
      </c>
      <c r="D516" s="7">
        <f>SUMIFS(Tableau4[Montant imputé],Tableau4[Matricule cabinet],Tableau5[[#This Row],[Matricule cabinet]],Tableau4[Type d''imputation],"sale order")</f>
        <v>0</v>
      </c>
      <c r="E51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16" s="7">
        <f>SUMIFS(Tableau4[Montant imputé],Tableau4[Matricule cabinet],Tableau5[[#This Row],[Matricule cabinet]],Tableau4[Type d''imputation],"leave")</f>
        <v>0</v>
      </c>
      <c r="G516" s="7">
        <f>SUMIFS(Tableau4[Montant imputé],Tableau4[Matricule cabinet],Tableau5[[#This Row],[Matricule cabinet]],Tableau4[Type d''imputation],"absence")</f>
        <v>0</v>
      </c>
      <c r="H516" s="7">
        <f>SUM(Tableau5[[#This Row],[B WK]:[Unpaid leave WK]])</f>
        <v>20</v>
      </c>
    </row>
    <row r="517" spans="1:8">
      <c r="A517" s="7" t="s">
        <v>213</v>
      </c>
      <c r="B517" s="7" t="s">
        <v>214</v>
      </c>
      <c r="C517" s="7" t="s">
        <v>11</v>
      </c>
      <c r="D517" s="7">
        <f>SUMIFS(Tableau4[Montant imputé],Tableau4[Matricule cabinet],Tableau5[[#This Row],[Matricule cabinet]],Tableau4[Type d''imputation],"sale order")</f>
        <v>18</v>
      </c>
      <c r="E51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17" s="7">
        <f>SUMIFS(Tableau4[Montant imputé],Tableau4[Matricule cabinet],Tableau5[[#This Row],[Matricule cabinet]],Tableau4[Type d''imputation],"leave")</f>
        <v>2</v>
      </c>
      <c r="G517" s="7">
        <f>SUMIFS(Tableau4[Montant imputé],Tableau4[Matricule cabinet],Tableau5[[#This Row],[Matricule cabinet]],Tableau4[Type d''imputation],"absence")</f>
        <v>0</v>
      </c>
      <c r="H517" s="7">
        <f>SUM(Tableau5[[#This Row],[B WK]:[Unpaid leave WK]])</f>
        <v>20</v>
      </c>
    </row>
    <row r="518" spans="1:8">
      <c r="A518" s="7" t="s">
        <v>1347</v>
      </c>
      <c r="B518" s="7" t="s">
        <v>1348</v>
      </c>
      <c r="C518" s="7" t="s">
        <v>53</v>
      </c>
      <c r="D518" s="7">
        <f>SUMIFS(Tableau4[Montant imputé],Tableau4[Matricule cabinet],Tableau5[[#This Row],[Matricule cabinet]],Tableau4[Type d''imputation],"sale order")</f>
        <v>19</v>
      </c>
      <c r="E51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18" s="7">
        <f>SUMIFS(Tableau4[Montant imputé],Tableau4[Matricule cabinet],Tableau5[[#This Row],[Matricule cabinet]],Tableau4[Type d''imputation],"leave")</f>
        <v>1</v>
      </c>
      <c r="G518" s="7">
        <f>SUMIFS(Tableau4[Montant imputé],Tableau4[Matricule cabinet],Tableau5[[#This Row],[Matricule cabinet]],Tableau4[Type d''imputation],"absence")</f>
        <v>0</v>
      </c>
      <c r="H518" s="7">
        <f>SUM(Tableau5[[#This Row],[B WK]:[Unpaid leave WK]])</f>
        <v>20</v>
      </c>
    </row>
    <row r="519" spans="1:8">
      <c r="A519" s="7" t="s">
        <v>1470</v>
      </c>
      <c r="B519" s="7" t="s">
        <v>1471</v>
      </c>
      <c r="C519" s="7" t="s">
        <v>30</v>
      </c>
      <c r="D519" s="7">
        <f>SUMIFS(Tableau4[Montant imputé],Tableau4[Matricule cabinet],Tableau5[[#This Row],[Matricule cabinet]],Tableau4[Type d''imputation],"sale order")</f>
        <v>19.5</v>
      </c>
      <c r="E51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519" s="7">
        <f>SUMIFS(Tableau4[Montant imputé],Tableau4[Matricule cabinet],Tableau5[[#This Row],[Matricule cabinet]],Tableau4[Type d''imputation],"leave")</f>
        <v>0</v>
      </c>
      <c r="G519" s="7">
        <f>SUMIFS(Tableau4[Montant imputé],Tableau4[Matricule cabinet],Tableau5[[#This Row],[Matricule cabinet]],Tableau4[Type d''imputation],"absence")</f>
        <v>0</v>
      </c>
      <c r="H519" s="7">
        <f>SUM(Tableau5[[#This Row],[B WK]:[Unpaid leave WK]])</f>
        <v>20</v>
      </c>
    </row>
    <row r="520" spans="1:8">
      <c r="A520" s="7" t="s">
        <v>1037</v>
      </c>
      <c r="B520" s="7" t="s">
        <v>1038</v>
      </c>
      <c r="C520" s="7" t="s">
        <v>64</v>
      </c>
      <c r="D520" s="7">
        <f>SUMIFS(Tableau4[Montant imputé],Tableau4[Matricule cabinet],Tableau5[[#This Row],[Matricule cabinet]],Tableau4[Type d''imputation],"sale order")</f>
        <v>19.5</v>
      </c>
      <c r="E52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520" s="7">
        <f>SUMIFS(Tableau4[Montant imputé],Tableau4[Matricule cabinet],Tableau5[[#This Row],[Matricule cabinet]],Tableau4[Type d''imputation],"leave")</f>
        <v>0</v>
      </c>
      <c r="G520" s="7">
        <f>SUMIFS(Tableau4[Montant imputé],Tableau4[Matricule cabinet],Tableau5[[#This Row],[Matricule cabinet]],Tableau4[Type d''imputation],"absence")</f>
        <v>0</v>
      </c>
      <c r="H520" s="7">
        <f>SUM(Tableau5[[#This Row],[B WK]:[Unpaid leave WK]])</f>
        <v>20</v>
      </c>
    </row>
    <row r="521" spans="1:8">
      <c r="A521" s="7" t="s">
        <v>496</v>
      </c>
      <c r="B521" s="7" t="s">
        <v>497</v>
      </c>
      <c r="C521" s="7" t="s">
        <v>33</v>
      </c>
      <c r="D521" s="7">
        <f>SUMIFS(Tableau4[Montant imputé],Tableau4[Matricule cabinet],Tableau5[[#This Row],[Matricule cabinet]],Tableau4[Type d''imputation],"sale order")</f>
        <v>18</v>
      </c>
      <c r="E52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21" s="7">
        <f>SUMIFS(Tableau4[Montant imputé],Tableau4[Matricule cabinet],Tableau5[[#This Row],[Matricule cabinet]],Tableau4[Type d''imputation],"leave")</f>
        <v>2</v>
      </c>
      <c r="G521" s="7">
        <f>SUMIFS(Tableau4[Montant imputé],Tableau4[Matricule cabinet],Tableau5[[#This Row],[Matricule cabinet]],Tableau4[Type d''imputation],"absence")</f>
        <v>0</v>
      </c>
      <c r="H521" s="7">
        <f>SUM(Tableau5[[#This Row],[B WK]:[Unpaid leave WK]])</f>
        <v>20</v>
      </c>
    </row>
    <row r="522" spans="1:8">
      <c r="A522" s="7" t="s">
        <v>630</v>
      </c>
      <c r="B522" s="7" t="s">
        <v>631</v>
      </c>
      <c r="C522" s="7" t="s">
        <v>7</v>
      </c>
      <c r="D522" s="7">
        <f>SUMIFS(Tableau4[Montant imputé],Tableau4[Matricule cabinet],Tableau5[[#This Row],[Matricule cabinet]],Tableau4[Type d''imputation],"sale order")</f>
        <v>6</v>
      </c>
      <c r="E52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522" s="7">
        <f>SUMIFS(Tableau4[Montant imputé],Tableau4[Matricule cabinet],Tableau5[[#This Row],[Matricule cabinet]],Tableau4[Type d''imputation],"leave")</f>
        <v>0</v>
      </c>
      <c r="G522" s="7">
        <f>SUMIFS(Tableau4[Montant imputé],Tableau4[Matricule cabinet],Tableau5[[#This Row],[Matricule cabinet]],Tableau4[Type d''imputation],"absence")</f>
        <v>0</v>
      </c>
      <c r="H522" s="7">
        <f>SUM(Tableau5[[#This Row],[B WK]:[Unpaid leave WK]])</f>
        <v>20</v>
      </c>
    </row>
    <row r="523" spans="1:8">
      <c r="A523" s="7" t="s">
        <v>837</v>
      </c>
      <c r="B523" s="7" t="s">
        <v>838</v>
      </c>
      <c r="C523" s="7" t="s">
        <v>12</v>
      </c>
      <c r="D523" s="7">
        <f>SUMIFS(Tableau4[Montant imputé],Tableau4[Matricule cabinet],Tableau5[[#This Row],[Matricule cabinet]],Tableau4[Type d''imputation],"sale order")</f>
        <v>14</v>
      </c>
      <c r="E52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</v>
      </c>
      <c r="F523" s="7">
        <f>SUMIFS(Tableau4[Montant imputé],Tableau4[Matricule cabinet],Tableau5[[#This Row],[Matricule cabinet]],Tableau4[Type d''imputation],"leave")</f>
        <v>0</v>
      </c>
      <c r="G523" s="7">
        <f>SUMIFS(Tableau4[Montant imputé],Tableau4[Matricule cabinet],Tableau5[[#This Row],[Matricule cabinet]],Tableau4[Type d''imputation],"absence")</f>
        <v>0</v>
      </c>
      <c r="H523" s="7">
        <f>SUM(Tableau5[[#This Row],[B WK]:[Unpaid leave WK]])</f>
        <v>20</v>
      </c>
    </row>
    <row r="524" spans="1:8">
      <c r="A524" s="7" t="s">
        <v>1208</v>
      </c>
      <c r="B524" s="7" t="s">
        <v>73</v>
      </c>
      <c r="C524" s="7" t="s">
        <v>38</v>
      </c>
      <c r="D524" s="7">
        <f>SUMIFS(Tableau4[Montant imputé],Tableau4[Matricule cabinet],Tableau5[[#This Row],[Matricule cabinet]],Tableau4[Type d''imputation],"sale order")</f>
        <v>11</v>
      </c>
      <c r="E52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7.5</v>
      </c>
      <c r="F524" s="7">
        <f>SUMIFS(Tableau4[Montant imputé],Tableau4[Matricule cabinet],Tableau5[[#This Row],[Matricule cabinet]],Tableau4[Type d''imputation],"leave")</f>
        <v>1.5</v>
      </c>
      <c r="G524" s="7">
        <f>SUMIFS(Tableau4[Montant imputé],Tableau4[Matricule cabinet],Tableau5[[#This Row],[Matricule cabinet]],Tableau4[Type d''imputation],"absence")</f>
        <v>0</v>
      </c>
      <c r="H524" s="7">
        <f>SUM(Tableau5[[#This Row],[B WK]:[Unpaid leave WK]])</f>
        <v>20</v>
      </c>
    </row>
    <row r="525" spans="1:8">
      <c r="A525" s="7" t="s">
        <v>1400</v>
      </c>
      <c r="B525" s="7" t="s">
        <v>1401</v>
      </c>
      <c r="C525" s="7" t="s">
        <v>95</v>
      </c>
      <c r="D525" s="7">
        <f>SUMIFS(Tableau4[Montant imputé],Tableau4[Matricule cabinet],Tableau5[[#This Row],[Matricule cabinet]],Tableau4[Type d''imputation],"sale order")</f>
        <v>20</v>
      </c>
      <c r="E52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25" s="7">
        <f>SUMIFS(Tableau4[Montant imputé],Tableau4[Matricule cabinet],Tableau5[[#This Row],[Matricule cabinet]],Tableau4[Type d''imputation],"leave")</f>
        <v>0</v>
      </c>
      <c r="G525" s="7">
        <f>SUMIFS(Tableau4[Montant imputé],Tableau4[Matricule cabinet],Tableau5[[#This Row],[Matricule cabinet]],Tableau4[Type d''imputation],"absence")</f>
        <v>0</v>
      </c>
      <c r="H525" s="7">
        <f>SUM(Tableau5[[#This Row],[B WK]:[Unpaid leave WK]])</f>
        <v>20</v>
      </c>
    </row>
    <row r="526" spans="1:8">
      <c r="A526" s="7" t="s">
        <v>269</v>
      </c>
      <c r="B526" s="7" t="s">
        <v>270</v>
      </c>
      <c r="C526" s="7" t="s">
        <v>84</v>
      </c>
      <c r="D526" s="7">
        <f>SUMIFS(Tableau4[Montant imputé],Tableau4[Matricule cabinet],Tableau5[[#This Row],[Matricule cabinet]],Tableau4[Type d''imputation],"sale order")</f>
        <v>14</v>
      </c>
      <c r="E52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26" s="7">
        <f>SUMIFS(Tableau4[Montant imputé],Tableau4[Matricule cabinet],Tableau5[[#This Row],[Matricule cabinet]],Tableau4[Type d''imputation],"leave")</f>
        <v>6</v>
      </c>
      <c r="G526" s="7">
        <f>SUMIFS(Tableau4[Montant imputé],Tableau4[Matricule cabinet],Tableau5[[#This Row],[Matricule cabinet]],Tableau4[Type d''imputation],"absence")</f>
        <v>0</v>
      </c>
      <c r="H526" s="7">
        <f>SUM(Tableau5[[#This Row],[B WK]:[Unpaid leave WK]])</f>
        <v>20</v>
      </c>
    </row>
    <row r="527" spans="1:8">
      <c r="A527" s="7" t="s">
        <v>948</v>
      </c>
      <c r="B527" s="7" t="s">
        <v>949</v>
      </c>
      <c r="C527" s="7" t="s">
        <v>45</v>
      </c>
      <c r="D527" s="7">
        <f>SUMIFS(Tableau4[Montant imputé],Tableau4[Matricule cabinet],Tableau5[[#This Row],[Matricule cabinet]],Tableau4[Type d''imputation],"sale order")</f>
        <v>20</v>
      </c>
      <c r="E52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27" s="7">
        <f>SUMIFS(Tableau4[Montant imputé],Tableau4[Matricule cabinet],Tableau5[[#This Row],[Matricule cabinet]],Tableau4[Type d''imputation],"leave")</f>
        <v>0</v>
      </c>
      <c r="G527" s="7">
        <f>SUMIFS(Tableau4[Montant imputé],Tableau4[Matricule cabinet],Tableau5[[#This Row],[Matricule cabinet]],Tableau4[Type d''imputation],"absence")</f>
        <v>0</v>
      </c>
      <c r="H527" s="7">
        <f>SUM(Tableau5[[#This Row],[B WK]:[Unpaid leave WK]])</f>
        <v>20</v>
      </c>
    </row>
    <row r="528" spans="1:8">
      <c r="A528" s="7" t="s">
        <v>1417</v>
      </c>
      <c r="B528" s="7" t="s">
        <v>1418</v>
      </c>
      <c r="C528" s="7" t="s">
        <v>32</v>
      </c>
      <c r="D528" s="7">
        <f>SUMIFS(Tableau4[Montant imputé],Tableau4[Matricule cabinet],Tableau5[[#This Row],[Matricule cabinet]],Tableau4[Type d''imputation],"sale order")</f>
        <v>20</v>
      </c>
      <c r="E52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28" s="7">
        <f>SUMIFS(Tableau4[Montant imputé],Tableau4[Matricule cabinet],Tableau5[[#This Row],[Matricule cabinet]],Tableau4[Type d''imputation],"leave")</f>
        <v>0</v>
      </c>
      <c r="G528" s="7">
        <f>SUMIFS(Tableau4[Montant imputé],Tableau4[Matricule cabinet],Tableau5[[#This Row],[Matricule cabinet]],Tableau4[Type d''imputation],"absence")</f>
        <v>0</v>
      </c>
      <c r="H528" s="7">
        <f>SUM(Tableau5[[#This Row],[B WK]:[Unpaid leave WK]])</f>
        <v>20</v>
      </c>
    </row>
    <row r="529" spans="1:8">
      <c r="A529" s="7" t="s">
        <v>1163</v>
      </c>
      <c r="B529" s="7" t="s">
        <v>1164</v>
      </c>
      <c r="C529" s="7" t="s">
        <v>14</v>
      </c>
      <c r="D529" s="7">
        <f>SUMIFS(Tableau4[Montant imputé],Tableau4[Matricule cabinet],Tableau5[[#This Row],[Matricule cabinet]],Tableau4[Type d''imputation],"sale order")</f>
        <v>12.5</v>
      </c>
      <c r="E52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529" s="7">
        <f>SUMIFS(Tableau4[Montant imputé],Tableau4[Matricule cabinet],Tableau5[[#This Row],[Matricule cabinet]],Tableau4[Type d''imputation],"leave")</f>
        <v>7</v>
      </c>
      <c r="G529" s="7">
        <f>SUMIFS(Tableau4[Montant imputé],Tableau4[Matricule cabinet],Tableau5[[#This Row],[Matricule cabinet]],Tableau4[Type d''imputation],"absence")</f>
        <v>0</v>
      </c>
      <c r="H529" s="7">
        <f>SUM(Tableau5[[#This Row],[B WK]:[Unpaid leave WK]])</f>
        <v>20</v>
      </c>
    </row>
    <row r="530" spans="1:8">
      <c r="A530" s="7" t="s">
        <v>149</v>
      </c>
      <c r="B530" s="7" t="s">
        <v>89</v>
      </c>
      <c r="C530" s="7" t="s">
        <v>60</v>
      </c>
      <c r="D530" s="7">
        <f>SUMIFS(Tableau4[Montant imputé],Tableau4[Matricule cabinet],Tableau5[[#This Row],[Matricule cabinet]],Tableau4[Type d''imputation],"sale order")</f>
        <v>17</v>
      </c>
      <c r="E53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530" s="7">
        <f>SUMIFS(Tableau4[Montant imputé],Tableau4[Matricule cabinet],Tableau5[[#This Row],[Matricule cabinet]],Tableau4[Type d''imputation],"leave")</f>
        <v>0</v>
      </c>
      <c r="G530" s="7">
        <f>SUMIFS(Tableau4[Montant imputé],Tableau4[Matricule cabinet],Tableau5[[#This Row],[Matricule cabinet]],Tableau4[Type d''imputation],"absence")</f>
        <v>0</v>
      </c>
      <c r="H530" s="7">
        <f>SUM(Tableau5[[#This Row],[B WK]:[Unpaid leave WK]])</f>
        <v>20</v>
      </c>
    </row>
    <row r="531" spans="1:8">
      <c r="A531" s="7" t="s">
        <v>1284</v>
      </c>
      <c r="B531" s="7" t="s">
        <v>1285</v>
      </c>
      <c r="C531" s="7" t="s">
        <v>27</v>
      </c>
      <c r="D531" s="7">
        <f>SUMIFS(Tableau4[Montant imputé],Tableau4[Matricule cabinet],Tableau5[[#This Row],[Matricule cabinet]],Tableau4[Type d''imputation],"sale order")</f>
        <v>20</v>
      </c>
      <c r="E53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31" s="7">
        <f>SUMIFS(Tableau4[Montant imputé],Tableau4[Matricule cabinet],Tableau5[[#This Row],[Matricule cabinet]],Tableau4[Type d''imputation],"leave")</f>
        <v>0</v>
      </c>
      <c r="G531" s="7">
        <f>SUMIFS(Tableau4[Montant imputé],Tableau4[Matricule cabinet],Tableau5[[#This Row],[Matricule cabinet]],Tableau4[Type d''imputation],"absence")</f>
        <v>0</v>
      </c>
      <c r="H531" s="7">
        <f>SUM(Tableau5[[#This Row],[B WK]:[Unpaid leave WK]])</f>
        <v>20</v>
      </c>
    </row>
    <row r="532" spans="1:8">
      <c r="A532" s="7" t="s">
        <v>1551</v>
      </c>
      <c r="B532" s="7" t="s">
        <v>1552</v>
      </c>
      <c r="C532" s="7" t="s">
        <v>85</v>
      </c>
      <c r="D532" s="7">
        <f>SUMIFS(Tableau4[Montant imputé],Tableau4[Matricule cabinet],Tableau5[[#This Row],[Matricule cabinet]],Tableau4[Type d''imputation],"sale order")</f>
        <v>18.5</v>
      </c>
      <c r="E53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32" s="7">
        <f>SUMIFS(Tableau4[Montant imputé],Tableau4[Matricule cabinet],Tableau5[[#This Row],[Matricule cabinet]],Tableau4[Type d''imputation],"leave")</f>
        <v>1.5</v>
      </c>
      <c r="G532" s="7">
        <f>SUMIFS(Tableau4[Montant imputé],Tableau4[Matricule cabinet],Tableau5[[#This Row],[Matricule cabinet]],Tableau4[Type d''imputation],"absence")</f>
        <v>0</v>
      </c>
      <c r="H532" s="7">
        <f>SUM(Tableau5[[#This Row],[B WK]:[Unpaid leave WK]])</f>
        <v>20</v>
      </c>
    </row>
    <row r="533" spans="1:8">
      <c r="A533" s="7" t="s">
        <v>748</v>
      </c>
      <c r="B533" s="7" t="s">
        <v>749</v>
      </c>
      <c r="C533" s="7" t="s">
        <v>91</v>
      </c>
      <c r="D533" s="7">
        <f>SUMIFS(Tableau4[Montant imputé],Tableau4[Matricule cabinet],Tableau5[[#This Row],[Matricule cabinet]],Tableau4[Type d''imputation],"sale order")</f>
        <v>18</v>
      </c>
      <c r="E53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533" s="7">
        <f>SUMIFS(Tableau4[Montant imputé],Tableau4[Matricule cabinet],Tableau5[[#This Row],[Matricule cabinet]],Tableau4[Type d''imputation],"leave")</f>
        <v>0</v>
      </c>
      <c r="G533" s="7">
        <f>SUMIFS(Tableau4[Montant imputé],Tableau4[Matricule cabinet],Tableau5[[#This Row],[Matricule cabinet]],Tableau4[Type d''imputation],"absence")</f>
        <v>0</v>
      </c>
      <c r="H533" s="7">
        <f>SUM(Tableau5[[#This Row],[B WK]:[Unpaid leave WK]])</f>
        <v>20</v>
      </c>
    </row>
    <row r="534" spans="1:8">
      <c r="A534" s="7" t="s">
        <v>1402</v>
      </c>
      <c r="B534" s="7" t="s">
        <v>1403</v>
      </c>
      <c r="C534" s="7" t="s">
        <v>95</v>
      </c>
      <c r="D534" s="7">
        <f>SUMIFS(Tableau4[Montant imputé],Tableau4[Matricule cabinet],Tableau5[[#This Row],[Matricule cabinet]],Tableau4[Type d''imputation],"sale order")</f>
        <v>16</v>
      </c>
      <c r="E53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534" s="7">
        <f>SUMIFS(Tableau4[Montant imputé],Tableau4[Matricule cabinet],Tableau5[[#This Row],[Matricule cabinet]],Tableau4[Type d''imputation],"leave")</f>
        <v>0</v>
      </c>
      <c r="G534" s="7">
        <f>SUMIFS(Tableau4[Montant imputé],Tableau4[Matricule cabinet],Tableau5[[#This Row],[Matricule cabinet]],Tableau4[Type d''imputation],"absence")</f>
        <v>0</v>
      </c>
      <c r="H534" s="7">
        <f>SUM(Tableau5[[#This Row],[B WK]:[Unpaid leave WK]])</f>
        <v>20</v>
      </c>
    </row>
    <row r="535" spans="1:8">
      <c r="A535" s="7" t="s">
        <v>542</v>
      </c>
      <c r="B535" s="7" t="s">
        <v>543</v>
      </c>
      <c r="C535" s="7" t="s">
        <v>6</v>
      </c>
      <c r="D535" s="7">
        <f>SUMIFS(Tableau4[Montant imputé],Tableau4[Matricule cabinet],Tableau5[[#This Row],[Matricule cabinet]],Tableau4[Type d''imputation],"sale order")</f>
        <v>10</v>
      </c>
      <c r="E53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</v>
      </c>
      <c r="F535" s="7">
        <f>SUMIFS(Tableau4[Montant imputé],Tableau4[Matricule cabinet],Tableau5[[#This Row],[Matricule cabinet]],Tableau4[Type d''imputation],"leave")</f>
        <v>0</v>
      </c>
      <c r="G535" s="7">
        <f>SUMIFS(Tableau4[Montant imputé],Tableau4[Matricule cabinet],Tableau5[[#This Row],[Matricule cabinet]],Tableau4[Type d''imputation],"absence")</f>
        <v>0</v>
      </c>
      <c r="H535" s="7">
        <f>SUM(Tableau5[[#This Row],[B WK]:[Unpaid leave WK]])</f>
        <v>20</v>
      </c>
    </row>
    <row r="536" spans="1:8">
      <c r="A536" s="7" t="s">
        <v>1223</v>
      </c>
      <c r="B536" s="7" t="s">
        <v>1224</v>
      </c>
      <c r="C536" s="7" t="s">
        <v>22</v>
      </c>
      <c r="D536" s="7">
        <f>SUMIFS(Tableau4[Montant imputé],Tableau4[Matricule cabinet],Tableau5[[#This Row],[Matricule cabinet]],Tableau4[Type d''imputation],"sale order")</f>
        <v>17.5</v>
      </c>
      <c r="E53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36" s="7">
        <f>SUMIFS(Tableau4[Montant imputé],Tableau4[Matricule cabinet],Tableau5[[#This Row],[Matricule cabinet]],Tableau4[Type d''imputation],"leave")</f>
        <v>2.5</v>
      </c>
      <c r="G536" s="7">
        <f>SUMIFS(Tableau4[Montant imputé],Tableau4[Matricule cabinet],Tableau5[[#This Row],[Matricule cabinet]],Tableau4[Type d''imputation],"absence")</f>
        <v>0</v>
      </c>
      <c r="H536" s="7">
        <f>SUM(Tableau5[[#This Row],[B WK]:[Unpaid leave WK]])</f>
        <v>20</v>
      </c>
    </row>
    <row r="537" spans="1:8">
      <c r="A537" s="7" t="s">
        <v>1419</v>
      </c>
      <c r="B537" s="7" t="s">
        <v>1420</v>
      </c>
      <c r="C537" s="7" t="s">
        <v>32</v>
      </c>
      <c r="D537" s="7">
        <f>SUMIFS(Tableau4[Montant imputé],Tableau4[Matricule cabinet],Tableau5[[#This Row],[Matricule cabinet]],Tableau4[Type d''imputation],"sale order")</f>
        <v>12</v>
      </c>
      <c r="E53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537" s="7">
        <f>SUMIFS(Tableau4[Montant imputé],Tableau4[Matricule cabinet],Tableau5[[#This Row],[Matricule cabinet]],Tableau4[Type d''imputation],"leave")</f>
        <v>0</v>
      </c>
      <c r="G537" s="7">
        <f>SUMIFS(Tableau4[Montant imputé],Tableau4[Matricule cabinet],Tableau5[[#This Row],[Matricule cabinet]],Tableau4[Type d''imputation],"absence")</f>
        <v>0</v>
      </c>
      <c r="H537" s="7">
        <f>SUM(Tableau5[[#This Row],[B WK]:[Unpaid leave WK]])</f>
        <v>20</v>
      </c>
    </row>
    <row r="538" spans="1:8">
      <c r="A538" s="7" t="s">
        <v>583</v>
      </c>
      <c r="B538" s="7" t="s">
        <v>584</v>
      </c>
      <c r="C538" s="7" t="s">
        <v>29</v>
      </c>
      <c r="D538" s="7">
        <f>SUMIFS(Tableau4[Montant imputé],Tableau4[Matricule cabinet],Tableau5[[#This Row],[Matricule cabinet]],Tableau4[Type d''imputation],"sale order")</f>
        <v>16</v>
      </c>
      <c r="E53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38" s="7">
        <f>SUMIFS(Tableau4[Montant imputé],Tableau4[Matricule cabinet],Tableau5[[#This Row],[Matricule cabinet]],Tableau4[Type d''imputation],"leave")</f>
        <v>4</v>
      </c>
      <c r="G538" s="7">
        <f>SUMIFS(Tableau4[Montant imputé],Tableau4[Matricule cabinet],Tableau5[[#This Row],[Matricule cabinet]],Tableau4[Type d''imputation],"absence")</f>
        <v>0</v>
      </c>
      <c r="H538" s="7">
        <f>SUM(Tableau5[[#This Row],[B WK]:[Unpaid leave WK]])</f>
        <v>20</v>
      </c>
    </row>
    <row r="539" spans="1:8">
      <c r="A539" s="7" t="s">
        <v>1488</v>
      </c>
      <c r="B539" s="7" t="s">
        <v>1489</v>
      </c>
      <c r="C539" s="7" t="s">
        <v>26</v>
      </c>
      <c r="D539" s="7">
        <f>SUMIFS(Tableau4[Montant imputé],Tableau4[Matricule cabinet],Tableau5[[#This Row],[Matricule cabinet]],Tableau4[Type d''imputation],"sale order")</f>
        <v>20</v>
      </c>
      <c r="E53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39" s="7">
        <f>SUMIFS(Tableau4[Montant imputé],Tableau4[Matricule cabinet],Tableau5[[#This Row],[Matricule cabinet]],Tableau4[Type d''imputation],"leave")</f>
        <v>0</v>
      </c>
      <c r="G539" s="7">
        <f>SUMIFS(Tableau4[Montant imputé],Tableau4[Matricule cabinet],Tableau5[[#This Row],[Matricule cabinet]],Tableau4[Type d''imputation],"absence")</f>
        <v>0</v>
      </c>
      <c r="H539" s="7">
        <f>SUM(Tableau5[[#This Row],[B WK]:[Unpaid leave WK]])</f>
        <v>20</v>
      </c>
    </row>
    <row r="540" spans="1:8">
      <c r="A540" s="7" t="s">
        <v>994</v>
      </c>
      <c r="B540" s="7" t="s">
        <v>995</v>
      </c>
      <c r="C540" s="7" t="s">
        <v>96</v>
      </c>
      <c r="D540" s="7">
        <f>SUMIFS(Tableau4[Montant imputé],Tableau4[Matricule cabinet],Tableau5[[#This Row],[Matricule cabinet]],Tableau4[Type d''imputation],"sale order")</f>
        <v>0</v>
      </c>
      <c r="E54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40" s="7">
        <f>SUMIFS(Tableau4[Montant imputé],Tableau4[Matricule cabinet],Tableau5[[#This Row],[Matricule cabinet]],Tableau4[Type d''imputation],"leave")</f>
        <v>0</v>
      </c>
      <c r="G540" s="7">
        <f>SUMIFS(Tableau4[Montant imputé],Tableau4[Matricule cabinet],Tableau5[[#This Row],[Matricule cabinet]],Tableau4[Type d''imputation],"absence")</f>
        <v>0</v>
      </c>
      <c r="H540" s="7">
        <f>SUM(Tableau5[[#This Row],[B WK]:[Unpaid leave WK]])</f>
        <v>20</v>
      </c>
    </row>
    <row r="541" spans="1:8">
      <c r="A541" s="7" t="s">
        <v>1249</v>
      </c>
      <c r="B541" s="7" t="s">
        <v>1250</v>
      </c>
      <c r="C541" s="7" t="s">
        <v>80</v>
      </c>
      <c r="D541" s="7">
        <f>SUMIFS(Tableau4[Montant imputé],Tableau4[Matricule cabinet],Tableau5[[#This Row],[Matricule cabinet]],Tableau4[Type d''imputation],"sale order")</f>
        <v>15</v>
      </c>
      <c r="E54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541" s="7">
        <f>SUMIFS(Tableau4[Montant imputé],Tableau4[Matricule cabinet],Tableau5[[#This Row],[Matricule cabinet]],Tableau4[Type d''imputation],"leave")</f>
        <v>2</v>
      </c>
      <c r="G541" s="7">
        <f>SUMIFS(Tableau4[Montant imputé],Tableau4[Matricule cabinet],Tableau5[[#This Row],[Matricule cabinet]],Tableau4[Type d''imputation],"absence")</f>
        <v>0</v>
      </c>
      <c r="H541" s="7">
        <f>SUM(Tableau5[[#This Row],[B WK]:[Unpaid leave WK]])</f>
        <v>20</v>
      </c>
    </row>
    <row r="542" spans="1:8">
      <c r="A542" s="7" t="s">
        <v>1503</v>
      </c>
      <c r="B542" s="7" t="s">
        <v>1504</v>
      </c>
      <c r="C542" s="7" t="s">
        <v>7</v>
      </c>
      <c r="D542" s="7">
        <f>SUMIFS(Tableau4[Montant imputé],Tableau4[Matricule cabinet],Tableau5[[#This Row],[Matricule cabinet]],Tableau4[Type d''imputation],"sale order")</f>
        <v>14</v>
      </c>
      <c r="E54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</v>
      </c>
      <c r="F542" s="7">
        <f>SUMIFS(Tableau4[Montant imputé],Tableau4[Matricule cabinet],Tableau5[[#This Row],[Matricule cabinet]],Tableau4[Type d''imputation],"leave")</f>
        <v>0</v>
      </c>
      <c r="G542" s="7">
        <f>SUMIFS(Tableau4[Montant imputé],Tableau4[Matricule cabinet],Tableau5[[#This Row],[Matricule cabinet]],Tableau4[Type d''imputation],"absence")</f>
        <v>0</v>
      </c>
      <c r="H542" s="7">
        <f>SUM(Tableau5[[#This Row],[B WK]:[Unpaid leave WK]])</f>
        <v>20</v>
      </c>
    </row>
    <row r="543" spans="1:8">
      <c r="A543" s="7" t="s">
        <v>891</v>
      </c>
      <c r="B543" s="7" t="s">
        <v>892</v>
      </c>
      <c r="C543" s="7" t="s">
        <v>34</v>
      </c>
      <c r="D543" s="7">
        <f>SUMIFS(Tableau4[Montant imputé],Tableau4[Matricule cabinet],Tableau5[[#This Row],[Matricule cabinet]],Tableau4[Type d''imputation],"sale order")</f>
        <v>19</v>
      </c>
      <c r="E54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543" s="7">
        <f>SUMIFS(Tableau4[Montant imputé],Tableau4[Matricule cabinet],Tableau5[[#This Row],[Matricule cabinet]],Tableau4[Type d''imputation],"leave")</f>
        <v>0</v>
      </c>
      <c r="G543" s="7">
        <f>SUMIFS(Tableau4[Montant imputé],Tableau4[Matricule cabinet],Tableau5[[#This Row],[Matricule cabinet]],Tableau4[Type d''imputation],"absence")</f>
        <v>0</v>
      </c>
      <c r="H543" s="7">
        <f>SUM(Tableau5[[#This Row],[B WK]:[Unpaid leave WK]])</f>
        <v>20</v>
      </c>
    </row>
    <row r="544" spans="1:8">
      <c r="A544" s="7" t="s">
        <v>1490</v>
      </c>
      <c r="B544" s="7" t="s">
        <v>1491</v>
      </c>
      <c r="C544" s="7" t="s">
        <v>26</v>
      </c>
      <c r="D544" s="7">
        <f>SUMIFS(Tableau4[Montant imputé],Tableau4[Matricule cabinet],Tableau5[[#This Row],[Matricule cabinet]],Tableau4[Type d''imputation],"sale order")</f>
        <v>0</v>
      </c>
      <c r="E54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13</v>
      </c>
      <c r="F544" s="7">
        <f>SUMIFS(Tableau4[Montant imputé],Tableau4[Matricule cabinet],Tableau5[[#This Row],[Matricule cabinet]],Tableau4[Type d''imputation],"leave")</f>
        <v>7</v>
      </c>
      <c r="G544" s="7">
        <f>SUMIFS(Tableau4[Montant imputé],Tableau4[Matricule cabinet],Tableau5[[#This Row],[Matricule cabinet]],Tableau4[Type d''imputation],"absence")</f>
        <v>0</v>
      </c>
      <c r="H544" s="7">
        <f>SUM(Tableau5[[#This Row],[B WK]:[Unpaid leave WK]])</f>
        <v>20</v>
      </c>
    </row>
    <row r="545" spans="1:8">
      <c r="A545" s="7" t="s">
        <v>196</v>
      </c>
      <c r="B545" s="7" t="s">
        <v>197</v>
      </c>
      <c r="C545" s="7" t="s">
        <v>32</v>
      </c>
      <c r="D545" s="7">
        <f>SUMIFS(Tableau4[Montant imputé],Tableau4[Matricule cabinet],Tableau5[[#This Row],[Matricule cabinet]],Tableau4[Type d''imputation],"sale order")</f>
        <v>5</v>
      </c>
      <c r="E54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15</v>
      </c>
      <c r="F545" s="7">
        <f>SUMIFS(Tableau4[Montant imputé],Tableau4[Matricule cabinet],Tableau5[[#This Row],[Matricule cabinet]],Tableau4[Type d''imputation],"leave")</f>
        <v>0</v>
      </c>
      <c r="G545" s="7">
        <f>SUMIFS(Tableau4[Montant imputé],Tableau4[Matricule cabinet],Tableau5[[#This Row],[Matricule cabinet]],Tableau4[Type d''imputation],"absence")</f>
        <v>0</v>
      </c>
      <c r="H545" s="7">
        <f>SUM(Tableau5[[#This Row],[B WK]:[Unpaid leave WK]])</f>
        <v>20</v>
      </c>
    </row>
    <row r="546" spans="1:8">
      <c r="A546" s="7" t="s">
        <v>1062</v>
      </c>
      <c r="B546" s="7" t="s">
        <v>1063</v>
      </c>
      <c r="C546" s="7" t="s">
        <v>21</v>
      </c>
      <c r="D546" s="7">
        <f>SUMIFS(Tableau4[Montant imputé],Tableau4[Matricule cabinet],Tableau5[[#This Row],[Matricule cabinet]],Tableau4[Type d''imputation],"sale order")</f>
        <v>9.5</v>
      </c>
      <c r="E54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10.5</v>
      </c>
      <c r="F546" s="7">
        <f>SUMIFS(Tableau4[Montant imputé],Tableau4[Matricule cabinet],Tableau5[[#This Row],[Matricule cabinet]],Tableau4[Type d''imputation],"leave")</f>
        <v>0</v>
      </c>
      <c r="G546" s="7">
        <f>SUMIFS(Tableau4[Montant imputé],Tableau4[Matricule cabinet],Tableau5[[#This Row],[Matricule cabinet]],Tableau4[Type d''imputation],"absence")</f>
        <v>0</v>
      </c>
      <c r="H546" s="7">
        <f>SUM(Tableau5[[#This Row],[B WK]:[Unpaid leave WK]])</f>
        <v>20</v>
      </c>
    </row>
    <row r="547" spans="1:8">
      <c r="A547" s="7" t="s">
        <v>936</v>
      </c>
      <c r="B547" s="7" t="s">
        <v>937</v>
      </c>
      <c r="C547" s="7" t="s">
        <v>48</v>
      </c>
      <c r="D547" s="7">
        <f>SUMIFS(Tableau4[Montant imputé],Tableau4[Matricule cabinet],Tableau5[[#This Row],[Matricule cabinet]],Tableau4[Type d''imputation],"sale order")</f>
        <v>18</v>
      </c>
      <c r="E54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547" s="7">
        <f>SUMIFS(Tableau4[Montant imputé],Tableau4[Matricule cabinet],Tableau5[[#This Row],[Matricule cabinet]],Tableau4[Type d''imputation],"leave")</f>
        <v>1</v>
      </c>
      <c r="G547" s="7">
        <f>SUMIFS(Tableau4[Montant imputé],Tableau4[Matricule cabinet],Tableau5[[#This Row],[Matricule cabinet]],Tableau4[Type d''imputation],"absence")</f>
        <v>0</v>
      </c>
      <c r="H547" s="7">
        <f>SUM(Tableau5[[#This Row],[B WK]:[Unpaid leave WK]])</f>
        <v>20</v>
      </c>
    </row>
    <row r="548" spans="1:8">
      <c r="A548" s="7" t="s">
        <v>732</v>
      </c>
      <c r="B548" s="7" t="s">
        <v>733</v>
      </c>
      <c r="C548" s="7" t="s">
        <v>25</v>
      </c>
      <c r="D548" s="7">
        <f>SUMIFS(Tableau4[Montant imputé],Tableau4[Matricule cabinet],Tableau5[[#This Row],[Matricule cabinet]],Tableau4[Type d''imputation],"sale order")</f>
        <v>18</v>
      </c>
      <c r="E54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48" s="7">
        <f>SUMIFS(Tableau4[Montant imputé],Tableau4[Matricule cabinet],Tableau5[[#This Row],[Matricule cabinet]],Tableau4[Type d''imputation],"leave")</f>
        <v>2</v>
      </c>
      <c r="G548" s="7">
        <f>SUMIFS(Tableau4[Montant imputé],Tableau4[Matricule cabinet],Tableau5[[#This Row],[Matricule cabinet]],Tableau4[Type d''imputation],"absence")</f>
        <v>0</v>
      </c>
      <c r="H548" s="7">
        <f>SUM(Tableau5[[#This Row],[B WK]:[Unpaid leave WK]])</f>
        <v>20</v>
      </c>
    </row>
    <row r="549" spans="1:8">
      <c r="A549" s="7" t="s">
        <v>1154</v>
      </c>
      <c r="B549" s="7" t="s">
        <v>1155</v>
      </c>
      <c r="C549" s="7" t="s">
        <v>48</v>
      </c>
      <c r="D549" s="7">
        <f>SUMIFS(Tableau4[Montant imputé],Tableau4[Matricule cabinet],Tableau5[[#This Row],[Matricule cabinet]],Tableau4[Type d''imputation],"sale order")</f>
        <v>17</v>
      </c>
      <c r="E54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49" s="7">
        <f>SUMIFS(Tableau4[Montant imputé],Tableau4[Matricule cabinet],Tableau5[[#This Row],[Matricule cabinet]],Tableau4[Type d''imputation],"leave")</f>
        <v>3</v>
      </c>
      <c r="G549" s="7">
        <f>SUMIFS(Tableau4[Montant imputé],Tableau4[Matricule cabinet],Tableau5[[#This Row],[Matricule cabinet]],Tableau4[Type d''imputation],"absence")</f>
        <v>0</v>
      </c>
      <c r="H549" s="7">
        <f>SUM(Tableau5[[#This Row],[B WK]:[Unpaid leave WK]])</f>
        <v>20</v>
      </c>
    </row>
    <row r="550" spans="1:8">
      <c r="A550" s="7" t="s">
        <v>1201</v>
      </c>
      <c r="B550" s="7" t="s">
        <v>1202</v>
      </c>
      <c r="C550" s="7" t="s">
        <v>53</v>
      </c>
      <c r="D550" s="7">
        <f>SUMIFS(Tableau4[Montant imputé],Tableau4[Matricule cabinet],Tableau5[[#This Row],[Matricule cabinet]],Tableau4[Type d''imputation],"sale order")</f>
        <v>4.5</v>
      </c>
      <c r="E55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15.5</v>
      </c>
      <c r="F550" s="7">
        <f>SUMIFS(Tableau4[Montant imputé],Tableau4[Matricule cabinet],Tableau5[[#This Row],[Matricule cabinet]],Tableau4[Type d''imputation],"leave")</f>
        <v>0</v>
      </c>
      <c r="G550" s="7">
        <f>SUMIFS(Tableau4[Montant imputé],Tableau4[Matricule cabinet],Tableau5[[#This Row],[Matricule cabinet]],Tableau4[Type d''imputation],"absence")</f>
        <v>0</v>
      </c>
      <c r="H550" s="7">
        <f>SUM(Tableau5[[#This Row],[B WK]:[Unpaid leave WK]])</f>
        <v>20</v>
      </c>
    </row>
    <row r="551" spans="1:8">
      <c r="A551" s="7" t="s">
        <v>1447</v>
      </c>
      <c r="B551" s="7" t="s">
        <v>65</v>
      </c>
      <c r="C551" s="7" t="s">
        <v>54</v>
      </c>
      <c r="D551" s="7">
        <f>SUMIFS(Tableau4[Montant imputé],Tableau4[Matricule cabinet],Tableau5[[#This Row],[Matricule cabinet]],Tableau4[Type d''imputation],"sale order")</f>
        <v>0</v>
      </c>
      <c r="E55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551" s="7">
        <f>SUMIFS(Tableau4[Montant imputé],Tableau4[Matricule cabinet],Tableau5[[#This Row],[Matricule cabinet]],Tableau4[Type d''imputation],"leave")</f>
        <v>6</v>
      </c>
      <c r="G551" s="7">
        <f>SUMIFS(Tableau4[Montant imputé],Tableau4[Matricule cabinet],Tableau5[[#This Row],[Matricule cabinet]],Tableau4[Type d''imputation],"absence")</f>
        <v>0</v>
      </c>
      <c r="H551" s="7">
        <f>SUM(Tableau5[[#This Row],[B WK]:[Unpaid leave WK]])</f>
        <v>20</v>
      </c>
    </row>
    <row r="552" spans="1:8">
      <c r="A552" s="7" t="s">
        <v>439</v>
      </c>
      <c r="B552" s="7" t="s">
        <v>440</v>
      </c>
      <c r="C552" s="7" t="s">
        <v>27</v>
      </c>
      <c r="D552" s="7">
        <f>SUMIFS(Tableau4[Montant imputé],Tableau4[Matricule cabinet],Tableau5[[#This Row],[Matricule cabinet]],Tableau4[Type d''imputation],"sale order")</f>
        <v>12.5</v>
      </c>
      <c r="E55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7.5</v>
      </c>
      <c r="F552" s="7">
        <f>SUMIFS(Tableau4[Montant imputé],Tableau4[Matricule cabinet],Tableau5[[#This Row],[Matricule cabinet]],Tableau4[Type d''imputation],"leave")</f>
        <v>0</v>
      </c>
      <c r="G552" s="7">
        <f>SUMIFS(Tableau4[Montant imputé],Tableau4[Matricule cabinet],Tableau5[[#This Row],[Matricule cabinet]],Tableau4[Type d''imputation],"absence")</f>
        <v>0</v>
      </c>
      <c r="H552" s="7">
        <f>SUM(Tableau5[[#This Row],[B WK]:[Unpaid leave WK]])</f>
        <v>20</v>
      </c>
    </row>
    <row r="553" spans="1:8">
      <c r="A553" s="7" t="s">
        <v>1169</v>
      </c>
      <c r="B553" s="7" t="s">
        <v>1170</v>
      </c>
      <c r="C553" s="7" t="s">
        <v>86</v>
      </c>
      <c r="D553" s="7">
        <f>SUMIFS(Tableau4[Montant imputé],Tableau4[Matricule cabinet],Tableau5[[#This Row],[Matricule cabinet]],Tableau4[Type d''imputation],"sale order")</f>
        <v>0</v>
      </c>
      <c r="E55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53" s="7">
        <f>SUMIFS(Tableau4[Montant imputé],Tableau4[Matricule cabinet],Tableau5[[#This Row],[Matricule cabinet]],Tableau4[Type d''imputation],"leave")</f>
        <v>0</v>
      </c>
      <c r="G553" s="7">
        <f>SUMIFS(Tableau4[Montant imputé],Tableau4[Matricule cabinet],Tableau5[[#This Row],[Matricule cabinet]],Tableau4[Type d''imputation],"absence")</f>
        <v>0</v>
      </c>
      <c r="H553" s="7">
        <f>SUM(Tableau5[[#This Row],[B WK]:[Unpaid leave WK]])</f>
        <v>20</v>
      </c>
    </row>
    <row r="554" spans="1:8">
      <c r="A554" s="7" t="s">
        <v>665</v>
      </c>
      <c r="B554" s="7" t="s">
        <v>48</v>
      </c>
      <c r="C554" s="7" t="s">
        <v>28</v>
      </c>
      <c r="D554" s="7">
        <f>SUMIFS(Tableau4[Montant imputé],Tableau4[Matricule cabinet],Tableau5[[#This Row],[Matricule cabinet]],Tableau4[Type d''imputation],"sale order")</f>
        <v>11</v>
      </c>
      <c r="E55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554" s="7">
        <f>SUMIFS(Tableau4[Montant imputé],Tableau4[Matricule cabinet],Tableau5[[#This Row],[Matricule cabinet]],Tableau4[Type d''imputation],"leave")</f>
        <v>0</v>
      </c>
      <c r="G554" s="7">
        <f>SUMIFS(Tableau4[Montant imputé],Tableau4[Matricule cabinet],Tableau5[[#This Row],[Matricule cabinet]],Tableau4[Type d''imputation],"absence")</f>
        <v>0</v>
      </c>
      <c r="H554" s="7">
        <f>SUM(Tableau5[[#This Row],[B WK]:[Unpaid leave WK]])</f>
        <v>20</v>
      </c>
    </row>
    <row r="555" spans="1:8">
      <c r="A555" s="7" t="s">
        <v>928</v>
      </c>
      <c r="B555" s="7" t="s">
        <v>929</v>
      </c>
      <c r="C555" s="7" t="s">
        <v>42</v>
      </c>
      <c r="D555" s="7">
        <f>SUMIFS(Tableau4[Montant imputé],Tableau4[Matricule cabinet],Tableau5[[#This Row],[Matricule cabinet]],Tableau4[Type d''imputation],"sale order")</f>
        <v>0</v>
      </c>
      <c r="E55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55" s="7">
        <f>SUMIFS(Tableau4[Montant imputé],Tableau4[Matricule cabinet],Tableau5[[#This Row],[Matricule cabinet]],Tableau4[Type d''imputation],"leave")</f>
        <v>0</v>
      </c>
      <c r="G555" s="7">
        <f>SUMIFS(Tableau4[Montant imputé],Tableau4[Matricule cabinet],Tableau5[[#This Row],[Matricule cabinet]],Tableau4[Type d''imputation],"absence")</f>
        <v>0</v>
      </c>
      <c r="H555" s="7">
        <f>SUM(Tableau5[[#This Row],[B WK]:[Unpaid leave WK]])</f>
        <v>20</v>
      </c>
    </row>
    <row r="556" spans="1:8">
      <c r="A556" s="7" t="s">
        <v>233</v>
      </c>
      <c r="B556" s="7" t="s">
        <v>234</v>
      </c>
      <c r="C556" s="7" t="s">
        <v>52</v>
      </c>
      <c r="D556" s="7">
        <f>SUMIFS(Tableau4[Montant imputé],Tableau4[Matricule cabinet],Tableau5[[#This Row],[Matricule cabinet]],Tableau4[Type d''imputation],"sale order")</f>
        <v>5.5</v>
      </c>
      <c r="E55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</v>
      </c>
      <c r="F556" s="7">
        <f>SUMIFS(Tableau4[Montant imputé],Tableau4[Matricule cabinet],Tableau5[[#This Row],[Matricule cabinet]],Tableau4[Type d''imputation],"leave")</f>
        <v>0.5</v>
      </c>
      <c r="G556" s="7">
        <f>SUMIFS(Tableau4[Montant imputé],Tableau4[Matricule cabinet],Tableau5[[#This Row],[Matricule cabinet]],Tableau4[Type d''imputation],"absence")</f>
        <v>0</v>
      </c>
      <c r="H556" s="7">
        <f>SUM(Tableau5[[#This Row],[B WK]:[Unpaid leave WK]])</f>
        <v>20</v>
      </c>
    </row>
    <row r="557" spans="1:8">
      <c r="A557" s="7" t="s">
        <v>767</v>
      </c>
      <c r="B557" s="7" t="s">
        <v>768</v>
      </c>
      <c r="C557" s="7" t="s">
        <v>56</v>
      </c>
      <c r="D557" s="7">
        <f>SUMIFS(Tableau4[Montant imputé],Tableau4[Matricule cabinet],Tableau5[[#This Row],[Matricule cabinet]],Tableau4[Type d''imputation],"sale order")</f>
        <v>20</v>
      </c>
      <c r="E55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57" s="7">
        <f>SUMIFS(Tableau4[Montant imputé],Tableau4[Matricule cabinet],Tableau5[[#This Row],[Matricule cabinet]],Tableau4[Type d''imputation],"leave")</f>
        <v>0</v>
      </c>
      <c r="G557" s="7">
        <f>SUMIFS(Tableau4[Montant imputé],Tableau4[Matricule cabinet],Tableau5[[#This Row],[Matricule cabinet]],Tableau4[Type d''imputation],"absence")</f>
        <v>0</v>
      </c>
      <c r="H557" s="7">
        <f>SUM(Tableau5[[#This Row],[B WK]:[Unpaid leave WK]])</f>
        <v>20</v>
      </c>
    </row>
    <row r="558" spans="1:8">
      <c r="A558" s="7" t="s">
        <v>670</v>
      </c>
      <c r="B558" s="7" t="s">
        <v>671</v>
      </c>
      <c r="C558" s="7" t="s">
        <v>39</v>
      </c>
      <c r="D558" s="7">
        <f>SUMIFS(Tableau4[Montant imputé],Tableau4[Matricule cabinet],Tableau5[[#This Row],[Matricule cabinet]],Tableau4[Type d''imputation],"sale order")</f>
        <v>17</v>
      </c>
      <c r="E55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558" s="7">
        <f>SUMIFS(Tableau4[Montant imputé],Tableau4[Matricule cabinet],Tableau5[[#This Row],[Matricule cabinet]],Tableau4[Type d''imputation],"leave")</f>
        <v>2</v>
      </c>
      <c r="G558" s="7">
        <f>SUMIFS(Tableau4[Montant imputé],Tableau4[Matricule cabinet],Tableau5[[#This Row],[Matricule cabinet]],Tableau4[Type d''imputation],"absence")</f>
        <v>0</v>
      </c>
      <c r="H558" s="7">
        <f>SUM(Tableau5[[#This Row],[B WK]:[Unpaid leave WK]])</f>
        <v>20</v>
      </c>
    </row>
    <row r="559" spans="1:8">
      <c r="A559" s="7" t="s">
        <v>805</v>
      </c>
      <c r="B559" s="7" t="s">
        <v>806</v>
      </c>
      <c r="C559" s="7" t="s">
        <v>16</v>
      </c>
      <c r="D559" s="7">
        <f>SUMIFS(Tableau4[Montant imputé],Tableau4[Matricule cabinet],Tableau5[[#This Row],[Matricule cabinet]],Tableau4[Type d''imputation],"sale order")</f>
        <v>17</v>
      </c>
      <c r="E55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59" s="7">
        <f>SUMIFS(Tableau4[Montant imputé],Tableau4[Matricule cabinet],Tableau5[[#This Row],[Matricule cabinet]],Tableau4[Type d''imputation],"leave")</f>
        <v>3</v>
      </c>
      <c r="G559" s="7">
        <f>SUMIFS(Tableau4[Montant imputé],Tableau4[Matricule cabinet],Tableau5[[#This Row],[Matricule cabinet]],Tableau4[Type d''imputation],"absence")</f>
        <v>0</v>
      </c>
      <c r="H559" s="7">
        <f>SUM(Tableau5[[#This Row],[B WK]:[Unpaid leave WK]])</f>
        <v>20</v>
      </c>
    </row>
    <row r="560" spans="1:8">
      <c r="A560" s="7" t="s">
        <v>419</v>
      </c>
      <c r="B560" s="7" t="s">
        <v>420</v>
      </c>
      <c r="C560" s="7" t="s">
        <v>21</v>
      </c>
      <c r="D560" s="7">
        <f>SUMIFS(Tableau4[Montant imputé],Tableau4[Matricule cabinet],Tableau5[[#This Row],[Matricule cabinet]],Tableau4[Type d''imputation],"sale order")</f>
        <v>19</v>
      </c>
      <c r="E56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60" s="7">
        <f>SUMIFS(Tableau4[Montant imputé],Tableau4[Matricule cabinet],Tableau5[[#This Row],[Matricule cabinet]],Tableau4[Type d''imputation],"leave")</f>
        <v>1</v>
      </c>
      <c r="G560" s="7">
        <f>SUMIFS(Tableau4[Montant imputé],Tableau4[Matricule cabinet],Tableau5[[#This Row],[Matricule cabinet]],Tableau4[Type d''imputation],"absence")</f>
        <v>0</v>
      </c>
      <c r="H560" s="7">
        <f>SUM(Tableau5[[#This Row],[B WK]:[Unpaid leave WK]])</f>
        <v>20</v>
      </c>
    </row>
    <row r="561" spans="1:8">
      <c r="A561" s="7" t="s">
        <v>1138</v>
      </c>
      <c r="B561" s="7" t="s">
        <v>86</v>
      </c>
      <c r="C561" s="7" t="s">
        <v>543</v>
      </c>
      <c r="D561" s="7">
        <f>SUMIFS(Tableau4[Montant imputé],Tableau4[Matricule cabinet],Tableau5[[#This Row],[Matricule cabinet]],Tableau4[Type d''imputation],"sale order")</f>
        <v>14</v>
      </c>
      <c r="E56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561" s="7">
        <f>SUMIFS(Tableau4[Montant imputé],Tableau4[Matricule cabinet],Tableau5[[#This Row],[Matricule cabinet]],Tableau4[Type d''imputation],"leave")</f>
        <v>4</v>
      </c>
      <c r="G561" s="7">
        <f>SUMIFS(Tableau4[Montant imputé],Tableau4[Matricule cabinet],Tableau5[[#This Row],[Matricule cabinet]],Tableau4[Type d''imputation],"absence")</f>
        <v>0</v>
      </c>
      <c r="H561" s="7">
        <f>SUM(Tableau5[[#This Row],[B WK]:[Unpaid leave WK]])</f>
        <v>20</v>
      </c>
    </row>
    <row r="562" spans="1:8">
      <c r="A562" s="7" t="s">
        <v>750</v>
      </c>
      <c r="B562" s="7" t="s">
        <v>751</v>
      </c>
      <c r="C562" s="7" t="s">
        <v>91</v>
      </c>
      <c r="D562" s="7">
        <f>SUMIFS(Tableau4[Montant imputé],Tableau4[Matricule cabinet],Tableau5[[#This Row],[Matricule cabinet]],Tableau4[Type d''imputation],"sale order")</f>
        <v>20</v>
      </c>
      <c r="E56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62" s="7">
        <f>SUMIFS(Tableau4[Montant imputé],Tableau4[Matricule cabinet],Tableau5[[#This Row],[Matricule cabinet]],Tableau4[Type d''imputation],"leave")</f>
        <v>0</v>
      </c>
      <c r="G562" s="7">
        <f>SUMIFS(Tableau4[Montant imputé],Tableau4[Matricule cabinet],Tableau5[[#This Row],[Matricule cabinet]],Tableau4[Type d''imputation],"absence")</f>
        <v>0</v>
      </c>
      <c r="H562" s="7">
        <f>SUM(Tableau5[[#This Row],[B WK]:[Unpaid leave WK]])</f>
        <v>20</v>
      </c>
    </row>
    <row r="563" spans="1:8">
      <c r="A563" s="7" t="s">
        <v>1527</v>
      </c>
      <c r="B563" s="7" t="s">
        <v>55</v>
      </c>
      <c r="C563" s="7" t="s">
        <v>8</v>
      </c>
      <c r="D563" s="7">
        <f>SUMIFS(Tableau4[Montant imputé],Tableau4[Matricule cabinet],Tableau5[[#This Row],[Matricule cabinet]],Tableau4[Type d''imputation],"sale order")</f>
        <v>11</v>
      </c>
      <c r="E56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563" s="7">
        <f>SUMIFS(Tableau4[Montant imputé],Tableau4[Matricule cabinet],Tableau5[[#This Row],[Matricule cabinet]],Tableau4[Type d''imputation],"leave")</f>
        <v>1</v>
      </c>
      <c r="G563" s="7">
        <f>SUMIFS(Tableau4[Montant imputé],Tableau4[Matricule cabinet],Tableau5[[#This Row],[Matricule cabinet]],Tableau4[Type d''imputation],"absence")</f>
        <v>0</v>
      </c>
      <c r="H563" s="7">
        <f>SUM(Tableau5[[#This Row],[B WK]:[Unpaid leave WK]])</f>
        <v>20</v>
      </c>
    </row>
    <row r="564" spans="1:8">
      <c r="A564" s="7" t="s">
        <v>544</v>
      </c>
      <c r="B564" s="7" t="s">
        <v>38</v>
      </c>
      <c r="C564" s="7" t="s">
        <v>6</v>
      </c>
      <c r="D564" s="7">
        <f>SUMIFS(Tableau4[Montant imputé],Tableau4[Matricule cabinet],Tableau5[[#This Row],[Matricule cabinet]],Tableau4[Type d''imputation],"sale order")</f>
        <v>4</v>
      </c>
      <c r="E56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</v>
      </c>
      <c r="F564" s="7">
        <f>SUMIFS(Tableau4[Montant imputé],Tableau4[Matricule cabinet],Tableau5[[#This Row],[Matricule cabinet]],Tableau4[Type d''imputation],"leave")</f>
        <v>0</v>
      </c>
      <c r="G564" s="7">
        <f>SUMIFS(Tableau4[Montant imputé],Tableau4[Matricule cabinet],Tableau5[[#This Row],[Matricule cabinet]],Tableau4[Type d''imputation],"absence")</f>
        <v>0</v>
      </c>
      <c r="H564" s="7">
        <f>SUM(Tableau5[[#This Row],[B WK]:[Unpaid leave WK]])</f>
        <v>20</v>
      </c>
    </row>
    <row r="565" spans="1:8">
      <c r="A565" s="7" t="s">
        <v>172</v>
      </c>
      <c r="B565" s="7" t="s">
        <v>173</v>
      </c>
      <c r="C565" s="7" t="s">
        <v>44</v>
      </c>
      <c r="D565" s="7">
        <f>SUMIFS(Tableau4[Montant imputé],Tableau4[Matricule cabinet],Tableau5[[#This Row],[Matricule cabinet]],Tableau4[Type d''imputation],"sale order")</f>
        <v>0</v>
      </c>
      <c r="E56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65" s="7">
        <f>SUMIFS(Tableau4[Montant imputé],Tableau4[Matricule cabinet],Tableau5[[#This Row],[Matricule cabinet]],Tableau4[Type d''imputation],"leave")</f>
        <v>0</v>
      </c>
      <c r="G565" s="7">
        <f>SUMIFS(Tableau4[Montant imputé],Tableau4[Matricule cabinet],Tableau5[[#This Row],[Matricule cabinet]],Tableau4[Type d''imputation],"absence")</f>
        <v>0</v>
      </c>
      <c r="H565" s="7">
        <f>SUM(Tableau5[[#This Row],[B WK]:[Unpaid leave WK]])</f>
        <v>20</v>
      </c>
    </row>
    <row r="566" spans="1:8">
      <c r="A566" s="7" t="s">
        <v>545</v>
      </c>
      <c r="B566" s="7" t="s">
        <v>546</v>
      </c>
      <c r="C566" s="7" t="s">
        <v>6</v>
      </c>
      <c r="D566" s="7">
        <f>SUMIFS(Tableau4[Montant imputé],Tableau4[Matricule cabinet],Tableau5[[#This Row],[Matricule cabinet]],Tableau4[Type d''imputation],"sale order")</f>
        <v>18</v>
      </c>
      <c r="E56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566" s="7">
        <f>SUMIFS(Tableau4[Montant imputé],Tableau4[Matricule cabinet],Tableau5[[#This Row],[Matricule cabinet]],Tableau4[Type d''imputation],"leave")</f>
        <v>0</v>
      </c>
      <c r="G566" s="7">
        <f>SUMIFS(Tableau4[Montant imputé],Tableau4[Matricule cabinet],Tableau5[[#This Row],[Matricule cabinet]],Tableau4[Type d''imputation],"absence")</f>
        <v>0</v>
      </c>
      <c r="H566" s="7">
        <f>SUM(Tableau5[[#This Row],[B WK]:[Unpaid leave WK]])</f>
        <v>20</v>
      </c>
    </row>
    <row r="567" spans="1:8">
      <c r="A567" s="7" t="s">
        <v>338</v>
      </c>
      <c r="B567" s="7" t="s">
        <v>339</v>
      </c>
      <c r="C567" s="7" t="s">
        <v>64</v>
      </c>
      <c r="D567" s="7">
        <f>SUMIFS(Tableau4[Montant imputé],Tableau4[Matricule cabinet],Tableau5[[#This Row],[Matricule cabinet]],Tableau4[Type d''imputation],"sale order")</f>
        <v>11</v>
      </c>
      <c r="E56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567" s="7">
        <f>SUMIFS(Tableau4[Montant imputé],Tableau4[Matricule cabinet],Tableau5[[#This Row],[Matricule cabinet]],Tableau4[Type d''imputation],"leave")</f>
        <v>0</v>
      </c>
      <c r="G567" s="7">
        <f>SUMIFS(Tableau4[Montant imputé],Tableau4[Matricule cabinet],Tableau5[[#This Row],[Matricule cabinet]],Tableau4[Type d''imputation],"absence")</f>
        <v>0</v>
      </c>
      <c r="H567" s="7">
        <f>SUM(Tableau5[[#This Row],[B WK]:[Unpaid leave WK]])</f>
        <v>20</v>
      </c>
    </row>
    <row r="568" spans="1:8">
      <c r="A568" s="7" t="s">
        <v>1171</v>
      </c>
      <c r="B568" s="7" t="s">
        <v>1172</v>
      </c>
      <c r="C568" s="7" t="s">
        <v>86</v>
      </c>
      <c r="D568" s="7">
        <f>SUMIFS(Tableau4[Montant imputé],Tableau4[Matricule cabinet],Tableau5[[#This Row],[Matricule cabinet]],Tableau4[Type d''imputation],"sale order")</f>
        <v>13</v>
      </c>
      <c r="E56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68" s="7">
        <f>SUMIFS(Tableau4[Montant imputé],Tableau4[Matricule cabinet],Tableau5[[#This Row],[Matricule cabinet]],Tableau4[Type d''imputation],"leave")</f>
        <v>7</v>
      </c>
      <c r="G568" s="7">
        <f>SUMIFS(Tableau4[Montant imputé],Tableau4[Matricule cabinet],Tableau5[[#This Row],[Matricule cabinet]],Tableau4[Type d''imputation],"absence")</f>
        <v>0</v>
      </c>
      <c r="H568" s="7">
        <f>SUM(Tableau5[[#This Row],[B WK]:[Unpaid leave WK]])</f>
        <v>20</v>
      </c>
    </row>
    <row r="569" spans="1:8">
      <c r="A569" s="7" t="s">
        <v>1194</v>
      </c>
      <c r="B569" s="7" t="s">
        <v>81</v>
      </c>
      <c r="C569" s="7" t="s">
        <v>55</v>
      </c>
      <c r="D569" s="7">
        <f>SUMIFS(Tableau4[Montant imputé],Tableau4[Matricule cabinet],Tableau5[[#This Row],[Matricule cabinet]],Tableau4[Type d''imputation],"sale order")</f>
        <v>19</v>
      </c>
      <c r="E56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569" s="7">
        <f>SUMIFS(Tableau4[Montant imputé],Tableau4[Matricule cabinet],Tableau5[[#This Row],[Matricule cabinet]],Tableau4[Type d''imputation],"leave")</f>
        <v>0</v>
      </c>
      <c r="G569" s="7">
        <f>SUMIFS(Tableau4[Montant imputé],Tableau4[Matricule cabinet],Tableau5[[#This Row],[Matricule cabinet]],Tableau4[Type d''imputation],"absence")</f>
        <v>0</v>
      </c>
      <c r="H569" s="7">
        <f>SUM(Tableau5[[#This Row],[B WK]:[Unpaid leave WK]])</f>
        <v>20</v>
      </c>
    </row>
    <row r="570" spans="1:8">
      <c r="A570" s="7" t="s">
        <v>1492</v>
      </c>
      <c r="B570" s="7" t="s">
        <v>1493</v>
      </c>
      <c r="C570" s="7" t="s">
        <v>26</v>
      </c>
      <c r="D570" s="7">
        <f>SUMIFS(Tableau4[Montant imputé],Tableau4[Matricule cabinet],Tableau5[[#This Row],[Matricule cabinet]],Tableau4[Type d''imputation],"sale order")</f>
        <v>0</v>
      </c>
      <c r="E57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70" s="7">
        <f>SUMIFS(Tableau4[Montant imputé],Tableau4[Matricule cabinet],Tableau5[[#This Row],[Matricule cabinet]],Tableau4[Type d''imputation],"leave")</f>
        <v>0</v>
      </c>
      <c r="G570" s="7">
        <f>SUMIFS(Tableau4[Montant imputé],Tableau4[Matricule cabinet],Tableau5[[#This Row],[Matricule cabinet]],Tableau4[Type d''imputation],"absence")</f>
        <v>0</v>
      </c>
      <c r="H570" s="7">
        <f>SUM(Tableau5[[#This Row],[B WK]:[Unpaid leave WK]])</f>
        <v>20</v>
      </c>
    </row>
    <row r="571" spans="1:8">
      <c r="A571" s="7" t="s">
        <v>1109</v>
      </c>
      <c r="B571" s="7" t="s">
        <v>1110</v>
      </c>
      <c r="C571" s="7" t="s">
        <v>18</v>
      </c>
      <c r="D571" s="7">
        <f>SUMIFS(Tableau4[Montant imputé],Tableau4[Matricule cabinet],Tableau5[[#This Row],[Matricule cabinet]],Tableau4[Type d''imputation],"sale order")</f>
        <v>20</v>
      </c>
      <c r="E57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71" s="7">
        <f>SUMIFS(Tableau4[Montant imputé],Tableau4[Matricule cabinet],Tableau5[[#This Row],[Matricule cabinet]],Tableau4[Type d''imputation],"leave")</f>
        <v>0</v>
      </c>
      <c r="G571" s="7">
        <f>SUMIFS(Tableau4[Montant imputé],Tableau4[Matricule cabinet],Tableau5[[#This Row],[Matricule cabinet]],Tableau4[Type d''imputation],"absence")</f>
        <v>0</v>
      </c>
      <c r="H571" s="7">
        <f>SUM(Tableau5[[#This Row],[B WK]:[Unpaid leave WK]])</f>
        <v>20</v>
      </c>
    </row>
    <row r="572" spans="1:8">
      <c r="A572" s="7" t="s">
        <v>1371</v>
      </c>
      <c r="B572" s="7" t="s">
        <v>1372</v>
      </c>
      <c r="C572" s="7" t="s">
        <v>15</v>
      </c>
      <c r="D572" s="7">
        <f>SUMIFS(Tableau4[Montant imputé],Tableau4[Matricule cabinet],Tableau5[[#This Row],[Matricule cabinet]],Tableau4[Type d''imputation],"sale order")</f>
        <v>18</v>
      </c>
      <c r="E57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572" s="7">
        <f>SUMIFS(Tableau4[Montant imputé],Tableau4[Matricule cabinet],Tableau5[[#This Row],[Matricule cabinet]],Tableau4[Type d''imputation],"leave")</f>
        <v>0</v>
      </c>
      <c r="G572" s="7">
        <f>SUMIFS(Tableau4[Montant imputé],Tableau4[Matricule cabinet],Tableau5[[#This Row],[Matricule cabinet]],Tableau4[Type d''imputation],"absence")</f>
        <v>0</v>
      </c>
      <c r="H572" s="7">
        <f>SUM(Tableau5[[#This Row],[B WK]:[Unpaid leave WK]])</f>
        <v>20</v>
      </c>
    </row>
    <row r="573" spans="1:8">
      <c r="A573" s="7" t="s">
        <v>389</v>
      </c>
      <c r="B573" s="7" t="s">
        <v>22</v>
      </c>
      <c r="C573" s="7" t="s">
        <v>31</v>
      </c>
      <c r="D573" s="7">
        <f>SUMIFS(Tableau4[Montant imputé],Tableau4[Matricule cabinet],Tableau5[[#This Row],[Matricule cabinet]],Tableau4[Type d''imputation],"sale order")</f>
        <v>15.5</v>
      </c>
      <c r="E57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4.5</v>
      </c>
      <c r="F573" s="7">
        <f>SUMIFS(Tableau4[Montant imputé],Tableau4[Matricule cabinet],Tableau5[[#This Row],[Matricule cabinet]],Tableau4[Type d''imputation],"leave")</f>
        <v>0</v>
      </c>
      <c r="G573" s="7">
        <f>SUMIFS(Tableau4[Montant imputé],Tableau4[Matricule cabinet],Tableau5[[#This Row],[Matricule cabinet]],Tableau4[Type d''imputation],"absence")</f>
        <v>0</v>
      </c>
      <c r="H573" s="7">
        <f>SUM(Tableau5[[#This Row],[B WK]:[Unpaid leave WK]])</f>
        <v>20</v>
      </c>
    </row>
    <row r="574" spans="1:8">
      <c r="A574" s="7" t="s">
        <v>1373</v>
      </c>
      <c r="B574" s="7" t="s">
        <v>1374</v>
      </c>
      <c r="C574" s="7" t="s">
        <v>15</v>
      </c>
      <c r="D574" s="7">
        <f>SUMIFS(Tableau4[Montant imputé],Tableau4[Matricule cabinet],Tableau5[[#This Row],[Matricule cabinet]],Tableau4[Type d''imputation],"sale order")</f>
        <v>0</v>
      </c>
      <c r="E57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74" s="7">
        <f>SUMIFS(Tableau4[Montant imputé],Tableau4[Matricule cabinet],Tableau5[[#This Row],[Matricule cabinet]],Tableau4[Type d''imputation],"leave")</f>
        <v>0</v>
      </c>
      <c r="G574" s="7">
        <f>SUMIFS(Tableau4[Montant imputé],Tableau4[Matricule cabinet],Tableau5[[#This Row],[Matricule cabinet]],Tableau4[Type d''imputation],"absence")</f>
        <v>0</v>
      </c>
      <c r="H574" s="7">
        <f>SUM(Tableau5[[#This Row],[B WK]:[Unpaid leave WK]])</f>
        <v>20</v>
      </c>
    </row>
    <row r="575" spans="1:8">
      <c r="A575" s="7" t="s">
        <v>873</v>
      </c>
      <c r="B575" s="7" t="s">
        <v>874</v>
      </c>
      <c r="C575" s="7" t="s">
        <v>56</v>
      </c>
      <c r="D575" s="7">
        <f>SUMIFS(Tableau4[Montant imputé],Tableau4[Matricule cabinet],Tableau5[[#This Row],[Matricule cabinet]],Tableau4[Type d''imputation],"sale order")</f>
        <v>18</v>
      </c>
      <c r="E57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575" s="7">
        <f>SUMIFS(Tableau4[Montant imputé],Tableau4[Matricule cabinet],Tableau5[[#This Row],[Matricule cabinet]],Tableau4[Type d''imputation],"leave")</f>
        <v>1</v>
      </c>
      <c r="G575" s="7">
        <f>SUMIFS(Tableau4[Montant imputé],Tableau4[Matricule cabinet],Tableau5[[#This Row],[Matricule cabinet]],Tableau4[Type d''imputation],"absence")</f>
        <v>0</v>
      </c>
      <c r="H575" s="7">
        <f>SUM(Tableau5[[#This Row],[B WK]:[Unpaid leave WK]])</f>
        <v>20</v>
      </c>
    </row>
    <row r="576" spans="1:8">
      <c r="A576" s="7" t="s">
        <v>1095</v>
      </c>
      <c r="B576" s="7" t="s">
        <v>1096</v>
      </c>
      <c r="C576" s="7" t="s">
        <v>51</v>
      </c>
      <c r="D576" s="7">
        <f>SUMIFS(Tableau4[Montant imputé],Tableau4[Matricule cabinet],Tableau5[[#This Row],[Matricule cabinet]],Tableau4[Type d''imputation],"sale order")</f>
        <v>15</v>
      </c>
      <c r="E57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76" s="7">
        <f>SUMIFS(Tableau4[Montant imputé],Tableau4[Matricule cabinet],Tableau5[[#This Row],[Matricule cabinet]],Tableau4[Type d''imputation],"leave")</f>
        <v>5</v>
      </c>
      <c r="G576" s="7">
        <f>SUMIFS(Tableau4[Montant imputé],Tableau4[Matricule cabinet],Tableau5[[#This Row],[Matricule cabinet]],Tableau4[Type d''imputation],"absence")</f>
        <v>0</v>
      </c>
      <c r="H576" s="7">
        <f>SUM(Tableau5[[#This Row],[B WK]:[Unpaid leave WK]])</f>
        <v>20</v>
      </c>
    </row>
    <row r="577" spans="1:8">
      <c r="A577" s="7" t="s">
        <v>1433</v>
      </c>
      <c r="B577" s="7" t="s">
        <v>1434</v>
      </c>
      <c r="C577" s="7" t="s">
        <v>32</v>
      </c>
      <c r="D577" s="7">
        <f>SUMIFS(Tableau4[Montant imputé],Tableau4[Matricule cabinet],Tableau5[[#This Row],[Matricule cabinet]],Tableau4[Type d''imputation],"sale order")</f>
        <v>0</v>
      </c>
      <c r="E57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577" s="7">
        <f>SUMIFS(Tableau4[Montant imputé],Tableau4[Matricule cabinet],Tableau5[[#This Row],[Matricule cabinet]],Tableau4[Type d''imputation],"leave")</f>
        <v>11</v>
      </c>
      <c r="G577" s="7">
        <f>SUMIFS(Tableau4[Montant imputé],Tableau4[Matricule cabinet],Tableau5[[#This Row],[Matricule cabinet]],Tableau4[Type d''imputation],"absence")</f>
        <v>0</v>
      </c>
      <c r="H577" s="7">
        <f>SUM(Tableau5[[#This Row],[B WK]:[Unpaid leave WK]])</f>
        <v>20</v>
      </c>
    </row>
    <row r="578" spans="1:8">
      <c r="A578" s="7" t="s">
        <v>1353</v>
      </c>
      <c r="B578" s="7" t="s">
        <v>1354</v>
      </c>
      <c r="C578" s="7" t="s">
        <v>53</v>
      </c>
      <c r="D578" s="7">
        <f>SUMIFS(Tableau4[Montant imputé],Tableau4[Matricule cabinet],Tableau5[[#This Row],[Matricule cabinet]],Tableau4[Type d''imputation],"sale order")</f>
        <v>19.5</v>
      </c>
      <c r="E57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78" s="7">
        <f>SUMIFS(Tableau4[Montant imputé],Tableau4[Matricule cabinet],Tableau5[[#This Row],[Matricule cabinet]],Tableau4[Type d''imputation],"leave")</f>
        <v>0.5</v>
      </c>
      <c r="G578" s="7">
        <f>SUMIFS(Tableau4[Montant imputé],Tableau4[Matricule cabinet],Tableau5[[#This Row],[Matricule cabinet]],Tableau4[Type d''imputation],"absence")</f>
        <v>0</v>
      </c>
      <c r="H578" s="7">
        <f>SUM(Tableau5[[#This Row],[B WK]:[Unpaid leave WK]])</f>
        <v>20</v>
      </c>
    </row>
    <row r="579" spans="1:8">
      <c r="A579" s="7" t="s">
        <v>1387</v>
      </c>
      <c r="B579" s="7" t="s">
        <v>1388</v>
      </c>
      <c r="C579" s="7" t="s">
        <v>78</v>
      </c>
      <c r="D579" s="7">
        <f>SUMIFS(Tableau4[Montant imputé],Tableau4[Matricule cabinet],Tableau5[[#This Row],[Matricule cabinet]],Tableau4[Type d''imputation],"sale order")</f>
        <v>13.5</v>
      </c>
      <c r="E57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79" s="7">
        <f>SUMIFS(Tableau4[Montant imputé],Tableau4[Matricule cabinet],Tableau5[[#This Row],[Matricule cabinet]],Tableau4[Type d''imputation],"leave")</f>
        <v>6.5</v>
      </c>
      <c r="G579" s="7">
        <f>SUMIFS(Tableau4[Montant imputé],Tableau4[Matricule cabinet],Tableau5[[#This Row],[Matricule cabinet]],Tableau4[Type d''imputation],"absence")</f>
        <v>0</v>
      </c>
      <c r="H579" s="7">
        <f>SUM(Tableau5[[#This Row],[B WK]:[Unpaid leave WK]])</f>
        <v>20</v>
      </c>
    </row>
    <row r="580" spans="1:8">
      <c r="A580" s="7" t="s">
        <v>1404</v>
      </c>
      <c r="B580" s="7" t="s">
        <v>1405</v>
      </c>
      <c r="C580" s="7" t="s">
        <v>95</v>
      </c>
      <c r="D580" s="7">
        <f>SUMIFS(Tableau4[Montant imputé],Tableau4[Matricule cabinet],Tableau5[[#This Row],[Matricule cabinet]],Tableau4[Type d''imputation],"sale order")</f>
        <v>15</v>
      </c>
      <c r="E58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80" s="7">
        <f>SUMIFS(Tableau4[Montant imputé],Tableau4[Matricule cabinet],Tableau5[[#This Row],[Matricule cabinet]],Tableau4[Type d''imputation],"leave")</f>
        <v>5</v>
      </c>
      <c r="G580" s="7">
        <f>SUMIFS(Tableau4[Montant imputé],Tableau4[Matricule cabinet],Tableau5[[#This Row],[Matricule cabinet]],Tableau4[Type d''imputation],"absence")</f>
        <v>0</v>
      </c>
      <c r="H580" s="7">
        <f>SUM(Tableau5[[#This Row],[B WK]:[Unpaid leave WK]])</f>
        <v>20</v>
      </c>
    </row>
    <row r="581" spans="1:8">
      <c r="A581" s="7" t="s">
        <v>255</v>
      </c>
      <c r="B581" s="7" t="s">
        <v>256</v>
      </c>
      <c r="C581" s="7" t="s">
        <v>62</v>
      </c>
      <c r="D581" s="7">
        <f>SUMIFS(Tableau4[Montant imputé],Tableau4[Matricule cabinet],Tableau5[[#This Row],[Matricule cabinet]],Tableau4[Type d''imputation],"sale order")</f>
        <v>0</v>
      </c>
      <c r="E58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81" s="7">
        <f>SUMIFS(Tableau4[Montant imputé],Tableau4[Matricule cabinet],Tableau5[[#This Row],[Matricule cabinet]],Tableau4[Type d''imputation],"leave")</f>
        <v>0</v>
      </c>
      <c r="G581" s="7">
        <f>SUMIFS(Tableau4[Montant imputé],Tableau4[Matricule cabinet],Tableau5[[#This Row],[Matricule cabinet]],Tableau4[Type d''imputation],"absence")</f>
        <v>0</v>
      </c>
      <c r="H581" s="7">
        <f>SUM(Tableau5[[#This Row],[B WK]:[Unpaid leave WK]])</f>
        <v>20</v>
      </c>
    </row>
    <row r="582" spans="1:8">
      <c r="A582" s="7" t="s">
        <v>771</v>
      </c>
      <c r="B582" s="7" t="s">
        <v>772</v>
      </c>
      <c r="C582" s="7" t="s">
        <v>56</v>
      </c>
      <c r="D582" s="7">
        <f>SUMIFS(Tableau4[Montant imputé],Tableau4[Matricule cabinet],Tableau5[[#This Row],[Matricule cabinet]],Tableau4[Type d''imputation],"sale order")</f>
        <v>20</v>
      </c>
      <c r="E58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82" s="7">
        <f>SUMIFS(Tableau4[Montant imputé],Tableau4[Matricule cabinet],Tableau5[[#This Row],[Matricule cabinet]],Tableau4[Type d''imputation],"leave")</f>
        <v>0</v>
      </c>
      <c r="G582" s="7">
        <f>SUMIFS(Tableau4[Montant imputé],Tableau4[Matricule cabinet],Tableau5[[#This Row],[Matricule cabinet]],Tableau4[Type d''imputation],"absence")</f>
        <v>0</v>
      </c>
      <c r="H582" s="7">
        <f>SUM(Tableau5[[#This Row],[B WK]:[Unpaid leave WK]])</f>
        <v>20</v>
      </c>
    </row>
    <row r="583" spans="1:8">
      <c r="A583" s="7" t="s">
        <v>1209</v>
      </c>
      <c r="B583" s="7" t="s">
        <v>1210</v>
      </c>
      <c r="C583" s="7" t="s">
        <v>38</v>
      </c>
      <c r="D583" s="7">
        <f>SUMIFS(Tableau4[Montant imputé],Tableau4[Matricule cabinet],Tableau5[[#This Row],[Matricule cabinet]],Tableau4[Type d''imputation],"sale order")</f>
        <v>19</v>
      </c>
      <c r="E58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83" s="7">
        <f>SUMIFS(Tableau4[Montant imputé],Tableau4[Matricule cabinet],Tableau5[[#This Row],[Matricule cabinet]],Tableau4[Type d''imputation],"leave")</f>
        <v>1</v>
      </c>
      <c r="G583" s="7">
        <f>SUMIFS(Tableau4[Montant imputé],Tableau4[Matricule cabinet],Tableau5[[#This Row],[Matricule cabinet]],Tableau4[Type d''imputation],"absence")</f>
        <v>0</v>
      </c>
      <c r="H583" s="7">
        <f>SUM(Tableau5[[#This Row],[B WK]:[Unpaid leave WK]])</f>
        <v>20</v>
      </c>
    </row>
    <row r="584" spans="1:8">
      <c r="A584" s="7" t="s">
        <v>1278</v>
      </c>
      <c r="B584" s="7" t="s">
        <v>1279</v>
      </c>
      <c r="C584" s="7" t="s">
        <v>69</v>
      </c>
      <c r="D584" s="7">
        <f>SUMIFS(Tableau4[Montant imputé],Tableau4[Matricule cabinet],Tableau5[[#This Row],[Matricule cabinet]],Tableau4[Type d''imputation],"sale order")</f>
        <v>0</v>
      </c>
      <c r="E58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19.5</v>
      </c>
      <c r="F584" s="7">
        <f>SUMIFS(Tableau4[Montant imputé],Tableau4[Matricule cabinet],Tableau5[[#This Row],[Matricule cabinet]],Tableau4[Type d''imputation],"leave")</f>
        <v>0.5</v>
      </c>
      <c r="G584" s="7">
        <f>SUMIFS(Tableau4[Montant imputé],Tableau4[Matricule cabinet],Tableau5[[#This Row],[Matricule cabinet]],Tableau4[Type d''imputation],"absence")</f>
        <v>0</v>
      </c>
      <c r="H584" s="7">
        <f>SUM(Tableau5[[#This Row],[B WK]:[Unpaid leave WK]])</f>
        <v>20</v>
      </c>
    </row>
    <row r="585" spans="1:8">
      <c r="A585" s="7" t="s">
        <v>314</v>
      </c>
      <c r="B585" s="7" t="s">
        <v>315</v>
      </c>
      <c r="C585" s="7" t="s">
        <v>17</v>
      </c>
      <c r="D585" s="7">
        <f>SUMIFS(Tableau4[Montant imputé],Tableau4[Matricule cabinet],Tableau5[[#This Row],[Matricule cabinet]],Tableau4[Type d''imputation],"sale order")</f>
        <v>18</v>
      </c>
      <c r="E58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85" s="7">
        <f>SUMIFS(Tableau4[Montant imputé],Tableau4[Matricule cabinet],Tableau5[[#This Row],[Matricule cabinet]],Tableau4[Type d''imputation],"leave")</f>
        <v>2</v>
      </c>
      <c r="G585" s="7">
        <f>SUMIFS(Tableau4[Montant imputé],Tableau4[Matricule cabinet],Tableau5[[#This Row],[Matricule cabinet]],Tableau4[Type d''imputation],"absence")</f>
        <v>0</v>
      </c>
      <c r="H585" s="7">
        <f>SUM(Tableau5[[#This Row],[B WK]:[Unpaid leave WK]])</f>
        <v>20</v>
      </c>
    </row>
    <row r="586" spans="1:8">
      <c r="A586" s="7" t="s">
        <v>702</v>
      </c>
      <c r="B586" s="7" t="s">
        <v>80</v>
      </c>
      <c r="C586" s="7" t="s">
        <v>46</v>
      </c>
      <c r="D586" s="7">
        <f>SUMIFS(Tableau4[Montant imputé],Tableau4[Matricule cabinet],Tableau5[[#This Row],[Matricule cabinet]],Tableau4[Type d''imputation],"sale order")</f>
        <v>4</v>
      </c>
      <c r="E58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</v>
      </c>
      <c r="F586" s="7">
        <f>SUMIFS(Tableau4[Montant imputé],Tableau4[Matricule cabinet],Tableau5[[#This Row],[Matricule cabinet]],Tableau4[Type d''imputation],"leave")</f>
        <v>0</v>
      </c>
      <c r="G586" s="7">
        <f>SUMIFS(Tableau4[Montant imputé],Tableau4[Matricule cabinet],Tableau5[[#This Row],[Matricule cabinet]],Tableau4[Type d''imputation],"absence")</f>
        <v>0</v>
      </c>
      <c r="H586" s="7">
        <f>SUM(Tableau5[[#This Row],[B WK]:[Unpaid leave WK]])</f>
        <v>20</v>
      </c>
    </row>
    <row r="587" spans="1:8">
      <c r="A587" s="7" t="s">
        <v>894</v>
      </c>
      <c r="B587" s="7" t="s">
        <v>895</v>
      </c>
      <c r="C587" s="7" t="s">
        <v>14</v>
      </c>
      <c r="D587" s="7">
        <f>SUMIFS(Tableau4[Montant imputé],Tableau4[Matricule cabinet],Tableau5[[#This Row],[Matricule cabinet]],Tableau4[Type d''imputation],"sale order")</f>
        <v>19</v>
      </c>
      <c r="E58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587" s="7">
        <f>SUMIFS(Tableau4[Montant imputé],Tableau4[Matricule cabinet],Tableau5[[#This Row],[Matricule cabinet]],Tableau4[Type d''imputation],"leave")</f>
        <v>0</v>
      </c>
      <c r="G587" s="7">
        <f>SUMIFS(Tableau4[Montant imputé],Tableau4[Matricule cabinet],Tableau5[[#This Row],[Matricule cabinet]],Tableau4[Type d''imputation],"absence")</f>
        <v>0</v>
      </c>
      <c r="H587" s="7">
        <f>SUM(Tableau5[[#This Row],[B WK]:[Unpaid leave WK]])</f>
        <v>20</v>
      </c>
    </row>
    <row r="588" spans="1:8">
      <c r="A588" s="7" t="s">
        <v>1258</v>
      </c>
      <c r="B588" s="7" t="s">
        <v>1259</v>
      </c>
      <c r="C588" s="7" t="s">
        <v>28</v>
      </c>
      <c r="D588" s="7">
        <f>SUMIFS(Tableau4[Montant imputé],Tableau4[Matricule cabinet],Tableau5[[#This Row],[Matricule cabinet]],Tableau4[Type d''imputation],"sale order")</f>
        <v>18</v>
      </c>
      <c r="E58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88" s="7">
        <f>SUMIFS(Tableau4[Montant imputé],Tableau4[Matricule cabinet],Tableau5[[#This Row],[Matricule cabinet]],Tableau4[Type d''imputation],"leave")</f>
        <v>2</v>
      </c>
      <c r="G588" s="7">
        <f>SUMIFS(Tableau4[Montant imputé],Tableau4[Matricule cabinet],Tableau5[[#This Row],[Matricule cabinet]],Tableau4[Type d''imputation],"absence")</f>
        <v>0</v>
      </c>
      <c r="H588" s="7">
        <f>SUM(Tableau5[[#This Row],[B WK]:[Unpaid leave WK]])</f>
        <v>20</v>
      </c>
    </row>
    <row r="589" spans="1:8">
      <c r="A589" s="7" t="s">
        <v>1195</v>
      </c>
      <c r="B589" s="7" t="s">
        <v>1196</v>
      </c>
      <c r="C589" s="7" t="s">
        <v>55</v>
      </c>
      <c r="D589" s="7">
        <f>SUMIFS(Tableau4[Montant imputé],Tableau4[Matricule cabinet],Tableau5[[#This Row],[Matricule cabinet]],Tableau4[Type d''imputation],"sale order")</f>
        <v>18</v>
      </c>
      <c r="E58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89" s="7">
        <f>SUMIFS(Tableau4[Montant imputé],Tableau4[Matricule cabinet],Tableau5[[#This Row],[Matricule cabinet]],Tableau4[Type d''imputation],"leave")</f>
        <v>2</v>
      </c>
      <c r="G589" s="7">
        <f>SUMIFS(Tableau4[Montant imputé],Tableau4[Matricule cabinet],Tableau5[[#This Row],[Matricule cabinet]],Tableau4[Type d''imputation],"absence")</f>
        <v>0</v>
      </c>
      <c r="H589" s="7">
        <f>SUM(Tableau5[[#This Row],[B WK]:[Unpaid leave WK]])</f>
        <v>20</v>
      </c>
    </row>
    <row r="590" spans="1:8">
      <c r="A590" s="7" t="s">
        <v>1029</v>
      </c>
      <c r="B590" s="7" t="s">
        <v>1030</v>
      </c>
      <c r="C590" s="7" t="s">
        <v>24</v>
      </c>
      <c r="D590" s="7">
        <f>SUMIFS(Tableau4[Montant imputé],Tableau4[Matricule cabinet],Tableau5[[#This Row],[Matricule cabinet]],Tableau4[Type d''imputation],"sale order")</f>
        <v>16</v>
      </c>
      <c r="E59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90" s="7">
        <f>SUMIFS(Tableau4[Montant imputé],Tableau4[Matricule cabinet],Tableau5[[#This Row],[Matricule cabinet]],Tableau4[Type d''imputation],"leave")</f>
        <v>4</v>
      </c>
      <c r="G590" s="7">
        <f>SUMIFS(Tableau4[Montant imputé],Tableau4[Matricule cabinet],Tableau5[[#This Row],[Matricule cabinet]],Tableau4[Type d''imputation],"absence")</f>
        <v>0</v>
      </c>
      <c r="H590" s="7">
        <f>SUM(Tableau5[[#This Row],[B WK]:[Unpaid leave WK]])</f>
        <v>20</v>
      </c>
    </row>
    <row r="591" spans="1:8">
      <c r="A591" s="7" t="s">
        <v>716</v>
      </c>
      <c r="B591" s="7" t="s">
        <v>717</v>
      </c>
      <c r="C591" s="7" t="s">
        <v>75</v>
      </c>
      <c r="D591" s="7">
        <f>SUMIFS(Tableau4[Montant imputé],Tableau4[Matricule cabinet],Tableau5[[#This Row],[Matricule cabinet]],Tableau4[Type d''imputation],"sale order")</f>
        <v>0</v>
      </c>
      <c r="E59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17</v>
      </c>
      <c r="F591" s="7">
        <f>SUMIFS(Tableau4[Montant imputé],Tableau4[Matricule cabinet],Tableau5[[#This Row],[Matricule cabinet]],Tableau4[Type d''imputation],"leave")</f>
        <v>3</v>
      </c>
      <c r="G591" s="7">
        <f>SUMIFS(Tableau4[Montant imputé],Tableau4[Matricule cabinet],Tableau5[[#This Row],[Matricule cabinet]],Tableau4[Type d''imputation],"absence")</f>
        <v>0</v>
      </c>
      <c r="H591" s="7">
        <f>SUM(Tableau5[[#This Row],[B WK]:[Unpaid leave WK]])</f>
        <v>20</v>
      </c>
    </row>
    <row r="592" spans="1:8">
      <c r="A592" s="7" t="s">
        <v>791</v>
      </c>
      <c r="B592" s="7" t="s">
        <v>792</v>
      </c>
      <c r="C592" s="7" t="s">
        <v>35</v>
      </c>
      <c r="D592" s="7">
        <f>SUMIFS(Tableau4[Montant imputé],Tableau4[Matricule cabinet],Tableau5[[#This Row],[Matricule cabinet]],Tableau4[Type d''imputation],"sale order")</f>
        <v>20</v>
      </c>
      <c r="E59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92" s="7">
        <f>SUMIFS(Tableau4[Montant imputé],Tableau4[Matricule cabinet],Tableau5[[#This Row],[Matricule cabinet]],Tableau4[Type d''imputation],"leave")</f>
        <v>0</v>
      </c>
      <c r="G592" s="7">
        <f>SUMIFS(Tableau4[Montant imputé],Tableau4[Matricule cabinet],Tableau5[[#This Row],[Matricule cabinet]],Tableau4[Type d''imputation],"absence")</f>
        <v>0</v>
      </c>
      <c r="H592" s="7">
        <f>SUM(Tableau5[[#This Row],[B WK]:[Unpaid leave WK]])</f>
        <v>20</v>
      </c>
    </row>
    <row r="593" spans="1:8">
      <c r="A593" s="7" t="s">
        <v>192</v>
      </c>
      <c r="B593" s="7" t="s">
        <v>193</v>
      </c>
      <c r="C593" s="7" t="s">
        <v>47</v>
      </c>
      <c r="D593" s="7">
        <f>SUMIFS(Tableau4[Montant imputé],Tableau4[Matricule cabinet],Tableau5[[#This Row],[Matricule cabinet]],Tableau4[Type d''imputation],"sale order")</f>
        <v>20</v>
      </c>
      <c r="E59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93" s="7">
        <f>SUMIFS(Tableau4[Montant imputé],Tableau4[Matricule cabinet],Tableau5[[#This Row],[Matricule cabinet]],Tableau4[Type d''imputation],"leave")</f>
        <v>0</v>
      </c>
      <c r="G593" s="7">
        <f>SUMIFS(Tableau4[Montant imputé],Tableau4[Matricule cabinet],Tableau5[[#This Row],[Matricule cabinet]],Tableau4[Type d''imputation],"absence")</f>
        <v>0</v>
      </c>
      <c r="H593" s="7">
        <f>SUM(Tableau5[[#This Row],[B WK]:[Unpaid leave WK]])</f>
        <v>20</v>
      </c>
    </row>
    <row r="594" spans="1:8">
      <c r="A594" s="7" t="s">
        <v>1442</v>
      </c>
      <c r="B594" s="7" t="s">
        <v>1443</v>
      </c>
      <c r="C594" s="7" t="s">
        <v>520</v>
      </c>
      <c r="D594" s="7">
        <f>SUMIFS(Tableau4[Montant imputé],Tableau4[Matricule cabinet],Tableau5[[#This Row],[Matricule cabinet]],Tableau4[Type d''imputation],"sale order")</f>
        <v>20</v>
      </c>
      <c r="E59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94" s="7">
        <f>SUMIFS(Tableau4[Montant imputé],Tableau4[Matricule cabinet],Tableau5[[#This Row],[Matricule cabinet]],Tableau4[Type d''imputation],"leave")</f>
        <v>0</v>
      </c>
      <c r="G594" s="7">
        <f>SUMIFS(Tableau4[Montant imputé],Tableau4[Matricule cabinet],Tableau5[[#This Row],[Matricule cabinet]],Tableau4[Type d''imputation],"absence")</f>
        <v>0</v>
      </c>
      <c r="H594" s="7">
        <f>SUM(Tableau5[[#This Row],[B WK]:[Unpaid leave WK]])</f>
        <v>20</v>
      </c>
    </row>
    <row r="595" spans="1:8">
      <c r="A595" s="7" t="s">
        <v>950</v>
      </c>
      <c r="B595" s="7" t="s">
        <v>951</v>
      </c>
      <c r="C595" s="7" t="s">
        <v>45</v>
      </c>
      <c r="D595" s="7">
        <f>SUMIFS(Tableau4[Montant imputé],Tableau4[Matricule cabinet],Tableau5[[#This Row],[Matricule cabinet]],Tableau4[Type d''imputation],"sale order")</f>
        <v>20</v>
      </c>
      <c r="E59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595" s="7">
        <f>SUMIFS(Tableau4[Montant imputé],Tableau4[Matricule cabinet],Tableau5[[#This Row],[Matricule cabinet]],Tableau4[Type d''imputation],"leave")</f>
        <v>0</v>
      </c>
      <c r="G595" s="7">
        <f>SUMIFS(Tableau4[Montant imputé],Tableau4[Matricule cabinet],Tableau5[[#This Row],[Matricule cabinet]],Tableau4[Type d''imputation],"absence")</f>
        <v>0</v>
      </c>
      <c r="H595" s="7">
        <f>SUM(Tableau5[[#This Row],[B WK]:[Unpaid leave WK]])</f>
        <v>20</v>
      </c>
    </row>
    <row r="596" spans="1:8">
      <c r="A596" s="7" t="s">
        <v>769</v>
      </c>
      <c r="B596" s="7" t="s">
        <v>27</v>
      </c>
      <c r="C596" s="7" t="s">
        <v>8</v>
      </c>
      <c r="D596" s="7">
        <f>SUMIFS(Tableau4[Montant imputé],Tableau4[Matricule cabinet],Tableau5[[#This Row],[Matricule cabinet]],Tableau4[Type d''imputation],"sale order")</f>
        <v>16</v>
      </c>
      <c r="E59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596" s="7">
        <f>SUMIFS(Tableau4[Montant imputé],Tableau4[Matricule cabinet],Tableau5[[#This Row],[Matricule cabinet]],Tableau4[Type d''imputation],"leave")</f>
        <v>0</v>
      </c>
      <c r="G596" s="7">
        <f>SUMIFS(Tableau4[Montant imputé],Tableau4[Matricule cabinet],Tableau5[[#This Row],[Matricule cabinet]],Tableau4[Type d''imputation],"absence")</f>
        <v>0</v>
      </c>
      <c r="H596" s="7">
        <f>SUM(Tableau5[[#This Row],[B WK]:[Unpaid leave WK]])</f>
        <v>20</v>
      </c>
    </row>
    <row r="597" spans="1:8">
      <c r="A597" s="7" t="s">
        <v>1531</v>
      </c>
      <c r="B597" s="7" t="s">
        <v>1532</v>
      </c>
      <c r="C597" s="7" t="s">
        <v>63</v>
      </c>
      <c r="D597" s="7">
        <f>SUMIFS(Tableau4[Montant imputé],Tableau4[Matricule cabinet],Tableau5[[#This Row],[Matricule cabinet]],Tableau4[Type d''imputation],"sale order")</f>
        <v>16</v>
      </c>
      <c r="E59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597" s="7">
        <f>SUMIFS(Tableau4[Montant imputé],Tableau4[Matricule cabinet],Tableau5[[#This Row],[Matricule cabinet]],Tableau4[Type d''imputation],"leave")</f>
        <v>0</v>
      </c>
      <c r="G597" s="7">
        <f>SUMIFS(Tableau4[Montant imputé],Tableau4[Matricule cabinet],Tableau5[[#This Row],[Matricule cabinet]],Tableau4[Type d''imputation],"absence")</f>
        <v>0</v>
      </c>
      <c r="H597" s="7">
        <f>SUM(Tableau5[[#This Row],[B WK]:[Unpaid leave WK]])</f>
        <v>20</v>
      </c>
    </row>
    <row r="598" spans="1:8">
      <c r="A598" s="7" t="s">
        <v>638</v>
      </c>
      <c r="B598" s="7" t="s">
        <v>639</v>
      </c>
      <c r="C598" s="7" t="s">
        <v>640</v>
      </c>
      <c r="D598" s="7">
        <f>SUMIFS(Tableau4[Montant imputé],Tableau4[Matricule cabinet],Tableau5[[#This Row],[Matricule cabinet]],Tableau4[Type d''imputation],"sale order")</f>
        <v>0</v>
      </c>
      <c r="E59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598" s="7">
        <f>SUMIFS(Tableau4[Montant imputé],Tableau4[Matricule cabinet],Tableau5[[#This Row],[Matricule cabinet]],Tableau4[Type d''imputation],"leave")</f>
        <v>0</v>
      </c>
      <c r="G598" s="7">
        <f>SUMIFS(Tableau4[Montant imputé],Tableau4[Matricule cabinet],Tableau5[[#This Row],[Matricule cabinet]],Tableau4[Type d''imputation],"absence")</f>
        <v>0</v>
      </c>
      <c r="H598" s="7">
        <f>SUM(Tableau5[[#This Row],[B WK]:[Unpaid leave WK]])</f>
        <v>20</v>
      </c>
    </row>
    <row r="599" spans="1:8">
      <c r="A599" s="7" t="s">
        <v>159</v>
      </c>
      <c r="B599" s="7" t="s">
        <v>160</v>
      </c>
      <c r="C599" s="7" t="s">
        <v>2</v>
      </c>
      <c r="D599" s="7">
        <f>SUMIFS(Tableau4[Montant imputé],Tableau4[Matricule cabinet],Tableau5[[#This Row],[Matricule cabinet]],Tableau4[Type d''imputation],"sale order")</f>
        <v>19</v>
      </c>
      <c r="E59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599" s="7">
        <f>SUMIFS(Tableau4[Montant imputé],Tableau4[Matricule cabinet],Tableau5[[#This Row],[Matricule cabinet]],Tableau4[Type d''imputation],"leave")</f>
        <v>0</v>
      </c>
      <c r="G599" s="7">
        <f>SUMIFS(Tableau4[Montant imputé],Tableau4[Matricule cabinet],Tableau5[[#This Row],[Matricule cabinet]],Tableau4[Type d''imputation],"absence")</f>
        <v>0</v>
      </c>
      <c r="H599" s="7">
        <f>SUM(Tableau5[[#This Row],[B WK]:[Unpaid leave WK]])</f>
        <v>20</v>
      </c>
    </row>
    <row r="600" spans="1:8">
      <c r="A600" s="7" t="s">
        <v>1045</v>
      </c>
      <c r="B600" s="7" t="s">
        <v>1046</v>
      </c>
      <c r="C600" s="7" t="s">
        <v>44</v>
      </c>
      <c r="D600" s="7">
        <f>SUMIFS(Tableau4[Montant imputé],Tableau4[Matricule cabinet],Tableau5[[#This Row],[Matricule cabinet]],Tableau4[Type d''imputation],"sale order")</f>
        <v>19.5</v>
      </c>
      <c r="E60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00" s="7">
        <f>SUMIFS(Tableau4[Montant imputé],Tableau4[Matricule cabinet],Tableau5[[#This Row],[Matricule cabinet]],Tableau4[Type d''imputation],"leave")</f>
        <v>0.5</v>
      </c>
      <c r="G600" s="7">
        <f>SUMIFS(Tableau4[Montant imputé],Tableau4[Matricule cabinet],Tableau5[[#This Row],[Matricule cabinet]],Tableau4[Type d''imputation],"absence")</f>
        <v>0</v>
      </c>
      <c r="H600" s="7">
        <f>SUM(Tableau5[[#This Row],[B WK]:[Unpaid leave WK]])</f>
        <v>20</v>
      </c>
    </row>
    <row r="601" spans="1:8">
      <c r="A601" s="7" t="s">
        <v>752</v>
      </c>
      <c r="B601" s="7" t="s">
        <v>753</v>
      </c>
      <c r="C601" s="7" t="s">
        <v>91</v>
      </c>
      <c r="D601" s="7">
        <f>SUMIFS(Tableau4[Montant imputé],Tableau4[Matricule cabinet],Tableau5[[#This Row],[Matricule cabinet]],Tableau4[Type d''imputation],"sale order")</f>
        <v>6</v>
      </c>
      <c r="E60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13</v>
      </c>
      <c r="F601" s="7">
        <f>SUMIFS(Tableau4[Montant imputé],Tableau4[Matricule cabinet],Tableau5[[#This Row],[Matricule cabinet]],Tableau4[Type d''imputation],"leave")</f>
        <v>1</v>
      </c>
      <c r="G601" s="7">
        <f>SUMIFS(Tableau4[Montant imputé],Tableau4[Matricule cabinet],Tableau5[[#This Row],[Matricule cabinet]],Tableau4[Type d''imputation],"absence")</f>
        <v>0</v>
      </c>
      <c r="H601" s="7">
        <f>SUM(Tableau5[[#This Row],[B WK]:[Unpaid leave WK]])</f>
        <v>20</v>
      </c>
    </row>
    <row r="602" spans="1:8">
      <c r="A602" s="7" t="s">
        <v>1333</v>
      </c>
      <c r="B602" s="7" t="s">
        <v>1334</v>
      </c>
      <c r="C602" s="7" t="s">
        <v>59</v>
      </c>
      <c r="D602" s="7">
        <f>SUMIFS(Tableau4[Montant imputé],Tableau4[Matricule cabinet],Tableau5[[#This Row],[Matricule cabinet]],Tableau4[Type d''imputation],"sale order")</f>
        <v>20</v>
      </c>
      <c r="E60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02" s="7">
        <f>SUMIFS(Tableau4[Montant imputé],Tableau4[Matricule cabinet],Tableau5[[#This Row],[Matricule cabinet]],Tableau4[Type d''imputation],"leave")</f>
        <v>0</v>
      </c>
      <c r="G602" s="7">
        <f>SUMIFS(Tableau4[Montant imputé],Tableau4[Matricule cabinet],Tableau5[[#This Row],[Matricule cabinet]],Tableau4[Type d''imputation],"absence")</f>
        <v>0</v>
      </c>
      <c r="H602" s="7">
        <f>SUM(Tableau5[[#This Row],[B WK]:[Unpaid leave WK]])</f>
        <v>20</v>
      </c>
    </row>
    <row r="603" spans="1:8">
      <c r="A603" s="7" t="s">
        <v>839</v>
      </c>
      <c r="B603" s="7" t="s">
        <v>840</v>
      </c>
      <c r="C603" s="7" t="s">
        <v>12</v>
      </c>
      <c r="D603" s="7">
        <f>SUMIFS(Tableau4[Montant imputé],Tableau4[Matricule cabinet],Tableau5[[#This Row],[Matricule cabinet]],Tableau4[Type d''imputation],"sale order")</f>
        <v>15</v>
      </c>
      <c r="E60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03" s="7">
        <f>SUMIFS(Tableau4[Montant imputé],Tableau4[Matricule cabinet],Tableau5[[#This Row],[Matricule cabinet]],Tableau4[Type d''imputation],"leave")</f>
        <v>5</v>
      </c>
      <c r="G603" s="7">
        <f>SUMIFS(Tableau4[Montant imputé],Tableau4[Matricule cabinet],Tableau5[[#This Row],[Matricule cabinet]],Tableau4[Type d''imputation],"absence")</f>
        <v>0</v>
      </c>
      <c r="H603" s="7">
        <f>SUM(Tableau5[[#This Row],[B WK]:[Unpaid leave WK]])</f>
        <v>20</v>
      </c>
    </row>
    <row r="604" spans="1:8">
      <c r="A604" s="7" t="s">
        <v>547</v>
      </c>
      <c r="B604" s="7" t="s">
        <v>28</v>
      </c>
      <c r="C604" s="7" t="s">
        <v>6</v>
      </c>
      <c r="D604" s="7">
        <f>SUMIFS(Tableau4[Montant imputé],Tableau4[Matricule cabinet],Tableau5[[#This Row],[Matricule cabinet]],Tableau4[Type d''imputation],"sale order")</f>
        <v>16</v>
      </c>
      <c r="E60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604" s="7">
        <f>SUMIFS(Tableau4[Montant imputé],Tableau4[Matricule cabinet],Tableau5[[#This Row],[Matricule cabinet]],Tableau4[Type d''imputation],"leave")</f>
        <v>0</v>
      </c>
      <c r="G604" s="7">
        <f>SUMIFS(Tableau4[Montant imputé],Tableau4[Matricule cabinet],Tableau5[[#This Row],[Matricule cabinet]],Tableau4[Type d''imputation],"absence")</f>
        <v>0</v>
      </c>
      <c r="H604" s="7">
        <f>SUM(Tableau5[[#This Row],[B WK]:[Unpaid leave WK]])</f>
        <v>20</v>
      </c>
    </row>
    <row r="605" spans="1:8">
      <c r="A605" s="7" t="s">
        <v>977</v>
      </c>
      <c r="B605" s="7" t="s">
        <v>978</v>
      </c>
      <c r="C605" s="7" t="s">
        <v>5</v>
      </c>
      <c r="D605" s="7">
        <f>SUMIFS(Tableau4[Montant imputé],Tableau4[Matricule cabinet],Tableau5[[#This Row],[Matricule cabinet]],Tableau4[Type d''imputation],"sale order")</f>
        <v>20</v>
      </c>
      <c r="E60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05" s="7">
        <f>SUMIFS(Tableau4[Montant imputé],Tableau4[Matricule cabinet],Tableau5[[#This Row],[Matricule cabinet]],Tableau4[Type d''imputation],"leave")</f>
        <v>0</v>
      </c>
      <c r="G605" s="7">
        <f>SUMIFS(Tableau4[Montant imputé],Tableau4[Matricule cabinet],Tableau5[[#This Row],[Matricule cabinet]],Tableau4[Type d''imputation],"absence")</f>
        <v>0</v>
      </c>
      <c r="H605" s="7">
        <f>SUM(Tableau5[[#This Row],[B WK]:[Unpaid leave WK]])</f>
        <v>20</v>
      </c>
    </row>
    <row r="606" spans="1:8">
      <c r="A606" s="7" t="s">
        <v>354</v>
      </c>
      <c r="B606" s="7" t="s">
        <v>355</v>
      </c>
      <c r="C606" s="7" t="s">
        <v>61</v>
      </c>
      <c r="D606" s="7">
        <f>SUMIFS(Tableau4[Montant imputé],Tableau4[Matricule cabinet],Tableau5[[#This Row],[Matricule cabinet]],Tableau4[Type d''imputation],"sale order")</f>
        <v>20</v>
      </c>
      <c r="E60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06" s="7">
        <f>SUMIFS(Tableau4[Montant imputé],Tableau4[Matricule cabinet],Tableau5[[#This Row],[Matricule cabinet]],Tableau4[Type d''imputation],"leave")</f>
        <v>0</v>
      </c>
      <c r="G606" s="7">
        <f>SUMIFS(Tableau4[Montant imputé],Tableau4[Matricule cabinet],Tableau5[[#This Row],[Matricule cabinet]],Tableau4[Type d''imputation],"absence")</f>
        <v>0</v>
      </c>
      <c r="H606" s="7">
        <f>SUM(Tableau5[[#This Row],[B WK]:[Unpaid leave WK]])</f>
        <v>20</v>
      </c>
    </row>
    <row r="607" spans="1:8">
      <c r="A607" s="7" t="s">
        <v>1460</v>
      </c>
      <c r="B607" s="7" t="s">
        <v>1461</v>
      </c>
      <c r="C607" s="7" t="s">
        <v>49</v>
      </c>
      <c r="D607" s="7">
        <f>SUMIFS(Tableau4[Montant imputé],Tableau4[Matricule cabinet],Tableau5[[#This Row],[Matricule cabinet]],Tableau4[Type d''imputation],"sale order")</f>
        <v>1.5</v>
      </c>
      <c r="E60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18.5</v>
      </c>
      <c r="F607" s="7">
        <f>SUMIFS(Tableau4[Montant imputé],Tableau4[Matricule cabinet],Tableau5[[#This Row],[Matricule cabinet]],Tableau4[Type d''imputation],"leave")</f>
        <v>0</v>
      </c>
      <c r="G607" s="7">
        <f>SUMIFS(Tableau4[Montant imputé],Tableau4[Matricule cabinet],Tableau5[[#This Row],[Matricule cabinet]],Tableau4[Type d''imputation],"absence")</f>
        <v>0</v>
      </c>
      <c r="H607" s="7">
        <f>SUM(Tableau5[[#This Row],[B WK]:[Unpaid leave WK]])</f>
        <v>20</v>
      </c>
    </row>
    <row r="608" spans="1:8">
      <c r="A608" s="7" t="s">
        <v>952</v>
      </c>
      <c r="B608" s="7" t="s">
        <v>953</v>
      </c>
      <c r="C608" s="7" t="s">
        <v>45</v>
      </c>
      <c r="D608" s="7">
        <f>SUMIFS(Tableau4[Montant imputé],Tableau4[Matricule cabinet],Tableau5[[#This Row],[Matricule cabinet]],Tableau4[Type d''imputation],"sale order")</f>
        <v>17</v>
      </c>
      <c r="E60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08" s="7">
        <f>SUMIFS(Tableau4[Montant imputé],Tableau4[Matricule cabinet],Tableau5[[#This Row],[Matricule cabinet]],Tableau4[Type d''imputation],"leave")</f>
        <v>3</v>
      </c>
      <c r="G608" s="7">
        <f>SUMIFS(Tableau4[Montant imputé],Tableau4[Matricule cabinet],Tableau5[[#This Row],[Matricule cabinet]],Tableau4[Type d''imputation],"absence")</f>
        <v>0</v>
      </c>
      <c r="H608" s="7">
        <f>SUM(Tableau5[[#This Row],[B WK]:[Unpaid leave WK]])</f>
        <v>20</v>
      </c>
    </row>
    <row r="609" spans="1:8">
      <c r="A609" s="7" t="s">
        <v>650</v>
      </c>
      <c r="B609" s="7" t="s">
        <v>651</v>
      </c>
      <c r="C609" s="7" t="s">
        <v>51</v>
      </c>
      <c r="D609" s="7">
        <f>SUMIFS(Tableau4[Montant imputé],Tableau4[Matricule cabinet],Tableau5[[#This Row],[Matricule cabinet]],Tableau4[Type d''imputation],"sale order")</f>
        <v>18</v>
      </c>
      <c r="E60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609" s="7">
        <f>SUMIFS(Tableau4[Montant imputé],Tableau4[Matricule cabinet],Tableau5[[#This Row],[Matricule cabinet]],Tableau4[Type d''imputation],"leave")</f>
        <v>0</v>
      </c>
      <c r="G609" s="7">
        <f>SUMIFS(Tableau4[Montant imputé],Tableau4[Matricule cabinet],Tableau5[[#This Row],[Matricule cabinet]],Tableau4[Type d''imputation],"absence")</f>
        <v>0</v>
      </c>
      <c r="H609" s="7">
        <f>SUM(Tableau5[[#This Row],[B WK]:[Unpaid leave WK]])</f>
        <v>20</v>
      </c>
    </row>
    <row r="610" spans="1:8">
      <c r="A610" s="7" t="s">
        <v>924</v>
      </c>
      <c r="B610" s="7" t="s">
        <v>925</v>
      </c>
      <c r="C610" s="7" t="s">
        <v>66</v>
      </c>
      <c r="D610" s="7">
        <f>SUMIFS(Tableau4[Montant imputé],Tableau4[Matricule cabinet],Tableau5[[#This Row],[Matricule cabinet]],Tableau4[Type d''imputation],"sale order")</f>
        <v>18</v>
      </c>
      <c r="E61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10" s="7">
        <f>SUMIFS(Tableau4[Montant imputé],Tableau4[Matricule cabinet],Tableau5[[#This Row],[Matricule cabinet]],Tableau4[Type d''imputation],"leave")</f>
        <v>2</v>
      </c>
      <c r="G610" s="7">
        <f>SUMIFS(Tableau4[Montant imputé],Tableau4[Matricule cabinet],Tableau5[[#This Row],[Matricule cabinet]],Tableau4[Type d''imputation],"absence")</f>
        <v>0</v>
      </c>
      <c r="H610" s="7">
        <f>SUM(Tableau5[[#This Row],[B WK]:[Unpaid leave WK]])</f>
        <v>20</v>
      </c>
    </row>
    <row r="611" spans="1:8">
      <c r="A611" s="7" t="s">
        <v>1389</v>
      </c>
      <c r="B611" s="7" t="s">
        <v>1390</v>
      </c>
      <c r="C611" s="7" t="s">
        <v>78</v>
      </c>
      <c r="D611" s="7">
        <f>SUMIFS(Tableau4[Montant imputé],Tableau4[Matricule cabinet],Tableau5[[#This Row],[Matricule cabinet]],Tableau4[Type d''imputation],"sale order")</f>
        <v>19</v>
      </c>
      <c r="E61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11" s="7">
        <f>SUMIFS(Tableau4[Montant imputé],Tableau4[Matricule cabinet],Tableau5[[#This Row],[Matricule cabinet]],Tableau4[Type d''imputation],"leave")</f>
        <v>1</v>
      </c>
      <c r="G611" s="7">
        <f>SUMIFS(Tableau4[Montant imputé],Tableau4[Matricule cabinet],Tableau5[[#This Row],[Matricule cabinet]],Tableau4[Type d''imputation],"absence")</f>
        <v>0</v>
      </c>
      <c r="H611" s="7">
        <f>SUM(Tableau5[[#This Row],[B WK]:[Unpaid leave WK]])</f>
        <v>20</v>
      </c>
    </row>
    <row r="612" spans="1:8">
      <c r="A612" s="7" t="s">
        <v>525</v>
      </c>
      <c r="B612" s="7" t="s">
        <v>526</v>
      </c>
      <c r="C612" s="7" t="s">
        <v>4</v>
      </c>
      <c r="D612" s="7">
        <f>SUMIFS(Tableau4[Montant imputé],Tableau4[Matricule cabinet],Tableau5[[#This Row],[Matricule cabinet]],Tableau4[Type d''imputation],"sale order")</f>
        <v>20</v>
      </c>
      <c r="E61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12" s="7">
        <f>SUMIFS(Tableau4[Montant imputé],Tableau4[Matricule cabinet],Tableau5[[#This Row],[Matricule cabinet]],Tableau4[Type d''imputation],"leave")</f>
        <v>0</v>
      </c>
      <c r="G612" s="7">
        <f>SUMIFS(Tableau4[Montant imputé],Tableau4[Matricule cabinet],Tableau5[[#This Row],[Matricule cabinet]],Tableau4[Type d''imputation],"absence")</f>
        <v>0</v>
      </c>
      <c r="H612" s="7">
        <f>SUM(Tableau5[[#This Row],[B WK]:[Unpaid leave WK]])</f>
        <v>20</v>
      </c>
    </row>
    <row r="613" spans="1:8">
      <c r="A613" s="7" t="s">
        <v>1251</v>
      </c>
      <c r="B613" s="7" t="s">
        <v>1252</v>
      </c>
      <c r="C613" s="7" t="s">
        <v>80</v>
      </c>
      <c r="D613" s="7">
        <f>SUMIFS(Tableau4[Montant imputé],Tableau4[Matricule cabinet],Tableau5[[#This Row],[Matricule cabinet]],Tableau4[Type d''imputation],"sale order")</f>
        <v>10.5</v>
      </c>
      <c r="E61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13" s="7">
        <f>SUMIFS(Tableau4[Montant imputé],Tableau4[Matricule cabinet],Tableau5[[#This Row],[Matricule cabinet]],Tableau4[Type d''imputation],"leave")</f>
        <v>9.5</v>
      </c>
      <c r="G613" s="7">
        <f>SUMIFS(Tableau4[Montant imputé],Tableau4[Matricule cabinet],Tableau5[[#This Row],[Matricule cabinet]],Tableau4[Type d''imputation],"absence")</f>
        <v>0</v>
      </c>
      <c r="H613" s="7">
        <f>SUM(Tableau5[[#This Row],[B WK]:[Unpaid leave WK]])</f>
        <v>20</v>
      </c>
    </row>
    <row r="614" spans="1:8">
      <c r="A614" s="7" t="s">
        <v>443</v>
      </c>
      <c r="B614" s="7" t="s">
        <v>444</v>
      </c>
      <c r="C614" s="7" t="s">
        <v>92</v>
      </c>
      <c r="D614" s="7">
        <f>SUMIFS(Tableau4[Montant imputé],Tableau4[Matricule cabinet],Tableau5[[#This Row],[Matricule cabinet]],Tableau4[Type d''imputation],"sale order")</f>
        <v>0</v>
      </c>
      <c r="E61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614" s="7">
        <f>SUMIFS(Tableau4[Montant imputé],Tableau4[Matricule cabinet],Tableau5[[#This Row],[Matricule cabinet]],Tableau4[Type d''imputation],"leave")</f>
        <v>0</v>
      </c>
      <c r="G614" s="7">
        <f>SUMIFS(Tableau4[Montant imputé],Tableau4[Matricule cabinet],Tableau5[[#This Row],[Matricule cabinet]],Tableau4[Type d''imputation],"absence")</f>
        <v>0</v>
      </c>
      <c r="H614" s="7">
        <f>SUM(Tableau5[[#This Row],[B WK]:[Unpaid leave WK]])</f>
        <v>20</v>
      </c>
    </row>
    <row r="615" spans="1:8">
      <c r="A615" s="7" t="s">
        <v>666</v>
      </c>
      <c r="B615" s="7" t="s">
        <v>90</v>
      </c>
      <c r="C615" s="7" t="s">
        <v>97</v>
      </c>
      <c r="D615" s="7">
        <f>SUMIFS(Tableau4[Montant imputé],Tableau4[Matricule cabinet],Tableau5[[#This Row],[Matricule cabinet]],Tableau4[Type d''imputation],"sale order")</f>
        <v>0</v>
      </c>
      <c r="E61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14.5</v>
      </c>
      <c r="F615" s="7">
        <f>SUMIFS(Tableau4[Montant imputé],Tableau4[Matricule cabinet],Tableau5[[#This Row],[Matricule cabinet]],Tableau4[Type d''imputation],"leave")</f>
        <v>5.5</v>
      </c>
      <c r="G615" s="7">
        <f>SUMIFS(Tableau4[Montant imputé],Tableau4[Matricule cabinet],Tableau5[[#This Row],[Matricule cabinet]],Tableau4[Type d''imputation],"absence")</f>
        <v>0</v>
      </c>
      <c r="H615" s="7">
        <f>SUM(Tableau5[[#This Row],[B WK]:[Unpaid leave WK]])</f>
        <v>20</v>
      </c>
    </row>
    <row r="616" spans="1:8">
      <c r="A616" s="7" t="s">
        <v>1113</v>
      </c>
      <c r="B616" s="7" t="s">
        <v>1114</v>
      </c>
      <c r="C616" s="7" t="s">
        <v>16</v>
      </c>
      <c r="D616" s="7">
        <f>SUMIFS(Tableau4[Montant imputé],Tableau4[Matricule cabinet],Tableau5[[#This Row],[Matricule cabinet]],Tableau4[Type d''imputation],"sale order")</f>
        <v>9.5</v>
      </c>
      <c r="E61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8.5</v>
      </c>
      <c r="F616" s="7">
        <f>SUMIFS(Tableau4[Montant imputé],Tableau4[Matricule cabinet],Tableau5[[#This Row],[Matricule cabinet]],Tableau4[Type d''imputation],"leave")</f>
        <v>2</v>
      </c>
      <c r="G616" s="7">
        <f>SUMIFS(Tableau4[Montant imputé],Tableau4[Matricule cabinet],Tableau5[[#This Row],[Matricule cabinet]],Tableau4[Type d''imputation],"absence")</f>
        <v>0</v>
      </c>
      <c r="H616" s="7">
        <f>SUM(Tableau5[[#This Row],[B WK]:[Unpaid leave WK]])</f>
        <v>20</v>
      </c>
    </row>
    <row r="617" spans="1:8">
      <c r="A617" s="7" t="s">
        <v>194</v>
      </c>
      <c r="B617" s="7" t="s">
        <v>195</v>
      </c>
      <c r="C617" s="7" t="s">
        <v>47</v>
      </c>
      <c r="D617" s="7">
        <f>SUMIFS(Tableau4[Montant imputé],Tableau4[Matricule cabinet],Tableau5[[#This Row],[Matricule cabinet]],Tableau4[Type d''imputation],"sale order")</f>
        <v>17</v>
      </c>
      <c r="E61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17" s="7">
        <f>SUMIFS(Tableau4[Montant imputé],Tableau4[Matricule cabinet],Tableau5[[#This Row],[Matricule cabinet]],Tableau4[Type d''imputation],"leave")</f>
        <v>3</v>
      </c>
      <c r="G617" s="7">
        <f>SUMIFS(Tableau4[Montant imputé],Tableau4[Matricule cabinet],Tableau5[[#This Row],[Matricule cabinet]],Tableau4[Type d''imputation],"absence")</f>
        <v>0</v>
      </c>
      <c r="H617" s="7">
        <f>SUM(Tableau5[[#This Row],[B WK]:[Unpaid leave WK]])</f>
        <v>20</v>
      </c>
    </row>
    <row r="618" spans="1:8">
      <c r="A618" s="7" t="s">
        <v>1192</v>
      </c>
      <c r="B618" s="7" t="s">
        <v>1193</v>
      </c>
      <c r="C618" s="7" t="s">
        <v>41</v>
      </c>
      <c r="D618" s="7">
        <f>SUMIFS(Tableau4[Montant imputé],Tableau4[Matricule cabinet],Tableau5[[#This Row],[Matricule cabinet]],Tableau4[Type d''imputation],"sale order")</f>
        <v>9.5</v>
      </c>
      <c r="E61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10.5</v>
      </c>
      <c r="F618" s="7">
        <f>SUMIFS(Tableau4[Montant imputé],Tableau4[Matricule cabinet],Tableau5[[#This Row],[Matricule cabinet]],Tableau4[Type d''imputation],"leave")</f>
        <v>0</v>
      </c>
      <c r="G618" s="7">
        <f>SUMIFS(Tableau4[Montant imputé],Tableau4[Matricule cabinet],Tableau5[[#This Row],[Matricule cabinet]],Tableau4[Type d''imputation],"absence")</f>
        <v>0</v>
      </c>
      <c r="H618" s="7">
        <f>SUM(Tableau5[[#This Row],[B WK]:[Unpaid leave WK]])</f>
        <v>20</v>
      </c>
    </row>
    <row r="619" spans="1:8">
      <c r="A619" s="7" t="s">
        <v>346</v>
      </c>
      <c r="B619" s="7" t="s">
        <v>347</v>
      </c>
      <c r="C619" s="7" t="s">
        <v>5</v>
      </c>
      <c r="D619" s="7">
        <f>SUMIFS(Tableau4[Montant imputé],Tableau4[Matricule cabinet],Tableau5[[#This Row],[Matricule cabinet]],Tableau4[Type d''imputation],"sale order")</f>
        <v>0</v>
      </c>
      <c r="E61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17.5</v>
      </c>
      <c r="F619" s="7">
        <f>SUMIFS(Tableau4[Montant imputé],Tableau4[Matricule cabinet],Tableau5[[#This Row],[Matricule cabinet]],Tableau4[Type d''imputation],"leave")</f>
        <v>2.5</v>
      </c>
      <c r="G619" s="7">
        <f>SUMIFS(Tableau4[Montant imputé],Tableau4[Matricule cabinet],Tableau5[[#This Row],[Matricule cabinet]],Tableau4[Type d''imputation],"absence")</f>
        <v>0</v>
      </c>
      <c r="H619" s="7">
        <f>SUM(Tableau5[[#This Row],[B WK]:[Unpaid leave WK]])</f>
        <v>20</v>
      </c>
    </row>
    <row r="620" spans="1:8">
      <c r="A620" s="7" t="s">
        <v>377</v>
      </c>
      <c r="B620" s="7" t="s">
        <v>378</v>
      </c>
      <c r="C620" s="7" t="s">
        <v>67</v>
      </c>
      <c r="D620" s="7">
        <f>SUMIFS(Tableau4[Montant imputé],Tableau4[Matricule cabinet],Tableau5[[#This Row],[Matricule cabinet]],Tableau4[Type d''imputation],"sale order")</f>
        <v>19.5</v>
      </c>
      <c r="E62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20" s="7">
        <f>SUMIFS(Tableau4[Montant imputé],Tableau4[Matricule cabinet],Tableau5[[#This Row],[Matricule cabinet]],Tableau4[Type d''imputation],"leave")</f>
        <v>0.5</v>
      </c>
      <c r="G620" s="7">
        <f>SUMIFS(Tableau4[Montant imputé],Tableau4[Matricule cabinet],Tableau5[[#This Row],[Matricule cabinet]],Tableau4[Type d''imputation],"absence")</f>
        <v>0</v>
      </c>
      <c r="H620" s="7">
        <f>SUM(Tableau5[[#This Row],[B WK]:[Unpaid leave WK]])</f>
        <v>20</v>
      </c>
    </row>
    <row r="621" spans="1:8">
      <c r="A621" s="7" t="s">
        <v>1023</v>
      </c>
      <c r="B621" s="7" t="s">
        <v>1024</v>
      </c>
      <c r="C621" s="7" t="s">
        <v>41</v>
      </c>
      <c r="D621" s="7">
        <f>SUMIFS(Tableau4[Montant imputé],Tableau4[Matricule cabinet],Tableau5[[#This Row],[Matricule cabinet]],Tableau4[Type d''imputation],"sale order")</f>
        <v>10</v>
      </c>
      <c r="E62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621" s="7">
        <f>SUMIFS(Tableau4[Montant imputé],Tableau4[Matricule cabinet],Tableau5[[#This Row],[Matricule cabinet]],Tableau4[Type d''imputation],"leave")</f>
        <v>9</v>
      </c>
      <c r="G621" s="7">
        <f>SUMIFS(Tableau4[Montant imputé],Tableau4[Matricule cabinet],Tableau5[[#This Row],[Matricule cabinet]],Tableau4[Type d''imputation],"absence")</f>
        <v>0</v>
      </c>
      <c r="H621" s="7">
        <f>SUM(Tableau5[[#This Row],[B WK]:[Unpaid leave WK]])</f>
        <v>20</v>
      </c>
    </row>
    <row r="622" spans="1:8">
      <c r="A622" s="7" t="s">
        <v>1129</v>
      </c>
      <c r="B622" s="7" t="s">
        <v>1130</v>
      </c>
      <c r="C622" s="7" t="s">
        <v>73</v>
      </c>
      <c r="D622" s="7">
        <f>SUMIFS(Tableau4[Montant imputé],Tableau4[Matricule cabinet],Tableau5[[#This Row],[Matricule cabinet]],Tableau4[Type d''imputation],"sale order")</f>
        <v>18</v>
      </c>
      <c r="E62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622" s="7">
        <f>SUMIFS(Tableau4[Montant imputé],Tableau4[Matricule cabinet],Tableau5[[#This Row],[Matricule cabinet]],Tableau4[Type d''imputation],"leave")</f>
        <v>0</v>
      </c>
      <c r="G622" s="7">
        <f>SUMIFS(Tableau4[Montant imputé],Tableau4[Matricule cabinet],Tableau5[[#This Row],[Matricule cabinet]],Tableau4[Type d''imputation],"absence")</f>
        <v>0</v>
      </c>
      <c r="H622" s="7">
        <f>SUM(Tableau5[[#This Row],[B WK]:[Unpaid leave WK]])</f>
        <v>20</v>
      </c>
    </row>
    <row r="623" spans="1:8">
      <c r="A623" s="7" t="s">
        <v>534</v>
      </c>
      <c r="B623" s="7" t="s">
        <v>535</v>
      </c>
      <c r="C623" s="7" t="s">
        <v>61</v>
      </c>
      <c r="D623" s="7">
        <f>SUMIFS(Tableau4[Montant imputé],Tableau4[Matricule cabinet],Tableau5[[#This Row],[Matricule cabinet]],Tableau4[Type d''imputation],"sale order")</f>
        <v>18</v>
      </c>
      <c r="E62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623" s="7">
        <f>SUMIFS(Tableau4[Montant imputé],Tableau4[Matricule cabinet],Tableau5[[#This Row],[Matricule cabinet]],Tableau4[Type d''imputation],"leave")</f>
        <v>1</v>
      </c>
      <c r="G623" s="7">
        <f>SUMIFS(Tableau4[Montant imputé],Tableau4[Matricule cabinet],Tableau5[[#This Row],[Matricule cabinet]],Tableau4[Type d''imputation],"absence")</f>
        <v>0</v>
      </c>
      <c r="H623" s="7">
        <f>SUM(Tableau5[[#This Row],[B WK]:[Unpaid leave WK]])</f>
        <v>20</v>
      </c>
    </row>
    <row r="624" spans="1:8">
      <c r="A624" s="7" t="s">
        <v>674</v>
      </c>
      <c r="B624" s="7" t="s">
        <v>675</v>
      </c>
      <c r="C624" s="7" t="s">
        <v>41</v>
      </c>
      <c r="D624" s="7">
        <f>SUMIFS(Tableau4[Montant imputé],Tableau4[Matricule cabinet],Tableau5[[#This Row],[Matricule cabinet]],Tableau4[Type d''imputation],"sale order")</f>
        <v>18</v>
      </c>
      <c r="E62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624" s="7">
        <f>SUMIFS(Tableau4[Montant imputé],Tableau4[Matricule cabinet],Tableau5[[#This Row],[Matricule cabinet]],Tableau4[Type d''imputation],"leave")</f>
        <v>0</v>
      </c>
      <c r="G624" s="7">
        <f>SUMIFS(Tableau4[Montant imputé],Tableau4[Matricule cabinet],Tableau5[[#This Row],[Matricule cabinet]],Tableau4[Type d''imputation],"absence")</f>
        <v>0</v>
      </c>
      <c r="H624" s="7">
        <f>SUM(Tableau5[[#This Row],[B WK]:[Unpaid leave WK]])</f>
        <v>20</v>
      </c>
    </row>
    <row r="625" spans="1:8">
      <c r="A625" s="7" t="s">
        <v>1313</v>
      </c>
      <c r="B625" s="7" t="s">
        <v>1314</v>
      </c>
      <c r="C625" s="7" t="s">
        <v>41</v>
      </c>
      <c r="D625" s="7">
        <f>SUMIFS(Tableau4[Montant imputé],Tableau4[Matricule cabinet],Tableau5[[#This Row],[Matricule cabinet]],Tableau4[Type d''imputation],"sale order")</f>
        <v>19.5</v>
      </c>
      <c r="E62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25" s="7">
        <f>SUMIFS(Tableau4[Montant imputé],Tableau4[Matricule cabinet],Tableau5[[#This Row],[Matricule cabinet]],Tableau4[Type d''imputation],"leave")</f>
        <v>0.5</v>
      </c>
      <c r="G625" s="7">
        <f>SUMIFS(Tableau4[Montant imputé],Tableau4[Matricule cabinet],Tableau5[[#This Row],[Matricule cabinet]],Tableau4[Type d''imputation],"absence")</f>
        <v>0</v>
      </c>
      <c r="H625" s="7">
        <f>SUM(Tableau5[[#This Row],[B WK]:[Unpaid leave WK]])</f>
        <v>20</v>
      </c>
    </row>
    <row r="626" spans="1:8">
      <c r="A626" s="7" t="s">
        <v>1533</v>
      </c>
      <c r="B626" s="7" t="s">
        <v>41</v>
      </c>
      <c r="C626" s="7" t="s">
        <v>8</v>
      </c>
      <c r="D626" s="7">
        <f>SUMIFS(Tableau4[Montant imputé],Tableau4[Matricule cabinet],Tableau5[[#This Row],[Matricule cabinet]],Tableau4[Type d''imputation],"sale order")</f>
        <v>14</v>
      </c>
      <c r="E62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5</v>
      </c>
      <c r="F626" s="7">
        <f>SUMIFS(Tableau4[Montant imputé],Tableau4[Matricule cabinet],Tableau5[[#This Row],[Matricule cabinet]],Tableau4[Type d''imputation],"leave")</f>
        <v>0</v>
      </c>
      <c r="G626" s="7">
        <f>SUMIFS(Tableau4[Montant imputé],Tableau4[Matricule cabinet],Tableau5[[#This Row],[Matricule cabinet]],Tableau4[Type d''imputation],"absence")</f>
        <v>1</v>
      </c>
      <c r="H626" s="7">
        <f>SUM(Tableau5[[#This Row],[B WK]:[Unpaid leave WK]])</f>
        <v>20</v>
      </c>
    </row>
    <row r="627" spans="1:8">
      <c r="A627" s="7" t="s">
        <v>807</v>
      </c>
      <c r="B627" s="7" t="s">
        <v>808</v>
      </c>
      <c r="C627" s="7" t="s">
        <v>16</v>
      </c>
      <c r="D627" s="7">
        <f>SUMIFS(Tableau4[Montant imputé],Tableau4[Matricule cabinet],Tableau5[[#This Row],[Matricule cabinet]],Tableau4[Type d''imputation],"sale order")</f>
        <v>17</v>
      </c>
      <c r="E62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27" s="7">
        <f>SUMIFS(Tableau4[Montant imputé],Tableau4[Matricule cabinet],Tableau5[[#This Row],[Matricule cabinet]],Tableau4[Type d''imputation],"leave")</f>
        <v>3</v>
      </c>
      <c r="G627" s="7">
        <f>SUMIFS(Tableau4[Montant imputé],Tableau4[Matricule cabinet],Tableau5[[#This Row],[Matricule cabinet]],Tableau4[Type d''imputation],"absence")</f>
        <v>0</v>
      </c>
      <c r="H627" s="7">
        <f>SUM(Tableau5[[#This Row],[B WK]:[Unpaid leave WK]])</f>
        <v>20</v>
      </c>
    </row>
    <row r="628" spans="1:8">
      <c r="A628" s="7" t="s">
        <v>1253</v>
      </c>
      <c r="B628" s="7" t="s">
        <v>1254</v>
      </c>
      <c r="C628" s="7" t="s">
        <v>80</v>
      </c>
      <c r="D628" s="7">
        <f>SUMIFS(Tableau4[Montant imputé],Tableau4[Matricule cabinet],Tableau5[[#This Row],[Matricule cabinet]],Tableau4[Type d''imputation],"sale order")</f>
        <v>19</v>
      </c>
      <c r="E62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28" s="7">
        <f>SUMIFS(Tableau4[Montant imputé],Tableau4[Matricule cabinet],Tableau5[[#This Row],[Matricule cabinet]],Tableau4[Type d''imputation],"leave")</f>
        <v>1</v>
      </c>
      <c r="G628" s="7">
        <f>SUMIFS(Tableau4[Montant imputé],Tableau4[Matricule cabinet],Tableau5[[#This Row],[Matricule cabinet]],Tableau4[Type d''imputation],"absence")</f>
        <v>0</v>
      </c>
      <c r="H628" s="7">
        <f>SUM(Tableau5[[#This Row],[B WK]:[Unpaid leave WK]])</f>
        <v>20</v>
      </c>
    </row>
    <row r="629" spans="1:8">
      <c r="A629" s="7" t="s">
        <v>811</v>
      </c>
      <c r="B629" s="7" t="s">
        <v>812</v>
      </c>
      <c r="C629" s="7" t="s">
        <v>19</v>
      </c>
      <c r="D629" s="7">
        <f>SUMIFS(Tableau4[Montant imputé],Tableau4[Matricule cabinet],Tableau5[[#This Row],[Matricule cabinet]],Tableau4[Type d''imputation],"sale order")</f>
        <v>17.5</v>
      </c>
      <c r="E62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29" s="7">
        <f>SUMIFS(Tableau4[Montant imputé],Tableau4[Matricule cabinet],Tableau5[[#This Row],[Matricule cabinet]],Tableau4[Type d''imputation],"leave")</f>
        <v>2.5</v>
      </c>
      <c r="G629" s="7">
        <f>SUMIFS(Tableau4[Montant imputé],Tableau4[Matricule cabinet],Tableau5[[#This Row],[Matricule cabinet]],Tableau4[Type d''imputation],"absence")</f>
        <v>0</v>
      </c>
      <c r="H629" s="7">
        <f>SUM(Tableau5[[#This Row],[B WK]:[Unpaid leave WK]])</f>
        <v>20</v>
      </c>
    </row>
    <row r="630" spans="1:8">
      <c r="A630" s="7" t="s">
        <v>930</v>
      </c>
      <c r="B630" s="7" t="s">
        <v>931</v>
      </c>
      <c r="C630" s="7" t="s">
        <v>42</v>
      </c>
      <c r="D630" s="7">
        <f>SUMIFS(Tableau4[Montant imputé],Tableau4[Matricule cabinet],Tableau5[[#This Row],[Matricule cabinet]],Tableau4[Type d''imputation],"sale order")</f>
        <v>0</v>
      </c>
      <c r="E63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8.5</v>
      </c>
      <c r="F630" s="7">
        <f>SUMIFS(Tableau4[Montant imputé],Tableau4[Matricule cabinet],Tableau5[[#This Row],[Matricule cabinet]],Tableau4[Type d''imputation],"leave")</f>
        <v>3</v>
      </c>
      <c r="G630" s="7">
        <f>SUMIFS(Tableau4[Montant imputé],Tableau4[Matricule cabinet],Tableau5[[#This Row],[Matricule cabinet]],Tableau4[Type d''imputation],"absence")</f>
        <v>8.5</v>
      </c>
      <c r="H630" s="7">
        <f>SUM(Tableau5[[#This Row],[B WK]:[Unpaid leave WK]])</f>
        <v>20</v>
      </c>
    </row>
    <row r="631" spans="1:8">
      <c r="A631" s="7" t="s">
        <v>1211</v>
      </c>
      <c r="B631" s="7" t="s">
        <v>53</v>
      </c>
      <c r="C631" s="7" t="s">
        <v>38</v>
      </c>
      <c r="D631" s="7">
        <f>SUMIFS(Tableau4[Montant imputé],Tableau4[Matricule cabinet],Tableau5[[#This Row],[Matricule cabinet]],Tableau4[Type d''imputation],"sale order")</f>
        <v>16</v>
      </c>
      <c r="E63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3.5</v>
      </c>
      <c r="F631" s="7">
        <f>SUMIFS(Tableau4[Montant imputé],Tableau4[Matricule cabinet],Tableau5[[#This Row],[Matricule cabinet]],Tableau4[Type d''imputation],"leave")</f>
        <v>0.5</v>
      </c>
      <c r="G631" s="7">
        <f>SUMIFS(Tableau4[Montant imputé],Tableau4[Matricule cabinet],Tableau5[[#This Row],[Matricule cabinet]],Tableau4[Type d''imputation],"absence")</f>
        <v>0</v>
      </c>
      <c r="H631" s="7">
        <f>SUM(Tableau5[[#This Row],[B WK]:[Unpaid leave WK]])</f>
        <v>20</v>
      </c>
    </row>
    <row r="632" spans="1:8">
      <c r="A632" s="7" t="s">
        <v>582</v>
      </c>
      <c r="B632" s="7" t="s">
        <v>59</v>
      </c>
      <c r="C632" s="7" t="s">
        <v>29</v>
      </c>
      <c r="D632" s="7">
        <f>SUMIFS(Tableau4[Montant imputé],Tableau4[Matricule cabinet],Tableau5[[#This Row],[Matricule cabinet]],Tableau4[Type d''imputation],"sale order")</f>
        <v>19.5</v>
      </c>
      <c r="E63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32" s="7">
        <f>SUMIFS(Tableau4[Montant imputé],Tableau4[Matricule cabinet],Tableau5[[#This Row],[Matricule cabinet]],Tableau4[Type d''imputation],"leave")</f>
        <v>0.5</v>
      </c>
      <c r="G632" s="7">
        <f>SUMIFS(Tableau4[Montant imputé],Tableau4[Matricule cabinet],Tableau5[[#This Row],[Matricule cabinet]],Tableau4[Type d''imputation],"absence")</f>
        <v>0</v>
      </c>
      <c r="H632" s="7">
        <f>SUM(Tableau5[[#This Row],[B WK]:[Unpaid leave WK]])</f>
        <v>20</v>
      </c>
    </row>
    <row r="633" spans="1:8">
      <c r="A633" s="7" t="s">
        <v>316</v>
      </c>
      <c r="B633" s="7" t="s">
        <v>317</v>
      </c>
      <c r="C633" s="7" t="s">
        <v>17</v>
      </c>
      <c r="D633" s="7">
        <f>SUMIFS(Tableau4[Montant imputé],Tableau4[Matricule cabinet],Tableau5[[#This Row],[Matricule cabinet]],Tableau4[Type d''imputation],"sale order")</f>
        <v>20</v>
      </c>
      <c r="E63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33" s="7">
        <f>SUMIFS(Tableau4[Montant imputé],Tableau4[Matricule cabinet],Tableau5[[#This Row],[Matricule cabinet]],Tableau4[Type d''imputation],"leave")</f>
        <v>0</v>
      </c>
      <c r="G633" s="7">
        <f>SUMIFS(Tableau4[Montant imputé],Tableau4[Matricule cabinet],Tableau5[[#This Row],[Matricule cabinet]],Tableau4[Type d''imputation],"absence")</f>
        <v>0</v>
      </c>
      <c r="H633" s="7">
        <f>SUM(Tableau5[[#This Row],[B WK]:[Unpaid leave WK]])</f>
        <v>20</v>
      </c>
    </row>
    <row r="634" spans="1:8">
      <c r="A634" s="7" t="s">
        <v>1082</v>
      </c>
      <c r="B634" s="7" t="s">
        <v>1083</v>
      </c>
      <c r="C634" s="7" t="s">
        <v>39</v>
      </c>
      <c r="D634" s="7">
        <f>SUMIFS(Tableau4[Montant imputé],Tableau4[Matricule cabinet],Tableau5[[#This Row],[Matricule cabinet]],Tableau4[Type d''imputation],"sale order")</f>
        <v>18.5</v>
      </c>
      <c r="E63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634" s="7">
        <f>SUMIFS(Tableau4[Montant imputé],Tableau4[Matricule cabinet],Tableau5[[#This Row],[Matricule cabinet]],Tableau4[Type d''imputation],"leave")</f>
        <v>1</v>
      </c>
      <c r="G634" s="7">
        <f>SUMIFS(Tableau4[Montant imputé],Tableau4[Matricule cabinet],Tableau5[[#This Row],[Matricule cabinet]],Tableau4[Type d''imputation],"absence")</f>
        <v>0</v>
      </c>
      <c r="H634" s="7">
        <f>SUM(Tableau5[[#This Row],[B WK]:[Unpaid leave WK]])</f>
        <v>20</v>
      </c>
    </row>
    <row r="635" spans="1:8">
      <c r="A635" s="7" t="s">
        <v>1255</v>
      </c>
      <c r="B635" s="7" t="s">
        <v>1256</v>
      </c>
      <c r="C635" s="7" t="s">
        <v>80</v>
      </c>
      <c r="D635" s="7">
        <f>SUMIFS(Tableau4[Montant imputé],Tableau4[Matricule cabinet],Tableau5[[#This Row],[Matricule cabinet]],Tableau4[Type d''imputation],"sale order")</f>
        <v>10.5</v>
      </c>
      <c r="E63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9.5</v>
      </c>
      <c r="F635" s="7">
        <f>SUMIFS(Tableau4[Montant imputé],Tableau4[Matricule cabinet],Tableau5[[#This Row],[Matricule cabinet]],Tableau4[Type d''imputation],"leave")</f>
        <v>0</v>
      </c>
      <c r="G635" s="7">
        <f>SUMIFS(Tableau4[Montant imputé],Tableau4[Matricule cabinet],Tableau5[[#This Row],[Matricule cabinet]],Tableau4[Type d''imputation],"absence")</f>
        <v>0</v>
      </c>
      <c r="H635" s="7">
        <f>SUM(Tableau5[[#This Row],[B WK]:[Unpaid leave WK]])</f>
        <v>20</v>
      </c>
    </row>
    <row r="636" spans="1:8">
      <c r="A636" s="7" t="s">
        <v>1204</v>
      </c>
      <c r="B636" s="7" t="s">
        <v>1205</v>
      </c>
      <c r="C636" s="7" t="s">
        <v>8</v>
      </c>
      <c r="D636" s="7">
        <f>SUMIFS(Tableau4[Montant imputé],Tableau4[Matricule cabinet],Tableau5[[#This Row],[Matricule cabinet]],Tableau4[Type d''imputation],"sale order")</f>
        <v>16.5</v>
      </c>
      <c r="E63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636" s="7">
        <f>SUMIFS(Tableau4[Montant imputé],Tableau4[Matricule cabinet],Tableau5[[#This Row],[Matricule cabinet]],Tableau4[Type d''imputation],"leave")</f>
        <v>3</v>
      </c>
      <c r="G636" s="7">
        <f>SUMIFS(Tableau4[Montant imputé],Tableau4[Matricule cabinet],Tableau5[[#This Row],[Matricule cabinet]],Tableau4[Type d''imputation],"absence")</f>
        <v>0</v>
      </c>
      <c r="H636" s="7">
        <f>SUM(Tableau5[[#This Row],[B WK]:[Unpaid leave WK]])</f>
        <v>20</v>
      </c>
    </row>
    <row r="637" spans="1:8">
      <c r="A637" s="7" t="s">
        <v>1286</v>
      </c>
      <c r="B637" s="7" t="s">
        <v>1287</v>
      </c>
      <c r="C637" s="7" t="s">
        <v>27</v>
      </c>
      <c r="D637" s="7">
        <f>SUMIFS(Tableau4[Montant imputé],Tableau4[Matricule cabinet],Tableau5[[#This Row],[Matricule cabinet]],Tableau4[Type d''imputation],"sale order")</f>
        <v>20</v>
      </c>
      <c r="E63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37" s="7">
        <f>SUMIFS(Tableau4[Montant imputé],Tableau4[Matricule cabinet],Tableau5[[#This Row],[Matricule cabinet]],Tableau4[Type d''imputation],"leave")</f>
        <v>0</v>
      </c>
      <c r="G637" s="7">
        <f>SUMIFS(Tableau4[Montant imputé],Tableau4[Matricule cabinet],Tableau5[[#This Row],[Matricule cabinet]],Tableau4[Type d''imputation],"absence")</f>
        <v>0</v>
      </c>
      <c r="H637" s="7">
        <f>SUM(Tableau5[[#This Row],[B WK]:[Unpaid leave WK]])</f>
        <v>20</v>
      </c>
    </row>
    <row r="638" spans="1:8">
      <c r="A638" s="7" t="s">
        <v>1173</v>
      </c>
      <c r="B638" s="7" t="s">
        <v>1174</v>
      </c>
      <c r="C638" s="7" t="s">
        <v>86</v>
      </c>
      <c r="D638" s="7">
        <f>SUMIFS(Tableau4[Montant imputé],Tableau4[Matricule cabinet],Tableau5[[#This Row],[Matricule cabinet]],Tableau4[Type d''imputation],"sale order")</f>
        <v>11</v>
      </c>
      <c r="E63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38" s="7">
        <f>SUMIFS(Tableau4[Montant imputé],Tableau4[Matricule cabinet],Tableau5[[#This Row],[Matricule cabinet]],Tableau4[Type d''imputation],"leave")</f>
        <v>9</v>
      </c>
      <c r="G638" s="7">
        <f>SUMIFS(Tableau4[Montant imputé],Tableau4[Matricule cabinet],Tableau5[[#This Row],[Matricule cabinet]],Tableau4[Type d''imputation],"absence")</f>
        <v>0</v>
      </c>
      <c r="H638" s="7">
        <f>SUM(Tableau5[[#This Row],[B WK]:[Unpaid leave WK]])</f>
        <v>20</v>
      </c>
    </row>
    <row r="639" spans="1:8">
      <c r="A639" s="7" t="s">
        <v>809</v>
      </c>
      <c r="B639" s="7" t="s">
        <v>810</v>
      </c>
      <c r="C639" s="7" t="s">
        <v>16</v>
      </c>
      <c r="D639" s="7">
        <f>SUMIFS(Tableau4[Montant imputé],Tableau4[Matricule cabinet],Tableau5[[#This Row],[Matricule cabinet]],Tableau4[Type d''imputation],"sale order")</f>
        <v>17</v>
      </c>
      <c r="E63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639" s="7">
        <f>SUMIFS(Tableau4[Montant imputé],Tableau4[Matricule cabinet],Tableau5[[#This Row],[Matricule cabinet]],Tableau4[Type d''imputation],"leave")</f>
        <v>1</v>
      </c>
      <c r="G639" s="7">
        <f>SUMIFS(Tableau4[Montant imputé],Tableau4[Matricule cabinet],Tableau5[[#This Row],[Matricule cabinet]],Tableau4[Type d''imputation],"absence")</f>
        <v>0</v>
      </c>
      <c r="H639" s="7">
        <f>SUM(Tableau5[[#This Row],[B WK]:[Unpaid leave WK]])</f>
        <v>20</v>
      </c>
    </row>
    <row r="640" spans="1:8">
      <c r="A640" s="7" t="s">
        <v>356</v>
      </c>
      <c r="B640" s="7" t="s">
        <v>357</v>
      </c>
      <c r="C640" s="7" t="s">
        <v>61</v>
      </c>
      <c r="D640" s="7">
        <f>SUMIFS(Tableau4[Montant imputé],Tableau4[Matricule cabinet],Tableau5[[#This Row],[Matricule cabinet]],Tableau4[Type d''imputation],"sale order")</f>
        <v>16</v>
      </c>
      <c r="E64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40" s="7">
        <f>SUMIFS(Tableau4[Montant imputé],Tableau4[Matricule cabinet],Tableau5[[#This Row],[Matricule cabinet]],Tableau4[Type d''imputation],"leave")</f>
        <v>4</v>
      </c>
      <c r="G640" s="7">
        <f>SUMIFS(Tableau4[Montant imputé],Tableau4[Matricule cabinet],Tableau5[[#This Row],[Matricule cabinet]],Tableau4[Type d''imputation],"absence")</f>
        <v>0</v>
      </c>
      <c r="H640" s="7">
        <f>SUM(Tableau5[[#This Row],[B WK]:[Unpaid leave WK]])</f>
        <v>20</v>
      </c>
    </row>
    <row r="641" spans="1:8">
      <c r="A641" s="7" t="s">
        <v>862</v>
      </c>
      <c r="B641" s="7" t="s">
        <v>863</v>
      </c>
      <c r="C641" s="7" t="s">
        <v>36</v>
      </c>
      <c r="D641" s="7">
        <f>SUMIFS(Tableau4[Montant imputé],Tableau4[Matricule cabinet],Tableau5[[#This Row],[Matricule cabinet]],Tableau4[Type d''imputation],"sale order")</f>
        <v>20</v>
      </c>
      <c r="E64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41" s="7">
        <f>SUMIFS(Tableau4[Montant imputé],Tableau4[Matricule cabinet],Tableau5[[#This Row],[Matricule cabinet]],Tableau4[Type d''imputation],"leave")</f>
        <v>0</v>
      </c>
      <c r="G641" s="7">
        <f>SUMIFS(Tableau4[Montant imputé],Tableau4[Matricule cabinet],Tableau5[[#This Row],[Matricule cabinet]],Tableau4[Type d''imputation],"absence")</f>
        <v>0</v>
      </c>
      <c r="H641" s="7">
        <f>SUM(Tableau5[[#This Row],[B WK]:[Unpaid leave WK]])</f>
        <v>20</v>
      </c>
    </row>
    <row r="642" spans="1:8">
      <c r="A642" s="7" t="s">
        <v>1499</v>
      </c>
      <c r="B642" s="7" t="s">
        <v>1500</v>
      </c>
      <c r="C642" s="7" t="s">
        <v>13</v>
      </c>
      <c r="D642" s="7">
        <f>SUMIFS(Tableau4[Montant imputé],Tableau4[Matricule cabinet],Tableau5[[#This Row],[Matricule cabinet]],Tableau4[Type d''imputation],"sale order")</f>
        <v>10</v>
      </c>
      <c r="E64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42" s="7">
        <f>SUMIFS(Tableau4[Montant imputé],Tableau4[Matricule cabinet],Tableau5[[#This Row],[Matricule cabinet]],Tableau4[Type d''imputation],"leave")</f>
        <v>10</v>
      </c>
      <c r="G642" s="7">
        <f>SUMIFS(Tableau4[Montant imputé],Tableau4[Matricule cabinet],Tableau5[[#This Row],[Matricule cabinet]],Tableau4[Type d''imputation],"absence")</f>
        <v>0</v>
      </c>
      <c r="H642" s="7">
        <f>SUM(Tableau5[[#This Row],[B WK]:[Unpaid leave WK]])</f>
        <v>20</v>
      </c>
    </row>
    <row r="643" spans="1:8">
      <c r="A643" s="7" t="s">
        <v>864</v>
      </c>
      <c r="B643" s="7" t="s">
        <v>865</v>
      </c>
      <c r="C643" s="7" t="s">
        <v>43</v>
      </c>
      <c r="D643" s="7">
        <f>SUMIFS(Tableau4[Montant imputé],Tableau4[Matricule cabinet],Tableau5[[#This Row],[Matricule cabinet]],Tableau4[Type d''imputation],"sale order")</f>
        <v>19</v>
      </c>
      <c r="E64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643" s="7">
        <f>SUMIFS(Tableau4[Montant imputé],Tableau4[Matricule cabinet],Tableau5[[#This Row],[Matricule cabinet]],Tableau4[Type d''imputation],"leave")</f>
        <v>0</v>
      </c>
      <c r="G643" s="7">
        <f>SUMIFS(Tableau4[Montant imputé],Tableau4[Matricule cabinet],Tableau5[[#This Row],[Matricule cabinet]],Tableau4[Type d''imputation],"absence")</f>
        <v>0</v>
      </c>
      <c r="H643" s="7">
        <f>SUM(Tableau5[[#This Row],[B WK]:[Unpaid leave WK]])</f>
        <v>20</v>
      </c>
    </row>
    <row r="644" spans="1:8">
      <c r="A644" s="7" t="s">
        <v>672</v>
      </c>
      <c r="B644" s="7" t="s">
        <v>673</v>
      </c>
      <c r="C644" s="7" t="s">
        <v>39</v>
      </c>
      <c r="D644" s="7">
        <f>SUMIFS(Tableau4[Montant imputé],Tableau4[Matricule cabinet],Tableau5[[#This Row],[Matricule cabinet]],Tableau4[Type d''imputation],"sale order")</f>
        <v>17</v>
      </c>
      <c r="E64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644" s="7">
        <f>SUMIFS(Tableau4[Montant imputé],Tableau4[Matricule cabinet],Tableau5[[#This Row],[Matricule cabinet]],Tableau4[Type d''imputation],"leave")</f>
        <v>2</v>
      </c>
      <c r="G644" s="7">
        <f>SUMIFS(Tableau4[Montant imputé],Tableau4[Matricule cabinet],Tableau5[[#This Row],[Matricule cabinet]],Tableau4[Type d''imputation],"absence")</f>
        <v>0</v>
      </c>
      <c r="H644" s="7">
        <f>SUM(Tableau5[[#This Row],[B WK]:[Unpaid leave WK]])</f>
        <v>20</v>
      </c>
    </row>
    <row r="645" spans="1:8">
      <c r="A645" s="7" t="s">
        <v>688</v>
      </c>
      <c r="B645" s="7" t="s">
        <v>689</v>
      </c>
      <c r="C645" s="7" t="s">
        <v>53</v>
      </c>
      <c r="D645" s="7">
        <f>SUMIFS(Tableau4[Montant imputé],Tableau4[Matricule cabinet],Tableau5[[#This Row],[Matricule cabinet]],Tableau4[Type d''imputation],"sale order")</f>
        <v>18</v>
      </c>
      <c r="E64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645" s="7">
        <f>SUMIFS(Tableau4[Montant imputé],Tableau4[Matricule cabinet],Tableau5[[#This Row],[Matricule cabinet]],Tableau4[Type d''imputation],"leave")</f>
        <v>0</v>
      </c>
      <c r="G645" s="7">
        <f>SUMIFS(Tableau4[Montant imputé],Tableau4[Matricule cabinet],Tableau5[[#This Row],[Matricule cabinet]],Tableau4[Type d''imputation],"absence")</f>
        <v>0</v>
      </c>
      <c r="H645" s="7">
        <f>SUM(Tableau5[[#This Row],[B WK]:[Unpaid leave WK]])</f>
        <v>20</v>
      </c>
    </row>
    <row r="646" spans="1:8">
      <c r="A646" s="7" t="s">
        <v>1156</v>
      </c>
      <c r="B646" s="7" t="s">
        <v>1157</v>
      </c>
      <c r="C646" s="7" t="s">
        <v>48</v>
      </c>
      <c r="D646" s="7">
        <f>SUMIFS(Tableau4[Montant imputé],Tableau4[Matricule cabinet],Tableau5[[#This Row],[Matricule cabinet]],Tableau4[Type d''imputation],"sale order")</f>
        <v>14</v>
      </c>
      <c r="E64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46" s="7">
        <f>SUMIFS(Tableau4[Montant imputé],Tableau4[Matricule cabinet],Tableau5[[#This Row],[Matricule cabinet]],Tableau4[Type d''imputation],"leave")</f>
        <v>6</v>
      </c>
      <c r="G646" s="7">
        <f>SUMIFS(Tableau4[Montant imputé],Tableau4[Matricule cabinet],Tableau5[[#This Row],[Matricule cabinet]],Tableau4[Type d''imputation],"absence")</f>
        <v>0</v>
      </c>
      <c r="H646" s="7">
        <f>SUM(Tableau5[[#This Row],[B WK]:[Unpaid leave WK]])</f>
        <v>20</v>
      </c>
    </row>
    <row r="647" spans="1:8">
      <c r="A647" s="7" t="s">
        <v>1335</v>
      </c>
      <c r="B647" s="7" t="s">
        <v>1336</v>
      </c>
      <c r="C647" s="7" t="s">
        <v>59</v>
      </c>
      <c r="D647" s="7">
        <f>SUMIFS(Tableau4[Montant imputé],Tableau4[Matricule cabinet],Tableau5[[#This Row],[Matricule cabinet]],Tableau4[Type d''imputation],"sale order")</f>
        <v>0</v>
      </c>
      <c r="E64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647" s="7">
        <f>SUMIFS(Tableau4[Montant imputé],Tableau4[Matricule cabinet],Tableau5[[#This Row],[Matricule cabinet]],Tableau4[Type d''imputation],"leave")</f>
        <v>0</v>
      </c>
      <c r="G647" s="7">
        <f>SUMIFS(Tableau4[Montant imputé],Tableau4[Matricule cabinet],Tableau5[[#This Row],[Matricule cabinet]],Tableau4[Type d''imputation],"absence")</f>
        <v>0</v>
      </c>
      <c r="H647" s="7">
        <f>SUM(Tableau5[[#This Row],[B WK]:[Unpaid leave WK]])</f>
        <v>20</v>
      </c>
    </row>
    <row r="648" spans="1:8">
      <c r="A648" s="7" t="s">
        <v>618</v>
      </c>
      <c r="B648" s="7" t="s">
        <v>619</v>
      </c>
      <c r="C648" s="7" t="s">
        <v>36</v>
      </c>
      <c r="D648" s="7">
        <f>SUMIFS(Tableau4[Montant imputé],Tableau4[Matricule cabinet],Tableau5[[#This Row],[Matricule cabinet]],Tableau4[Type d''imputation],"sale order")</f>
        <v>11</v>
      </c>
      <c r="E64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648" s="7">
        <f>SUMIFS(Tableau4[Montant imputé],Tableau4[Matricule cabinet],Tableau5[[#This Row],[Matricule cabinet]],Tableau4[Type d''imputation],"leave")</f>
        <v>7</v>
      </c>
      <c r="G648" s="7">
        <f>SUMIFS(Tableau4[Montant imputé],Tableau4[Matricule cabinet],Tableau5[[#This Row],[Matricule cabinet]],Tableau4[Type d''imputation],"absence")</f>
        <v>0</v>
      </c>
      <c r="H648" s="7">
        <f>SUM(Tableau5[[#This Row],[B WK]:[Unpaid leave WK]])</f>
        <v>20</v>
      </c>
    </row>
    <row r="649" spans="1:8">
      <c r="A649" s="7" t="s">
        <v>1375</v>
      </c>
      <c r="B649" s="7" t="s">
        <v>1376</v>
      </c>
      <c r="C649" s="7" t="s">
        <v>15</v>
      </c>
      <c r="D649" s="7">
        <f>SUMIFS(Tableau4[Montant imputé],Tableau4[Matricule cabinet],Tableau5[[#This Row],[Matricule cabinet]],Tableau4[Type d''imputation],"sale order")</f>
        <v>19</v>
      </c>
      <c r="E64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49" s="7">
        <f>SUMIFS(Tableau4[Montant imputé],Tableau4[Matricule cabinet],Tableau5[[#This Row],[Matricule cabinet]],Tableau4[Type d''imputation],"leave")</f>
        <v>1</v>
      </c>
      <c r="G649" s="7">
        <f>SUMIFS(Tableau4[Montant imputé],Tableau4[Matricule cabinet],Tableau5[[#This Row],[Matricule cabinet]],Tableau4[Type d''imputation],"absence")</f>
        <v>0</v>
      </c>
      <c r="H649" s="7">
        <f>SUM(Tableau5[[#This Row],[B WK]:[Unpaid leave WK]])</f>
        <v>20</v>
      </c>
    </row>
    <row r="650" spans="1:8">
      <c r="A650" s="7" t="s">
        <v>734</v>
      </c>
      <c r="B650" s="7" t="s">
        <v>735</v>
      </c>
      <c r="C650" s="7" t="s">
        <v>25</v>
      </c>
      <c r="D650" s="7">
        <f>SUMIFS(Tableau4[Montant imputé],Tableau4[Matricule cabinet],Tableau5[[#This Row],[Matricule cabinet]],Tableau4[Type d''imputation],"sale order")</f>
        <v>17</v>
      </c>
      <c r="E65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650" s="7">
        <f>SUMIFS(Tableau4[Montant imputé],Tableau4[Matricule cabinet],Tableau5[[#This Row],[Matricule cabinet]],Tableau4[Type d''imputation],"leave")</f>
        <v>0</v>
      </c>
      <c r="G650" s="7">
        <f>SUMIFS(Tableau4[Montant imputé],Tableau4[Matricule cabinet],Tableau5[[#This Row],[Matricule cabinet]],Tableau4[Type d''imputation],"absence")</f>
        <v>0</v>
      </c>
      <c r="H650" s="7">
        <f>SUM(Tableau5[[#This Row],[B WK]:[Unpaid leave WK]])</f>
        <v>20</v>
      </c>
    </row>
    <row r="651" spans="1:8">
      <c r="A651" s="7" t="s">
        <v>1047</v>
      </c>
      <c r="B651" s="7" t="s">
        <v>1048</v>
      </c>
      <c r="C651" s="7" t="s">
        <v>44</v>
      </c>
      <c r="D651" s="7">
        <f>SUMIFS(Tableau4[Montant imputé],Tableau4[Matricule cabinet],Tableau5[[#This Row],[Matricule cabinet]],Tableau4[Type d''imputation],"sale order")</f>
        <v>20</v>
      </c>
      <c r="E65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51" s="7">
        <f>SUMIFS(Tableau4[Montant imputé],Tableau4[Matricule cabinet],Tableau5[[#This Row],[Matricule cabinet]],Tableau4[Type d''imputation],"leave")</f>
        <v>0</v>
      </c>
      <c r="G651" s="7">
        <f>SUMIFS(Tableau4[Montant imputé],Tableau4[Matricule cabinet],Tableau5[[#This Row],[Matricule cabinet]],Tableau4[Type d''imputation],"absence")</f>
        <v>0</v>
      </c>
      <c r="H651" s="7">
        <f>SUM(Tableau5[[#This Row],[B WK]:[Unpaid leave WK]])</f>
        <v>20</v>
      </c>
    </row>
    <row r="652" spans="1:8">
      <c r="A652" s="7" t="s">
        <v>1288</v>
      </c>
      <c r="B652" s="7" t="s">
        <v>1289</v>
      </c>
      <c r="C652" s="7" t="s">
        <v>27</v>
      </c>
      <c r="D652" s="7">
        <f>SUMIFS(Tableau4[Montant imputé],Tableau4[Matricule cabinet],Tableau5[[#This Row],[Matricule cabinet]],Tableau4[Type d''imputation],"sale order")</f>
        <v>20</v>
      </c>
      <c r="E65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52" s="7">
        <f>SUMIFS(Tableau4[Montant imputé],Tableau4[Matricule cabinet],Tableau5[[#This Row],[Matricule cabinet]],Tableau4[Type d''imputation],"leave")</f>
        <v>0</v>
      </c>
      <c r="G652" s="7">
        <f>SUMIFS(Tableau4[Montant imputé],Tableau4[Matricule cabinet],Tableau5[[#This Row],[Matricule cabinet]],Tableau4[Type d''imputation],"absence")</f>
        <v>0</v>
      </c>
      <c r="H652" s="7">
        <f>SUM(Tableau5[[#This Row],[B WK]:[Unpaid leave WK]])</f>
        <v>20</v>
      </c>
    </row>
    <row r="653" spans="1:8">
      <c r="A653" s="7" t="s">
        <v>784</v>
      </c>
      <c r="B653" s="7" t="s">
        <v>785</v>
      </c>
      <c r="C653" s="7" t="s">
        <v>93</v>
      </c>
      <c r="D653" s="7">
        <f>SUMIFS(Tableau4[Montant imputé],Tableau4[Matricule cabinet],Tableau5[[#This Row],[Matricule cabinet]],Tableau4[Type d''imputation],"sale order")</f>
        <v>17.5</v>
      </c>
      <c r="E65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1.5</v>
      </c>
      <c r="F653" s="7">
        <f>SUMIFS(Tableau4[Montant imputé],Tableau4[Matricule cabinet],Tableau5[[#This Row],[Matricule cabinet]],Tableau4[Type d''imputation],"leave")</f>
        <v>1</v>
      </c>
      <c r="G653" s="7">
        <f>SUMIFS(Tableau4[Montant imputé],Tableau4[Matricule cabinet],Tableau5[[#This Row],[Matricule cabinet]],Tableau4[Type d''imputation],"absence")</f>
        <v>0</v>
      </c>
      <c r="H653" s="7">
        <f>SUM(Tableau5[[#This Row],[B WK]:[Unpaid leave WK]])</f>
        <v>20</v>
      </c>
    </row>
    <row r="654" spans="1:8">
      <c r="A654" s="7" t="s">
        <v>657</v>
      </c>
      <c r="B654" s="7" t="s">
        <v>658</v>
      </c>
      <c r="C654" s="7" t="s">
        <v>18</v>
      </c>
      <c r="D654" s="7">
        <f>SUMIFS(Tableau4[Montant imputé],Tableau4[Matricule cabinet],Tableau5[[#This Row],[Matricule cabinet]],Tableau4[Type d''imputation],"sale order")</f>
        <v>3</v>
      </c>
      <c r="E65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17</v>
      </c>
      <c r="F654" s="7">
        <f>SUMIFS(Tableau4[Montant imputé],Tableau4[Matricule cabinet],Tableau5[[#This Row],[Matricule cabinet]],Tableau4[Type d''imputation],"leave")</f>
        <v>0</v>
      </c>
      <c r="G654" s="7">
        <f>SUMIFS(Tableau4[Montant imputé],Tableau4[Matricule cabinet],Tableau5[[#This Row],[Matricule cabinet]],Tableau4[Type d''imputation],"absence")</f>
        <v>0</v>
      </c>
      <c r="H654" s="7">
        <f>SUM(Tableau5[[#This Row],[B WK]:[Unpaid leave WK]])</f>
        <v>20</v>
      </c>
    </row>
    <row r="655" spans="1:8">
      <c r="A655" s="7" t="s">
        <v>1139</v>
      </c>
      <c r="B655" s="7" t="s">
        <v>95</v>
      </c>
      <c r="C655" s="7" t="s">
        <v>543</v>
      </c>
      <c r="D655" s="7">
        <f>SUMIFS(Tableau4[Montant imputé],Tableau4[Matricule cabinet],Tableau5[[#This Row],[Matricule cabinet]],Tableau4[Type d''imputation],"sale order")</f>
        <v>18</v>
      </c>
      <c r="E65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55" s="7">
        <f>SUMIFS(Tableau4[Montant imputé],Tableau4[Matricule cabinet],Tableau5[[#This Row],[Matricule cabinet]],Tableau4[Type d''imputation],"leave")</f>
        <v>2</v>
      </c>
      <c r="G655" s="7">
        <f>SUMIFS(Tableau4[Montant imputé],Tableau4[Matricule cabinet],Tableau5[[#This Row],[Matricule cabinet]],Tableau4[Type d''imputation],"absence")</f>
        <v>0</v>
      </c>
      <c r="H655" s="7">
        <f>SUM(Tableau5[[#This Row],[B WK]:[Unpaid leave WK]])</f>
        <v>20</v>
      </c>
    </row>
    <row r="656" spans="1:8">
      <c r="A656" s="7" t="s">
        <v>1049</v>
      </c>
      <c r="B656" s="7" t="s">
        <v>1050</v>
      </c>
      <c r="C656" s="7" t="s">
        <v>44</v>
      </c>
      <c r="D656" s="7">
        <f>SUMIFS(Tableau4[Montant imputé],Tableau4[Matricule cabinet],Tableau5[[#This Row],[Matricule cabinet]],Tableau4[Type d''imputation],"sale order")</f>
        <v>20</v>
      </c>
      <c r="E65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56" s="7">
        <f>SUMIFS(Tableau4[Montant imputé],Tableau4[Matricule cabinet],Tableau5[[#This Row],[Matricule cabinet]],Tableau4[Type d''imputation],"leave")</f>
        <v>0</v>
      </c>
      <c r="G656" s="7">
        <f>SUMIFS(Tableau4[Montant imputé],Tableau4[Matricule cabinet],Tableau5[[#This Row],[Matricule cabinet]],Tableau4[Type d''imputation],"absence")</f>
        <v>0</v>
      </c>
      <c r="H656" s="7">
        <f>SUM(Tableau5[[#This Row],[B WK]:[Unpaid leave WK]])</f>
        <v>20</v>
      </c>
    </row>
    <row r="657" spans="1:8">
      <c r="A657" s="7" t="s">
        <v>954</v>
      </c>
      <c r="B657" s="7" t="s">
        <v>955</v>
      </c>
      <c r="C657" s="7" t="s">
        <v>45</v>
      </c>
      <c r="D657" s="7">
        <f>SUMIFS(Tableau4[Montant imputé],Tableau4[Matricule cabinet],Tableau5[[#This Row],[Matricule cabinet]],Tableau4[Type d''imputation],"sale order")</f>
        <v>20</v>
      </c>
      <c r="E65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57" s="7">
        <f>SUMIFS(Tableau4[Montant imputé],Tableau4[Matricule cabinet],Tableau5[[#This Row],[Matricule cabinet]],Tableau4[Type d''imputation],"leave")</f>
        <v>0</v>
      </c>
      <c r="G657" s="7">
        <f>SUMIFS(Tableau4[Montant imputé],Tableau4[Matricule cabinet],Tableau5[[#This Row],[Matricule cabinet]],Tableau4[Type d''imputation],"absence")</f>
        <v>0</v>
      </c>
      <c r="H657" s="7">
        <f>SUM(Tableau5[[#This Row],[B WK]:[Unpaid leave WK]])</f>
        <v>20</v>
      </c>
    </row>
    <row r="658" spans="1:8">
      <c r="A658" s="7" t="s">
        <v>841</v>
      </c>
      <c r="B658" s="7" t="s">
        <v>842</v>
      </c>
      <c r="C658" s="7" t="s">
        <v>12</v>
      </c>
      <c r="D658" s="7">
        <f>SUMIFS(Tableau4[Montant imputé],Tableau4[Matricule cabinet],Tableau5[[#This Row],[Matricule cabinet]],Tableau4[Type d''imputation],"sale order")</f>
        <v>19</v>
      </c>
      <c r="E65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58" s="7">
        <f>SUMIFS(Tableau4[Montant imputé],Tableau4[Matricule cabinet],Tableau5[[#This Row],[Matricule cabinet]],Tableau4[Type d''imputation],"leave")</f>
        <v>1</v>
      </c>
      <c r="G658" s="7">
        <f>SUMIFS(Tableau4[Montant imputé],Tableau4[Matricule cabinet],Tableau5[[#This Row],[Matricule cabinet]],Tableau4[Type d''imputation],"absence")</f>
        <v>0</v>
      </c>
      <c r="H658" s="7">
        <f>SUM(Tableau5[[#This Row],[B WK]:[Unpaid leave WK]])</f>
        <v>20</v>
      </c>
    </row>
    <row r="659" spans="1:8">
      <c r="A659" s="7" t="s">
        <v>1423</v>
      </c>
      <c r="B659" s="7" t="s">
        <v>1424</v>
      </c>
      <c r="C659" s="7" t="s">
        <v>32</v>
      </c>
      <c r="D659" s="7">
        <f>SUMIFS(Tableau4[Montant imputé],Tableau4[Matricule cabinet],Tableau5[[#This Row],[Matricule cabinet]],Tableau4[Type d''imputation],"sale order")</f>
        <v>20</v>
      </c>
      <c r="E65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59" s="7">
        <f>SUMIFS(Tableau4[Montant imputé],Tableau4[Matricule cabinet],Tableau5[[#This Row],[Matricule cabinet]],Tableau4[Type d''imputation],"leave")</f>
        <v>0</v>
      </c>
      <c r="G659" s="7">
        <f>SUMIFS(Tableau4[Montant imputé],Tableau4[Matricule cabinet],Tableau5[[#This Row],[Matricule cabinet]],Tableau4[Type d''imputation],"absence")</f>
        <v>0</v>
      </c>
      <c r="H659" s="7">
        <f>SUM(Tableau5[[#This Row],[B WK]:[Unpaid leave WK]])</f>
        <v>20</v>
      </c>
    </row>
    <row r="660" spans="1:8">
      <c r="A660" s="7" t="s">
        <v>379</v>
      </c>
      <c r="B660" s="7" t="s">
        <v>380</v>
      </c>
      <c r="C660" s="7" t="s">
        <v>67</v>
      </c>
      <c r="D660" s="7">
        <f>SUMIFS(Tableau4[Montant imputé],Tableau4[Matricule cabinet],Tableau5[[#This Row],[Matricule cabinet]],Tableau4[Type d''imputation],"sale order")</f>
        <v>16</v>
      </c>
      <c r="E66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60" s="7">
        <f>SUMIFS(Tableau4[Montant imputé],Tableau4[Matricule cabinet],Tableau5[[#This Row],[Matricule cabinet]],Tableau4[Type d''imputation],"leave")</f>
        <v>4</v>
      </c>
      <c r="G660" s="7">
        <f>SUMIFS(Tableau4[Montant imputé],Tableau4[Matricule cabinet],Tableau5[[#This Row],[Matricule cabinet]],Tableau4[Type d''imputation],"absence")</f>
        <v>0</v>
      </c>
      <c r="H660" s="7">
        <f>SUM(Tableau5[[#This Row],[B WK]:[Unpaid leave WK]])</f>
        <v>20</v>
      </c>
    </row>
    <row r="661" spans="1:8">
      <c r="A661" s="7" t="s">
        <v>797</v>
      </c>
      <c r="B661" s="7" t="s">
        <v>798</v>
      </c>
      <c r="C661" s="7" t="s">
        <v>59</v>
      </c>
      <c r="D661" s="7">
        <f>SUMIFS(Tableau4[Montant imputé],Tableau4[Matricule cabinet],Tableau5[[#This Row],[Matricule cabinet]],Tableau4[Type d''imputation],"sale order")</f>
        <v>13.5</v>
      </c>
      <c r="E66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661" s="7">
        <f>SUMIFS(Tableau4[Montant imputé],Tableau4[Matricule cabinet],Tableau5[[#This Row],[Matricule cabinet]],Tableau4[Type d''imputation],"leave")</f>
        <v>5.5</v>
      </c>
      <c r="G661" s="7">
        <f>SUMIFS(Tableau4[Montant imputé],Tableau4[Matricule cabinet],Tableau5[[#This Row],[Matricule cabinet]],Tableau4[Type d''imputation],"absence")</f>
        <v>0</v>
      </c>
      <c r="H661" s="7">
        <f>SUM(Tableau5[[#This Row],[B WK]:[Unpaid leave WK]])</f>
        <v>20</v>
      </c>
    </row>
    <row r="662" spans="1:8">
      <c r="A662" s="7" t="s">
        <v>833</v>
      </c>
      <c r="B662" s="7" t="s">
        <v>834</v>
      </c>
      <c r="C662" s="7" t="s">
        <v>52</v>
      </c>
      <c r="D662" s="7">
        <f>SUMIFS(Tableau4[Montant imputé],Tableau4[Matricule cabinet],Tableau5[[#This Row],[Matricule cabinet]],Tableau4[Type d''imputation],"sale order")</f>
        <v>19</v>
      </c>
      <c r="E66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662" s="7">
        <f>SUMIFS(Tableau4[Montant imputé],Tableau4[Matricule cabinet],Tableau5[[#This Row],[Matricule cabinet]],Tableau4[Type d''imputation],"leave")</f>
        <v>0</v>
      </c>
      <c r="G662" s="7">
        <f>SUMIFS(Tableau4[Montant imputé],Tableau4[Matricule cabinet],Tableau5[[#This Row],[Matricule cabinet]],Tableau4[Type d''imputation],"absence")</f>
        <v>0</v>
      </c>
      <c r="H662" s="7">
        <f>SUM(Tableau5[[#This Row],[B WK]:[Unpaid leave WK]])</f>
        <v>20</v>
      </c>
    </row>
    <row r="663" spans="1:8">
      <c r="A663" s="7" t="s">
        <v>843</v>
      </c>
      <c r="B663" s="7" t="s">
        <v>844</v>
      </c>
      <c r="C663" s="7" t="s">
        <v>12</v>
      </c>
      <c r="D663" s="7">
        <f>SUMIFS(Tableau4[Montant imputé],Tableau4[Matricule cabinet],Tableau5[[#This Row],[Matricule cabinet]],Tableau4[Type d''imputation],"sale order")</f>
        <v>14</v>
      </c>
      <c r="E66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6</v>
      </c>
      <c r="F663" s="7">
        <f>SUMIFS(Tableau4[Montant imputé],Tableau4[Matricule cabinet],Tableau5[[#This Row],[Matricule cabinet]],Tableau4[Type d''imputation],"leave")</f>
        <v>0</v>
      </c>
      <c r="G663" s="7">
        <f>SUMIFS(Tableau4[Montant imputé],Tableau4[Matricule cabinet],Tableau5[[#This Row],[Matricule cabinet]],Tableau4[Type d''imputation],"absence")</f>
        <v>0</v>
      </c>
      <c r="H663" s="7">
        <f>SUM(Tableau5[[#This Row],[B WK]:[Unpaid leave WK]])</f>
        <v>20</v>
      </c>
    </row>
    <row r="664" spans="1:8">
      <c r="A664" s="7" t="s">
        <v>538</v>
      </c>
      <c r="B664" s="7" t="s">
        <v>539</v>
      </c>
      <c r="C664" s="7" t="s">
        <v>45</v>
      </c>
      <c r="D664" s="7">
        <f>SUMIFS(Tableau4[Montant imputé],Tableau4[Matricule cabinet],Tableau5[[#This Row],[Matricule cabinet]],Tableau4[Type d''imputation],"sale order")</f>
        <v>9</v>
      </c>
      <c r="E66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664" s="7">
        <f>SUMIFS(Tableau4[Montant imputé],Tableau4[Matricule cabinet],Tableau5[[#This Row],[Matricule cabinet]],Tableau4[Type d''imputation],"leave")</f>
        <v>9</v>
      </c>
      <c r="G664" s="7">
        <f>SUMIFS(Tableau4[Montant imputé],Tableau4[Matricule cabinet],Tableau5[[#This Row],[Matricule cabinet]],Tableau4[Type d''imputation],"absence")</f>
        <v>0</v>
      </c>
      <c r="H664" s="7">
        <f>SUM(Tableau5[[#This Row],[B WK]:[Unpaid leave WK]])</f>
        <v>20</v>
      </c>
    </row>
    <row r="665" spans="1:8">
      <c r="A665" s="7" t="s">
        <v>1078</v>
      </c>
      <c r="B665" s="7" t="s">
        <v>1079</v>
      </c>
      <c r="C665" s="7" t="s">
        <v>37</v>
      </c>
      <c r="D665" s="7">
        <f>SUMIFS(Tableau4[Montant imputé],Tableau4[Matricule cabinet],Tableau5[[#This Row],[Matricule cabinet]],Tableau4[Type d''imputation],"sale order")</f>
        <v>0</v>
      </c>
      <c r="E66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17.5</v>
      </c>
      <c r="F665" s="7">
        <f>SUMIFS(Tableau4[Montant imputé],Tableau4[Matricule cabinet],Tableau5[[#This Row],[Matricule cabinet]],Tableau4[Type d''imputation],"leave")</f>
        <v>2.5</v>
      </c>
      <c r="G665" s="7">
        <f>SUMIFS(Tableau4[Montant imputé],Tableau4[Matricule cabinet],Tableau5[[#This Row],[Matricule cabinet]],Tableau4[Type d''imputation],"absence")</f>
        <v>0</v>
      </c>
      <c r="H665" s="7">
        <f>SUM(Tableau5[[#This Row],[B WK]:[Unpaid leave WK]])</f>
        <v>20</v>
      </c>
    </row>
    <row r="666" spans="1:8">
      <c r="A666" s="7" t="s">
        <v>295</v>
      </c>
      <c r="B666" s="7" t="s">
        <v>296</v>
      </c>
      <c r="C666" s="7" t="s">
        <v>3</v>
      </c>
      <c r="D666" s="7">
        <f>SUMIFS(Tableau4[Montant imputé],Tableau4[Matricule cabinet],Tableau5[[#This Row],[Matricule cabinet]],Tableau4[Type d''imputation],"sale order")</f>
        <v>18</v>
      </c>
      <c r="E66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66" s="7">
        <f>SUMIFS(Tableau4[Montant imputé],Tableau4[Matricule cabinet],Tableau5[[#This Row],[Matricule cabinet]],Tableau4[Type d''imputation],"leave")</f>
        <v>2</v>
      </c>
      <c r="G666" s="7">
        <f>SUMIFS(Tableau4[Montant imputé],Tableau4[Matricule cabinet],Tableau5[[#This Row],[Matricule cabinet]],Tableau4[Type d''imputation],"absence")</f>
        <v>0</v>
      </c>
      <c r="H666" s="7">
        <f>SUM(Tableau5[[#This Row],[B WK]:[Unpaid leave WK]])</f>
        <v>20</v>
      </c>
    </row>
    <row r="667" spans="1:8">
      <c r="A667" s="7" t="s">
        <v>1131</v>
      </c>
      <c r="B667" s="7" t="s">
        <v>1132</v>
      </c>
      <c r="C667" s="7" t="s">
        <v>73</v>
      </c>
      <c r="D667" s="7">
        <f>SUMIFS(Tableau4[Montant imputé],Tableau4[Matricule cabinet],Tableau5[[#This Row],[Matricule cabinet]],Tableau4[Type d''imputation],"sale order")</f>
        <v>11</v>
      </c>
      <c r="E66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67" s="7">
        <f>SUMIFS(Tableau4[Montant imputé],Tableau4[Matricule cabinet],Tableau5[[#This Row],[Matricule cabinet]],Tableau4[Type d''imputation],"leave")</f>
        <v>9</v>
      </c>
      <c r="G667" s="7">
        <f>SUMIFS(Tableau4[Montant imputé],Tableau4[Matricule cabinet],Tableau5[[#This Row],[Matricule cabinet]],Tableau4[Type d''imputation],"absence")</f>
        <v>0</v>
      </c>
      <c r="H667" s="7">
        <f>SUM(Tableau5[[#This Row],[B WK]:[Unpaid leave WK]])</f>
        <v>20</v>
      </c>
    </row>
    <row r="668" spans="1:8">
      <c r="A668" s="7" t="s">
        <v>1553</v>
      </c>
      <c r="B668" s="7" t="s">
        <v>1554</v>
      </c>
      <c r="C668" s="7" t="s">
        <v>85</v>
      </c>
      <c r="D668" s="7">
        <f>SUMIFS(Tableau4[Montant imputé],Tableau4[Matricule cabinet],Tableau5[[#This Row],[Matricule cabinet]],Tableau4[Type d''imputation],"sale order")</f>
        <v>20</v>
      </c>
      <c r="E66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68" s="7">
        <f>SUMIFS(Tableau4[Montant imputé],Tableau4[Matricule cabinet],Tableau5[[#This Row],[Matricule cabinet]],Tableau4[Type d''imputation],"leave")</f>
        <v>0</v>
      </c>
      <c r="G668" s="7">
        <f>SUMIFS(Tableau4[Montant imputé],Tableau4[Matricule cabinet],Tableau5[[#This Row],[Matricule cabinet]],Tableau4[Type d''imputation],"absence")</f>
        <v>0</v>
      </c>
      <c r="H668" s="7">
        <f>SUM(Tableau5[[#This Row],[B WK]:[Unpaid leave WK]])</f>
        <v>20</v>
      </c>
    </row>
    <row r="669" spans="1:8">
      <c r="A669" s="7" t="s">
        <v>1464</v>
      </c>
      <c r="B669" s="7" t="s">
        <v>1465</v>
      </c>
      <c r="C669" s="7" t="s">
        <v>49</v>
      </c>
      <c r="D669" s="7">
        <f>SUMIFS(Tableau4[Montant imputé],Tableau4[Matricule cabinet],Tableau5[[#This Row],[Matricule cabinet]],Tableau4[Type d''imputation],"sale order")</f>
        <v>2</v>
      </c>
      <c r="E66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18</v>
      </c>
      <c r="F669" s="7">
        <f>SUMIFS(Tableau4[Montant imputé],Tableau4[Matricule cabinet],Tableau5[[#This Row],[Matricule cabinet]],Tableau4[Type d''imputation],"leave")</f>
        <v>0</v>
      </c>
      <c r="G669" s="7">
        <f>SUMIFS(Tableau4[Montant imputé],Tableau4[Matricule cabinet],Tableau5[[#This Row],[Matricule cabinet]],Tableau4[Type d''imputation],"absence")</f>
        <v>0</v>
      </c>
      <c r="H669" s="7">
        <f>SUM(Tableau5[[#This Row],[B WK]:[Unpaid leave WK]])</f>
        <v>20</v>
      </c>
    </row>
    <row r="670" spans="1:8">
      <c r="A670" s="7" t="s">
        <v>956</v>
      </c>
      <c r="B670" s="7" t="s">
        <v>957</v>
      </c>
      <c r="C670" s="7" t="s">
        <v>45</v>
      </c>
      <c r="D670" s="7">
        <f>SUMIFS(Tableau4[Montant imputé],Tableau4[Matricule cabinet],Tableau5[[#This Row],[Matricule cabinet]],Tableau4[Type d''imputation],"sale order")</f>
        <v>20</v>
      </c>
      <c r="E67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70" s="7">
        <f>SUMIFS(Tableau4[Montant imputé],Tableau4[Matricule cabinet],Tableau5[[#This Row],[Matricule cabinet]],Tableau4[Type d''imputation],"leave")</f>
        <v>0</v>
      </c>
      <c r="G670" s="7">
        <f>SUMIFS(Tableau4[Montant imputé],Tableau4[Matricule cabinet],Tableau5[[#This Row],[Matricule cabinet]],Tableau4[Type d''imputation],"absence")</f>
        <v>0</v>
      </c>
      <c r="H670" s="7">
        <f>SUM(Tableau5[[#This Row],[B WK]:[Unpaid leave WK]])</f>
        <v>20</v>
      </c>
    </row>
    <row r="671" spans="1:8">
      <c r="A671" s="7" t="s">
        <v>1530</v>
      </c>
      <c r="B671" s="7" t="s">
        <v>15</v>
      </c>
      <c r="C671" s="7" t="s">
        <v>8</v>
      </c>
      <c r="D671" s="7">
        <f>SUMIFS(Tableau4[Montant imputé],Tableau4[Matricule cabinet],Tableau5[[#This Row],[Matricule cabinet]],Tableau4[Type d''imputation],"sale order")</f>
        <v>19</v>
      </c>
      <c r="E67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671" s="7">
        <f>SUMIFS(Tableau4[Montant imputé],Tableau4[Matricule cabinet],Tableau5[[#This Row],[Matricule cabinet]],Tableau4[Type d''imputation],"leave")</f>
        <v>0</v>
      </c>
      <c r="G671" s="7">
        <f>SUMIFS(Tableau4[Montant imputé],Tableau4[Matricule cabinet],Tableau5[[#This Row],[Matricule cabinet]],Tableau4[Type d''imputation],"absence")</f>
        <v>0</v>
      </c>
      <c r="H671" s="7">
        <f>SUM(Tableau5[[#This Row],[B WK]:[Unpaid leave WK]])</f>
        <v>20</v>
      </c>
    </row>
    <row r="672" spans="1:8">
      <c r="A672" s="7" t="s">
        <v>632</v>
      </c>
      <c r="B672" s="7" t="s">
        <v>633</v>
      </c>
      <c r="C672" s="7" t="s">
        <v>7</v>
      </c>
      <c r="D672" s="7">
        <f>SUMIFS(Tableau4[Montant imputé],Tableau4[Matricule cabinet],Tableau5[[#This Row],[Matricule cabinet]],Tableau4[Type d''imputation],"sale order")</f>
        <v>0</v>
      </c>
      <c r="E67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672" s="7">
        <f>SUMIFS(Tableau4[Montant imputé],Tableau4[Matricule cabinet],Tableau5[[#This Row],[Matricule cabinet]],Tableau4[Type d''imputation],"leave")</f>
        <v>0</v>
      </c>
      <c r="G672" s="7">
        <f>SUMIFS(Tableau4[Montant imputé],Tableau4[Matricule cabinet],Tableau5[[#This Row],[Matricule cabinet]],Tableau4[Type d''imputation],"absence")</f>
        <v>11</v>
      </c>
      <c r="H672" s="7">
        <f>SUM(Tableau5[[#This Row],[B WK]:[Unpaid leave WK]])</f>
        <v>20</v>
      </c>
    </row>
    <row r="673" spans="1:8">
      <c r="A673" s="7" t="s">
        <v>773</v>
      </c>
      <c r="B673" s="7" t="s">
        <v>78</v>
      </c>
      <c r="C673" s="7" t="s">
        <v>56</v>
      </c>
      <c r="D673" s="7">
        <f>SUMIFS(Tableau4[Montant imputé],Tableau4[Matricule cabinet],Tableau5[[#This Row],[Matricule cabinet]],Tableau4[Type d''imputation],"sale order")</f>
        <v>19</v>
      </c>
      <c r="E67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673" s="7">
        <f>SUMIFS(Tableau4[Montant imputé],Tableau4[Matricule cabinet],Tableau5[[#This Row],[Matricule cabinet]],Tableau4[Type d''imputation],"leave")</f>
        <v>0</v>
      </c>
      <c r="G673" s="7">
        <f>SUMIFS(Tableau4[Montant imputé],Tableau4[Matricule cabinet],Tableau5[[#This Row],[Matricule cabinet]],Tableau4[Type d''imputation],"absence")</f>
        <v>0</v>
      </c>
      <c r="H673" s="7">
        <f>SUM(Tableau5[[#This Row],[B WK]:[Unpaid leave WK]])</f>
        <v>20</v>
      </c>
    </row>
    <row r="674" spans="1:8">
      <c r="A674" s="7" t="s">
        <v>1454</v>
      </c>
      <c r="B674" s="7" t="s">
        <v>32</v>
      </c>
      <c r="C674" s="7" t="s">
        <v>54</v>
      </c>
      <c r="D674" s="7">
        <f>SUMIFS(Tableau4[Montant imputé],Tableau4[Matricule cabinet],Tableau5[[#This Row],[Matricule cabinet]],Tableau4[Type d''imputation],"sale order")</f>
        <v>5.5</v>
      </c>
      <c r="E67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14.5</v>
      </c>
      <c r="F674" s="7">
        <f>SUMIFS(Tableau4[Montant imputé],Tableau4[Matricule cabinet],Tableau5[[#This Row],[Matricule cabinet]],Tableau4[Type d''imputation],"leave")</f>
        <v>0</v>
      </c>
      <c r="G674" s="7">
        <f>SUMIFS(Tableau4[Montant imputé],Tableau4[Matricule cabinet],Tableau5[[#This Row],[Matricule cabinet]],Tableau4[Type d''imputation],"absence")</f>
        <v>0</v>
      </c>
      <c r="H674" s="7">
        <f>SUM(Tableau5[[#This Row],[B WK]:[Unpaid leave WK]])</f>
        <v>20</v>
      </c>
    </row>
    <row r="675" spans="1:8">
      <c r="A675" s="7" t="s">
        <v>1508</v>
      </c>
      <c r="B675" s="7" t="s">
        <v>1509</v>
      </c>
      <c r="C675" s="7" t="s">
        <v>49</v>
      </c>
      <c r="D675" s="7">
        <f>SUMIFS(Tableau4[Montant imputé],Tableau4[Matricule cabinet],Tableau5[[#This Row],[Matricule cabinet]],Tableau4[Type d''imputation],"sale order")</f>
        <v>17</v>
      </c>
      <c r="E67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675" s="7">
        <f>SUMIFS(Tableau4[Montant imputé],Tableau4[Matricule cabinet],Tableau5[[#This Row],[Matricule cabinet]],Tableau4[Type d''imputation],"leave")</f>
        <v>0</v>
      </c>
      <c r="G675" s="7">
        <f>SUMIFS(Tableau4[Montant imputé],Tableau4[Matricule cabinet],Tableau5[[#This Row],[Matricule cabinet]],Tableau4[Type d''imputation],"absence")</f>
        <v>0</v>
      </c>
      <c r="H675" s="7">
        <f>SUM(Tableau5[[#This Row],[B WK]:[Unpaid leave WK]])</f>
        <v>20</v>
      </c>
    </row>
    <row r="676" spans="1:8">
      <c r="A676" s="7" t="s">
        <v>626</v>
      </c>
      <c r="B676" s="7" t="s">
        <v>627</v>
      </c>
      <c r="C676" s="7" t="s">
        <v>82</v>
      </c>
      <c r="D676" s="7">
        <f>SUMIFS(Tableau4[Montant imputé],Tableau4[Matricule cabinet],Tableau5[[#This Row],[Matricule cabinet]],Tableau4[Type d''imputation],"sale order")</f>
        <v>0</v>
      </c>
      <c r="E67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676" s="7">
        <f>SUMIFS(Tableau4[Montant imputé],Tableau4[Matricule cabinet],Tableau5[[#This Row],[Matricule cabinet]],Tableau4[Type d''imputation],"leave")</f>
        <v>0</v>
      </c>
      <c r="G676" s="7">
        <f>SUMIFS(Tableau4[Montant imputé],Tableau4[Matricule cabinet],Tableau5[[#This Row],[Matricule cabinet]],Tableau4[Type d''imputation],"absence")</f>
        <v>0</v>
      </c>
      <c r="H676" s="7">
        <f>SUM(Tableau5[[#This Row],[B WK]:[Unpaid leave WK]])</f>
        <v>20</v>
      </c>
    </row>
    <row r="677" spans="1:8">
      <c r="A677" s="7" t="s">
        <v>878</v>
      </c>
      <c r="B677" s="7" t="s">
        <v>879</v>
      </c>
      <c r="C677" s="7" t="s">
        <v>34</v>
      </c>
      <c r="D677" s="7">
        <f>SUMIFS(Tableau4[Montant imputé],Tableau4[Matricule cabinet],Tableau5[[#This Row],[Matricule cabinet]],Tableau4[Type d''imputation],"sale order")</f>
        <v>18</v>
      </c>
      <c r="E67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77" s="7">
        <f>SUMIFS(Tableau4[Montant imputé],Tableau4[Matricule cabinet],Tableau5[[#This Row],[Matricule cabinet]],Tableau4[Type d''imputation],"leave")</f>
        <v>2</v>
      </c>
      <c r="G677" s="7">
        <f>SUMIFS(Tableau4[Montant imputé],Tableau4[Matricule cabinet],Tableau5[[#This Row],[Matricule cabinet]],Tableau4[Type d''imputation],"absence")</f>
        <v>0</v>
      </c>
      <c r="H677" s="7">
        <f>SUM(Tableau5[[#This Row],[B WK]:[Unpaid leave WK]])</f>
        <v>20</v>
      </c>
    </row>
    <row r="678" spans="1:8">
      <c r="A678" s="7" t="s">
        <v>271</v>
      </c>
      <c r="B678" s="7" t="s">
        <v>272</v>
      </c>
      <c r="C678" s="7" t="s">
        <v>84</v>
      </c>
      <c r="D678" s="7">
        <f>SUMIFS(Tableau4[Montant imputé],Tableau4[Matricule cabinet],Tableau5[[#This Row],[Matricule cabinet]],Tableau4[Type d''imputation],"sale order")</f>
        <v>0</v>
      </c>
      <c r="E67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678" s="7">
        <f>SUMIFS(Tableau4[Montant imputé],Tableau4[Matricule cabinet],Tableau5[[#This Row],[Matricule cabinet]],Tableau4[Type d''imputation],"leave")</f>
        <v>1</v>
      </c>
      <c r="G678" s="7">
        <f>SUMIFS(Tableau4[Montant imputé],Tableau4[Matricule cabinet],Tableau5[[#This Row],[Matricule cabinet]],Tableau4[Type d''imputation],"absence")</f>
        <v>0</v>
      </c>
      <c r="H678" s="7">
        <f>SUM(Tableau5[[#This Row],[B WK]:[Unpaid leave WK]])</f>
        <v>20</v>
      </c>
    </row>
    <row r="679" spans="1:8">
      <c r="A679" s="7" t="s">
        <v>397</v>
      </c>
      <c r="B679" s="7" t="s">
        <v>398</v>
      </c>
      <c r="C679" s="7" t="s">
        <v>13</v>
      </c>
      <c r="D679" s="7">
        <f>SUMIFS(Tableau4[Montant imputé],Tableau4[Matricule cabinet],Tableau5[[#This Row],[Matricule cabinet]],Tableau4[Type d''imputation],"sale order")</f>
        <v>18</v>
      </c>
      <c r="E67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79" s="7">
        <f>SUMIFS(Tableau4[Montant imputé],Tableau4[Matricule cabinet],Tableau5[[#This Row],[Matricule cabinet]],Tableau4[Type d''imputation],"leave")</f>
        <v>2</v>
      </c>
      <c r="G679" s="7">
        <f>SUMIFS(Tableau4[Montant imputé],Tableau4[Matricule cabinet],Tableau5[[#This Row],[Matricule cabinet]],Tableau4[Type d''imputation],"absence")</f>
        <v>0</v>
      </c>
      <c r="H679" s="7">
        <f>SUM(Tableau5[[#This Row],[B WK]:[Unpaid leave WK]])</f>
        <v>20</v>
      </c>
    </row>
    <row r="680" spans="1:8">
      <c r="A680" s="7" t="s">
        <v>1225</v>
      </c>
      <c r="B680" s="7" t="s">
        <v>1226</v>
      </c>
      <c r="C680" s="7" t="s">
        <v>22</v>
      </c>
      <c r="D680" s="7">
        <f>SUMIFS(Tableau4[Montant imputé],Tableau4[Matricule cabinet],Tableau5[[#This Row],[Matricule cabinet]],Tableau4[Type d''imputation],"sale order")</f>
        <v>10</v>
      </c>
      <c r="E68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</v>
      </c>
      <c r="F680" s="7">
        <f>SUMIFS(Tableau4[Montant imputé],Tableau4[Matricule cabinet],Tableau5[[#This Row],[Matricule cabinet]],Tableau4[Type d''imputation],"leave")</f>
        <v>0</v>
      </c>
      <c r="G680" s="7">
        <f>SUMIFS(Tableau4[Montant imputé],Tableau4[Matricule cabinet],Tableau5[[#This Row],[Matricule cabinet]],Tableau4[Type d''imputation],"absence")</f>
        <v>0</v>
      </c>
      <c r="H680" s="7">
        <f>SUM(Tableau5[[#This Row],[B WK]:[Unpaid leave WK]])</f>
        <v>20</v>
      </c>
    </row>
    <row r="681" spans="1:8">
      <c r="A681" s="7" t="s">
        <v>1158</v>
      </c>
      <c r="B681" s="7" t="s">
        <v>10</v>
      </c>
      <c r="C681" s="7" t="s">
        <v>48</v>
      </c>
      <c r="D681" s="7">
        <f>SUMIFS(Tableau4[Montant imputé],Tableau4[Matricule cabinet],Tableau5[[#This Row],[Matricule cabinet]],Tableau4[Type d''imputation],"sale order")</f>
        <v>19</v>
      </c>
      <c r="E68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</v>
      </c>
      <c r="F681" s="7">
        <f>SUMIFS(Tableau4[Montant imputé],Tableau4[Matricule cabinet],Tableau5[[#This Row],[Matricule cabinet]],Tableau4[Type d''imputation],"leave")</f>
        <v>0</v>
      </c>
      <c r="G681" s="7">
        <f>SUMIFS(Tableau4[Montant imputé],Tableau4[Matricule cabinet],Tableau5[[#This Row],[Matricule cabinet]],Tableau4[Type d''imputation],"absence")</f>
        <v>0</v>
      </c>
      <c r="H681" s="7">
        <f>SUM(Tableau5[[#This Row],[B WK]:[Unpaid leave WK]])</f>
        <v>20</v>
      </c>
    </row>
    <row r="682" spans="1:8" ht="29.1">
      <c r="A682" s="7" t="s">
        <v>1175</v>
      </c>
      <c r="B682" s="7" t="s">
        <v>1176</v>
      </c>
      <c r="C682" s="7" t="s">
        <v>86</v>
      </c>
      <c r="D682" s="7">
        <f>SUMIFS(Tableau4[Montant imputé],Tableau4[Matricule cabinet],Tableau5[[#This Row],[Matricule cabinet]],Tableau4[Type d''imputation],"sale order")</f>
        <v>20</v>
      </c>
      <c r="E68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82" s="7">
        <f>SUMIFS(Tableau4[Montant imputé],Tableau4[Matricule cabinet],Tableau5[[#This Row],[Matricule cabinet]],Tableau4[Type d''imputation],"leave")</f>
        <v>0</v>
      </c>
      <c r="G682" s="7">
        <f>SUMIFS(Tableau4[Montant imputé],Tableau4[Matricule cabinet],Tableau5[[#This Row],[Matricule cabinet]],Tableau4[Type d''imputation],"absence")</f>
        <v>0</v>
      </c>
      <c r="H682" s="7">
        <f>SUM(Tableau5[[#This Row],[B WK]:[Unpaid leave WK]])</f>
        <v>20</v>
      </c>
    </row>
    <row r="683" spans="1:8">
      <c r="A683" s="7" t="s">
        <v>318</v>
      </c>
      <c r="B683" s="7" t="s">
        <v>319</v>
      </c>
      <c r="C683" s="7" t="s">
        <v>17</v>
      </c>
      <c r="D683" s="7">
        <f>SUMIFS(Tableau4[Montant imputé],Tableau4[Matricule cabinet],Tableau5[[#This Row],[Matricule cabinet]],Tableau4[Type d''imputation],"sale order")</f>
        <v>0</v>
      </c>
      <c r="E68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683" s="7">
        <f>SUMIFS(Tableau4[Montant imputé],Tableau4[Matricule cabinet],Tableau5[[#This Row],[Matricule cabinet]],Tableau4[Type d''imputation],"leave")</f>
        <v>1</v>
      </c>
      <c r="G683" s="7">
        <f>SUMIFS(Tableau4[Montant imputé],Tableau4[Matricule cabinet],Tableau5[[#This Row],[Matricule cabinet]],Tableau4[Type d''imputation],"absence")</f>
        <v>0</v>
      </c>
      <c r="H683" s="7">
        <f>SUM(Tableau5[[#This Row],[B WK]:[Unpaid leave WK]])</f>
        <v>20</v>
      </c>
    </row>
    <row r="684" spans="1:8">
      <c r="A684" s="7" t="s">
        <v>1478</v>
      </c>
      <c r="B684" s="7" t="s">
        <v>23</v>
      </c>
      <c r="C684" s="7" t="s">
        <v>63</v>
      </c>
      <c r="D684" s="7">
        <f>SUMIFS(Tableau4[Montant imputé],Tableau4[Matricule cabinet],Tableau5[[#This Row],[Matricule cabinet]],Tableau4[Type d''imputation],"sale order")</f>
        <v>18</v>
      </c>
      <c r="E68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684" s="7">
        <f>SUMIFS(Tableau4[Montant imputé],Tableau4[Matricule cabinet],Tableau5[[#This Row],[Matricule cabinet]],Tableau4[Type d''imputation],"leave")</f>
        <v>0</v>
      </c>
      <c r="G684" s="7">
        <f>SUMIFS(Tableau4[Montant imputé],Tableau4[Matricule cabinet],Tableau5[[#This Row],[Matricule cabinet]],Tableau4[Type d''imputation],"absence")</f>
        <v>0</v>
      </c>
      <c r="H684" s="7">
        <f>SUM(Tableau5[[#This Row],[B WK]:[Unpaid leave WK]])</f>
        <v>20</v>
      </c>
    </row>
    <row r="685" spans="1:8">
      <c r="A685" s="7" t="s">
        <v>548</v>
      </c>
      <c r="B685" s="7" t="s">
        <v>549</v>
      </c>
      <c r="C685" s="7" t="s">
        <v>6</v>
      </c>
      <c r="D685" s="7">
        <f>SUMIFS(Tableau4[Montant imputé],Tableau4[Matricule cabinet],Tableau5[[#This Row],[Matricule cabinet]],Tableau4[Type d''imputation],"sale order")</f>
        <v>20</v>
      </c>
      <c r="E68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85" s="7">
        <f>SUMIFS(Tableau4[Montant imputé],Tableau4[Matricule cabinet],Tableau5[[#This Row],[Matricule cabinet]],Tableau4[Type d''imputation],"leave")</f>
        <v>0</v>
      </c>
      <c r="G685" s="7">
        <f>SUMIFS(Tableau4[Montant imputé],Tableau4[Matricule cabinet],Tableau5[[#This Row],[Matricule cabinet]],Tableau4[Type d''imputation],"absence")</f>
        <v>0</v>
      </c>
      <c r="H685" s="7">
        <f>SUM(Tableau5[[#This Row],[B WK]:[Unpaid leave WK]])</f>
        <v>20</v>
      </c>
    </row>
    <row r="686" spans="1:8">
      <c r="A686" s="7" t="s">
        <v>1315</v>
      </c>
      <c r="B686" s="7" t="s">
        <v>1316</v>
      </c>
      <c r="C686" s="7" t="s">
        <v>41</v>
      </c>
      <c r="D686" s="7">
        <f>SUMIFS(Tableau4[Montant imputé],Tableau4[Matricule cabinet],Tableau5[[#This Row],[Matricule cabinet]],Tableau4[Type d''imputation],"sale order")</f>
        <v>19.5</v>
      </c>
      <c r="E68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686" s="7">
        <f>SUMIFS(Tableau4[Montant imputé],Tableau4[Matricule cabinet],Tableau5[[#This Row],[Matricule cabinet]],Tableau4[Type d''imputation],"leave")</f>
        <v>0</v>
      </c>
      <c r="G686" s="7">
        <f>SUMIFS(Tableau4[Montant imputé],Tableau4[Matricule cabinet],Tableau5[[#This Row],[Matricule cabinet]],Tableau4[Type d''imputation],"absence")</f>
        <v>0</v>
      </c>
      <c r="H686" s="7">
        <f>SUM(Tableau5[[#This Row],[B WK]:[Unpaid leave WK]])</f>
        <v>20</v>
      </c>
    </row>
    <row r="687" spans="1:8">
      <c r="A687" s="7" t="s">
        <v>445</v>
      </c>
      <c r="B687" s="7" t="s">
        <v>446</v>
      </c>
      <c r="C687" s="7" t="s">
        <v>92</v>
      </c>
      <c r="D687" s="7">
        <f>SUMIFS(Tableau4[Montant imputé],Tableau4[Matricule cabinet],Tableau5[[#This Row],[Matricule cabinet]],Tableau4[Type d''imputation],"sale order")</f>
        <v>0</v>
      </c>
      <c r="E68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687" s="7">
        <f>SUMIFS(Tableau4[Montant imputé],Tableau4[Matricule cabinet],Tableau5[[#This Row],[Matricule cabinet]],Tableau4[Type d''imputation],"leave")</f>
        <v>0</v>
      </c>
      <c r="G687" s="7">
        <f>SUMIFS(Tableau4[Montant imputé],Tableau4[Matricule cabinet],Tableau5[[#This Row],[Matricule cabinet]],Tableau4[Type d''imputation],"absence")</f>
        <v>0</v>
      </c>
      <c r="H687" s="7">
        <f>SUM(Tableau5[[#This Row],[B WK]:[Unpaid leave WK]])</f>
        <v>20</v>
      </c>
    </row>
    <row r="688" spans="1:8">
      <c r="A688" s="7" t="s">
        <v>156</v>
      </c>
      <c r="B688" s="7" t="s">
        <v>157</v>
      </c>
      <c r="C688" s="7" t="s">
        <v>57</v>
      </c>
      <c r="D688" s="7">
        <f>SUMIFS(Tableau4[Montant imputé],Tableau4[Matricule cabinet],Tableau5[[#This Row],[Matricule cabinet]],Tableau4[Type d''imputation],"sale order")</f>
        <v>0</v>
      </c>
      <c r="E68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688" s="7">
        <f>SUMIFS(Tableau4[Montant imputé],Tableau4[Matricule cabinet],Tableau5[[#This Row],[Matricule cabinet]],Tableau4[Type d''imputation],"leave")</f>
        <v>1</v>
      </c>
      <c r="G688" s="7">
        <f>SUMIFS(Tableau4[Montant imputé],Tableau4[Matricule cabinet],Tableau5[[#This Row],[Matricule cabinet]],Tableau4[Type d''imputation],"absence")</f>
        <v>0</v>
      </c>
      <c r="H688" s="7">
        <f>SUM(Tableau5[[#This Row],[B WK]:[Unpaid leave WK]])</f>
        <v>20</v>
      </c>
    </row>
    <row r="689" spans="1:8">
      <c r="A689" s="7" t="s">
        <v>1159</v>
      </c>
      <c r="B689" s="7" t="s">
        <v>1160</v>
      </c>
      <c r="C689" s="7" t="s">
        <v>48</v>
      </c>
      <c r="D689" s="7">
        <f>SUMIFS(Tableau4[Montant imputé],Tableau4[Matricule cabinet],Tableau5[[#This Row],[Matricule cabinet]],Tableau4[Type d''imputation],"sale order")</f>
        <v>18.5</v>
      </c>
      <c r="E68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89" s="7">
        <f>SUMIFS(Tableau4[Montant imputé],Tableau4[Matricule cabinet],Tableau5[[#This Row],[Matricule cabinet]],Tableau4[Type d''imputation],"leave")</f>
        <v>1.5</v>
      </c>
      <c r="G689" s="7">
        <f>SUMIFS(Tableau4[Montant imputé],Tableau4[Matricule cabinet],Tableau5[[#This Row],[Matricule cabinet]],Tableau4[Type d''imputation],"absence")</f>
        <v>0</v>
      </c>
      <c r="H689" s="7">
        <f>SUM(Tableau5[[#This Row],[B WK]:[Unpaid leave WK]])</f>
        <v>20</v>
      </c>
    </row>
    <row r="690" spans="1:8">
      <c r="A690" s="7" t="s">
        <v>902</v>
      </c>
      <c r="B690" s="7" t="s">
        <v>903</v>
      </c>
      <c r="C690" s="7" t="s">
        <v>14</v>
      </c>
      <c r="D690" s="7">
        <f>SUMIFS(Tableau4[Montant imputé],Tableau4[Matricule cabinet],Tableau5[[#This Row],[Matricule cabinet]],Tableau4[Type d''imputation],"sale order")</f>
        <v>11.5</v>
      </c>
      <c r="E69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8.5</v>
      </c>
      <c r="F690" s="7">
        <f>SUMIFS(Tableau4[Montant imputé],Tableau4[Matricule cabinet],Tableau5[[#This Row],[Matricule cabinet]],Tableau4[Type d''imputation],"leave")</f>
        <v>0</v>
      </c>
      <c r="G690" s="7">
        <f>SUMIFS(Tableau4[Montant imputé],Tableau4[Matricule cabinet],Tableau5[[#This Row],[Matricule cabinet]],Tableau4[Type d''imputation],"absence")</f>
        <v>0</v>
      </c>
      <c r="H690" s="7">
        <f>SUM(Tableau5[[#This Row],[B WK]:[Unpaid leave WK]])</f>
        <v>20</v>
      </c>
    </row>
    <row r="691" spans="1:8">
      <c r="A691" s="7" t="s">
        <v>996</v>
      </c>
      <c r="B691" s="7" t="s">
        <v>997</v>
      </c>
      <c r="C691" s="7" t="s">
        <v>96</v>
      </c>
      <c r="D691" s="7">
        <f>SUMIFS(Tableau4[Montant imputé],Tableau4[Matricule cabinet],Tableau5[[#This Row],[Matricule cabinet]],Tableau4[Type d''imputation],"sale order")</f>
        <v>0</v>
      </c>
      <c r="E69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691" s="7">
        <f>SUMIFS(Tableau4[Montant imputé],Tableau4[Matricule cabinet],Tableau5[[#This Row],[Matricule cabinet]],Tableau4[Type d''imputation],"leave")</f>
        <v>0</v>
      </c>
      <c r="G691" s="7">
        <f>SUMIFS(Tableau4[Montant imputé],Tableau4[Matricule cabinet],Tableau5[[#This Row],[Matricule cabinet]],Tableau4[Type d''imputation],"absence")</f>
        <v>0</v>
      </c>
      <c r="H691" s="7">
        <f>SUM(Tableau5[[#This Row],[B WK]:[Unpaid leave WK]])</f>
        <v>20</v>
      </c>
    </row>
    <row r="692" spans="1:8">
      <c r="A692" s="7" t="s">
        <v>152</v>
      </c>
      <c r="B692" s="7" t="s">
        <v>153</v>
      </c>
      <c r="C692" s="7" t="s">
        <v>19</v>
      </c>
      <c r="D692" s="7">
        <f>SUMIFS(Tableau4[Montant imputé],Tableau4[Matricule cabinet],Tableau5[[#This Row],[Matricule cabinet]],Tableau4[Type d''imputation],"sale order")</f>
        <v>0</v>
      </c>
      <c r="E69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692" s="7">
        <f>SUMIFS(Tableau4[Montant imputé],Tableau4[Matricule cabinet],Tableau5[[#This Row],[Matricule cabinet]],Tableau4[Type d''imputation],"leave")</f>
        <v>0</v>
      </c>
      <c r="G692" s="7">
        <f>SUMIFS(Tableau4[Montant imputé],Tableau4[Matricule cabinet],Tableau5[[#This Row],[Matricule cabinet]],Tableau4[Type d''imputation],"absence")</f>
        <v>0</v>
      </c>
      <c r="H692" s="7">
        <f>SUM(Tableau5[[#This Row],[B WK]:[Unpaid leave WK]])</f>
        <v>20</v>
      </c>
    </row>
    <row r="693" spans="1:8">
      <c r="A693" s="7" t="s">
        <v>1522</v>
      </c>
      <c r="B693" s="7" t="s">
        <v>1523</v>
      </c>
      <c r="C693" s="7" t="s">
        <v>30</v>
      </c>
      <c r="D693" s="7">
        <f>SUMIFS(Tableau4[Montant imputé],Tableau4[Matricule cabinet],Tableau5[[#This Row],[Matricule cabinet]],Tableau4[Type d''imputation],"sale order")</f>
        <v>12.5</v>
      </c>
      <c r="E69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7.5</v>
      </c>
      <c r="F693" s="7">
        <f>SUMIFS(Tableau4[Montant imputé],Tableau4[Matricule cabinet],Tableau5[[#This Row],[Matricule cabinet]],Tableau4[Type d''imputation],"leave")</f>
        <v>0</v>
      </c>
      <c r="G693" s="7">
        <f>SUMIFS(Tableau4[Montant imputé],Tableau4[Matricule cabinet],Tableau5[[#This Row],[Matricule cabinet]],Tableau4[Type d''imputation],"absence")</f>
        <v>0</v>
      </c>
      <c r="H693" s="7">
        <f>SUM(Tableau5[[#This Row],[B WK]:[Unpaid leave WK]])</f>
        <v>20</v>
      </c>
    </row>
    <row r="694" spans="1:8">
      <c r="A694" s="7" t="s">
        <v>433</v>
      </c>
      <c r="B694" s="7" t="s">
        <v>434</v>
      </c>
      <c r="C694" s="7" t="s">
        <v>69</v>
      </c>
      <c r="D694" s="7">
        <f>SUMIFS(Tableau4[Montant imputé],Tableau4[Matricule cabinet],Tableau5[[#This Row],[Matricule cabinet]],Tableau4[Type d''imputation],"sale order")</f>
        <v>0</v>
      </c>
      <c r="E69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694" s="7">
        <f>SUMIFS(Tableau4[Montant imputé],Tableau4[Matricule cabinet],Tableau5[[#This Row],[Matricule cabinet]],Tableau4[Type d''imputation],"leave")</f>
        <v>0</v>
      </c>
      <c r="G694" s="7">
        <f>SUMIFS(Tableau4[Montant imputé],Tableau4[Matricule cabinet],Tableau5[[#This Row],[Matricule cabinet]],Tableau4[Type d''imputation],"absence")</f>
        <v>0</v>
      </c>
      <c r="H694" s="7">
        <f>SUM(Tableau5[[#This Row],[B WK]:[Unpaid leave WK]])</f>
        <v>20</v>
      </c>
    </row>
    <row r="695" spans="1:8">
      <c r="A695" s="7" t="s">
        <v>958</v>
      </c>
      <c r="B695" s="7" t="s">
        <v>959</v>
      </c>
      <c r="C695" s="7" t="s">
        <v>45</v>
      </c>
      <c r="D695" s="7">
        <f>SUMIFS(Tableau4[Montant imputé],Tableau4[Matricule cabinet],Tableau5[[#This Row],[Matricule cabinet]],Tableau4[Type d''imputation],"sale order")</f>
        <v>0</v>
      </c>
      <c r="E69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695" s="7">
        <f>SUMIFS(Tableau4[Montant imputé],Tableau4[Matricule cabinet],Tableau5[[#This Row],[Matricule cabinet]],Tableau4[Type d''imputation],"leave")</f>
        <v>0</v>
      </c>
      <c r="G695" s="7">
        <f>SUMIFS(Tableau4[Montant imputé],Tableau4[Matricule cabinet],Tableau5[[#This Row],[Matricule cabinet]],Tableau4[Type d''imputation],"absence")</f>
        <v>0</v>
      </c>
      <c r="H695" s="7">
        <f>SUM(Tableau5[[#This Row],[B WK]:[Unpaid leave WK]])</f>
        <v>20</v>
      </c>
    </row>
    <row r="696" spans="1:8">
      <c r="A696" s="7" t="s">
        <v>1043</v>
      </c>
      <c r="B696" s="7" t="s">
        <v>1044</v>
      </c>
      <c r="C696" s="7" t="s">
        <v>61</v>
      </c>
      <c r="D696" s="7">
        <f>SUMIFS(Tableau4[Montant imputé],Tableau4[Matricule cabinet],Tableau5[[#This Row],[Matricule cabinet]],Tableau4[Type d''imputation],"sale order")</f>
        <v>19.5</v>
      </c>
      <c r="E69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696" s="7">
        <f>SUMIFS(Tableau4[Montant imputé],Tableau4[Matricule cabinet],Tableau5[[#This Row],[Matricule cabinet]],Tableau4[Type d''imputation],"leave")</f>
        <v>0</v>
      </c>
      <c r="G696" s="7">
        <f>SUMIFS(Tableau4[Montant imputé],Tableau4[Matricule cabinet],Tableau5[[#This Row],[Matricule cabinet]],Tableau4[Type d''imputation],"absence")</f>
        <v>0</v>
      </c>
      <c r="H696" s="7">
        <f>SUM(Tableau5[[#This Row],[B WK]:[Unpaid leave WK]])</f>
        <v>20</v>
      </c>
    </row>
    <row r="697" spans="1:8">
      <c r="A697" s="7" t="s">
        <v>585</v>
      </c>
      <c r="B697" s="7" t="s">
        <v>520</v>
      </c>
      <c r="C697" s="7" t="s">
        <v>29</v>
      </c>
      <c r="D697" s="7">
        <f>SUMIFS(Tableau4[Montant imputé],Tableau4[Matricule cabinet],Tableau5[[#This Row],[Matricule cabinet]],Tableau4[Type d''imputation],"sale order")</f>
        <v>9</v>
      </c>
      <c r="E69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697" s="7">
        <f>SUMIFS(Tableau4[Montant imputé],Tableau4[Matricule cabinet],Tableau5[[#This Row],[Matricule cabinet]],Tableau4[Type d''imputation],"leave")</f>
        <v>8</v>
      </c>
      <c r="G697" s="7">
        <f>SUMIFS(Tableau4[Montant imputé],Tableau4[Matricule cabinet],Tableau5[[#This Row],[Matricule cabinet]],Tableau4[Type d''imputation],"absence")</f>
        <v>0</v>
      </c>
      <c r="H697" s="7">
        <f>SUM(Tableau5[[#This Row],[B WK]:[Unpaid leave WK]])</f>
        <v>20</v>
      </c>
    </row>
    <row r="698" spans="1:8">
      <c r="A698" s="7" t="s">
        <v>1080</v>
      </c>
      <c r="B698" s="7" t="s">
        <v>1081</v>
      </c>
      <c r="C698" s="7" t="s">
        <v>37</v>
      </c>
      <c r="D698" s="7">
        <f>SUMIFS(Tableau4[Montant imputé],Tableau4[Matricule cabinet],Tableau5[[#This Row],[Matricule cabinet]],Tableau4[Type d''imputation],"sale order")</f>
        <v>20</v>
      </c>
      <c r="E69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698" s="7">
        <f>SUMIFS(Tableau4[Montant imputé],Tableau4[Matricule cabinet],Tableau5[[#This Row],[Matricule cabinet]],Tableau4[Type d''imputation],"leave")</f>
        <v>0</v>
      </c>
      <c r="G698" s="7">
        <f>SUMIFS(Tableau4[Montant imputé],Tableau4[Matricule cabinet],Tableau5[[#This Row],[Matricule cabinet]],Tableau4[Type d''imputation],"absence")</f>
        <v>0</v>
      </c>
      <c r="H698" s="7">
        <f>SUM(Tableau5[[#This Row],[B WK]:[Unpaid leave WK]])</f>
        <v>20</v>
      </c>
    </row>
    <row r="699" spans="1:8">
      <c r="A699" s="7" t="s">
        <v>896</v>
      </c>
      <c r="B699" s="7" t="s">
        <v>897</v>
      </c>
      <c r="C699" s="7" t="s">
        <v>14</v>
      </c>
      <c r="D699" s="7">
        <f>SUMIFS(Tableau4[Montant imputé],Tableau4[Matricule cabinet],Tableau5[[#This Row],[Matricule cabinet]],Tableau4[Type d''imputation],"sale order")</f>
        <v>19</v>
      </c>
      <c r="E69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0.5</v>
      </c>
      <c r="F699" s="7">
        <f>SUMIFS(Tableau4[Montant imputé],Tableau4[Matricule cabinet],Tableau5[[#This Row],[Matricule cabinet]],Tableau4[Type d''imputation],"leave")</f>
        <v>0.5</v>
      </c>
      <c r="G699" s="7">
        <f>SUMIFS(Tableau4[Montant imputé],Tableau4[Matricule cabinet],Tableau5[[#This Row],[Matricule cabinet]],Tableau4[Type d''imputation],"absence")</f>
        <v>0</v>
      </c>
      <c r="H699" s="7">
        <f>SUM(Tableau5[[#This Row],[B WK]:[Unpaid leave WK]])</f>
        <v>20</v>
      </c>
    </row>
    <row r="700" spans="1:8">
      <c r="A700" s="7" t="s">
        <v>161</v>
      </c>
      <c r="B700" s="7" t="s">
        <v>162</v>
      </c>
      <c r="C700" s="7" t="s">
        <v>2</v>
      </c>
      <c r="D700" s="7">
        <f>SUMIFS(Tableau4[Montant imputé],Tableau4[Matricule cabinet],Tableau5[[#This Row],[Matricule cabinet]],Tableau4[Type d''imputation],"sale order")</f>
        <v>0</v>
      </c>
      <c r="E70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15</v>
      </c>
      <c r="F700" s="7">
        <f>SUMIFS(Tableau4[Montant imputé],Tableau4[Matricule cabinet],Tableau5[[#This Row],[Matricule cabinet]],Tableau4[Type d''imputation],"leave")</f>
        <v>5</v>
      </c>
      <c r="G700" s="7">
        <f>SUMIFS(Tableau4[Montant imputé],Tableau4[Matricule cabinet],Tableau5[[#This Row],[Matricule cabinet]],Tableau4[Type d''imputation],"absence")</f>
        <v>0</v>
      </c>
      <c r="H700" s="7">
        <f>SUM(Tableau5[[#This Row],[B WK]:[Unpaid leave WK]])</f>
        <v>20</v>
      </c>
    </row>
    <row r="701" spans="1:8">
      <c r="A701" s="7" t="s">
        <v>845</v>
      </c>
      <c r="B701" s="7" t="s">
        <v>846</v>
      </c>
      <c r="C701" s="7" t="s">
        <v>12</v>
      </c>
      <c r="D701" s="7">
        <f>SUMIFS(Tableau4[Montant imputé],Tableau4[Matricule cabinet],Tableau5[[#This Row],[Matricule cabinet]],Tableau4[Type d''imputation],"sale order")</f>
        <v>19.5</v>
      </c>
      <c r="E70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701" s="7">
        <f>SUMIFS(Tableau4[Montant imputé],Tableau4[Matricule cabinet],Tableau5[[#This Row],[Matricule cabinet]],Tableau4[Type d''imputation],"leave")</f>
        <v>0.5</v>
      </c>
      <c r="G701" s="7">
        <f>SUMIFS(Tableau4[Montant imputé],Tableau4[Matricule cabinet],Tableau5[[#This Row],[Matricule cabinet]],Tableau4[Type d''imputation],"absence")</f>
        <v>0</v>
      </c>
      <c r="H701" s="7">
        <f>SUM(Tableau5[[#This Row],[B WK]:[Unpaid leave WK]])</f>
        <v>20</v>
      </c>
    </row>
    <row r="702" spans="1:8">
      <c r="A702" s="7" t="s">
        <v>1441</v>
      </c>
      <c r="B702" s="7" t="s">
        <v>13</v>
      </c>
      <c r="C702" s="7" t="s">
        <v>54</v>
      </c>
      <c r="D702" s="7">
        <f>SUMIFS(Tableau4[Montant imputé],Tableau4[Matricule cabinet],Tableau5[[#This Row],[Matricule cabinet]],Tableau4[Type d''imputation],"sale order")</f>
        <v>16</v>
      </c>
      <c r="E70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3</v>
      </c>
      <c r="F702" s="7">
        <f>SUMIFS(Tableau4[Montant imputé],Tableau4[Matricule cabinet],Tableau5[[#This Row],[Matricule cabinet]],Tableau4[Type d''imputation],"leave")</f>
        <v>1</v>
      </c>
      <c r="G702" s="7">
        <f>SUMIFS(Tableau4[Montant imputé],Tableau4[Matricule cabinet],Tableau5[[#This Row],[Matricule cabinet]],Tableau4[Type d''imputation],"absence")</f>
        <v>0</v>
      </c>
      <c r="H702" s="7">
        <f>SUM(Tableau5[[#This Row],[B WK]:[Unpaid leave WK]])</f>
        <v>20</v>
      </c>
    </row>
    <row r="703" spans="1:8">
      <c r="A703" s="7" t="s">
        <v>754</v>
      </c>
      <c r="B703" s="7" t="s">
        <v>755</v>
      </c>
      <c r="C703" s="7" t="s">
        <v>91</v>
      </c>
      <c r="D703" s="7">
        <f>SUMIFS(Tableau4[Montant imputé],Tableau4[Matricule cabinet],Tableau5[[#This Row],[Matricule cabinet]],Tableau4[Type d''imputation],"sale order")</f>
        <v>11</v>
      </c>
      <c r="E70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9</v>
      </c>
      <c r="F703" s="7">
        <f>SUMIFS(Tableau4[Montant imputé],Tableau4[Matricule cabinet],Tableau5[[#This Row],[Matricule cabinet]],Tableau4[Type d''imputation],"leave")</f>
        <v>0</v>
      </c>
      <c r="G703" s="7">
        <f>SUMIFS(Tableau4[Montant imputé],Tableau4[Matricule cabinet],Tableau5[[#This Row],[Matricule cabinet]],Tableau4[Type d''imputation],"absence")</f>
        <v>0</v>
      </c>
      <c r="H703" s="7">
        <f>SUM(Tableau5[[#This Row],[B WK]:[Unpaid leave WK]])</f>
        <v>20</v>
      </c>
    </row>
    <row r="704" spans="1:8">
      <c r="A704" s="7" t="s">
        <v>550</v>
      </c>
      <c r="B704" s="7" t="s">
        <v>63</v>
      </c>
      <c r="C704" s="7" t="s">
        <v>6</v>
      </c>
      <c r="D704" s="7">
        <f>SUMIFS(Tableau4[Montant imputé],Tableau4[Matricule cabinet],Tableau5[[#This Row],[Matricule cabinet]],Tableau4[Type d''imputation],"sale order")</f>
        <v>3</v>
      </c>
      <c r="E70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17</v>
      </c>
      <c r="F704" s="7">
        <f>SUMIFS(Tableau4[Montant imputé],Tableau4[Matricule cabinet],Tableau5[[#This Row],[Matricule cabinet]],Tableau4[Type d''imputation],"leave")</f>
        <v>0</v>
      </c>
      <c r="G704" s="7">
        <f>SUMIFS(Tableau4[Montant imputé],Tableau4[Matricule cabinet],Tableau5[[#This Row],[Matricule cabinet]],Tableau4[Type d''imputation],"absence")</f>
        <v>0</v>
      </c>
      <c r="H704" s="7">
        <f>SUM(Tableau5[[#This Row],[B WK]:[Unpaid leave WK]])</f>
        <v>20</v>
      </c>
    </row>
    <row r="705" spans="1:8">
      <c r="A705" s="7" t="s">
        <v>390</v>
      </c>
      <c r="B705" s="7" t="s">
        <v>391</v>
      </c>
      <c r="C705" s="7" t="s">
        <v>91</v>
      </c>
      <c r="D705" s="7">
        <f>SUMIFS(Tableau4[Montant imputé],Tableau4[Matricule cabinet],Tableau5[[#This Row],[Matricule cabinet]],Tableau4[Type d''imputation],"sale order")</f>
        <v>16</v>
      </c>
      <c r="E70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705" s="7">
        <f>SUMIFS(Tableau4[Montant imputé],Tableau4[Matricule cabinet],Tableau5[[#This Row],[Matricule cabinet]],Tableau4[Type d''imputation],"leave")</f>
        <v>0</v>
      </c>
      <c r="G705" s="7">
        <f>SUMIFS(Tableau4[Montant imputé],Tableau4[Matricule cabinet],Tableau5[[#This Row],[Matricule cabinet]],Tableau4[Type d''imputation],"absence")</f>
        <v>0</v>
      </c>
      <c r="H705" s="7">
        <f>SUM(Tableau5[[#This Row],[B WK]:[Unpaid leave WK]])</f>
        <v>20</v>
      </c>
    </row>
    <row r="706" spans="1:8">
      <c r="A706" s="7" t="s">
        <v>1227</v>
      </c>
      <c r="B706" s="7" t="s">
        <v>1228</v>
      </c>
      <c r="C706" s="7" t="s">
        <v>22</v>
      </c>
      <c r="D706" s="7">
        <f>SUMIFS(Tableau4[Montant imputé],Tableau4[Matricule cabinet],Tableau5[[#This Row],[Matricule cabinet]],Tableau4[Type d''imputation],"sale order")</f>
        <v>7</v>
      </c>
      <c r="E70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706" s="7">
        <f>SUMIFS(Tableau4[Montant imputé],Tableau4[Matricule cabinet],Tableau5[[#This Row],[Matricule cabinet]],Tableau4[Type d''imputation],"leave")</f>
        <v>5</v>
      </c>
      <c r="G706" s="7">
        <f>SUMIFS(Tableau4[Montant imputé],Tableau4[Matricule cabinet],Tableau5[[#This Row],[Matricule cabinet]],Tableau4[Type d''imputation],"absence")</f>
        <v>0</v>
      </c>
      <c r="H706" s="7">
        <f>SUM(Tableau5[[#This Row],[B WK]:[Unpaid leave WK]])</f>
        <v>20</v>
      </c>
    </row>
    <row r="707" spans="1:8">
      <c r="A707" s="7" t="s">
        <v>981</v>
      </c>
      <c r="B707" s="7" t="s">
        <v>982</v>
      </c>
      <c r="C707" s="7" t="s">
        <v>5</v>
      </c>
      <c r="D707" s="7">
        <f>SUMIFS(Tableau4[Montant imputé],Tableau4[Matricule cabinet],Tableau5[[#This Row],[Matricule cabinet]],Tableau4[Type d''imputation],"sale order")</f>
        <v>20</v>
      </c>
      <c r="E70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707" s="7">
        <f>SUMIFS(Tableau4[Montant imputé],Tableau4[Matricule cabinet],Tableau5[[#This Row],[Matricule cabinet]],Tableau4[Type d''imputation],"leave")</f>
        <v>0</v>
      </c>
      <c r="G707" s="7">
        <f>SUMIFS(Tableau4[Montant imputé],Tableau4[Matricule cabinet],Tableau5[[#This Row],[Matricule cabinet]],Tableau4[Type d''imputation],"absence")</f>
        <v>0</v>
      </c>
      <c r="H707" s="7">
        <f>SUM(Tableau5[[#This Row],[B WK]:[Unpaid leave WK]])</f>
        <v>20</v>
      </c>
    </row>
    <row r="708" spans="1:8">
      <c r="A708" s="7" t="s">
        <v>405</v>
      </c>
      <c r="B708" s="7" t="s">
        <v>406</v>
      </c>
      <c r="C708" s="7" t="s">
        <v>53</v>
      </c>
      <c r="D708" s="7">
        <f>SUMIFS(Tableau4[Montant imputé],Tableau4[Matricule cabinet],Tableau5[[#This Row],[Matricule cabinet]],Tableau4[Type d''imputation],"sale order")</f>
        <v>15.5</v>
      </c>
      <c r="E70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708" s="7">
        <f>SUMIFS(Tableau4[Montant imputé],Tableau4[Matricule cabinet],Tableau5[[#This Row],[Matricule cabinet]],Tableau4[Type d''imputation],"leave")</f>
        <v>0.5</v>
      </c>
      <c r="G708" s="7">
        <f>SUMIFS(Tableau4[Montant imputé],Tableau4[Matricule cabinet],Tableau5[[#This Row],[Matricule cabinet]],Tableau4[Type d''imputation],"absence")</f>
        <v>0</v>
      </c>
      <c r="H708" s="7">
        <f>SUM(Tableau5[[#This Row],[B WK]:[Unpaid leave WK]])</f>
        <v>20</v>
      </c>
    </row>
    <row r="709" spans="1:8">
      <c r="A709" s="7" t="s">
        <v>586</v>
      </c>
      <c r="B709" s="7" t="s">
        <v>587</v>
      </c>
      <c r="C709" s="7" t="s">
        <v>29</v>
      </c>
      <c r="D709" s="7">
        <f>SUMIFS(Tableau4[Montant imputé],Tableau4[Matricule cabinet],Tableau5[[#This Row],[Matricule cabinet]],Tableau4[Type d''imputation],"sale order")</f>
        <v>12</v>
      </c>
      <c r="E70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709" s="7">
        <f>SUMIFS(Tableau4[Montant imputé],Tableau4[Matricule cabinet],Tableau5[[#This Row],[Matricule cabinet]],Tableau4[Type d''imputation],"leave")</f>
        <v>0</v>
      </c>
      <c r="G709" s="7">
        <f>SUMIFS(Tableau4[Montant imputé],Tableau4[Matricule cabinet],Tableau5[[#This Row],[Matricule cabinet]],Tableau4[Type d''imputation],"absence")</f>
        <v>8</v>
      </c>
      <c r="H709" s="7">
        <f>SUM(Tableau5[[#This Row],[B WK]:[Unpaid leave WK]])</f>
        <v>20</v>
      </c>
    </row>
    <row r="710" spans="1:8">
      <c r="A710" s="7" t="s">
        <v>1311</v>
      </c>
      <c r="B710" s="7" t="s">
        <v>1312</v>
      </c>
      <c r="C710" s="7" t="s">
        <v>39</v>
      </c>
      <c r="D710" s="7">
        <f>SUMIFS(Tableau4[Montant imputé],Tableau4[Matricule cabinet],Tableau5[[#This Row],[Matricule cabinet]],Tableau4[Type d''imputation],"sale order")</f>
        <v>0</v>
      </c>
      <c r="E71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18</v>
      </c>
      <c r="F710" s="7">
        <f>SUMIFS(Tableau4[Montant imputé],Tableau4[Matricule cabinet],Tableau5[[#This Row],[Matricule cabinet]],Tableau4[Type d''imputation],"leave")</f>
        <v>2</v>
      </c>
      <c r="G710" s="7">
        <f>SUMIFS(Tableau4[Montant imputé],Tableau4[Matricule cabinet],Tableau5[[#This Row],[Matricule cabinet]],Tableau4[Type d''imputation],"absence")</f>
        <v>0</v>
      </c>
      <c r="H710" s="7">
        <f>SUM(Tableau5[[#This Row],[B WK]:[Unpaid leave WK]])</f>
        <v>20</v>
      </c>
    </row>
    <row r="711" spans="1:8">
      <c r="A711" s="7" t="s">
        <v>556</v>
      </c>
      <c r="B711" s="7" t="s">
        <v>557</v>
      </c>
      <c r="C711" s="7" t="s">
        <v>49</v>
      </c>
      <c r="D711" s="7">
        <f>SUMIFS(Tableau4[Montant imputé],Tableau4[Matricule cabinet],Tableau5[[#This Row],[Matricule cabinet]],Tableau4[Type d''imputation],"sale order")</f>
        <v>18</v>
      </c>
      <c r="E71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</v>
      </c>
      <c r="F711" s="7">
        <f>SUMIFS(Tableau4[Montant imputé],Tableau4[Matricule cabinet],Tableau5[[#This Row],[Matricule cabinet]],Tableau4[Type d''imputation],"leave")</f>
        <v>0</v>
      </c>
      <c r="G711" s="7">
        <f>SUMIFS(Tableau4[Montant imputé],Tableau4[Matricule cabinet],Tableau5[[#This Row],[Matricule cabinet]],Tableau4[Type d''imputation],"absence")</f>
        <v>0</v>
      </c>
      <c r="H711" s="7">
        <f>SUM(Tableau5[[#This Row],[B WK]:[Unpaid leave WK]])</f>
        <v>20</v>
      </c>
    </row>
    <row r="712" spans="1:8">
      <c r="A712" s="7" t="s">
        <v>358</v>
      </c>
      <c r="B712" s="7" t="s">
        <v>26</v>
      </c>
      <c r="C712" s="7" t="s">
        <v>61</v>
      </c>
      <c r="D712" s="7">
        <f>SUMIFS(Tableau4[Montant imputé],Tableau4[Matricule cabinet],Tableau5[[#This Row],[Matricule cabinet]],Tableau4[Type d''imputation],"sale order")</f>
        <v>17</v>
      </c>
      <c r="E71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712" s="7">
        <f>SUMIFS(Tableau4[Montant imputé],Tableau4[Matricule cabinet],Tableau5[[#This Row],[Matricule cabinet]],Tableau4[Type d''imputation],"leave")</f>
        <v>3</v>
      </c>
      <c r="G712" s="7">
        <f>SUMIFS(Tableau4[Montant imputé],Tableau4[Matricule cabinet],Tableau5[[#This Row],[Matricule cabinet]],Tableau4[Type d''imputation],"absence")</f>
        <v>0</v>
      </c>
      <c r="H712" s="7">
        <f>SUM(Tableau5[[#This Row],[B WK]:[Unpaid leave WK]])</f>
        <v>20</v>
      </c>
    </row>
    <row r="713" spans="1:8">
      <c r="A713" s="7" t="s">
        <v>1357</v>
      </c>
      <c r="B713" s="7" t="s">
        <v>1358</v>
      </c>
      <c r="C713" s="7" t="s">
        <v>18</v>
      </c>
      <c r="D713" s="7">
        <f>SUMIFS(Tableau4[Montant imputé],Tableau4[Matricule cabinet],Tableau5[[#This Row],[Matricule cabinet]],Tableau4[Type d''imputation],"sale order")</f>
        <v>0</v>
      </c>
      <c r="E71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713" s="7">
        <f>SUMIFS(Tableau4[Montant imputé],Tableau4[Matricule cabinet],Tableau5[[#This Row],[Matricule cabinet]],Tableau4[Type d''imputation],"leave")</f>
        <v>0</v>
      </c>
      <c r="G713" s="7">
        <f>SUMIFS(Tableau4[Montant imputé],Tableau4[Matricule cabinet],Tableau5[[#This Row],[Matricule cabinet]],Tableau4[Type d''imputation],"absence")</f>
        <v>0</v>
      </c>
      <c r="H713" s="7">
        <f>SUM(Tableau5[[#This Row],[B WK]:[Unpaid leave WK]])</f>
        <v>20</v>
      </c>
    </row>
    <row r="714" spans="1:8">
      <c r="A714" s="7" t="s">
        <v>1177</v>
      </c>
      <c r="B714" s="7" t="s">
        <v>1178</v>
      </c>
      <c r="C714" s="7" t="s">
        <v>86</v>
      </c>
      <c r="D714" s="7">
        <f>SUMIFS(Tableau4[Montant imputé],Tableau4[Matricule cabinet],Tableau5[[#This Row],[Matricule cabinet]],Tableau4[Type d''imputation],"sale order")</f>
        <v>0</v>
      </c>
      <c r="E71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19</v>
      </c>
      <c r="F714" s="7">
        <f>SUMIFS(Tableau4[Montant imputé],Tableau4[Matricule cabinet],Tableau5[[#This Row],[Matricule cabinet]],Tableau4[Type d''imputation],"leave")</f>
        <v>1</v>
      </c>
      <c r="G714" s="7">
        <f>SUMIFS(Tableau4[Montant imputé],Tableau4[Matricule cabinet],Tableau5[[#This Row],[Matricule cabinet]],Tableau4[Type d''imputation],"absence")</f>
        <v>0</v>
      </c>
      <c r="H714" s="7">
        <f>SUM(Tableau5[[#This Row],[B WK]:[Unpaid leave WK]])</f>
        <v>20</v>
      </c>
    </row>
    <row r="715" spans="1:8">
      <c r="A715" s="7" t="s">
        <v>564</v>
      </c>
      <c r="B715" s="7" t="s">
        <v>565</v>
      </c>
      <c r="C715" s="7" t="s">
        <v>33</v>
      </c>
      <c r="D715" s="7">
        <f>SUMIFS(Tableau4[Montant imputé],Tableau4[Matricule cabinet],Tableau5[[#This Row],[Matricule cabinet]],Tableau4[Type d''imputation],"sale order")</f>
        <v>12</v>
      </c>
      <c r="E71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8</v>
      </c>
      <c r="F715" s="7">
        <f>SUMIFS(Tableau4[Montant imputé],Tableau4[Matricule cabinet],Tableau5[[#This Row],[Matricule cabinet]],Tableau4[Type d''imputation],"leave")</f>
        <v>0</v>
      </c>
      <c r="G715" s="7">
        <f>SUMIFS(Tableau4[Montant imputé],Tableau4[Matricule cabinet],Tableau5[[#This Row],[Matricule cabinet]],Tableau4[Type d''imputation],"absence")</f>
        <v>0</v>
      </c>
      <c r="H715" s="7">
        <f>SUM(Tableau5[[#This Row],[B WK]:[Unpaid leave WK]])</f>
        <v>20</v>
      </c>
    </row>
    <row r="716" spans="1:8">
      <c r="A716" s="7" t="s">
        <v>612</v>
      </c>
      <c r="B716" s="7" t="s">
        <v>613</v>
      </c>
      <c r="C716" s="7" t="s">
        <v>76</v>
      </c>
      <c r="D716" s="7">
        <f>SUMIFS(Tableau4[Montant imputé],Tableau4[Matricule cabinet],Tableau5[[#This Row],[Matricule cabinet]],Tableau4[Type d''imputation],"sale order")</f>
        <v>17</v>
      </c>
      <c r="E716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716" s="7">
        <f>SUMIFS(Tableau4[Montant imputé],Tableau4[Matricule cabinet],Tableau5[[#This Row],[Matricule cabinet]],Tableau4[Type d''imputation],"leave")</f>
        <v>3</v>
      </c>
      <c r="G716" s="7">
        <f>SUMIFS(Tableau4[Montant imputé],Tableau4[Matricule cabinet],Tableau5[[#This Row],[Matricule cabinet]],Tableau4[Type d''imputation],"absence")</f>
        <v>0</v>
      </c>
      <c r="H716" s="7">
        <f>SUM(Tableau5[[#This Row],[B WK]:[Unpaid leave WK]])</f>
        <v>20</v>
      </c>
    </row>
    <row r="717" spans="1:8">
      <c r="A717" s="7" t="s">
        <v>641</v>
      </c>
      <c r="B717" s="7" t="s">
        <v>642</v>
      </c>
      <c r="C717" s="7" t="s">
        <v>640</v>
      </c>
      <c r="D717" s="7">
        <f>SUMIFS(Tableau4[Montant imputé],Tableau4[Matricule cabinet],Tableau5[[#This Row],[Matricule cabinet]],Tableau4[Type d''imputation],"sale order")</f>
        <v>0</v>
      </c>
      <c r="E717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16</v>
      </c>
      <c r="F717" s="7">
        <f>SUMIFS(Tableau4[Montant imputé],Tableau4[Matricule cabinet],Tableau5[[#This Row],[Matricule cabinet]],Tableau4[Type d''imputation],"leave")</f>
        <v>4</v>
      </c>
      <c r="G717" s="7">
        <f>SUMIFS(Tableau4[Montant imputé],Tableau4[Matricule cabinet],Tableau5[[#This Row],[Matricule cabinet]],Tableau4[Type d''imputation],"absence")</f>
        <v>0</v>
      </c>
      <c r="H717" s="7">
        <f>SUM(Tableau5[[#This Row],[B WK]:[Unpaid leave WK]])</f>
        <v>20</v>
      </c>
    </row>
    <row r="718" spans="1:8">
      <c r="A718" s="7" t="s">
        <v>1479</v>
      </c>
      <c r="B718" s="7" t="s">
        <v>54</v>
      </c>
      <c r="C718" s="7" t="s">
        <v>63</v>
      </c>
      <c r="D718" s="7">
        <f>SUMIFS(Tableau4[Montant imputé],Tableau4[Matricule cabinet],Tableau5[[#This Row],[Matricule cabinet]],Tableau4[Type d''imputation],"sale order")</f>
        <v>11</v>
      </c>
      <c r="E718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</v>
      </c>
      <c r="F718" s="7">
        <f>SUMIFS(Tableau4[Montant imputé],Tableau4[Matricule cabinet],Tableau5[[#This Row],[Matricule cabinet]],Tableau4[Type d''imputation],"leave")</f>
        <v>2</v>
      </c>
      <c r="G718" s="7">
        <f>SUMIFS(Tableau4[Montant imputé],Tableau4[Matricule cabinet],Tableau5[[#This Row],[Matricule cabinet]],Tableau4[Type d''imputation],"absence")</f>
        <v>0</v>
      </c>
      <c r="H718" s="7">
        <f>SUM(Tableau5[[#This Row],[B WK]:[Unpaid leave WK]])</f>
        <v>20</v>
      </c>
    </row>
    <row r="719" spans="1:8">
      <c r="A719" s="7" t="s">
        <v>567</v>
      </c>
      <c r="B719" s="7" t="s">
        <v>8</v>
      </c>
      <c r="C719" s="7" t="s">
        <v>30</v>
      </c>
      <c r="D719" s="7">
        <f>SUMIFS(Tableau4[Montant imputé],Tableau4[Matricule cabinet],Tableau5[[#This Row],[Matricule cabinet]],Tableau4[Type d''imputation],"sale order")</f>
        <v>12.5</v>
      </c>
      <c r="E719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7.5</v>
      </c>
      <c r="F719" s="7">
        <f>SUMIFS(Tableau4[Montant imputé],Tableau4[Matricule cabinet],Tableau5[[#This Row],[Matricule cabinet]],Tableau4[Type d''imputation],"leave")</f>
        <v>0</v>
      </c>
      <c r="G719" s="7">
        <f>SUMIFS(Tableau4[Montant imputé],Tableau4[Matricule cabinet],Tableau5[[#This Row],[Matricule cabinet]],Tableau4[Type d''imputation],"absence")</f>
        <v>0</v>
      </c>
      <c r="H719" s="7">
        <f>SUM(Tableau5[[#This Row],[B WK]:[Unpaid leave WK]])</f>
        <v>20</v>
      </c>
    </row>
    <row r="720" spans="1:8">
      <c r="A720" s="7" t="s">
        <v>1282</v>
      </c>
      <c r="B720" s="7" t="s">
        <v>1283</v>
      </c>
      <c r="C720" s="7" t="s">
        <v>27</v>
      </c>
      <c r="D720" s="7">
        <f>SUMIFS(Tableau4[Montant imputé],Tableau4[Matricule cabinet],Tableau5[[#This Row],[Matricule cabinet]],Tableau4[Type d''imputation],"sale order")</f>
        <v>10</v>
      </c>
      <c r="E720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10</v>
      </c>
      <c r="F720" s="7">
        <f>SUMIFS(Tableau4[Montant imputé],Tableau4[Matricule cabinet],Tableau5[[#This Row],[Matricule cabinet]],Tableau4[Type d''imputation],"leave")</f>
        <v>0</v>
      </c>
      <c r="G720" s="7">
        <f>SUMIFS(Tableau4[Montant imputé],Tableau4[Matricule cabinet],Tableau5[[#This Row],[Matricule cabinet]],Tableau4[Type d''imputation],"absence")</f>
        <v>0</v>
      </c>
      <c r="H720" s="7">
        <f>SUM(Tableau5[[#This Row],[B WK]:[Unpaid leave WK]])</f>
        <v>20</v>
      </c>
    </row>
    <row r="721" spans="1:8">
      <c r="A721" s="7" t="s">
        <v>906</v>
      </c>
      <c r="B721" s="7" t="s">
        <v>907</v>
      </c>
      <c r="C721" s="7" t="s">
        <v>68</v>
      </c>
      <c r="D721" s="7">
        <f>SUMIFS(Tableau4[Montant imputé],Tableau4[Matricule cabinet],Tableau5[[#This Row],[Matricule cabinet]],Tableau4[Type d''imputation],"sale order")</f>
        <v>16</v>
      </c>
      <c r="E721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</v>
      </c>
      <c r="F721" s="7">
        <f>SUMIFS(Tableau4[Montant imputé],Tableau4[Matricule cabinet],Tableau5[[#This Row],[Matricule cabinet]],Tableau4[Type d''imputation],"leave")</f>
        <v>0</v>
      </c>
      <c r="G721" s="7">
        <f>SUMIFS(Tableau4[Montant imputé],Tableau4[Matricule cabinet],Tableau5[[#This Row],[Matricule cabinet]],Tableau4[Type d''imputation],"absence")</f>
        <v>0</v>
      </c>
      <c r="H721" s="7">
        <f>SUM(Tableau5[[#This Row],[B WK]:[Unpaid leave WK]])</f>
        <v>20</v>
      </c>
    </row>
    <row r="722" spans="1:8">
      <c r="A722" s="7" t="s">
        <v>738</v>
      </c>
      <c r="B722" s="7" t="s">
        <v>739</v>
      </c>
      <c r="C722" s="7" t="s">
        <v>72</v>
      </c>
      <c r="D722" s="7">
        <f>SUMIFS(Tableau4[Montant imputé],Tableau4[Matricule cabinet],Tableau5[[#This Row],[Matricule cabinet]],Tableau4[Type d''imputation],"sale order")</f>
        <v>0</v>
      </c>
      <c r="E722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722" s="7">
        <f>SUMIFS(Tableau4[Montant imputé],Tableau4[Matricule cabinet],Tableau5[[#This Row],[Matricule cabinet]],Tableau4[Type d''imputation],"leave")</f>
        <v>0</v>
      </c>
      <c r="G722" s="7">
        <f>SUMIFS(Tableau4[Montant imputé],Tableau4[Matricule cabinet],Tableau5[[#This Row],[Matricule cabinet]],Tableau4[Type d''imputation],"absence")</f>
        <v>0</v>
      </c>
      <c r="H722" s="7">
        <f>SUM(Tableau5[[#This Row],[B WK]:[Unpaid leave WK]])</f>
        <v>20</v>
      </c>
    </row>
    <row r="723" spans="1:8">
      <c r="A723" s="7" t="s">
        <v>705</v>
      </c>
      <c r="B723" s="7" t="s">
        <v>706</v>
      </c>
      <c r="C723" s="7" t="s">
        <v>26</v>
      </c>
      <c r="D723" s="7">
        <f>SUMIFS(Tableau4[Montant imputé],Tableau4[Matricule cabinet],Tableau5[[#This Row],[Matricule cabinet]],Tableau4[Type d''imputation],"sale order")</f>
        <v>6.5</v>
      </c>
      <c r="E723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4.5</v>
      </c>
      <c r="F723" s="7">
        <f>SUMIFS(Tableau4[Montant imputé],Tableau4[Matricule cabinet],Tableau5[[#This Row],[Matricule cabinet]],Tableau4[Type d''imputation],"leave")</f>
        <v>9</v>
      </c>
      <c r="G723" s="7">
        <f>SUMIFS(Tableau4[Montant imputé],Tableau4[Matricule cabinet],Tableau5[[#This Row],[Matricule cabinet]],Tableau4[Type d''imputation],"absence")</f>
        <v>0</v>
      </c>
      <c r="H723" s="7">
        <f>SUM(Tableau5[[#This Row],[B WK]:[Unpaid leave WK]])</f>
        <v>20</v>
      </c>
    </row>
    <row r="724" spans="1:8">
      <c r="A724" s="7" t="s">
        <v>168</v>
      </c>
      <c r="B724" s="7" t="s">
        <v>169</v>
      </c>
      <c r="C724" s="7" t="s">
        <v>37</v>
      </c>
      <c r="D724" s="7">
        <f>SUMIFS(Tableau4[Montant imputé],Tableau4[Matricule cabinet],Tableau5[[#This Row],[Matricule cabinet]],Tableau4[Type d''imputation],"sale order")</f>
        <v>0</v>
      </c>
      <c r="E724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20</v>
      </c>
      <c r="F724" s="7">
        <f>SUMIFS(Tableau4[Montant imputé],Tableau4[Matricule cabinet],Tableau5[[#This Row],[Matricule cabinet]],Tableau4[Type d''imputation],"leave")</f>
        <v>0</v>
      </c>
      <c r="G724" s="7">
        <f>SUMIFS(Tableau4[Montant imputé],Tableau4[Matricule cabinet],Tableau5[[#This Row],[Matricule cabinet]],Tableau4[Type d''imputation],"absence")</f>
        <v>0</v>
      </c>
      <c r="H724" s="7">
        <f>SUM(Tableau5[[#This Row],[B WK]:[Unpaid leave WK]])</f>
        <v>20</v>
      </c>
    </row>
    <row r="725" spans="1:8">
      <c r="A725" s="7" t="s">
        <v>774</v>
      </c>
      <c r="B725" s="7" t="s">
        <v>85</v>
      </c>
      <c r="C725" s="7" t="s">
        <v>56</v>
      </c>
      <c r="D725" s="7">
        <f>SUMIFS(Tableau4[Montant imputé],Tableau4[Matricule cabinet],Tableau5[[#This Row],[Matricule cabinet]],Tableau4[Type d''imputation],"sale order")</f>
        <v>13.5</v>
      </c>
      <c r="E725" s="7">
        <f>SUMIFS(Tableau4[Montant imputé],Tableau4[Matricule cabinet],Tableau5[[#This Row],[Matricule cabinet]],Tableau4[Type d''imputation],"internal")+SUMIFS(Tableau4[Montant imputé],Tableau4[Matricule cabinet],Tableau5[[#This Row],[Matricule cabinet]],Tableau4[Type d''imputation],"internal_product")+SUMIFS(Tableau4[Montant imputé],Tableau4[Matricule cabinet],Tableau5[[#This Row],[Matricule cabinet]],Tableau4[Type d''imputation],"non_invoiceable_leave")</f>
        <v>0</v>
      </c>
      <c r="F725" s="7">
        <f>SUMIFS(Tableau4[Montant imputé],Tableau4[Matricule cabinet],Tableau5[[#This Row],[Matricule cabinet]],Tableau4[Type d''imputation],"leave")</f>
        <v>6.5</v>
      </c>
      <c r="G725" s="7">
        <f>SUMIFS(Tableau4[Montant imputé],Tableau4[Matricule cabinet],Tableau5[[#This Row],[Matricule cabinet]],Tableau4[Type d''imputation],"absence")</f>
        <v>0</v>
      </c>
      <c r="H725" s="7">
        <f>SUM(Tableau5[[#This Row],[B WK]:[Unpaid leave WK]])</f>
        <v>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2FA18-ADEF-41E1-8FE9-0EF0EF5472AC}">
  <dimension ref="B2:F26"/>
  <sheetViews>
    <sheetView workbookViewId="0">
      <selection activeCell="C4" sqref="C4"/>
    </sheetView>
  </sheetViews>
  <sheetFormatPr defaultColWidth="11" defaultRowHeight="14.45"/>
  <cols>
    <col min="2" max="5" width="10.875" customWidth="1"/>
  </cols>
  <sheetData>
    <row r="2" spans="2:6" ht="29.1">
      <c r="B2" s="33" t="s">
        <v>106</v>
      </c>
      <c r="C2" s="33" t="s">
        <v>1855</v>
      </c>
      <c r="D2" s="33" t="s">
        <v>1856</v>
      </c>
      <c r="E2" s="33" t="s">
        <v>1857</v>
      </c>
      <c r="F2" s="33" t="s">
        <v>1858</v>
      </c>
    </row>
    <row r="3" spans="2:6" ht="29.1">
      <c r="B3" s="33" t="s">
        <v>1859</v>
      </c>
      <c r="C3" s="33"/>
      <c r="D3" s="33"/>
      <c r="E3" s="33"/>
      <c r="F3" s="33"/>
    </row>
    <row r="4" spans="2:6" ht="29.1">
      <c r="B4" s="33" t="s">
        <v>1860</v>
      </c>
      <c r="C4" s="33"/>
      <c r="D4" s="33"/>
      <c r="E4" s="33"/>
      <c r="F4" s="33"/>
    </row>
    <row r="5" spans="2:6" ht="43.5">
      <c r="B5" s="33" t="s">
        <v>1861</v>
      </c>
      <c r="C5" s="33"/>
      <c r="D5" s="33"/>
      <c r="E5" s="33"/>
      <c r="F5" s="33"/>
    </row>
    <row r="6" spans="2:6" ht="29.1">
      <c r="B6" s="33" t="s">
        <v>1862</v>
      </c>
      <c r="C6" s="33"/>
      <c r="D6" s="33"/>
      <c r="E6" s="33"/>
      <c r="F6" s="33"/>
    </row>
    <row r="7" spans="2:6" ht="29.1">
      <c r="B7" s="33" t="s">
        <v>1863</v>
      </c>
      <c r="C7" s="33"/>
      <c r="D7" s="33"/>
      <c r="E7" s="33"/>
      <c r="F7" s="33"/>
    </row>
    <row r="8" spans="2:6" ht="29.1">
      <c r="B8" s="33" t="s">
        <v>1030</v>
      </c>
      <c r="C8" s="33"/>
      <c r="D8" s="33"/>
      <c r="E8" s="33"/>
      <c r="F8" s="33"/>
    </row>
    <row r="9" spans="2:6" ht="29.1">
      <c r="B9" s="33" t="s">
        <v>1069</v>
      </c>
      <c r="C9" s="33"/>
      <c r="D9" s="33"/>
      <c r="E9" s="33"/>
      <c r="F9" s="33"/>
    </row>
    <row r="10" spans="2:6" ht="43.5">
      <c r="B10" s="33" t="s">
        <v>1213</v>
      </c>
      <c r="C10" s="33"/>
      <c r="D10" s="33"/>
      <c r="E10" s="33"/>
      <c r="F10" s="33"/>
    </row>
    <row r="11" spans="2:6" ht="29.1">
      <c r="B11" s="33" t="s">
        <v>1279</v>
      </c>
      <c r="C11" s="33"/>
      <c r="D11" s="33"/>
      <c r="E11" s="33"/>
      <c r="F11" s="33"/>
    </row>
    <row r="12" spans="2:6" ht="29.1">
      <c r="B12" s="33" t="s">
        <v>258</v>
      </c>
      <c r="C12" s="33"/>
      <c r="D12" s="33"/>
      <c r="E12" s="33"/>
      <c r="F12" s="33"/>
    </row>
    <row r="13" spans="2:6" ht="29.1">
      <c r="B13" s="33" t="s">
        <v>995</v>
      </c>
      <c r="C13" s="33"/>
      <c r="D13" s="33"/>
      <c r="E13" s="33"/>
      <c r="F13" s="33"/>
    </row>
    <row r="14" spans="2:6" ht="29.1">
      <c r="B14" s="33" t="s">
        <v>173</v>
      </c>
      <c r="C14" s="33"/>
      <c r="D14" s="33"/>
      <c r="E14" s="33"/>
      <c r="F14" s="33"/>
    </row>
    <row r="15" spans="2:6" ht="29.1">
      <c r="B15" s="33" t="s">
        <v>1338</v>
      </c>
      <c r="C15" s="33"/>
      <c r="D15" s="33"/>
      <c r="E15" s="33"/>
      <c r="F15" s="33"/>
    </row>
    <row r="16" spans="2:6" ht="29.1">
      <c r="B16" s="33" t="s">
        <v>1864</v>
      </c>
      <c r="C16" s="33"/>
      <c r="D16" s="33"/>
      <c r="E16" s="33"/>
      <c r="F16" s="33"/>
    </row>
    <row r="17" spans="2:6">
      <c r="B17" s="33" t="s">
        <v>1539</v>
      </c>
      <c r="C17" s="33"/>
      <c r="D17" s="33"/>
      <c r="E17" s="33"/>
      <c r="F17" s="33"/>
    </row>
    <row r="18" spans="2:6" ht="29.1">
      <c r="B18" s="33" t="s">
        <v>1865</v>
      </c>
      <c r="C18" s="33"/>
      <c r="D18" s="33"/>
      <c r="E18" s="33"/>
      <c r="F18" s="33"/>
    </row>
    <row r="19" spans="2:6" ht="29.1">
      <c r="B19" s="33" t="s">
        <v>1386</v>
      </c>
      <c r="C19" s="33"/>
      <c r="D19" s="33"/>
      <c r="E19" s="33"/>
      <c r="F19" s="33"/>
    </row>
    <row r="20" spans="2:6" ht="29.1">
      <c r="B20" s="33" t="s">
        <v>1866</v>
      </c>
      <c r="C20" s="33"/>
      <c r="D20" s="33"/>
      <c r="E20" s="33"/>
      <c r="F20" s="33"/>
    </row>
    <row r="21" spans="2:6" ht="29.1">
      <c r="B21" s="33" t="s">
        <v>489</v>
      </c>
      <c r="C21" s="33"/>
      <c r="D21" s="33"/>
      <c r="E21" s="33"/>
      <c r="F21" s="33"/>
    </row>
    <row r="22" spans="2:6" ht="29.1">
      <c r="B22" s="33" t="s">
        <v>444</v>
      </c>
      <c r="C22" s="33"/>
      <c r="D22" s="33"/>
      <c r="E22" s="33"/>
      <c r="F22" s="33"/>
    </row>
    <row r="23" spans="2:6" ht="29.1">
      <c r="B23" s="33" t="s">
        <v>175</v>
      </c>
      <c r="C23" s="33"/>
      <c r="D23" s="33"/>
      <c r="E23" s="33"/>
      <c r="F23" s="33"/>
    </row>
    <row r="24" spans="2:6" ht="29.1">
      <c r="B24" s="33" t="s">
        <v>1294</v>
      </c>
      <c r="C24" s="33"/>
      <c r="D24" s="33"/>
      <c r="E24" s="33"/>
      <c r="F24" s="33"/>
    </row>
    <row r="25" spans="2:6" ht="29.1">
      <c r="B25" s="33" t="s">
        <v>502</v>
      </c>
      <c r="C25" s="33"/>
      <c r="D25" s="33"/>
      <c r="E25" s="33"/>
      <c r="F25" s="33"/>
    </row>
    <row r="26" spans="2:6" ht="29.1">
      <c r="B26" s="33" t="s">
        <v>1296</v>
      </c>
      <c r="C26" s="33"/>
      <c r="D26" s="33"/>
      <c r="E26" s="33"/>
      <c r="F26" s="3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5"/>
  <dimension ref="B2:I113"/>
  <sheetViews>
    <sheetView showGridLines="0" topLeftCell="A103" workbookViewId="0">
      <selection activeCell="G2" sqref="G2:I10"/>
    </sheetView>
  </sheetViews>
  <sheetFormatPr defaultColWidth="11.375" defaultRowHeight="14.45"/>
  <cols>
    <col min="2" max="2" width="25.25" style="2" customWidth="1"/>
    <col min="5" max="5" width="30.75" bestFit="1" customWidth="1"/>
    <col min="8" max="8" width="19" bestFit="1" customWidth="1"/>
    <col min="9" max="9" width="23.125" bestFit="1" customWidth="1"/>
  </cols>
  <sheetData>
    <row r="2" spans="2:9">
      <c r="B2" s="1" t="s">
        <v>1856</v>
      </c>
      <c r="C2" s="1" t="s">
        <v>1857</v>
      </c>
      <c r="E2" s="48" t="s">
        <v>130</v>
      </c>
      <c r="G2" s="48" t="s">
        <v>1867</v>
      </c>
      <c r="H2" s="48" t="s">
        <v>1868</v>
      </c>
      <c r="I2" s="48" t="s">
        <v>1869</v>
      </c>
    </row>
    <row r="3" spans="2:9">
      <c r="B3" s="5" t="s">
        <v>60</v>
      </c>
      <c r="C3" s="8" t="s">
        <v>1560</v>
      </c>
      <c r="E3" s="49" t="s">
        <v>154</v>
      </c>
      <c r="G3" s="38" t="s">
        <v>1560</v>
      </c>
      <c r="H3" s="46" t="s">
        <v>1870</v>
      </c>
      <c r="I3" s="38" t="s">
        <v>1871</v>
      </c>
    </row>
    <row r="4" spans="2:9">
      <c r="B4" s="5" t="s">
        <v>11</v>
      </c>
      <c r="C4" s="8" t="s">
        <v>1560</v>
      </c>
      <c r="E4" s="49" t="s">
        <v>165</v>
      </c>
      <c r="G4" s="38" t="s">
        <v>1562</v>
      </c>
      <c r="H4" s="38" t="s">
        <v>1872</v>
      </c>
      <c r="I4" s="38" t="s">
        <v>691</v>
      </c>
    </row>
    <row r="5" spans="2:9">
      <c r="B5" s="5" t="s">
        <v>33</v>
      </c>
      <c r="C5" s="8" t="s">
        <v>1560</v>
      </c>
      <c r="E5" s="49" t="s">
        <v>770</v>
      </c>
      <c r="G5" s="38" t="s">
        <v>1563</v>
      </c>
      <c r="H5" s="38" t="s">
        <v>1873</v>
      </c>
      <c r="I5" s="38" t="s">
        <v>31</v>
      </c>
    </row>
    <row r="6" spans="2:9">
      <c r="B6" s="5" t="s">
        <v>143</v>
      </c>
      <c r="C6" s="8" t="s">
        <v>1560</v>
      </c>
      <c r="E6" s="49" t="s">
        <v>147</v>
      </c>
      <c r="G6" s="38" t="s">
        <v>1564</v>
      </c>
      <c r="H6" s="38" t="s">
        <v>1874</v>
      </c>
      <c r="I6" s="38" t="s">
        <v>61</v>
      </c>
    </row>
    <row r="7" spans="2:9">
      <c r="B7" s="5" t="s">
        <v>4</v>
      </c>
      <c r="C7" s="8" t="s">
        <v>1560</v>
      </c>
      <c r="E7" s="49" t="s">
        <v>590</v>
      </c>
      <c r="G7" s="38" t="s">
        <v>1565</v>
      </c>
      <c r="H7" s="38" t="s">
        <v>1875</v>
      </c>
      <c r="I7" s="38" t="s">
        <v>29</v>
      </c>
    </row>
    <row r="8" spans="2:9">
      <c r="B8" s="5" t="s">
        <v>75</v>
      </c>
      <c r="C8" s="8" t="s">
        <v>1560</v>
      </c>
      <c r="E8" s="49" t="s">
        <v>299</v>
      </c>
      <c r="G8" s="38" t="s">
        <v>1566</v>
      </c>
      <c r="H8" s="38" t="s">
        <v>1876</v>
      </c>
      <c r="I8" s="38" t="s">
        <v>54</v>
      </c>
    </row>
    <row r="9" spans="2:9">
      <c r="B9" s="5" t="s">
        <v>48</v>
      </c>
      <c r="C9" s="8" t="s">
        <v>1560</v>
      </c>
      <c r="E9" s="3"/>
      <c r="G9" s="38" t="s">
        <v>1567</v>
      </c>
      <c r="H9" s="38" t="s">
        <v>1877</v>
      </c>
      <c r="I9" s="38" t="s">
        <v>543</v>
      </c>
    </row>
    <row r="10" spans="2:9">
      <c r="B10" s="5" t="s">
        <v>80</v>
      </c>
      <c r="C10" s="8" t="s">
        <v>1560</v>
      </c>
      <c r="E10" s="3"/>
      <c r="G10" s="38" t="s">
        <v>1568</v>
      </c>
      <c r="H10" s="38" t="s">
        <v>1878</v>
      </c>
      <c r="I10" s="38" t="s">
        <v>38</v>
      </c>
    </row>
    <row r="11" spans="2:9">
      <c r="B11" s="5" t="s">
        <v>10</v>
      </c>
      <c r="C11" s="8" t="s">
        <v>1560</v>
      </c>
      <c r="E11" s="3"/>
    </row>
    <row r="12" spans="2:9">
      <c r="B12" s="5" t="s">
        <v>89</v>
      </c>
      <c r="C12" s="8" t="s">
        <v>1560</v>
      </c>
    </row>
    <row r="13" spans="2:9">
      <c r="B13" s="5" t="s">
        <v>6</v>
      </c>
      <c r="C13" s="8" t="s">
        <v>1560</v>
      </c>
    </row>
    <row r="14" spans="2:9">
      <c r="B14" s="5" t="s">
        <v>59</v>
      </c>
      <c r="C14" s="8" t="s">
        <v>1560</v>
      </c>
    </row>
    <row r="15" spans="2:9">
      <c r="B15" s="5" t="s">
        <v>77</v>
      </c>
      <c r="C15" s="8" t="s">
        <v>1560</v>
      </c>
    </row>
    <row r="16" spans="2:9">
      <c r="B16" s="5" t="s">
        <v>140</v>
      </c>
      <c r="C16" s="8" t="s">
        <v>1560</v>
      </c>
    </row>
    <row r="17" spans="2:3">
      <c r="B17" s="5" t="s">
        <v>44</v>
      </c>
      <c r="C17" s="8" t="s">
        <v>1560</v>
      </c>
    </row>
    <row r="18" spans="2:3">
      <c r="B18" s="5" t="s">
        <v>1879</v>
      </c>
      <c r="C18" s="8" t="s">
        <v>1562</v>
      </c>
    </row>
    <row r="19" spans="2:3">
      <c r="B19" s="5" t="s">
        <v>84</v>
      </c>
      <c r="C19" s="8" t="s">
        <v>1563</v>
      </c>
    </row>
    <row r="20" spans="2:3">
      <c r="B20" s="5" t="s">
        <v>691</v>
      </c>
      <c r="C20" s="8" t="s">
        <v>1562</v>
      </c>
    </row>
    <row r="21" spans="2:3">
      <c r="B21" s="5" t="s">
        <v>35</v>
      </c>
      <c r="C21" s="8" t="s">
        <v>1562</v>
      </c>
    </row>
    <row r="22" spans="2:3">
      <c r="B22" s="5" t="s">
        <v>12</v>
      </c>
      <c r="C22" s="8" t="s">
        <v>1562</v>
      </c>
    </row>
    <row r="23" spans="2:3">
      <c r="B23" s="5" t="s">
        <v>577</v>
      </c>
      <c r="C23" s="8" t="s">
        <v>1565</v>
      </c>
    </row>
    <row r="24" spans="2:3">
      <c r="B24" s="5" t="s">
        <v>27</v>
      </c>
      <c r="C24" s="8" t="s">
        <v>1562</v>
      </c>
    </row>
    <row r="25" spans="2:3">
      <c r="B25" s="5" t="s">
        <v>15</v>
      </c>
      <c r="C25" s="8" t="s">
        <v>1562</v>
      </c>
    </row>
    <row r="26" spans="2:3">
      <c r="B26" s="5" t="s">
        <v>8</v>
      </c>
      <c r="C26" s="8" t="s">
        <v>1562</v>
      </c>
    </row>
    <row r="27" spans="2:3">
      <c r="B27" s="5" t="s">
        <v>3</v>
      </c>
      <c r="C27" s="8" t="s">
        <v>1562</v>
      </c>
    </row>
    <row r="28" spans="2:3">
      <c r="B28" s="5" t="s">
        <v>71</v>
      </c>
      <c r="C28" s="8" t="s">
        <v>1562</v>
      </c>
    </row>
    <row r="29" spans="2:3">
      <c r="B29" s="5" t="s">
        <v>1316</v>
      </c>
      <c r="C29" s="8" t="s">
        <v>1562</v>
      </c>
    </row>
    <row r="30" spans="2:3">
      <c r="B30" s="5" t="s">
        <v>9</v>
      </c>
      <c r="C30" s="8" t="s">
        <v>1563</v>
      </c>
    </row>
    <row r="31" spans="2:3">
      <c r="B31" s="5" t="s">
        <v>67</v>
      </c>
      <c r="C31" s="8" t="s">
        <v>1563</v>
      </c>
    </row>
    <row r="32" spans="2:3">
      <c r="B32" s="5" t="s">
        <v>43</v>
      </c>
      <c r="C32" s="8" t="s">
        <v>1563</v>
      </c>
    </row>
    <row r="33" spans="2:3">
      <c r="B33" s="5" t="s">
        <v>31</v>
      </c>
      <c r="C33" s="8" t="s">
        <v>1563</v>
      </c>
    </row>
    <row r="34" spans="2:3">
      <c r="B34" s="5" t="s">
        <v>46</v>
      </c>
      <c r="C34" s="8" t="s">
        <v>1563</v>
      </c>
    </row>
    <row r="35" spans="2:3">
      <c r="B35" s="5" t="s">
        <v>5</v>
      </c>
      <c r="C35" s="8" t="s">
        <v>1563</v>
      </c>
    </row>
    <row r="36" spans="2:3">
      <c r="B36" s="5" t="s">
        <v>51</v>
      </c>
      <c r="C36" s="8" t="s">
        <v>1563</v>
      </c>
    </row>
    <row r="37" spans="2:3">
      <c r="B37" s="5" t="s">
        <v>361</v>
      </c>
      <c r="C37" s="8" t="s">
        <v>1563</v>
      </c>
    </row>
    <row r="38" spans="2:3">
      <c r="B38" s="5" t="s">
        <v>18</v>
      </c>
      <c r="C38" s="8" t="s">
        <v>1568</v>
      </c>
    </row>
    <row r="39" spans="2:3">
      <c r="B39" s="5" t="s">
        <v>22</v>
      </c>
      <c r="C39" s="8" t="s">
        <v>1563</v>
      </c>
    </row>
    <row r="40" spans="2:3">
      <c r="B40" s="5" t="s">
        <v>41</v>
      </c>
      <c r="C40" s="8" t="s">
        <v>1562</v>
      </c>
    </row>
    <row r="41" spans="2:3">
      <c r="B41" s="5" t="s">
        <v>57</v>
      </c>
      <c r="C41" s="8" t="s">
        <v>1563</v>
      </c>
    </row>
    <row r="42" spans="2:3">
      <c r="B42" s="5" t="s">
        <v>47</v>
      </c>
      <c r="C42" s="8" t="s">
        <v>1564</v>
      </c>
    </row>
    <row r="43" spans="2:3">
      <c r="B43" s="5" t="s">
        <v>88</v>
      </c>
      <c r="C43" s="8" t="s">
        <v>1564</v>
      </c>
    </row>
    <row r="44" spans="2:3">
      <c r="B44" s="5" t="s">
        <v>61</v>
      </c>
      <c r="C44" s="8" t="s">
        <v>1564</v>
      </c>
    </row>
    <row r="45" spans="2:3">
      <c r="B45" s="5" t="s">
        <v>76</v>
      </c>
      <c r="C45" s="8" t="s">
        <v>1564</v>
      </c>
    </row>
    <row r="46" spans="2:3">
      <c r="B46" s="5" t="s">
        <v>97</v>
      </c>
      <c r="C46" s="8" t="s">
        <v>1564</v>
      </c>
    </row>
    <row r="47" spans="2:3">
      <c r="B47" s="5" t="s">
        <v>1880</v>
      </c>
      <c r="C47" s="8" t="s">
        <v>1564</v>
      </c>
    </row>
    <row r="48" spans="2:3">
      <c r="B48" s="5" t="s">
        <v>1881</v>
      </c>
      <c r="C48" s="8" t="s">
        <v>1564</v>
      </c>
    </row>
    <row r="49" spans="2:3">
      <c r="B49" s="5" t="s">
        <v>19</v>
      </c>
      <c r="C49" s="8" t="s">
        <v>1564</v>
      </c>
    </row>
    <row r="50" spans="2:3">
      <c r="B50" s="5" t="s">
        <v>34</v>
      </c>
      <c r="C50" s="8" t="s">
        <v>1564</v>
      </c>
    </row>
    <row r="51" spans="2:3">
      <c r="B51" s="5" t="s">
        <v>14</v>
      </c>
      <c r="C51" s="8" t="s">
        <v>1564</v>
      </c>
    </row>
    <row r="52" spans="2:3">
      <c r="B52" s="5" t="s">
        <v>83</v>
      </c>
      <c r="C52" s="8" t="s">
        <v>1564</v>
      </c>
    </row>
    <row r="53" spans="2:3">
      <c r="B53" s="5" t="s">
        <v>1882</v>
      </c>
      <c r="C53" s="8" t="s">
        <v>1564</v>
      </c>
    </row>
    <row r="54" spans="2:3">
      <c r="B54" s="5" t="s">
        <v>28</v>
      </c>
      <c r="C54" s="8" t="s">
        <v>1564</v>
      </c>
    </row>
    <row r="55" spans="2:3">
      <c r="B55" s="5" t="s">
        <v>26</v>
      </c>
      <c r="C55" s="8" t="s">
        <v>1564</v>
      </c>
    </row>
    <row r="56" spans="2:3">
      <c r="B56" s="5" t="s">
        <v>50</v>
      </c>
      <c r="C56" s="8" t="s">
        <v>1564</v>
      </c>
    </row>
    <row r="57" spans="2:3">
      <c r="B57" s="5" t="s">
        <v>609</v>
      </c>
      <c r="C57" s="8" t="s">
        <v>1564</v>
      </c>
    </row>
    <row r="58" spans="2:3">
      <c r="B58" s="5" t="s">
        <v>357</v>
      </c>
      <c r="C58" s="8" t="s">
        <v>1564</v>
      </c>
    </row>
    <row r="59" spans="2:3">
      <c r="B59" s="5" t="s">
        <v>52</v>
      </c>
      <c r="C59" s="8" t="s">
        <v>1565</v>
      </c>
    </row>
    <row r="60" spans="2:3">
      <c r="B60" s="5" t="s">
        <v>62</v>
      </c>
      <c r="C60" s="8" t="s">
        <v>1565</v>
      </c>
    </row>
    <row r="61" spans="2:3">
      <c r="B61" s="5" t="s">
        <v>21</v>
      </c>
      <c r="C61" s="8" t="s">
        <v>1565</v>
      </c>
    </row>
    <row r="62" spans="2:3">
      <c r="B62" s="5" t="s">
        <v>30</v>
      </c>
      <c r="C62" s="8" t="s">
        <v>1565</v>
      </c>
    </row>
    <row r="63" spans="2:3">
      <c r="B63" s="5" t="s">
        <v>29</v>
      </c>
      <c r="C63" s="8" t="s">
        <v>1565</v>
      </c>
    </row>
    <row r="64" spans="2:3">
      <c r="B64" s="5" t="s">
        <v>25</v>
      </c>
      <c r="C64" s="8" t="s">
        <v>1565</v>
      </c>
    </row>
    <row r="65" spans="2:3">
      <c r="B65" s="5" t="s">
        <v>16</v>
      </c>
      <c r="C65" s="8" t="s">
        <v>1565</v>
      </c>
    </row>
    <row r="66" spans="2:3">
      <c r="B66" s="5" t="s">
        <v>58</v>
      </c>
      <c r="C66" s="8" t="s">
        <v>1565</v>
      </c>
    </row>
    <row r="67" spans="2:3">
      <c r="B67" s="5" t="s">
        <v>520</v>
      </c>
      <c r="C67" s="8" t="s">
        <v>1565</v>
      </c>
    </row>
    <row r="68" spans="2:3">
      <c r="B68" s="5" t="s">
        <v>24</v>
      </c>
      <c r="C68" s="8" t="s">
        <v>1565</v>
      </c>
    </row>
    <row r="69" spans="2:3">
      <c r="B69" s="5" t="s">
        <v>2</v>
      </c>
      <c r="C69" s="8" t="s">
        <v>1568</v>
      </c>
    </row>
    <row r="70" spans="2:3">
      <c r="B70" s="5" t="s">
        <v>7</v>
      </c>
      <c r="C70" s="8" t="s">
        <v>1566</v>
      </c>
    </row>
    <row r="71" spans="2:3">
      <c r="B71" s="5" t="s">
        <v>20</v>
      </c>
      <c r="C71" s="8" t="s">
        <v>1566</v>
      </c>
    </row>
    <row r="72" spans="2:3">
      <c r="B72" s="5" t="s">
        <v>39</v>
      </c>
      <c r="C72" s="8" t="s">
        <v>1566</v>
      </c>
    </row>
    <row r="73" spans="2:3">
      <c r="B73" s="5" t="s">
        <v>72</v>
      </c>
      <c r="C73" s="8" t="s">
        <v>1566</v>
      </c>
    </row>
    <row r="74" spans="2:3">
      <c r="B74" s="5" t="s">
        <v>91</v>
      </c>
      <c r="C74" s="8" t="s">
        <v>1566</v>
      </c>
    </row>
    <row r="75" spans="2:3">
      <c r="B75" s="5" t="s">
        <v>45</v>
      </c>
      <c r="C75" s="8" t="s">
        <v>1566</v>
      </c>
    </row>
    <row r="76" spans="2:3">
      <c r="B76" s="5" t="s">
        <v>49</v>
      </c>
      <c r="C76" s="8" t="s">
        <v>1566</v>
      </c>
    </row>
    <row r="77" spans="2:3">
      <c r="B77" s="5" t="s">
        <v>32</v>
      </c>
      <c r="C77" s="8" t="s">
        <v>1564</v>
      </c>
    </row>
    <row r="78" spans="2:3">
      <c r="B78" s="5" t="s">
        <v>13</v>
      </c>
      <c r="C78" s="8" t="s">
        <v>1566</v>
      </c>
    </row>
    <row r="79" spans="2:3">
      <c r="B79" s="5" t="s">
        <v>54</v>
      </c>
      <c r="C79" s="8" t="s">
        <v>1566</v>
      </c>
    </row>
    <row r="80" spans="2:3">
      <c r="B80" s="5" t="s">
        <v>82</v>
      </c>
      <c r="C80" s="8" t="s">
        <v>1566</v>
      </c>
    </row>
    <row r="81" spans="2:3">
      <c r="B81" s="5" t="s">
        <v>17</v>
      </c>
      <c r="C81" s="8" t="s">
        <v>1567</v>
      </c>
    </row>
    <row r="82" spans="2:3">
      <c r="B82" s="5" t="s">
        <v>64</v>
      </c>
      <c r="C82" s="8" t="s">
        <v>1563</v>
      </c>
    </row>
    <row r="83" spans="2:3">
      <c r="B83" s="5" t="s">
        <v>70</v>
      </c>
      <c r="C83" s="8" t="s">
        <v>1563</v>
      </c>
    </row>
    <row r="84" spans="2:3">
      <c r="B84" s="5" t="s">
        <v>1883</v>
      </c>
      <c r="C84" s="8" t="s">
        <v>1567</v>
      </c>
    </row>
    <row r="85" spans="2:3">
      <c r="B85" s="5" t="s">
        <v>56</v>
      </c>
      <c r="C85" s="8" t="s">
        <v>1567</v>
      </c>
    </row>
    <row r="86" spans="2:3">
      <c r="B86" s="5" t="s">
        <v>79</v>
      </c>
      <c r="C86" s="8" t="s">
        <v>1567</v>
      </c>
    </row>
    <row r="87" spans="2:3">
      <c r="B87" s="5" t="s">
        <v>543</v>
      </c>
      <c r="C87" s="8" t="s">
        <v>1567</v>
      </c>
    </row>
    <row r="88" spans="2:3">
      <c r="B88" s="5" t="s">
        <v>65</v>
      </c>
      <c r="C88" s="8" t="s">
        <v>1567</v>
      </c>
    </row>
    <row r="89" spans="2:3">
      <c r="B89" s="5" t="s">
        <v>86</v>
      </c>
      <c r="C89" s="8" t="s">
        <v>1567</v>
      </c>
    </row>
    <row r="90" spans="2:3">
      <c r="B90" s="5" t="s">
        <v>78</v>
      </c>
      <c r="C90" s="8" t="s">
        <v>1567</v>
      </c>
    </row>
    <row r="91" spans="2:3">
      <c r="B91" s="5" t="s">
        <v>95</v>
      </c>
      <c r="C91" s="8" t="s">
        <v>1567</v>
      </c>
    </row>
    <row r="92" spans="2:3">
      <c r="B92" s="5" t="s">
        <v>23</v>
      </c>
      <c r="C92" s="8" t="s">
        <v>1567</v>
      </c>
    </row>
    <row r="93" spans="2:3">
      <c r="B93" s="5" t="s">
        <v>63</v>
      </c>
      <c r="C93" s="8" t="s">
        <v>1562</v>
      </c>
    </row>
    <row r="94" spans="2:3">
      <c r="B94" s="5" t="s">
        <v>85</v>
      </c>
      <c r="C94" s="8" t="s">
        <v>1567</v>
      </c>
    </row>
    <row r="95" spans="2:3">
      <c r="B95" s="5" t="s">
        <v>96</v>
      </c>
      <c r="C95" s="8" t="s">
        <v>1567</v>
      </c>
    </row>
    <row r="96" spans="2:3">
      <c r="B96" s="5" t="s">
        <v>94</v>
      </c>
      <c r="C96" s="8" t="s">
        <v>1568</v>
      </c>
    </row>
    <row r="97" spans="2:3">
      <c r="B97" s="5" t="s">
        <v>36</v>
      </c>
      <c r="C97" s="8" t="s">
        <v>1568</v>
      </c>
    </row>
    <row r="98" spans="2:3">
      <c r="B98" s="5" t="s">
        <v>66</v>
      </c>
      <c r="C98" s="8" t="s">
        <v>1568</v>
      </c>
    </row>
    <row r="99" spans="2:3">
      <c r="B99" s="5" t="s">
        <v>37</v>
      </c>
      <c r="C99" s="8" t="s">
        <v>1568</v>
      </c>
    </row>
    <row r="100" spans="2:3">
      <c r="B100" s="5" t="s">
        <v>73</v>
      </c>
      <c r="C100" s="8" t="s">
        <v>1568</v>
      </c>
    </row>
    <row r="101" spans="2:3">
      <c r="B101" s="5" t="s">
        <v>55</v>
      </c>
      <c r="C101" s="8" t="s">
        <v>1568</v>
      </c>
    </row>
    <row r="102" spans="2:3">
      <c r="B102" s="5" t="s">
        <v>38</v>
      </c>
      <c r="C102" s="8" t="s">
        <v>1568</v>
      </c>
    </row>
    <row r="103" spans="2:3">
      <c r="B103" s="5" t="s">
        <v>53</v>
      </c>
      <c r="C103" s="8" t="s">
        <v>1565</v>
      </c>
    </row>
    <row r="104" spans="2:3">
      <c r="B104" s="5" t="s">
        <v>69</v>
      </c>
      <c r="C104" s="8" t="s">
        <v>1568</v>
      </c>
    </row>
    <row r="105" spans="2:3">
      <c r="B105" s="5" t="s">
        <v>863</v>
      </c>
      <c r="C105" s="8" t="s">
        <v>1568</v>
      </c>
    </row>
    <row r="106" spans="2:3">
      <c r="B106" s="5" t="s">
        <v>1053</v>
      </c>
      <c r="C106" s="8" t="s">
        <v>1568</v>
      </c>
    </row>
    <row r="107" spans="2:3">
      <c r="B107" s="5" t="s">
        <v>92</v>
      </c>
      <c r="C107" s="8" t="s">
        <v>1564</v>
      </c>
    </row>
    <row r="108" spans="2:3">
      <c r="B108" s="5" t="s">
        <v>637</v>
      </c>
      <c r="C108" s="8" t="s">
        <v>1566</v>
      </c>
    </row>
    <row r="109" spans="2:3">
      <c r="B109" s="5" t="s">
        <v>640</v>
      </c>
      <c r="C109" s="8" t="s">
        <v>1567</v>
      </c>
    </row>
    <row r="110" spans="2:3">
      <c r="B110" s="5" t="s">
        <v>874</v>
      </c>
      <c r="C110" s="8" t="s">
        <v>1567</v>
      </c>
    </row>
    <row r="111" spans="2:3">
      <c r="B111" s="5" t="s">
        <v>81</v>
      </c>
      <c r="C111" s="8" t="s">
        <v>1568</v>
      </c>
    </row>
    <row r="112" spans="2:3">
      <c r="B112" s="5" t="s">
        <v>93</v>
      </c>
      <c r="C112" s="8" t="s">
        <v>1568</v>
      </c>
    </row>
    <row r="113" spans="2:3">
      <c r="B113" s="6" t="s">
        <v>68</v>
      </c>
      <c r="C113" s="11" t="s">
        <v>1568</v>
      </c>
    </row>
  </sheetData>
  <autoFilter ref="B2:C98" xr:uid="{00000000-0009-0000-0000-000004000000}">
    <sortState xmlns:xlrd2="http://schemas.microsoft.com/office/spreadsheetml/2017/richdata2" ref="B3:C108">
      <sortCondition ref="C2:C98"/>
    </sortState>
  </autoFilter>
  <conditionalFormatting sqref="B44:B45 B38:B42">
    <cfRule type="containsText" dxfId="17" priority="6" operator="containsText" text="/!\">
      <formula>NOT(ISERROR(SEARCH("/!\",B38)))</formula>
    </cfRule>
  </conditionalFormatting>
  <conditionalFormatting sqref="B34:B36">
    <cfRule type="containsText" dxfId="16" priority="5" operator="containsText" text="/!\">
      <formula>NOT(ISERROR(SEARCH("/!\",B34)))</formula>
    </cfRule>
  </conditionalFormatting>
  <conditionalFormatting sqref="B37">
    <cfRule type="containsText" dxfId="15" priority="4" operator="containsText" text="/!\">
      <formula>NOT(ISERROR(SEARCH("/!\",B37)))</formula>
    </cfRule>
  </conditionalFormatting>
  <conditionalFormatting sqref="B50:B53">
    <cfRule type="containsText" dxfId="14" priority="3" operator="containsText" text="/!\">
      <formula>NOT(ISERROR(SEARCH("/!\",B50)))</formula>
    </cfRule>
  </conditionalFormatting>
  <conditionalFormatting sqref="B55">
    <cfRule type="containsText" dxfId="13" priority="2" operator="containsText" text="/!\">
      <formula>NOT(ISERROR(SEARCH("/!\",B55)))</formula>
    </cfRule>
  </conditionalFormatting>
  <conditionalFormatting sqref="B43">
    <cfRule type="containsText" dxfId="12" priority="1" operator="containsText" text="/!\">
      <formula>NOT(ISERROR(SEARCH("/!\",B43)))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651E-0CE9-4AD4-BE7A-1BC9E1721AA9}">
  <dimension ref="A1:B24"/>
  <sheetViews>
    <sheetView showGridLines="0" workbookViewId="0"/>
  </sheetViews>
  <sheetFormatPr defaultColWidth="8.625" defaultRowHeight="14.45"/>
  <cols>
    <col min="1" max="1" width="20.25" bestFit="1" customWidth="1"/>
    <col min="2" max="2" width="36.25" bestFit="1" customWidth="1"/>
    <col min="3" max="4" width="7.75" bestFit="1" customWidth="1"/>
    <col min="5" max="5" width="7.5" bestFit="1" customWidth="1"/>
    <col min="6" max="9" width="7.75" bestFit="1" customWidth="1"/>
    <col min="10" max="10" width="10.5" bestFit="1" customWidth="1"/>
  </cols>
  <sheetData>
    <row r="1" spans="1:2">
      <c r="A1" s="45" t="s">
        <v>126</v>
      </c>
      <c r="B1" s="38" t="s">
        <v>1884</v>
      </c>
    </row>
    <row r="3" spans="1:2">
      <c r="A3" s="45" t="s">
        <v>1556</v>
      </c>
      <c r="B3" s="38" t="s">
        <v>1557</v>
      </c>
    </row>
    <row r="4" spans="1:2">
      <c r="A4" s="46" t="s">
        <v>1569</v>
      </c>
      <c r="B4" s="110"/>
    </row>
    <row r="20" spans="1:2">
      <c r="A20" s="45" t="s">
        <v>126</v>
      </c>
      <c r="B20" s="38" t="s">
        <v>1884</v>
      </c>
    </row>
    <row r="22" spans="1:2">
      <c r="A22" s="45" t="s">
        <v>1557</v>
      </c>
      <c r="B22" s="45" t="s">
        <v>1885</v>
      </c>
    </row>
    <row r="23" spans="1:2">
      <c r="A23" s="45" t="s">
        <v>1556</v>
      </c>
      <c r="B23" s="38" t="s">
        <v>1569</v>
      </c>
    </row>
    <row r="24" spans="1:2">
      <c r="A24" s="46" t="s">
        <v>1569</v>
      </c>
      <c r="B24" s="110"/>
    </row>
  </sheetData>
  <pageMargins left="0.7" right="0.7" top="0.75" bottom="0.75" header="0.3" footer="0.3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B85AC-A25A-4170-8919-0CBC6346848F}">
  <dimension ref="A1:Q110"/>
  <sheetViews>
    <sheetView showGridLines="0" topLeftCell="I1" workbookViewId="0">
      <selection activeCell="D2" sqref="D2"/>
    </sheetView>
  </sheetViews>
  <sheetFormatPr defaultColWidth="11" defaultRowHeight="14.45"/>
  <cols>
    <col min="1" max="1" width="26" hidden="1" customWidth="1"/>
    <col min="2" max="2" width="0" hidden="1" customWidth="1"/>
    <col min="3" max="3" width="13.75" hidden="1" customWidth="1"/>
    <col min="4" max="5" width="16.125" hidden="1" customWidth="1"/>
    <col min="6" max="6" width="13" hidden="1" customWidth="1"/>
    <col min="7" max="7" width="13.375" hidden="1" customWidth="1"/>
    <col min="8" max="8" width="15.875" hidden="1" customWidth="1"/>
    <col min="11" max="11" width="11.625" bestFit="1" customWidth="1"/>
    <col min="12" max="12" width="24.25" bestFit="1" customWidth="1"/>
    <col min="13" max="14" width="25.75" bestFit="1" customWidth="1"/>
    <col min="15" max="15" width="23" bestFit="1" customWidth="1"/>
    <col min="16" max="16" width="23.125" bestFit="1" customWidth="1"/>
    <col min="17" max="17" width="21.25" bestFit="1" customWidth="1"/>
    <col min="18" max="19" width="3.5" bestFit="1" customWidth="1"/>
    <col min="20" max="21" width="5.5" bestFit="1" customWidth="1"/>
    <col min="22" max="22" width="3.5" bestFit="1" customWidth="1"/>
    <col min="23" max="24" width="5.5" bestFit="1" customWidth="1"/>
    <col min="25" max="25" width="4.375" bestFit="1" customWidth="1"/>
    <col min="26" max="26" width="2.625" bestFit="1" customWidth="1"/>
    <col min="27" max="27" width="4.375" bestFit="1" customWidth="1"/>
    <col min="28" max="28" width="2.625" bestFit="1" customWidth="1"/>
    <col min="29" max="29" width="4.375" bestFit="1" customWidth="1"/>
    <col min="30" max="30" width="2.625" bestFit="1" customWidth="1"/>
    <col min="31" max="31" width="4.375" bestFit="1" customWidth="1"/>
    <col min="32" max="32" width="2.625" bestFit="1" customWidth="1"/>
    <col min="33" max="34" width="4.375" bestFit="1" customWidth="1"/>
    <col min="35" max="36" width="2.625" bestFit="1" customWidth="1"/>
    <col min="37" max="37" width="4.375" bestFit="1" customWidth="1"/>
    <col min="38" max="38" width="2.625" bestFit="1" customWidth="1"/>
    <col min="39" max="39" width="4.375" bestFit="1" customWidth="1"/>
    <col min="40" max="40" width="1.75" bestFit="1" customWidth="1"/>
    <col min="41" max="41" width="3.875" bestFit="1" customWidth="1"/>
    <col min="42" max="43" width="1.75" bestFit="1" customWidth="1"/>
    <col min="44" max="44" width="3.875" bestFit="1" customWidth="1"/>
    <col min="45" max="45" width="1.75" bestFit="1" customWidth="1"/>
    <col min="46" max="46" width="3.875" bestFit="1" customWidth="1"/>
    <col min="47" max="47" width="1.75" bestFit="1" customWidth="1"/>
    <col min="48" max="48" width="3.875" bestFit="1" customWidth="1"/>
    <col min="49" max="51" width="1.75" bestFit="1" customWidth="1"/>
    <col min="52" max="52" width="2.75" bestFit="1" customWidth="1"/>
    <col min="53" max="53" width="4.75" bestFit="1" customWidth="1"/>
    <col min="54" max="54" width="24.5" bestFit="1" customWidth="1"/>
    <col min="55" max="55" width="11.75" bestFit="1" customWidth="1"/>
    <col min="56" max="56" width="24.5" bestFit="1" customWidth="1"/>
    <col min="57" max="57" width="19" bestFit="1" customWidth="1"/>
    <col min="58" max="58" width="24.5" bestFit="1" customWidth="1"/>
    <col min="59" max="59" width="19" bestFit="1" customWidth="1"/>
    <col min="60" max="60" width="24.5" bestFit="1" customWidth="1"/>
    <col min="61" max="61" width="19" bestFit="1" customWidth="1"/>
    <col min="62" max="62" width="24.5" bestFit="1" customWidth="1"/>
    <col min="63" max="63" width="19" bestFit="1" customWidth="1"/>
    <col min="64" max="64" width="24.5" bestFit="1" customWidth="1"/>
    <col min="65" max="65" width="19" bestFit="1" customWidth="1"/>
    <col min="66" max="66" width="24.5" bestFit="1" customWidth="1"/>
    <col min="67" max="67" width="19" bestFit="1" customWidth="1"/>
    <col min="68" max="68" width="24.5" bestFit="1" customWidth="1"/>
    <col min="69" max="69" width="19" bestFit="1" customWidth="1"/>
    <col min="70" max="70" width="24.5" bestFit="1" customWidth="1"/>
    <col min="71" max="71" width="19" bestFit="1" customWidth="1"/>
    <col min="72" max="72" width="24.5" bestFit="1" customWidth="1"/>
    <col min="73" max="73" width="19" bestFit="1" customWidth="1"/>
    <col min="74" max="74" width="24.5" bestFit="1" customWidth="1"/>
    <col min="75" max="75" width="19" bestFit="1" customWidth="1"/>
    <col min="76" max="76" width="24.5" bestFit="1" customWidth="1"/>
    <col min="77" max="77" width="19" bestFit="1" customWidth="1"/>
    <col min="78" max="78" width="24.5" bestFit="1" customWidth="1"/>
    <col min="79" max="79" width="19" bestFit="1" customWidth="1"/>
    <col min="80" max="80" width="24.5" bestFit="1" customWidth="1"/>
    <col min="81" max="81" width="19" bestFit="1" customWidth="1"/>
    <col min="82" max="82" width="24.5" bestFit="1" customWidth="1"/>
    <col min="83" max="83" width="19" bestFit="1" customWidth="1"/>
    <col min="84" max="84" width="24.5" bestFit="1" customWidth="1"/>
    <col min="85" max="85" width="19" bestFit="1" customWidth="1"/>
    <col min="86" max="86" width="24.5" bestFit="1" customWidth="1"/>
    <col min="87" max="87" width="19" bestFit="1" customWidth="1"/>
    <col min="88" max="88" width="24.5" bestFit="1" customWidth="1"/>
    <col min="89" max="89" width="19" bestFit="1" customWidth="1"/>
    <col min="90" max="90" width="24.5" bestFit="1" customWidth="1"/>
    <col min="91" max="91" width="19" bestFit="1" customWidth="1"/>
    <col min="92" max="92" width="24.5" bestFit="1" customWidth="1"/>
    <col min="93" max="93" width="19" bestFit="1" customWidth="1"/>
    <col min="94" max="94" width="24.5" bestFit="1" customWidth="1"/>
    <col min="95" max="95" width="19" bestFit="1" customWidth="1"/>
    <col min="96" max="96" width="24.5" bestFit="1" customWidth="1"/>
    <col min="97" max="97" width="19" bestFit="1" customWidth="1"/>
    <col min="98" max="98" width="29.125" bestFit="1" customWidth="1"/>
    <col min="99" max="99" width="23.75" bestFit="1" customWidth="1"/>
    <col min="100" max="100" width="6.5" bestFit="1" customWidth="1"/>
    <col min="101" max="101" width="5.5" bestFit="1" customWidth="1"/>
    <col min="102" max="102" width="4.375" bestFit="1" customWidth="1"/>
    <col min="103" max="103" width="2.625" bestFit="1" customWidth="1"/>
    <col min="104" max="104" width="6.5" bestFit="1" customWidth="1"/>
    <col min="105" max="105" width="5.5" bestFit="1" customWidth="1"/>
    <col min="106" max="106" width="3.875" bestFit="1" customWidth="1"/>
    <col min="107" max="107" width="5.5" bestFit="1" customWidth="1"/>
    <col min="108" max="108" width="7.875" bestFit="1" customWidth="1"/>
    <col min="109" max="109" width="3.5" bestFit="1" customWidth="1"/>
    <col min="110" max="110" width="6.5" bestFit="1" customWidth="1"/>
    <col min="111" max="111" width="5.5" bestFit="1" customWidth="1"/>
    <col min="112" max="112" width="7.875" bestFit="1" customWidth="1"/>
    <col min="113" max="113" width="4.375" bestFit="1" customWidth="1"/>
    <col min="114" max="114" width="6.5" bestFit="1" customWidth="1"/>
    <col min="115" max="115" width="5.5" bestFit="1" customWidth="1"/>
    <col min="116" max="116" width="7.875" bestFit="1" customWidth="1"/>
    <col min="117" max="117" width="3.5" bestFit="1" customWidth="1"/>
    <col min="118" max="118" width="6.5" bestFit="1" customWidth="1"/>
    <col min="119" max="119" width="4.375" bestFit="1" customWidth="1"/>
    <col min="120" max="120" width="7.5" bestFit="1" customWidth="1"/>
    <col min="121" max="121" width="6.5" bestFit="1" customWidth="1"/>
    <col min="122" max="122" width="4.75" bestFit="1" customWidth="1"/>
    <col min="123" max="123" width="9" bestFit="1" customWidth="1"/>
    <col min="124" max="124" width="6.5" bestFit="1" customWidth="1"/>
    <col min="125" max="125" width="1.75" bestFit="1" customWidth="1"/>
    <col min="126" max="126" width="9" bestFit="1" customWidth="1"/>
    <col min="127" max="127" width="4.375" bestFit="1" customWidth="1"/>
    <col min="128" max="128" width="7.5" bestFit="1" customWidth="1"/>
    <col min="129" max="129" width="4.375" bestFit="1" customWidth="1"/>
    <col min="130" max="130" width="7.5" bestFit="1" customWidth="1"/>
    <col min="131" max="131" width="4.375" bestFit="1" customWidth="1"/>
    <col min="132" max="132" width="5.5" bestFit="1" customWidth="1"/>
    <col min="133" max="133" width="11.75" bestFit="1" customWidth="1"/>
  </cols>
  <sheetData>
    <row r="1" spans="1:17">
      <c r="A1" s="34" t="s">
        <v>1856</v>
      </c>
      <c r="B1" s="35" t="s">
        <v>1857</v>
      </c>
      <c r="C1" s="35" t="s">
        <v>1886</v>
      </c>
      <c r="D1" s="35" t="s">
        <v>1887</v>
      </c>
      <c r="E1" s="35" t="s">
        <v>1888</v>
      </c>
      <c r="F1" s="35" t="s">
        <v>1889</v>
      </c>
      <c r="G1" s="35" t="s">
        <v>1890</v>
      </c>
      <c r="H1" s="36" t="s">
        <v>1891</v>
      </c>
    </row>
    <row r="2" spans="1:17">
      <c r="A2" s="37" t="s">
        <v>5</v>
      </c>
      <c r="B2" s="38" t="str">
        <f>_xlfn.XLOOKUP(Tableau7[[#This Row],[CDM]],Parametres!B:B,Parametres!C:C,"")</f>
        <v>Squad C</v>
      </c>
      <c r="C2" s="38">
        <v>-6</v>
      </c>
      <c r="D2" s="38">
        <f>_xlfn.XLOOKUP(Tableau7[[#This Row],[CDM]],'[1]Delta prod days sept. oct. nov.'!$A:$A,'[1]Delta prod days sept. oct. nov.'!$D:$D,"")</f>
        <v>-4.5</v>
      </c>
      <c r="E2" s="38">
        <v>-9.5</v>
      </c>
      <c r="F2" s="38">
        <f>_xlfn.XLOOKUP(Tableau7[[#This Row],[CDM]],'[2]TCD delta prod days'!$A:$A,'[2]TCD delta prod days'!$B:$B,"")</f>
        <v>-28</v>
      </c>
      <c r="G2" s="38" t="str">
        <f>_xlfn.XLOOKUP(Tableau7[[#This Row],[CDM]],'TCD delta prod days'!A:A,'TCD delta prod days'!B:B,"")</f>
        <v/>
      </c>
      <c r="H2" s="39">
        <f>SUM(Tableau7[[#This Row],[Delta Octobre]:[Delta  février]])</f>
        <v>-48</v>
      </c>
    </row>
    <row r="3" spans="1:17">
      <c r="A3" s="37" t="s">
        <v>32</v>
      </c>
      <c r="B3" s="38" t="str">
        <f>_xlfn.XLOOKUP(Tableau7[[#This Row],[CDM]],Parametres!B:B,Parametres!C:C,"")</f>
        <v>Squad D</v>
      </c>
      <c r="C3" s="38">
        <v>0</v>
      </c>
      <c r="D3" s="38">
        <f>_xlfn.XLOOKUP(Tableau7[[#This Row],[CDM]],'[1]Delta prod days sept. oct. nov.'!$A:$A,'[1]Delta prod days sept. oct. nov.'!$D:$D,"")</f>
        <v>-10</v>
      </c>
      <c r="E3" s="38">
        <v>-24</v>
      </c>
      <c r="F3" s="38">
        <f>_xlfn.XLOOKUP(Tableau7[[#This Row],[CDM]],'[2]TCD delta prod days'!$A:$A,'[2]TCD delta prod days'!$B:$B,"")</f>
        <v>-5.5</v>
      </c>
      <c r="G3" s="38" t="str">
        <f>_xlfn.XLOOKUP(Tableau7[[#This Row],[CDM]],'TCD delta prod days'!A:A,'TCD delta prod days'!B:B,"")</f>
        <v/>
      </c>
      <c r="H3" s="39">
        <f>SUM(Tableau7[[#This Row],[Delta Octobre]:[Delta  février]])</f>
        <v>-39.5</v>
      </c>
    </row>
    <row r="4" spans="1:17">
      <c r="A4" s="37" t="s">
        <v>7</v>
      </c>
      <c r="B4" s="38" t="str">
        <f>_xlfn.XLOOKUP(Tableau7[[#This Row],[CDM]],Parametres!B:B,Parametres!C:C,"")</f>
        <v>Squad F</v>
      </c>
      <c r="C4" s="38">
        <v>7</v>
      </c>
      <c r="D4" s="38">
        <f>_xlfn.XLOOKUP(Tableau7[[#This Row],[CDM]],'[1]Delta prod days sept. oct. nov.'!$A:$A,'[1]Delta prod days sept. oct. nov.'!$D:$D,"")</f>
        <v>7.5</v>
      </c>
      <c r="E4" s="38">
        <v>-15</v>
      </c>
      <c r="F4" s="38">
        <f>_xlfn.XLOOKUP(Tableau7[[#This Row],[CDM]],'[2]TCD delta prod days'!$A:$A,'[2]TCD delta prod days'!$B:$B,"")</f>
        <v>-16</v>
      </c>
      <c r="G4" s="38" t="str">
        <f>_xlfn.XLOOKUP(Tableau7[[#This Row],[CDM]],'TCD delta prod days'!A:A,'TCD delta prod days'!B:B,"")</f>
        <v/>
      </c>
      <c r="H4" s="39">
        <f>SUM(Tableau7[[#This Row],[Delta Octobre]:[Delta  février]])</f>
        <v>-16.5</v>
      </c>
      <c r="K4" s="45" t="s">
        <v>1857</v>
      </c>
      <c r="L4" s="38" t="s">
        <v>1892</v>
      </c>
      <c r="M4" s="38" t="s">
        <v>1893</v>
      </c>
      <c r="N4" s="38" t="s">
        <v>1894</v>
      </c>
      <c r="O4" s="38" t="s">
        <v>1895</v>
      </c>
      <c r="P4" s="38" t="s">
        <v>1896</v>
      </c>
      <c r="Q4" s="38" t="s">
        <v>1897</v>
      </c>
    </row>
    <row r="5" spans="1:17">
      <c r="A5" s="37" t="s">
        <v>54</v>
      </c>
      <c r="B5" s="38" t="str">
        <f>_xlfn.XLOOKUP(Tableau7[[#This Row],[CDM]],Parametres!B:B,Parametres!C:C,"")</f>
        <v>Squad F</v>
      </c>
      <c r="C5" s="38">
        <v>-8.3999999999999986</v>
      </c>
      <c r="D5" s="38">
        <f>_xlfn.XLOOKUP(Tableau7[[#This Row],[CDM]],'[1]Delta prod days sept. oct. nov.'!$A:$A,'[1]Delta prod days sept. oct. nov.'!$D:$D,"")</f>
        <v>-18.7</v>
      </c>
      <c r="E5" s="38">
        <v>-14.5</v>
      </c>
      <c r="F5" s="38">
        <f>_xlfn.XLOOKUP(Tableau7[[#This Row],[CDM]],'[2]TCD delta prod days'!$A:$A,'[2]TCD delta prod days'!$B:$B,"")</f>
        <v>0.5</v>
      </c>
      <c r="G5" s="38" t="str">
        <f>_xlfn.XLOOKUP(Tableau7[[#This Row],[CDM]],'TCD delta prod days'!A:A,'TCD delta prod days'!B:B,"")</f>
        <v/>
      </c>
      <c r="H5" s="39">
        <f>SUM(Tableau7[[#This Row],[Delta Octobre]:[Delta  février]])</f>
        <v>-41.099999999999994</v>
      </c>
      <c r="K5" s="46" t="s">
        <v>1562</v>
      </c>
      <c r="L5" s="38">
        <v>-59.5</v>
      </c>
      <c r="M5" s="38">
        <v>-21.5</v>
      </c>
      <c r="N5" s="38">
        <v>-32.5</v>
      </c>
      <c r="O5" s="38">
        <v>-29.5</v>
      </c>
      <c r="P5" s="38">
        <v>0</v>
      </c>
      <c r="Q5" s="38">
        <v>-143</v>
      </c>
    </row>
    <row r="6" spans="1:17">
      <c r="A6" s="37" t="s">
        <v>4</v>
      </c>
      <c r="B6" s="38" t="str">
        <f>_xlfn.XLOOKUP(Tableau7[[#This Row],[CDM]],Parametres!B:B,Parametres!C:C,"")</f>
        <v>Squad A</v>
      </c>
      <c r="C6" s="38">
        <v>-8.5</v>
      </c>
      <c r="D6" s="38">
        <f>_xlfn.XLOOKUP(Tableau7[[#This Row],[CDM]],'[1]Delta prod days sept. oct. nov.'!$A:$A,'[1]Delta prod days sept. oct. nov.'!$D:$D,"")</f>
        <v>-2.5</v>
      </c>
      <c r="E6" s="38">
        <v>-12.5</v>
      </c>
      <c r="F6" s="38">
        <f>_xlfn.XLOOKUP(Tableau7[[#This Row],[CDM]],'[2]TCD delta prod days'!$A:$A,'[2]TCD delta prod days'!$B:$B,"")</f>
        <v>-19</v>
      </c>
      <c r="G6" s="38" t="str">
        <f>_xlfn.XLOOKUP(Tableau7[[#This Row],[CDM]],'TCD delta prod days'!A:A,'TCD delta prod days'!B:B,"")</f>
        <v/>
      </c>
      <c r="H6" s="39">
        <f>SUM(Tableau7[[#This Row],[Delta Octobre]:[Delta  février]])</f>
        <v>-42.5</v>
      </c>
      <c r="K6" s="46" t="s">
        <v>1563</v>
      </c>
      <c r="L6" s="38">
        <v>-39</v>
      </c>
      <c r="M6" s="38">
        <v>-21</v>
      </c>
      <c r="N6" s="38">
        <v>-44</v>
      </c>
      <c r="O6" s="38">
        <v>-28.6</v>
      </c>
      <c r="P6" s="38">
        <v>0</v>
      </c>
      <c r="Q6" s="38">
        <v>-132.6</v>
      </c>
    </row>
    <row r="7" spans="1:17">
      <c r="A7" s="37" t="s">
        <v>8</v>
      </c>
      <c r="B7" s="38" t="str">
        <f>_xlfn.XLOOKUP(Tableau7[[#This Row],[CDM]],Parametres!B:B,Parametres!C:C,"")</f>
        <v>Squad B</v>
      </c>
      <c r="C7" s="38">
        <v>-6</v>
      </c>
      <c r="D7" s="38">
        <f>_xlfn.XLOOKUP(Tableau7[[#This Row],[CDM]],'[1]Delta prod days sept. oct. nov.'!$A:$A,'[1]Delta prod days sept. oct. nov.'!$D:$D,"")</f>
        <v>-7.5</v>
      </c>
      <c r="E7" s="38">
        <v>-1</v>
      </c>
      <c r="F7" s="38">
        <f>_xlfn.XLOOKUP(Tableau7[[#This Row],[CDM]],'[2]TCD delta prod days'!$A:$A,'[2]TCD delta prod days'!$B:$B,"")</f>
        <v>-16</v>
      </c>
      <c r="G7" s="38" t="str">
        <f>_xlfn.XLOOKUP(Tableau7[[#This Row],[CDM]],'TCD delta prod days'!A:A,'TCD delta prod days'!B:B,"")</f>
        <v/>
      </c>
      <c r="H7" s="39">
        <f>SUM(Tableau7[[#This Row],[Delta Octobre]:[Delta  février]])</f>
        <v>-30.5</v>
      </c>
      <c r="K7" s="46" t="s">
        <v>1565</v>
      </c>
      <c r="L7" s="38">
        <v>-15.5</v>
      </c>
      <c r="M7" s="38">
        <v>-4.5</v>
      </c>
      <c r="N7" s="38">
        <v>-80</v>
      </c>
      <c r="O7" s="38">
        <v>-20.5</v>
      </c>
      <c r="P7" s="38">
        <v>-10.5</v>
      </c>
      <c r="Q7" s="38">
        <v>-131</v>
      </c>
    </row>
    <row r="8" spans="1:17">
      <c r="A8" s="37" t="s">
        <v>30</v>
      </c>
      <c r="B8" s="38" t="str">
        <f>_xlfn.XLOOKUP(Tableau7[[#This Row],[CDM]],Parametres!B:B,Parametres!C:C,"")</f>
        <v>Squad E</v>
      </c>
      <c r="C8" s="38">
        <v>-3</v>
      </c>
      <c r="D8" s="38">
        <f>_xlfn.XLOOKUP(Tableau7[[#This Row],[CDM]],'[1]Delta prod days sept. oct. nov.'!$A:$A,'[1]Delta prod days sept. oct. nov.'!$D:$D,"")</f>
        <v>-19.5</v>
      </c>
      <c r="E8" s="38">
        <v>3.5</v>
      </c>
      <c r="F8" s="38">
        <f>_xlfn.XLOOKUP(Tableau7[[#This Row],[CDM]],'[2]TCD delta prod days'!$A:$A,'[2]TCD delta prod days'!$B:$B,"")</f>
        <v>-4</v>
      </c>
      <c r="G8" s="38" t="str">
        <f>_xlfn.XLOOKUP(Tableau7[[#This Row],[CDM]],'TCD delta prod days'!A:A,'TCD delta prod days'!B:B,"")</f>
        <v/>
      </c>
      <c r="H8" s="39">
        <f>SUM(Tableau7[[#This Row],[Delta Octobre]:[Delta  février]])</f>
        <v>-23</v>
      </c>
      <c r="K8" s="46" t="s">
        <v>1564</v>
      </c>
      <c r="L8" s="38">
        <v>-42</v>
      </c>
      <c r="M8" s="38">
        <v>-10</v>
      </c>
      <c r="N8" s="38">
        <v>-49</v>
      </c>
      <c r="O8" s="38">
        <v>-28.5</v>
      </c>
      <c r="P8" s="38">
        <v>0</v>
      </c>
      <c r="Q8" s="38">
        <v>-129.5</v>
      </c>
    </row>
    <row r="9" spans="1:17">
      <c r="A9" s="37" t="s">
        <v>29</v>
      </c>
      <c r="B9" s="38" t="str">
        <f>_xlfn.XLOOKUP(Tableau7[[#This Row],[CDM]],Parametres!B:B,Parametres!C:C,"")</f>
        <v>Squad E</v>
      </c>
      <c r="C9" s="38">
        <v>3</v>
      </c>
      <c r="D9" s="38">
        <f>_xlfn.XLOOKUP(Tableau7[[#This Row],[CDM]],'[1]Delta prod days sept. oct. nov.'!$A:$A,'[1]Delta prod days sept. oct. nov.'!$D:$D,"")</f>
        <v>-8.5</v>
      </c>
      <c r="E9" s="38">
        <v>-36</v>
      </c>
      <c r="F9" s="38">
        <f>_xlfn.XLOOKUP(Tableau7[[#This Row],[CDM]],'[2]TCD delta prod days'!$A:$A,'[2]TCD delta prod days'!$B:$B,"")</f>
        <v>1</v>
      </c>
      <c r="G9" s="38" t="str">
        <f>_xlfn.XLOOKUP(Tableau7[[#This Row],[CDM]],'TCD delta prod days'!A:A,'TCD delta prod days'!B:B,"")</f>
        <v/>
      </c>
      <c r="H9" s="39">
        <f>SUM(Tableau7[[#This Row],[Delta Octobre]:[Delta  février]])</f>
        <v>-40.5</v>
      </c>
      <c r="K9" s="46" t="s">
        <v>1566</v>
      </c>
      <c r="L9" s="38">
        <v>-14.899999999999999</v>
      </c>
      <c r="M9" s="38">
        <v>5.3000000000000007</v>
      </c>
      <c r="N9" s="38">
        <v>-60.5</v>
      </c>
      <c r="O9" s="38">
        <v>-43.5</v>
      </c>
      <c r="P9" s="38">
        <v>0</v>
      </c>
      <c r="Q9" s="38">
        <v>-113.6</v>
      </c>
    </row>
    <row r="10" spans="1:17">
      <c r="A10" s="44" t="s">
        <v>42</v>
      </c>
      <c r="B10" s="38" t="str">
        <f>_xlfn.XLOOKUP(Tableau7[[#This Row],[CDM]],Parametres!B:B,Parametres!C:C,"")</f>
        <v/>
      </c>
      <c r="C10" s="38">
        <v>1</v>
      </c>
      <c r="D10" s="38">
        <f>_xlfn.XLOOKUP(Tableau7[[#This Row],[CDM]],'[1]Delta prod days sept. oct. nov.'!$A:$A,'[1]Delta prod days sept. oct. nov.'!$D:$D,"")</f>
        <v>-15</v>
      </c>
      <c r="E10" s="38">
        <v>-10</v>
      </c>
      <c r="F10" s="38">
        <f>_xlfn.XLOOKUP(Tableau7[[#This Row],[CDM]],'[2]TCD delta prod days'!$A:$A,'[2]TCD delta prod days'!$B:$B,"")</f>
        <v>-2.5</v>
      </c>
      <c r="G10" s="38" t="str">
        <f>_xlfn.XLOOKUP(Tableau7[[#This Row],[CDM]],'TCD delta prod days'!A:A,'TCD delta prod days'!B:B,"")</f>
        <v/>
      </c>
      <c r="H10" s="39">
        <f>SUM(Tableau7[[#This Row],[Delta Octobre]:[Delta  février]])</f>
        <v>-26.5</v>
      </c>
      <c r="K10" s="46" t="s">
        <v>1560</v>
      </c>
      <c r="L10" s="38">
        <v>-43.5</v>
      </c>
      <c r="M10" s="38">
        <v>22</v>
      </c>
      <c r="N10" s="38">
        <v>-8.5</v>
      </c>
      <c r="O10" s="38">
        <v>-44.5</v>
      </c>
      <c r="P10" s="38">
        <v>0</v>
      </c>
      <c r="Q10" s="38">
        <v>-74.5</v>
      </c>
    </row>
    <row r="11" spans="1:17">
      <c r="A11" s="37" t="s">
        <v>44</v>
      </c>
      <c r="B11" s="38" t="str">
        <f>_xlfn.XLOOKUP(Tableau7[[#This Row],[CDM]],Parametres!B:B,Parametres!C:C,"")</f>
        <v>Squad A</v>
      </c>
      <c r="C11" s="38">
        <v>-18.5</v>
      </c>
      <c r="D11" s="38">
        <f>_xlfn.XLOOKUP(Tableau7[[#This Row],[CDM]],'[1]Delta prod days sept. oct. nov.'!$A:$A,'[1]Delta prod days sept. oct. nov.'!$D:$D,"")</f>
        <v>-5</v>
      </c>
      <c r="E11" s="38">
        <v>0</v>
      </c>
      <c r="F11" s="38">
        <f>_xlfn.XLOOKUP(Tableau7[[#This Row],[CDM]],'[2]TCD delta prod days'!$A:$A,'[2]TCD delta prod days'!$B:$B,"")</f>
        <v>-2</v>
      </c>
      <c r="G11" s="38" t="str">
        <f>_xlfn.XLOOKUP(Tableau7[[#This Row],[CDM]],'TCD delta prod days'!A:A,'TCD delta prod days'!B:B,"")</f>
        <v/>
      </c>
      <c r="H11" s="39">
        <f>SUM(Tableau7[[#This Row],[Delta Octobre]:[Delta  février]])</f>
        <v>-25.5</v>
      </c>
      <c r="K11" s="46" t="s">
        <v>1568</v>
      </c>
      <c r="L11" s="38">
        <v>9</v>
      </c>
      <c r="M11" s="38">
        <v>-25.5</v>
      </c>
      <c r="N11" s="38">
        <v>-29</v>
      </c>
      <c r="O11" s="38">
        <v>-15</v>
      </c>
      <c r="P11" s="38">
        <v>0</v>
      </c>
      <c r="Q11" s="38">
        <v>-60.5</v>
      </c>
    </row>
    <row r="12" spans="1:17">
      <c r="A12" s="37" t="s">
        <v>41</v>
      </c>
      <c r="B12" s="38" t="str">
        <f>_xlfn.XLOOKUP(Tableau7[[#This Row],[CDM]],Parametres!B:B,Parametres!C:C,"")</f>
        <v>Squad B</v>
      </c>
      <c r="C12" s="38">
        <v>-11</v>
      </c>
      <c r="D12" s="38">
        <f>_xlfn.XLOOKUP(Tableau7[[#This Row],[CDM]],'[1]Delta prod days sept. oct. nov.'!$A:$A,'[1]Delta prod days sept. oct. nov.'!$D:$D,"")</f>
        <v>-12</v>
      </c>
      <c r="E12" s="38">
        <v>5.5</v>
      </c>
      <c r="F12" s="38">
        <f>_xlfn.XLOOKUP(Tableau7[[#This Row],[CDM]],'[2]TCD delta prod days'!$A:$A,'[2]TCD delta prod days'!$B:$B,"")</f>
        <v>-4.5</v>
      </c>
      <c r="G12" s="38" t="str">
        <f>_xlfn.XLOOKUP(Tableau7[[#This Row],[CDM]],'TCD delta prod days'!A:A,'TCD delta prod days'!B:B,"")</f>
        <v/>
      </c>
      <c r="H12" s="39">
        <f>SUM(Tableau7[[#This Row],[Delta Octobre]:[Delta  février]])</f>
        <v>-22</v>
      </c>
      <c r="K12" s="46"/>
      <c r="L12" s="38">
        <v>0</v>
      </c>
      <c r="M12" s="38">
        <v>-13</v>
      </c>
      <c r="N12" s="38">
        <v>-10</v>
      </c>
      <c r="O12" s="38">
        <v>10.5</v>
      </c>
      <c r="P12" s="38">
        <v>0</v>
      </c>
      <c r="Q12" s="38">
        <v>-12.5</v>
      </c>
    </row>
    <row r="13" spans="1:17">
      <c r="A13" s="37" t="s">
        <v>46</v>
      </c>
      <c r="B13" s="38" t="str">
        <f>_xlfn.XLOOKUP(Tableau7[[#This Row],[CDM]],Parametres!B:B,Parametres!C:C,"")</f>
        <v>Squad C</v>
      </c>
      <c r="C13" s="38">
        <v>-1</v>
      </c>
      <c r="D13" s="38">
        <f>_xlfn.XLOOKUP(Tableau7[[#This Row],[CDM]],'[1]Delta prod days sept. oct. nov.'!$A:$A,'[1]Delta prod days sept. oct. nov.'!$D:$D,"")</f>
        <v>2.5</v>
      </c>
      <c r="E13" s="38">
        <v>-19.5</v>
      </c>
      <c r="F13" s="38">
        <f>_xlfn.XLOOKUP(Tableau7[[#This Row],[CDM]],'[2]TCD delta prod days'!$A:$A,'[2]TCD delta prod days'!$B:$B,"")</f>
        <v>-2.5</v>
      </c>
      <c r="G13" s="38" t="str">
        <f>_xlfn.XLOOKUP(Tableau7[[#This Row],[CDM]],'TCD delta prod days'!A:A,'TCD delta prod days'!B:B,"")</f>
        <v/>
      </c>
      <c r="H13" s="39">
        <f>SUM(Tableau7[[#This Row],[Delta Octobre]:[Delta  février]])</f>
        <v>-20.5</v>
      </c>
      <c r="K13" s="46" t="s">
        <v>1567</v>
      </c>
      <c r="L13" s="38">
        <v>-16</v>
      </c>
      <c r="M13" s="38">
        <v>19.5</v>
      </c>
      <c r="N13" s="38">
        <v>-21</v>
      </c>
      <c r="O13" s="38">
        <v>48.5</v>
      </c>
      <c r="P13" s="38">
        <v>0</v>
      </c>
      <c r="Q13" s="38">
        <v>31</v>
      </c>
    </row>
    <row r="14" spans="1:17">
      <c r="A14" s="37" t="s">
        <v>51</v>
      </c>
      <c r="B14" s="38" t="str">
        <f>_xlfn.XLOOKUP(Tableau7[[#This Row],[CDM]],Parametres!B:B,Parametres!C:C,"")</f>
        <v>Squad C</v>
      </c>
      <c r="C14" s="38">
        <v>9</v>
      </c>
      <c r="D14" s="38">
        <f>_xlfn.XLOOKUP(Tableau7[[#This Row],[CDM]],'[1]Delta prod days sept. oct. nov.'!$A:$A,'[1]Delta prod days sept. oct. nov.'!$D:$D,"")</f>
        <v>3</v>
      </c>
      <c r="E14" s="38">
        <v>-19</v>
      </c>
      <c r="F14" s="38">
        <f>_xlfn.XLOOKUP(Tableau7[[#This Row],[CDM]],'[2]TCD delta prod days'!$A:$A,'[2]TCD delta prod days'!$B:$B,"")</f>
        <v>-2</v>
      </c>
      <c r="G14" s="38" t="str">
        <f>_xlfn.XLOOKUP(Tableau7[[#This Row],[CDM]],'TCD delta prod days'!A:A,'TCD delta prod days'!B:B,"")</f>
        <v/>
      </c>
      <c r="H14" s="39">
        <f>SUM(Tableau7[[#This Row],[Delta Octobre]:[Delta  février]])</f>
        <v>-9</v>
      </c>
      <c r="K14" s="46" t="s">
        <v>1569</v>
      </c>
      <c r="L14" s="38">
        <v>-221.4</v>
      </c>
      <c r="M14" s="38">
        <v>-48.7</v>
      </c>
      <c r="N14" s="38">
        <v>-334.5</v>
      </c>
      <c r="O14" s="38">
        <v>-151.1</v>
      </c>
      <c r="P14" s="38">
        <v>-10.5</v>
      </c>
      <c r="Q14" s="38">
        <v>-766.2</v>
      </c>
    </row>
    <row r="15" spans="1:17">
      <c r="A15" s="37" t="s">
        <v>59</v>
      </c>
      <c r="B15" s="38" t="str">
        <f>_xlfn.XLOOKUP(Tableau7[[#This Row],[CDM]],Parametres!B:B,Parametres!C:C,"")</f>
        <v>Squad A</v>
      </c>
      <c r="C15" s="38">
        <v>-15.5</v>
      </c>
      <c r="D15" s="38">
        <f>_xlfn.XLOOKUP(Tableau7[[#This Row],[CDM]],'[1]Delta prod days sept. oct. nov.'!$A:$A,'[1]Delta prod days sept. oct. nov.'!$D:$D,"")</f>
        <v>-1</v>
      </c>
      <c r="E15" s="38">
        <v>-0.5</v>
      </c>
      <c r="F15" s="38">
        <f>_xlfn.XLOOKUP(Tableau7[[#This Row],[CDM]],'[2]TCD delta prod days'!$A:$A,'[2]TCD delta prod days'!$B:$B,"")</f>
        <v>-3</v>
      </c>
      <c r="G15" s="38" t="str">
        <f>_xlfn.XLOOKUP(Tableau7[[#This Row],[CDM]],'TCD delta prod days'!A:A,'TCD delta prod days'!B:B,"")</f>
        <v/>
      </c>
      <c r="H15" s="39">
        <f>SUM(Tableau7[[#This Row],[Delta Octobre]:[Delta  février]])</f>
        <v>-20</v>
      </c>
    </row>
    <row r="16" spans="1:17">
      <c r="A16" s="37" t="s">
        <v>27</v>
      </c>
      <c r="B16" s="38" t="str">
        <f>_xlfn.XLOOKUP(Tableau7[[#This Row],[CDM]],Parametres!B:B,Parametres!C:C,"")</f>
        <v>Squad B</v>
      </c>
      <c r="C16" s="38">
        <v>-14</v>
      </c>
      <c r="D16" s="38">
        <f>_xlfn.XLOOKUP(Tableau7[[#This Row],[CDM]],'[1]Delta prod days sept. oct. nov.'!$A:$A,'[1]Delta prod days sept. oct. nov.'!$D:$D,"")</f>
        <v>-2</v>
      </c>
      <c r="E16" s="38">
        <v>-25.5</v>
      </c>
      <c r="F16" s="38">
        <f>_xlfn.XLOOKUP(Tableau7[[#This Row],[CDM]],'[2]TCD delta prod days'!$A:$A,'[2]TCD delta prod days'!$B:$B,"")</f>
        <v>1.5</v>
      </c>
      <c r="G16" s="38" t="str">
        <f>_xlfn.XLOOKUP(Tableau7[[#This Row],[CDM]],'TCD delta prod days'!A:A,'TCD delta prod days'!B:B,"")</f>
        <v/>
      </c>
      <c r="H16" s="39">
        <f>SUM(Tableau7[[#This Row],[Delta Octobre]:[Delta  février]])</f>
        <v>-40</v>
      </c>
    </row>
    <row r="17" spans="1:8">
      <c r="A17" s="37" t="s">
        <v>9</v>
      </c>
      <c r="B17" s="38" t="str">
        <f>_xlfn.XLOOKUP(Tableau7[[#This Row],[CDM]],Parametres!B:B,Parametres!C:C,"")</f>
        <v>Squad C</v>
      </c>
      <c r="C17" s="38">
        <v>-9</v>
      </c>
      <c r="D17" s="38">
        <f>_xlfn.XLOOKUP(Tableau7[[#This Row],[CDM]],'[1]Delta prod days sept. oct. nov.'!$A:$A,'[1]Delta prod days sept. oct. nov.'!$D:$D,"")</f>
        <v>-9.5</v>
      </c>
      <c r="E17" s="38">
        <v>2</v>
      </c>
      <c r="F17" s="38">
        <f>_xlfn.XLOOKUP(Tableau7[[#This Row],[CDM]],'[2]TCD delta prod days'!$A:$A,'[2]TCD delta prod days'!$B:$B,"")</f>
        <v>-15</v>
      </c>
      <c r="G17" s="38" t="str">
        <f>_xlfn.XLOOKUP(Tableau7[[#This Row],[CDM]],'TCD delta prod days'!A:A,'TCD delta prod days'!B:B,"")</f>
        <v/>
      </c>
      <c r="H17" s="39">
        <f>SUM(Tableau7[[#This Row],[Delta Octobre]:[Delta  février]])</f>
        <v>-31.5</v>
      </c>
    </row>
    <row r="18" spans="1:8">
      <c r="A18" s="37" t="s">
        <v>55</v>
      </c>
      <c r="B18" s="38" t="str">
        <f>_xlfn.XLOOKUP(Tableau7[[#This Row],[CDM]],Parametres!B:B,Parametres!C:C,"")</f>
        <v>Squad H</v>
      </c>
      <c r="C18" s="38">
        <v>-4</v>
      </c>
      <c r="D18" s="38">
        <f>_xlfn.XLOOKUP(Tableau7[[#This Row],[CDM]],'[1]Delta prod days sept. oct. nov.'!$A:$A,'[1]Delta prod days sept. oct. nov.'!$D:$D,"")</f>
        <v>-1.5</v>
      </c>
      <c r="E18" s="38">
        <v>-13.5</v>
      </c>
      <c r="F18" s="38">
        <f>_xlfn.XLOOKUP(Tableau7[[#This Row],[CDM]],'[2]TCD delta prod days'!$A:$A,'[2]TCD delta prod days'!$B:$B,"")</f>
        <v>-2.5</v>
      </c>
      <c r="G18" s="38" t="str">
        <f>_xlfn.XLOOKUP(Tableau7[[#This Row],[CDM]],'TCD delta prod days'!A:A,'TCD delta prod days'!B:B,"")</f>
        <v/>
      </c>
      <c r="H18" s="39">
        <f>SUM(Tableau7[[#This Row],[Delta Octobre]:[Delta  février]])</f>
        <v>-21.5</v>
      </c>
    </row>
    <row r="19" spans="1:8">
      <c r="A19" s="37" t="s">
        <v>2</v>
      </c>
      <c r="B19" s="38" t="str">
        <f>_xlfn.XLOOKUP(Tableau7[[#This Row],[CDM]],Parametres!B:B,Parametres!C:C,"")</f>
        <v>Squad H</v>
      </c>
      <c r="C19" s="38" t="s">
        <v>1559</v>
      </c>
      <c r="D19" s="38">
        <f>_xlfn.XLOOKUP(Tableau7[[#This Row],[CDM]],'[1]Delta prod days sept. oct. nov.'!$A:$A,'[1]Delta prod days sept. oct. nov.'!$D:$D,"")</f>
        <v>0</v>
      </c>
      <c r="E19" s="38">
        <v>0</v>
      </c>
      <c r="F19" s="38">
        <f>_xlfn.XLOOKUP(Tableau7[[#This Row],[CDM]],'[2]TCD delta prod days'!$A:$A,'[2]TCD delta prod days'!$B:$B,"")</f>
        <v>-22</v>
      </c>
      <c r="G19" s="38" t="str">
        <f>_xlfn.XLOOKUP(Tableau7[[#This Row],[CDM]],'TCD delta prod days'!A:A,'TCD delta prod days'!B:B,"")</f>
        <v/>
      </c>
      <c r="H19" s="39">
        <f>SUM(Tableau7[[#This Row],[Delta Octobre]:[Delta  février]])</f>
        <v>-22</v>
      </c>
    </row>
    <row r="20" spans="1:8">
      <c r="A20" s="37" t="s">
        <v>3</v>
      </c>
      <c r="B20" s="38" t="str">
        <f>_xlfn.XLOOKUP(Tableau7[[#This Row],[CDM]],Parametres!B:B,Parametres!C:C,"")</f>
        <v>Squad B</v>
      </c>
      <c r="C20" s="38">
        <v>-4.5</v>
      </c>
      <c r="D20" s="38">
        <f>_xlfn.XLOOKUP(Tableau7[[#This Row],[CDM]],'[1]Delta prod days sept. oct. nov.'!$A:$A,'[1]Delta prod days sept. oct. nov.'!$D:$D,"")</f>
        <v>-8</v>
      </c>
      <c r="E20" s="38">
        <v>-1.5</v>
      </c>
      <c r="F20" s="38">
        <f>_xlfn.XLOOKUP(Tableau7[[#This Row],[CDM]],'[2]TCD delta prod days'!$A:$A,'[2]TCD delta prod days'!$B:$B,"")</f>
        <v>-14</v>
      </c>
      <c r="G20" s="38" t="str">
        <f>_xlfn.XLOOKUP(Tableau7[[#This Row],[CDM]],'TCD delta prod days'!A:A,'TCD delta prod days'!B:B,"")</f>
        <v/>
      </c>
      <c r="H20" s="39">
        <f>SUM(Tableau7[[#This Row],[Delta Octobre]:[Delta  février]])</f>
        <v>-28</v>
      </c>
    </row>
    <row r="21" spans="1:8">
      <c r="A21" s="37" t="s">
        <v>61</v>
      </c>
      <c r="B21" s="38" t="str">
        <f>_xlfn.XLOOKUP(Tableau7[[#This Row],[CDM]],Parametres!B:B,Parametres!C:C,"")</f>
        <v>Squad D</v>
      </c>
      <c r="C21" s="38">
        <v>-11.5</v>
      </c>
      <c r="D21" s="38">
        <f>_xlfn.XLOOKUP(Tableau7[[#This Row],[CDM]],'[1]Delta prod days sept. oct. nov.'!$A:$A,'[1]Delta prod days sept. oct. nov.'!$D:$D,"")</f>
        <v>-6</v>
      </c>
      <c r="E21" s="38">
        <v>-6</v>
      </c>
      <c r="F21" s="38">
        <f>_xlfn.XLOOKUP(Tableau7[[#This Row],[CDM]],'[2]TCD delta prod days'!$A:$A,'[2]TCD delta prod days'!$B:$B,"")</f>
        <v>3.5</v>
      </c>
      <c r="G21" s="38" t="str">
        <f>_xlfn.XLOOKUP(Tableau7[[#This Row],[CDM]],'TCD delta prod days'!A:A,'TCD delta prod days'!B:B,"")</f>
        <v/>
      </c>
      <c r="H21" s="39">
        <f>SUM(Tableau7[[#This Row],[Delta Octobre]:[Delta  février]])</f>
        <v>-20</v>
      </c>
    </row>
    <row r="22" spans="1:8">
      <c r="A22" s="37" t="s">
        <v>33</v>
      </c>
      <c r="B22" s="38" t="str">
        <f>_xlfn.XLOOKUP(Tableau7[[#This Row],[CDM]],Parametres!B:B,Parametres!C:C,"")</f>
        <v>Squad A</v>
      </c>
      <c r="C22" s="38">
        <v>0</v>
      </c>
      <c r="D22" s="38">
        <f>_xlfn.XLOOKUP(Tableau7[[#This Row],[CDM]],'[1]Delta prod days sept. oct. nov.'!$A:$A,'[1]Delta prod days sept. oct. nov.'!$D:$D,"")</f>
        <v>-4.5</v>
      </c>
      <c r="E22" s="38">
        <v>-3</v>
      </c>
      <c r="F22" s="38">
        <f>_xlfn.XLOOKUP(Tableau7[[#This Row],[CDM]],'[2]TCD delta prod days'!$A:$A,'[2]TCD delta prod days'!$B:$B,"")</f>
        <v>0.5</v>
      </c>
      <c r="G22" s="38" t="str">
        <f>_xlfn.XLOOKUP(Tableau7[[#This Row],[CDM]],'TCD delta prod days'!A:A,'TCD delta prod days'!B:B,"")</f>
        <v/>
      </c>
      <c r="H22" s="39">
        <f>SUM(Tableau7[[#This Row],[Delta Octobre]:[Delta  février]])</f>
        <v>-7</v>
      </c>
    </row>
    <row r="23" spans="1:8">
      <c r="A23" s="37" t="s">
        <v>15</v>
      </c>
      <c r="B23" s="38" t="str">
        <f>_xlfn.XLOOKUP(Tableau7[[#This Row],[CDM]],Parametres!B:B,Parametres!C:C,"")</f>
        <v>Squad B</v>
      </c>
      <c r="C23" s="38">
        <v>2.5</v>
      </c>
      <c r="D23" s="38">
        <f>_xlfn.XLOOKUP(Tableau7[[#This Row],[CDM]],'[1]Delta prod days sept. oct. nov.'!$A:$A,'[1]Delta prod days sept. oct. nov.'!$D:$D,"")</f>
        <v>-5</v>
      </c>
      <c r="E23" s="38">
        <v>-3</v>
      </c>
      <c r="F23" s="38">
        <f>_xlfn.XLOOKUP(Tableau7[[#This Row],[CDM]],'[2]TCD delta prod days'!$A:$A,'[2]TCD delta prod days'!$B:$B,"")</f>
        <v>-12</v>
      </c>
      <c r="G23" s="38" t="str">
        <f>_xlfn.XLOOKUP(Tableau7[[#This Row],[CDM]],'TCD delta prod days'!A:A,'TCD delta prod days'!B:B,"")</f>
        <v/>
      </c>
      <c r="H23" s="39">
        <f>SUM(Tableau7[[#This Row],[Delta Octobre]:[Delta  février]])</f>
        <v>-17.5</v>
      </c>
    </row>
    <row r="24" spans="1:8">
      <c r="A24" s="37" t="s">
        <v>16</v>
      </c>
      <c r="B24" s="38" t="str">
        <f>_xlfn.XLOOKUP(Tableau7[[#This Row],[CDM]],Parametres!B:B,Parametres!C:C,"")</f>
        <v>Squad E</v>
      </c>
      <c r="C24" s="38">
        <v>2.5</v>
      </c>
      <c r="D24" s="38">
        <f>_xlfn.XLOOKUP(Tableau7[[#This Row],[CDM]],'[1]Delta prod days sept. oct. nov.'!$A:$A,'[1]Delta prod days sept. oct. nov.'!$D:$D,"")</f>
        <v>-0.5</v>
      </c>
      <c r="E24" s="38">
        <v>-6.5</v>
      </c>
      <c r="F24" s="38">
        <f>_xlfn.XLOOKUP(Tableau7[[#This Row],[CDM]],'[2]TCD delta prod days'!$A:$A,'[2]TCD delta prod days'!$B:$B,"")</f>
        <v>-2</v>
      </c>
      <c r="G24" s="38" t="str">
        <f>_xlfn.XLOOKUP(Tableau7[[#This Row],[CDM]],'TCD delta prod days'!A:A,'TCD delta prod days'!B:B,"")</f>
        <v/>
      </c>
      <c r="H24" s="39">
        <f>SUM(Tableau7[[#This Row],[Delta Octobre]:[Delta  février]])</f>
        <v>-6.5</v>
      </c>
    </row>
    <row r="25" spans="1:8">
      <c r="A25" s="37" t="s">
        <v>19</v>
      </c>
      <c r="B25" s="38" t="str">
        <f>_xlfn.XLOOKUP(Tableau7[[#This Row],[CDM]],Parametres!B:B,Parametres!C:C,"")</f>
        <v>Squad D</v>
      </c>
      <c r="C25" s="38">
        <v>-7</v>
      </c>
      <c r="D25" s="38">
        <f>_xlfn.XLOOKUP(Tableau7[[#This Row],[CDM]],'[1]Delta prod days sept. oct. nov.'!$A:$A,'[1]Delta prod days sept. oct. nov.'!$D:$D,"")</f>
        <v>-4</v>
      </c>
      <c r="E25" s="38">
        <v>-3</v>
      </c>
      <c r="F25" s="38">
        <f>_xlfn.XLOOKUP(Tableau7[[#This Row],[CDM]],'[2]TCD delta prod days'!$A:$A,'[2]TCD delta prod days'!$B:$B,"")</f>
        <v>-5</v>
      </c>
      <c r="G25" s="38" t="str">
        <f>_xlfn.XLOOKUP(Tableau7[[#This Row],[CDM]],'TCD delta prod days'!A:A,'TCD delta prod days'!B:B,"")</f>
        <v/>
      </c>
      <c r="H25" s="39">
        <f>SUM(Tableau7[[#This Row],[Delta Octobre]:[Delta  février]])</f>
        <v>-19</v>
      </c>
    </row>
    <row r="26" spans="1:8">
      <c r="A26" s="37" t="s">
        <v>14</v>
      </c>
      <c r="B26" s="38" t="str">
        <f>_xlfn.XLOOKUP(Tableau7[[#This Row],[CDM]],Parametres!B:B,Parametres!C:C,"")</f>
        <v>Squad D</v>
      </c>
      <c r="C26" s="38">
        <v>-11</v>
      </c>
      <c r="D26" s="38">
        <f>_xlfn.XLOOKUP(Tableau7[[#This Row],[CDM]],'[1]Delta prod days sept. oct. nov.'!$A:$A,'[1]Delta prod days sept. oct. nov.'!$D:$D,"")</f>
        <v>-1</v>
      </c>
      <c r="E26" s="38">
        <v>-4.5</v>
      </c>
      <c r="F26" s="38">
        <f>_xlfn.XLOOKUP(Tableau7[[#This Row],[CDM]],'[2]TCD delta prod days'!$A:$A,'[2]TCD delta prod days'!$B:$B,"")</f>
        <v>-9</v>
      </c>
      <c r="G26" s="38" t="str">
        <f>_xlfn.XLOOKUP(Tableau7[[#This Row],[CDM]],'TCD delta prod days'!A:A,'TCD delta prod days'!B:B,"")</f>
        <v/>
      </c>
      <c r="H26" s="39">
        <f>SUM(Tableau7[[#This Row],[Delta Octobre]:[Delta  février]])</f>
        <v>-25.5</v>
      </c>
    </row>
    <row r="27" spans="1:8">
      <c r="A27" s="37" t="s">
        <v>62</v>
      </c>
      <c r="B27" s="38" t="str">
        <f>_xlfn.XLOOKUP(Tableau7[[#This Row],[CDM]],Parametres!B:B,Parametres!C:C,"")</f>
        <v>Squad E</v>
      </c>
      <c r="C27" s="38">
        <v>-2.5</v>
      </c>
      <c r="D27" s="38">
        <f>_xlfn.XLOOKUP(Tableau7[[#This Row],[CDM]],'[1]Delta prod days sept. oct. nov.'!$A:$A,'[1]Delta prod days sept. oct. nov.'!$D:$D,"")</f>
        <v>-6</v>
      </c>
      <c r="E27" s="38">
        <v>-5</v>
      </c>
      <c r="F27" s="38">
        <f>_xlfn.XLOOKUP(Tableau7[[#This Row],[CDM]],'[2]TCD delta prod days'!$A:$A,'[2]TCD delta prod days'!$B:$B,"")</f>
        <v>1</v>
      </c>
      <c r="G27" s="38" t="str">
        <f>_xlfn.XLOOKUP(Tableau7[[#This Row],[CDM]],'TCD delta prod days'!A:A,'TCD delta prod days'!B:B,"")</f>
        <v/>
      </c>
      <c r="H27" s="39">
        <f>SUM(Tableau7[[#This Row],[Delta Octobre]:[Delta  février]])</f>
        <v>-12.5</v>
      </c>
    </row>
    <row r="28" spans="1:8">
      <c r="A28" s="37" t="s">
        <v>25</v>
      </c>
      <c r="B28" s="38" t="str">
        <f>_xlfn.XLOOKUP(Tableau7[[#This Row],[CDM]],Parametres!B:B,Parametres!C:C,"")</f>
        <v>Squad E</v>
      </c>
      <c r="C28" s="38">
        <v>-14</v>
      </c>
      <c r="D28" s="38">
        <f>_xlfn.XLOOKUP(Tableau7[[#This Row],[CDM]],'[1]Delta prod days sept. oct. nov.'!$A:$A,'[1]Delta prod days sept. oct. nov.'!$D:$D,"")</f>
        <v>0</v>
      </c>
      <c r="E28" s="38">
        <v>-7.5</v>
      </c>
      <c r="F28" s="38">
        <f>_xlfn.XLOOKUP(Tableau7[[#This Row],[CDM]],'[2]TCD delta prod days'!$A:$A,'[2]TCD delta prod days'!$B:$B,"")</f>
        <v>-8</v>
      </c>
      <c r="G28" s="38" t="str">
        <f>_xlfn.XLOOKUP(Tableau7[[#This Row],[CDM]],'TCD delta prod days'!A:A,'TCD delta prod days'!B:B,"")</f>
        <v/>
      </c>
      <c r="H28" s="39">
        <f>SUM(Tableau7[[#This Row],[Delta Octobre]:[Delta  février]])</f>
        <v>-29.5</v>
      </c>
    </row>
    <row r="29" spans="1:8">
      <c r="A29" s="37" t="s">
        <v>53</v>
      </c>
      <c r="B29" s="38" t="str">
        <f>_xlfn.XLOOKUP(Tableau7[[#This Row],[CDM]],Parametres!B:B,Parametres!C:C,"")</f>
        <v>Squad E</v>
      </c>
      <c r="C29" s="38">
        <v>-5</v>
      </c>
      <c r="D29" s="38">
        <f>_xlfn.XLOOKUP(Tableau7[[#This Row],[CDM]],'[1]Delta prod days sept. oct. nov.'!$A:$A,'[1]Delta prod days sept. oct. nov.'!$D:$D,"")</f>
        <v>4</v>
      </c>
      <c r="E29" s="38">
        <v>-18.5</v>
      </c>
      <c r="F29" s="38">
        <f>_xlfn.XLOOKUP(Tableau7[[#This Row],[CDM]],'[2]TCD delta prod days'!$A:$A,'[2]TCD delta prod days'!$B:$B,"")</f>
        <v>-4</v>
      </c>
      <c r="G29" s="38" t="str">
        <f>_xlfn.XLOOKUP(Tableau7[[#This Row],[CDM]],'TCD delta prod days'!A:A,'TCD delta prod days'!B:B,"")</f>
        <v/>
      </c>
      <c r="H29" s="39">
        <f>SUM(Tableau7[[#This Row],[Delta Octobre]:[Delta  février]])</f>
        <v>-23.5</v>
      </c>
    </row>
    <row r="30" spans="1:8">
      <c r="A30" s="37" t="s">
        <v>35</v>
      </c>
      <c r="B30" s="38" t="str">
        <f>_xlfn.XLOOKUP(Tableau7[[#This Row],[CDM]],Parametres!B:B,Parametres!C:C,"")</f>
        <v>Squad B</v>
      </c>
      <c r="C30" s="38">
        <v>-7.5</v>
      </c>
      <c r="D30" s="38">
        <f>_xlfn.XLOOKUP(Tableau7[[#This Row],[CDM]],'[1]Delta prod days sept. oct. nov.'!$A:$A,'[1]Delta prod days sept. oct. nov.'!$D:$D,"")</f>
        <v>0</v>
      </c>
      <c r="E30" s="38">
        <v>-7</v>
      </c>
      <c r="F30" s="38">
        <f>_xlfn.XLOOKUP(Tableau7[[#This Row],[CDM]],'[2]TCD delta prod days'!$A:$A,'[2]TCD delta prod days'!$B:$B,"")</f>
        <v>4.5</v>
      </c>
      <c r="G30" s="38" t="str">
        <f>_xlfn.XLOOKUP(Tableau7[[#This Row],[CDM]],'TCD delta prod days'!A:A,'TCD delta prod days'!B:B,"")</f>
        <v/>
      </c>
      <c r="H30" s="39">
        <f>SUM(Tableau7[[#This Row],[Delta Octobre]:[Delta  février]])</f>
        <v>-10</v>
      </c>
    </row>
    <row r="31" spans="1:8">
      <c r="A31" s="37" t="s">
        <v>11</v>
      </c>
      <c r="B31" s="38" t="str">
        <f>_xlfn.XLOOKUP(Tableau7[[#This Row],[CDM]],Parametres!B:B,Parametres!C:C,"")</f>
        <v>Squad A</v>
      </c>
      <c r="C31" s="38">
        <v>0.5</v>
      </c>
      <c r="D31" s="38">
        <f>_xlfn.XLOOKUP(Tableau7[[#This Row],[CDM]],'[1]Delta prod days sept. oct. nov.'!$A:$A,'[1]Delta prod days sept. oct. nov.'!$D:$D,"")</f>
        <v>0</v>
      </c>
      <c r="E31" s="38">
        <v>-3</v>
      </c>
      <c r="F31" s="38">
        <f>_xlfn.XLOOKUP(Tableau7[[#This Row],[CDM]],'[2]TCD delta prod days'!$A:$A,'[2]TCD delta prod days'!$B:$B,"")</f>
        <v>-6</v>
      </c>
      <c r="G31" s="38" t="str">
        <f>_xlfn.XLOOKUP(Tableau7[[#This Row],[CDM]],'TCD delta prod days'!A:A,'TCD delta prod days'!B:B,"")</f>
        <v/>
      </c>
      <c r="H31" s="39">
        <f>SUM(Tableau7[[#This Row],[Delta Octobre]:[Delta  février]])</f>
        <v>-8.5</v>
      </c>
    </row>
    <row r="32" spans="1:8">
      <c r="A32" s="37" t="s">
        <v>17</v>
      </c>
      <c r="B32" s="38" t="str">
        <f>_xlfn.XLOOKUP(Tableau7[[#This Row],[CDM]],Parametres!B:B,Parametres!C:C,"")</f>
        <v>Squad G</v>
      </c>
      <c r="C32" s="38">
        <v>-0.5</v>
      </c>
      <c r="D32" s="38">
        <f>_xlfn.XLOOKUP(Tableau7[[#This Row],[CDM]],'[1]Delta prod days sept. oct. nov.'!$A:$A,'[1]Delta prod days sept. oct. nov.'!$D:$D,"")</f>
        <v>2.5</v>
      </c>
      <c r="E32" s="38">
        <v>-1.5</v>
      </c>
      <c r="F32" s="38">
        <f>_xlfn.XLOOKUP(Tableau7[[#This Row],[CDM]],'[2]TCD delta prod days'!$A:$A,'[2]TCD delta prod days'!$B:$B,"")</f>
        <v>-8</v>
      </c>
      <c r="G32" s="38" t="str">
        <f>_xlfn.XLOOKUP(Tableau7[[#This Row],[CDM]],'TCD delta prod days'!A:A,'TCD delta prod days'!B:B,"")</f>
        <v/>
      </c>
      <c r="H32" s="39">
        <f>SUM(Tableau7[[#This Row],[Delta Octobre]:[Delta  février]])</f>
        <v>-7.5</v>
      </c>
    </row>
    <row r="33" spans="1:8">
      <c r="A33" s="37" t="s">
        <v>26</v>
      </c>
      <c r="B33" s="38" t="str">
        <f>_xlfn.XLOOKUP(Tableau7[[#This Row],[CDM]],Parametres!B:B,Parametres!C:C,"")</f>
        <v>Squad D</v>
      </c>
      <c r="C33" s="38">
        <v>-9</v>
      </c>
      <c r="D33" s="38">
        <f>_xlfn.XLOOKUP(Tableau7[[#This Row],[CDM]],'[1]Delta prod days sept. oct. nov.'!$A:$A,'[1]Delta prod days sept. oct. nov.'!$D:$D,"")</f>
        <v>-1</v>
      </c>
      <c r="E33" s="38">
        <v>-1.5</v>
      </c>
      <c r="F33" s="38">
        <f>_xlfn.XLOOKUP(Tableau7[[#This Row],[CDM]],'[2]TCD delta prod days'!$A:$A,'[2]TCD delta prod days'!$B:$B,"")</f>
        <v>-8.5</v>
      </c>
      <c r="G33" s="38" t="str">
        <f>_xlfn.XLOOKUP(Tableau7[[#This Row],[CDM]],'TCD delta prod days'!A:A,'TCD delta prod days'!B:B,"")</f>
        <v/>
      </c>
      <c r="H33" s="39">
        <f>SUM(Tableau7[[#This Row],[Delta Octobre]:[Delta  février]])</f>
        <v>-20</v>
      </c>
    </row>
    <row r="34" spans="1:8">
      <c r="A34" s="37" t="s">
        <v>67</v>
      </c>
      <c r="B34" s="38" t="str">
        <f>_xlfn.XLOOKUP(Tableau7[[#This Row],[CDM]],Parametres!B:B,Parametres!C:C,"")</f>
        <v>Squad C</v>
      </c>
      <c r="C34" s="38">
        <v>-11.5</v>
      </c>
      <c r="D34" s="38">
        <f>_xlfn.XLOOKUP(Tableau7[[#This Row],[CDM]],'[1]Delta prod days sept. oct. nov.'!$A:$A,'[1]Delta prod days sept. oct. nov.'!$D:$D,"")</f>
        <v>-1</v>
      </c>
      <c r="E34" s="38">
        <v>4</v>
      </c>
      <c r="F34" s="38">
        <f>_xlfn.XLOOKUP(Tableau7[[#This Row],[CDM]],'[2]TCD delta prod days'!$A:$A,'[2]TCD delta prod days'!$B:$B,"")</f>
        <v>-0.10000000000000142</v>
      </c>
      <c r="G34" s="38" t="str">
        <f>_xlfn.XLOOKUP(Tableau7[[#This Row],[CDM]],'TCD delta prod days'!A:A,'TCD delta prod days'!B:B,"")</f>
        <v/>
      </c>
      <c r="H34" s="39">
        <f>SUM(Tableau7[[#This Row],[Delta Octobre]:[Delta  février]])</f>
        <v>-8.6000000000000014</v>
      </c>
    </row>
    <row r="35" spans="1:8">
      <c r="A35" s="37" t="s">
        <v>12</v>
      </c>
      <c r="B35" s="38" t="str">
        <f>_xlfn.XLOOKUP(Tableau7[[#This Row],[CDM]],Parametres!B:B,Parametres!C:C,"")</f>
        <v>Squad B</v>
      </c>
      <c r="C35" s="38">
        <v>-6.5</v>
      </c>
      <c r="D35" s="38">
        <f>_xlfn.XLOOKUP(Tableau7[[#This Row],[CDM]],'[1]Delta prod days sept. oct. nov.'!$A:$A,'[1]Delta prod days sept. oct. nov.'!$D:$D,"")</f>
        <v>-1.5</v>
      </c>
      <c r="E35" s="38">
        <v>-2</v>
      </c>
      <c r="F35" s="38">
        <f>_xlfn.XLOOKUP(Tableau7[[#This Row],[CDM]],'[2]TCD delta prod days'!$A:$A,'[2]TCD delta prod days'!$B:$B,"")</f>
        <v>-9</v>
      </c>
      <c r="G35" s="38" t="str">
        <f>_xlfn.XLOOKUP(Tableau7[[#This Row],[CDM]],'TCD delta prod days'!A:A,'TCD delta prod days'!B:B,"")</f>
        <v/>
      </c>
      <c r="H35" s="39">
        <f>SUM(Tableau7[[#This Row],[Delta Octobre]:[Delta  février]])</f>
        <v>-19</v>
      </c>
    </row>
    <row r="36" spans="1:8">
      <c r="A36" s="37" t="s">
        <v>65</v>
      </c>
      <c r="B36" s="38" t="str">
        <f>_xlfn.XLOOKUP(Tableau7[[#This Row],[CDM]],Parametres!B:B,Parametres!C:C,"")</f>
        <v>Squad G</v>
      </c>
      <c r="C36" s="38">
        <v>-4</v>
      </c>
      <c r="D36" s="38">
        <f>_xlfn.XLOOKUP(Tableau7[[#This Row],[CDM]],'[1]Delta prod days sept. oct. nov.'!$A:$A,'[1]Delta prod days sept. oct. nov.'!$D:$D,"")</f>
        <v>0</v>
      </c>
      <c r="E36" s="38">
        <v>-19</v>
      </c>
      <c r="F36" s="38">
        <f>_xlfn.XLOOKUP(Tableau7[[#This Row],[CDM]],'[2]TCD delta prod days'!$A:$A,'[2]TCD delta prod days'!$B:$B,"")</f>
        <v>8.5</v>
      </c>
      <c r="G36" s="38" t="str">
        <f>_xlfn.XLOOKUP(Tableau7[[#This Row],[CDM]],'TCD delta prod days'!A:A,'TCD delta prod days'!B:B,"")</f>
        <v/>
      </c>
      <c r="H36" s="39">
        <f>SUM(Tableau7[[#This Row],[Delta Octobre]:[Delta  février]])</f>
        <v>-14.5</v>
      </c>
    </row>
    <row r="37" spans="1:8">
      <c r="A37" s="37" t="s">
        <v>28</v>
      </c>
      <c r="B37" s="38" t="str">
        <f>_xlfn.XLOOKUP(Tableau7[[#This Row],[CDM]],Parametres!B:B,Parametres!C:C,"")</f>
        <v>Squad D</v>
      </c>
      <c r="C37" s="38">
        <v>-4.5</v>
      </c>
      <c r="D37" s="38">
        <f>_xlfn.XLOOKUP(Tableau7[[#This Row],[CDM]],'[1]Delta prod days sept. oct. nov.'!$A:$A,'[1]Delta prod days sept. oct. nov.'!$D:$D,"")</f>
        <v>-1</v>
      </c>
      <c r="E37" s="38">
        <v>-2</v>
      </c>
      <c r="F37" s="38">
        <f>_xlfn.XLOOKUP(Tableau7[[#This Row],[CDM]],'[2]TCD delta prod days'!$A:$A,'[2]TCD delta prod days'!$B:$B,"")</f>
        <v>-4</v>
      </c>
      <c r="G37" s="38" t="str">
        <f>_xlfn.XLOOKUP(Tableau7[[#This Row],[CDM]],'TCD delta prod days'!A:A,'TCD delta prod days'!B:B,"")</f>
        <v/>
      </c>
      <c r="H37" s="39">
        <f>SUM(Tableau7[[#This Row],[Delta Octobre]:[Delta  février]])</f>
        <v>-11.5</v>
      </c>
    </row>
    <row r="38" spans="1:8">
      <c r="A38" s="37" t="s">
        <v>82</v>
      </c>
      <c r="B38" s="38" t="str">
        <f>_xlfn.XLOOKUP(Tableau7[[#This Row],[CDM]],Parametres!B:B,Parametres!C:C,"")</f>
        <v>Squad F</v>
      </c>
      <c r="C38" s="38" t="s">
        <v>1559</v>
      </c>
      <c r="D38" s="38">
        <f>_xlfn.XLOOKUP(Tableau7[[#This Row],[CDM]],'[1]Delta prod days sept. oct. nov.'!$A:$A,'[1]Delta prod days sept. oct. nov.'!$D:$D,"")</f>
        <v>10</v>
      </c>
      <c r="E38" s="38">
        <v>-17</v>
      </c>
      <c r="F38" s="38">
        <f>_xlfn.XLOOKUP(Tableau7[[#This Row],[CDM]],'[2]TCD delta prod days'!$A:$A,'[2]TCD delta prod days'!$B:$B,"")</f>
        <v>-10</v>
      </c>
      <c r="G38" s="38" t="str">
        <f>_xlfn.XLOOKUP(Tableau7[[#This Row],[CDM]],'TCD delta prod days'!A:A,'TCD delta prod days'!B:B,"")</f>
        <v/>
      </c>
      <c r="H38" s="39">
        <f>SUM(Tableau7[[#This Row],[Delta Octobre]:[Delta  février]])</f>
        <v>-17</v>
      </c>
    </row>
    <row r="39" spans="1:8">
      <c r="A39" s="37" t="s">
        <v>22</v>
      </c>
      <c r="B39" s="38" t="str">
        <f>_xlfn.XLOOKUP(Tableau7[[#This Row],[CDM]],Parametres!B:B,Parametres!C:C,"")</f>
        <v>Squad C</v>
      </c>
      <c r="C39" s="38">
        <v>-2.5</v>
      </c>
      <c r="D39" s="38">
        <f>_xlfn.XLOOKUP(Tableau7[[#This Row],[CDM]],'[1]Delta prod days sept. oct. nov.'!$A:$A,'[1]Delta prod days sept. oct. nov.'!$D:$D,"")</f>
        <v>-13</v>
      </c>
      <c r="E39" s="38">
        <v>9</v>
      </c>
      <c r="F39" s="38">
        <f>_xlfn.XLOOKUP(Tableau7[[#This Row],[CDM]],'[2]TCD delta prod days'!$A:$A,'[2]TCD delta prod days'!$B:$B,"")</f>
        <v>-5</v>
      </c>
      <c r="G39" s="38" t="str">
        <f>_xlfn.XLOOKUP(Tableau7[[#This Row],[CDM]],'TCD delta prod days'!A:A,'TCD delta prod days'!B:B,"")</f>
        <v/>
      </c>
      <c r="H39" s="39">
        <f>SUM(Tableau7[[#This Row],[Delta Octobre]:[Delta  février]])</f>
        <v>-11.5</v>
      </c>
    </row>
    <row r="40" spans="1:8">
      <c r="A40" s="37" t="s">
        <v>38</v>
      </c>
      <c r="B40" s="38" t="str">
        <f>_xlfn.XLOOKUP(Tableau7[[#This Row],[CDM]],Parametres!B:B,Parametres!C:C,"")</f>
        <v>Squad H</v>
      </c>
      <c r="C40" s="38">
        <v>-3.5</v>
      </c>
      <c r="D40" s="38">
        <f>_xlfn.XLOOKUP(Tableau7[[#This Row],[CDM]],'[1]Delta prod days sept. oct. nov.'!$A:$A,'[1]Delta prod days sept. oct. nov.'!$D:$D,"")</f>
        <v>-6.5</v>
      </c>
      <c r="E40" s="38">
        <v>-11.5</v>
      </c>
      <c r="F40" s="38">
        <f>_xlfn.XLOOKUP(Tableau7[[#This Row],[CDM]],'[2]TCD delta prod days'!$A:$A,'[2]TCD delta prod days'!$B:$B,"")</f>
        <v>8</v>
      </c>
      <c r="G40" s="38" t="str">
        <f>_xlfn.XLOOKUP(Tableau7[[#This Row],[CDM]],'TCD delta prod days'!A:A,'TCD delta prod days'!B:B,"")</f>
        <v/>
      </c>
      <c r="H40" s="39">
        <f>SUM(Tableau7[[#This Row],[Delta Octobre]:[Delta  février]])</f>
        <v>-13.5</v>
      </c>
    </row>
    <row r="41" spans="1:8">
      <c r="A41" s="37" t="s">
        <v>34</v>
      </c>
      <c r="B41" s="38" t="str">
        <f>_xlfn.XLOOKUP(Tableau7[[#This Row],[CDM]],Parametres!B:B,Parametres!C:C,"")</f>
        <v>Squad D</v>
      </c>
      <c r="C41" s="38">
        <v>3</v>
      </c>
      <c r="D41" s="38">
        <f>_xlfn.XLOOKUP(Tableau7[[#This Row],[CDM]],'[1]Delta prod days sept. oct. nov.'!$A:$A,'[1]Delta prod days sept. oct. nov.'!$D:$D,"")</f>
        <v>3</v>
      </c>
      <c r="E41" s="38">
        <v>-9</v>
      </c>
      <c r="F41" s="38">
        <f>_xlfn.XLOOKUP(Tableau7[[#This Row],[CDM]],'[2]TCD delta prod days'!$A:$A,'[2]TCD delta prod days'!$B:$B,"")</f>
        <v>4.5</v>
      </c>
      <c r="G41" s="38" t="str">
        <f>_xlfn.XLOOKUP(Tableau7[[#This Row],[CDM]],'TCD delta prod days'!A:A,'TCD delta prod days'!B:B,"")</f>
        <v/>
      </c>
      <c r="H41" s="39">
        <f>SUM(Tableau7[[#This Row],[Delta Octobre]:[Delta  février]])</f>
        <v>1.5</v>
      </c>
    </row>
    <row r="42" spans="1:8">
      <c r="A42" s="37" t="s">
        <v>36</v>
      </c>
      <c r="B42" s="38" t="str">
        <f>_xlfn.XLOOKUP(Tableau7[[#This Row],[CDM]],Parametres!B:B,Parametres!C:C,"")</f>
        <v>Squad H</v>
      </c>
      <c r="C42" s="38">
        <v>2</v>
      </c>
      <c r="D42" s="38">
        <f>_xlfn.XLOOKUP(Tableau7[[#This Row],[CDM]],'[1]Delta prod days sept. oct. nov.'!$A:$A,'[1]Delta prod days sept. oct. nov.'!$D:$D,"")</f>
        <v>-1</v>
      </c>
      <c r="E42" s="38">
        <v>-3</v>
      </c>
      <c r="F42" s="38">
        <f>_xlfn.XLOOKUP(Tableau7[[#This Row],[CDM]],'[2]TCD delta prod days'!$A:$A,'[2]TCD delta prod days'!$B:$B,"")</f>
        <v>-3</v>
      </c>
      <c r="G42" s="38" t="str">
        <f>_xlfn.XLOOKUP(Tableau7[[#This Row],[CDM]],'TCD delta prod days'!A:A,'TCD delta prod days'!B:B,"")</f>
        <v/>
      </c>
      <c r="H42" s="39">
        <f>SUM(Tableau7[[#This Row],[Delta Octobre]:[Delta  février]])</f>
        <v>-5</v>
      </c>
    </row>
    <row r="43" spans="1:8">
      <c r="A43" s="37" t="s">
        <v>18</v>
      </c>
      <c r="B43" s="38" t="str">
        <f>_xlfn.XLOOKUP(Tableau7[[#This Row],[CDM]],Parametres!B:B,Parametres!C:C,"")</f>
        <v>Squad H</v>
      </c>
      <c r="C43" s="38">
        <v>-1.5</v>
      </c>
      <c r="D43" s="38">
        <f>_xlfn.XLOOKUP(Tableau7[[#This Row],[CDM]],'[1]Delta prod days sept. oct. nov.'!$A:$A,'[1]Delta prod days sept. oct. nov.'!$D:$D,"")</f>
        <v>-12.5</v>
      </c>
      <c r="E43" s="38">
        <v>3</v>
      </c>
      <c r="F43" s="38">
        <f>_xlfn.XLOOKUP(Tableau7[[#This Row],[CDM]],'[2]TCD delta prod days'!$A:$A,'[2]TCD delta prod days'!$B:$B,"")</f>
        <v>1.5</v>
      </c>
      <c r="G43" s="38" t="str">
        <f>_xlfn.XLOOKUP(Tableau7[[#This Row],[CDM]],'TCD delta prod days'!A:A,'TCD delta prod days'!B:B,"")</f>
        <v/>
      </c>
      <c r="H43" s="39">
        <f>SUM(Tableau7[[#This Row],[Delta Octobre]:[Delta  février]])</f>
        <v>-9.5</v>
      </c>
    </row>
    <row r="44" spans="1:8">
      <c r="A44" s="37" t="s">
        <v>64</v>
      </c>
      <c r="B44" s="38" t="str">
        <f>_xlfn.XLOOKUP(Tableau7[[#This Row],[CDM]],Parametres!B:B,Parametres!C:C,"")</f>
        <v>Squad C</v>
      </c>
      <c r="C44" s="38">
        <v>1</v>
      </c>
      <c r="D44" s="38">
        <f>_xlfn.XLOOKUP(Tableau7[[#This Row],[CDM]],'[1]Delta prod days sept. oct. nov.'!$A:$A,'[1]Delta prod days sept. oct. nov.'!$D:$D,"")</f>
        <v>4.5</v>
      </c>
      <c r="E44" s="38">
        <v>3.5</v>
      </c>
      <c r="F44" s="38">
        <f>_xlfn.XLOOKUP(Tableau7[[#This Row],[CDM]],'[2]TCD delta prod days'!$A:$A,'[2]TCD delta prod days'!$B:$B,"")</f>
        <v>-2</v>
      </c>
      <c r="G44" s="38" t="str">
        <f>_xlfn.XLOOKUP(Tableau7[[#This Row],[CDM]],'TCD delta prod days'!A:A,'TCD delta prod days'!B:B,"")</f>
        <v/>
      </c>
      <c r="H44" s="39">
        <f>SUM(Tableau7[[#This Row],[Delta Octobre]:[Delta  février]])</f>
        <v>7</v>
      </c>
    </row>
    <row r="45" spans="1:8">
      <c r="A45" s="37" t="s">
        <v>48</v>
      </c>
      <c r="B45" s="38" t="str">
        <f>_xlfn.XLOOKUP(Tableau7[[#This Row],[CDM]],Parametres!B:B,Parametres!C:C,"")</f>
        <v>Squad A</v>
      </c>
      <c r="C45" s="38">
        <v>-6</v>
      </c>
      <c r="D45" s="38">
        <f>_xlfn.XLOOKUP(Tableau7[[#This Row],[CDM]],'[1]Delta prod days sept. oct. nov.'!$A:$A,'[1]Delta prod days sept. oct. nov.'!$D:$D,"")</f>
        <v>-0.5</v>
      </c>
      <c r="E45" s="38">
        <v>0</v>
      </c>
      <c r="F45" s="38">
        <f>_xlfn.XLOOKUP(Tableau7[[#This Row],[CDM]],'[2]TCD delta prod days'!$A:$A,'[2]TCD delta prod days'!$B:$B,"")</f>
        <v>-1.5</v>
      </c>
      <c r="G45" s="38" t="str">
        <f>_xlfn.XLOOKUP(Tableau7[[#This Row],[CDM]],'TCD delta prod days'!A:A,'TCD delta prod days'!B:B,"")</f>
        <v/>
      </c>
      <c r="H45" s="39">
        <f>SUM(Tableau7[[#This Row],[Delta Octobre]:[Delta  février]])</f>
        <v>-8</v>
      </c>
    </row>
    <row r="46" spans="1:8">
      <c r="A46" s="37" t="s">
        <v>20</v>
      </c>
      <c r="B46" s="38" t="str">
        <f>_xlfn.XLOOKUP(Tableau7[[#This Row],[CDM]],Parametres!B:B,Parametres!C:C,"")</f>
        <v>Squad F</v>
      </c>
      <c r="C46" s="38">
        <v>-3.5</v>
      </c>
      <c r="D46" s="38">
        <f>_xlfn.XLOOKUP(Tableau7[[#This Row],[CDM]],'[1]Delta prod days sept. oct. nov.'!$A:$A,'[1]Delta prod days sept. oct. nov.'!$D:$D,"")</f>
        <v>-4</v>
      </c>
      <c r="E46" s="38">
        <v>-2</v>
      </c>
      <c r="F46" s="38">
        <f>_xlfn.XLOOKUP(Tableau7[[#This Row],[CDM]],'[2]TCD delta prod days'!$A:$A,'[2]TCD delta prod days'!$B:$B,"")</f>
        <v>-3.5</v>
      </c>
      <c r="G46" s="38" t="str">
        <f>_xlfn.XLOOKUP(Tableau7[[#This Row],[CDM]],'TCD delta prod days'!A:A,'TCD delta prod days'!B:B,"")</f>
        <v/>
      </c>
      <c r="H46" s="39">
        <f>SUM(Tableau7[[#This Row],[Delta Octobre]:[Delta  février]])</f>
        <v>-13</v>
      </c>
    </row>
    <row r="47" spans="1:8">
      <c r="A47" s="37" t="s">
        <v>39</v>
      </c>
      <c r="B47" s="38" t="str">
        <f>_xlfn.XLOOKUP(Tableau7[[#This Row],[CDM]],Parametres!B:B,Parametres!C:C,"")</f>
        <v>Squad F</v>
      </c>
      <c r="C47" s="38">
        <v>-18.5</v>
      </c>
      <c r="D47" s="38">
        <f>_xlfn.XLOOKUP(Tableau7[[#This Row],[CDM]],'[1]Delta prod days sept. oct. nov.'!$A:$A,'[1]Delta prod days sept. oct. nov.'!$D:$D,"")</f>
        <v>1</v>
      </c>
      <c r="E47" s="38">
        <v>-3</v>
      </c>
      <c r="F47" s="38">
        <f>_xlfn.XLOOKUP(Tableau7[[#This Row],[CDM]],'[2]TCD delta prod days'!$A:$A,'[2]TCD delta prod days'!$B:$B,"")</f>
        <v>-3</v>
      </c>
      <c r="G47" s="38" t="str">
        <f>_xlfn.XLOOKUP(Tableau7[[#This Row],[CDM]],'TCD delta prod days'!A:A,'TCD delta prod days'!B:B,"")</f>
        <v/>
      </c>
      <c r="H47" s="39">
        <f>SUM(Tableau7[[#This Row],[Delta Octobre]:[Delta  février]])</f>
        <v>-23.5</v>
      </c>
    </row>
    <row r="48" spans="1:8">
      <c r="A48" s="37" t="s">
        <v>45</v>
      </c>
      <c r="B48" s="38" t="str">
        <f>_xlfn.XLOOKUP(Tableau7[[#This Row],[CDM]],Parametres!B:B,Parametres!C:C,"")</f>
        <v>Squad F</v>
      </c>
      <c r="C48" s="38">
        <v>2</v>
      </c>
      <c r="D48" s="38">
        <f>_xlfn.XLOOKUP(Tableau7[[#This Row],[CDM]],'[1]Delta prod days sept. oct. nov.'!$A:$A,'[1]Delta prod days sept. oct. nov.'!$D:$D,"")</f>
        <v>-6.5</v>
      </c>
      <c r="E48" s="38">
        <v>0</v>
      </c>
      <c r="F48" s="38">
        <f>_xlfn.XLOOKUP(Tableau7[[#This Row],[CDM]],'[2]TCD delta prod days'!$A:$A,'[2]TCD delta prod days'!$B:$B,"")</f>
        <v>-3</v>
      </c>
      <c r="G48" s="38" t="str">
        <f>_xlfn.XLOOKUP(Tableau7[[#This Row],[CDM]],'TCD delta prod days'!A:A,'TCD delta prod days'!B:B,"")</f>
        <v/>
      </c>
      <c r="H48" s="39">
        <f>SUM(Tableau7[[#This Row],[Delta Octobre]:[Delta  février]])</f>
        <v>-7.5</v>
      </c>
    </row>
    <row r="49" spans="1:8">
      <c r="A49" s="37" t="s">
        <v>94</v>
      </c>
      <c r="B49" s="38" t="str">
        <f>_xlfn.XLOOKUP(Tableau7[[#This Row],[CDM]],Parametres!B:B,Parametres!C:C,"")</f>
        <v>Squad H</v>
      </c>
      <c r="C49" s="38">
        <v>2</v>
      </c>
      <c r="D49" s="38">
        <f>_xlfn.XLOOKUP(Tableau7[[#This Row],[CDM]],'[1]Delta prod days sept. oct. nov.'!$A:$A,'[1]Delta prod days sept. oct. nov.'!$D:$D,"")</f>
        <v>-5.5</v>
      </c>
      <c r="E49" s="38">
        <v>-3.5</v>
      </c>
      <c r="F49" s="38">
        <f>_xlfn.XLOOKUP(Tableau7[[#This Row],[CDM]],'[2]TCD delta prod days'!$A:$A,'[2]TCD delta prod days'!$B:$B,"")</f>
        <v>0</v>
      </c>
      <c r="G49" s="38" t="str">
        <f>_xlfn.XLOOKUP(Tableau7[[#This Row],[CDM]],'TCD delta prod days'!A:A,'TCD delta prod days'!B:B,"")</f>
        <v/>
      </c>
      <c r="H49" s="39">
        <f>SUM(Tableau7[[#This Row],[Delta Octobre]:[Delta  février]])</f>
        <v>-7</v>
      </c>
    </row>
    <row r="50" spans="1:8">
      <c r="A50" s="44" t="s">
        <v>1883</v>
      </c>
      <c r="B50" s="38" t="str">
        <f>_xlfn.XLOOKUP(Tableau7[[#This Row],[CDM]],Parametres!B:B,Parametres!C:C,"")</f>
        <v>Squad G</v>
      </c>
      <c r="C50" s="38">
        <v>-7.5</v>
      </c>
      <c r="D50" s="38">
        <f>_xlfn.XLOOKUP(Tableau7[[#This Row],[CDM]],'[1]Delta prod days sept. oct. nov.'!$A:$A,'[1]Delta prod days sept. oct. nov.'!$D:$D,"")</f>
        <v>-4</v>
      </c>
      <c r="E50" s="38">
        <v>-4.5</v>
      </c>
      <c r="F50" s="38" t="str">
        <f>_xlfn.XLOOKUP(Tableau7[[#This Row],[CDM]],'[2]TCD delta prod days'!$A:$A,'[2]TCD delta prod days'!$B:$B,"")</f>
        <v/>
      </c>
      <c r="G50" s="38" t="str">
        <f>_xlfn.XLOOKUP(Tableau7[[#This Row],[CDM]],'TCD delta prod days'!A:A,'TCD delta prod days'!B:B,"")</f>
        <v/>
      </c>
      <c r="H50" s="39">
        <f>SUM(Tableau7[[#This Row],[Delta Octobre]:[Delta  février]])</f>
        <v>-16</v>
      </c>
    </row>
    <row r="51" spans="1:8">
      <c r="A51" s="37" t="s">
        <v>13</v>
      </c>
      <c r="B51" s="38" t="str">
        <f>_xlfn.XLOOKUP(Tableau7[[#This Row],[CDM]],Parametres!B:B,Parametres!C:C,"")</f>
        <v>Squad F</v>
      </c>
      <c r="C51" s="38">
        <v>7</v>
      </c>
      <c r="D51" s="38">
        <f>_xlfn.XLOOKUP(Tableau7[[#This Row],[CDM]],'[1]Delta prod days sept. oct. nov.'!$A:$A,'[1]Delta prod days sept. oct. nov.'!$D:$D,"")</f>
        <v>5</v>
      </c>
      <c r="E51" s="38">
        <v>-7</v>
      </c>
      <c r="F51" s="38">
        <f>_xlfn.XLOOKUP(Tableau7[[#This Row],[CDM]],'[2]TCD delta prod days'!$A:$A,'[2]TCD delta prod days'!$B:$B,"")</f>
        <v>-9</v>
      </c>
      <c r="G51" s="38" t="str">
        <f>_xlfn.XLOOKUP(Tableau7[[#This Row],[CDM]],'TCD delta prod days'!A:A,'TCD delta prod days'!B:B,"")</f>
        <v/>
      </c>
      <c r="H51" s="39">
        <f>SUM(Tableau7[[#This Row],[Delta Octobre]:[Delta  février]])</f>
        <v>-4</v>
      </c>
    </row>
    <row r="52" spans="1:8">
      <c r="A52" s="37" t="s">
        <v>52</v>
      </c>
      <c r="B52" s="38" t="str">
        <f>_xlfn.XLOOKUP(Tableau7[[#This Row],[CDM]],Parametres!B:B,Parametres!C:C,"")</f>
        <v>Squad E</v>
      </c>
      <c r="C52" s="38">
        <v>9.5</v>
      </c>
      <c r="D52" s="38">
        <f>_xlfn.XLOOKUP(Tableau7[[#This Row],[CDM]],'[1]Delta prod days sept. oct. nov.'!$A:$A,'[1]Delta prod days sept. oct. nov.'!$D:$D,"")</f>
        <v>4</v>
      </c>
      <c r="E52" s="38">
        <v>-5.5</v>
      </c>
      <c r="F52" s="38">
        <f>_xlfn.XLOOKUP(Tableau7[[#This Row],[CDM]],'[2]TCD delta prod days'!$A:$A,'[2]TCD delta prod days'!$B:$B,"")</f>
        <v>-2</v>
      </c>
      <c r="G52" s="38" t="str">
        <f>_xlfn.XLOOKUP(Tableau7[[#This Row],[CDM]],'TCD delta prod days'!A:A,'TCD delta prod days'!B:B,"")</f>
        <v/>
      </c>
      <c r="H52" s="39">
        <f>SUM(Tableau7[[#This Row],[Delta Octobre]:[Delta  février]])</f>
        <v>6</v>
      </c>
    </row>
    <row r="53" spans="1:8">
      <c r="A53" s="44" t="s">
        <v>691</v>
      </c>
      <c r="B53" s="38" t="str">
        <f>_xlfn.XLOOKUP(Tableau7[[#This Row],[CDM]],Parametres!B:B,Parametres!C:C,"")</f>
        <v>Squad B</v>
      </c>
      <c r="C53" s="38">
        <v>-23</v>
      </c>
      <c r="D53" s="38">
        <f>_xlfn.XLOOKUP(Tableau7[[#This Row],[CDM]],'[1]Delta prod days sept. oct. nov.'!$A:$A,'[1]Delta prod days sept. oct. nov.'!$D:$D,"")</f>
        <v>0</v>
      </c>
      <c r="E53" s="38">
        <v>-7.5</v>
      </c>
      <c r="F53" s="38" t="str">
        <f>_xlfn.XLOOKUP(Tableau7[[#This Row],[CDM]],'[2]TCD delta prod days'!$A:$A,'[2]TCD delta prod days'!$B:$B,"")</f>
        <v/>
      </c>
      <c r="G53" s="38" t="str">
        <f>_xlfn.XLOOKUP(Tableau7[[#This Row],[CDM]],'TCD delta prod days'!A:A,'TCD delta prod days'!B:B,"")</f>
        <v/>
      </c>
      <c r="H53" s="39">
        <f>SUM(Tableau7[[#This Row],[Delta Octobre]:[Delta  février]])</f>
        <v>-30.5</v>
      </c>
    </row>
    <row r="54" spans="1:8">
      <c r="A54" s="37" t="s">
        <v>66</v>
      </c>
      <c r="B54" s="38" t="str">
        <f>_xlfn.XLOOKUP(Tableau7[[#This Row],[CDM]],Parametres!B:B,Parametres!C:C,"")</f>
        <v>Squad H</v>
      </c>
      <c r="C54" s="38">
        <v>11.5</v>
      </c>
      <c r="D54" s="38">
        <f>_xlfn.XLOOKUP(Tableau7[[#This Row],[CDM]],'[1]Delta prod days sept. oct. nov.'!$A:$A,'[1]Delta prod days sept. oct. nov.'!$D:$D,"")</f>
        <v>1.5</v>
      </c>
      <c r="E54" s="38">
        <v>0</v>
      </c>
      <c r="F54" s="38">
        <f>_xlfn.XLOOKUP(Tableau7[[#This Row],[CDM]],'[2]TCD delta prod days'!$A:$A,'[2]TCD delta prod days'!$B:$B,"")</f>
        <v>-1</v>
      </c>
      <c r="G54" s="38" t="str">
        <f>_xlfn.XLOOKUP(Tableau7[[#This Row],[CDM]],'TCD delta prod days'!A:A,'TCD delta prod days'!B:B,"")</f>
        <v/>
      </c>
      <c r="H54" s="39">
        <f>SUM(Tableau7[[#This Row],[Delta Octobre]:[Delta  février]])</f>
        <v>12</v>
      </c>
    </row>
    <row r="55" spans="1:8">
      <c r="A55" s="44" t="s">
        <v>520</v>
      </c>
      <c r="B55" s="38" t="str">
        <f>_xlfn.XLOOKUP(Tableau7[[#This Row],[CDM]],Parametres!B:B,Parametres!C:C,"")</f>
        <v>Squad E</v>
      </c>
      <c r="C55" s="38">
        <v>-2.5</v>
      </c>
      <c r="D55" s="38">
        <f>_xlfn.XLOOKUP(Tableau7[[#This Row],[CDM]],'[1]Delta prod days sept. oct. nov.'!$A:$A,'[1]Delta prod days sept. oct. nov.'!$D:$D,"")</f>
        <v>0</v>
      </c>
      <c r="E55" s="38">
        <v>-7</v>
      </c>
      <c r="F55" s="38" t="str">
        <f>_xlfn.XLOOKUP(Tableau7[[#This Row],[CDM]],'[2]TCD delta prod days'!$A:$A,'[2]TCD delta prod days'!$B:$B,"")</f>
        <v/>
      </c>
      <c r="G55" s="38" t="str">
        <f>_xlfn.XLOOKUP(Tableau7[[#This Row],[CDM]],'TCD delta prod days'!A:A,'TCD delta prod days'!B:B,"")</f>
        <v/>
      </c>
      <c r="H55" s="39">
        <f>SUM(Tableau7[[#This Row],[Delta Octobre]:[Delta  février]])</f>
        <v>-9.5</v>
      </c>
    </row>
    <row r="56" spans="1:8">
      <c r="A56" s="37" t="s">
        <v>79</v>
      </c>
      <c r="B56" s="38" t="str">
        <f>_xlfn.XLOOKUP(Tableau7[[#This Row],[CDM]],Parametres!B:B,Parametres!C:C,"")</f>
        <v>Squad G</v>
      </c>
      <c r="C56" s="38">
        <v>0</v>
      </c>
      <c r="D56" s="38">
        <f>_xlfn.XLOOKUP(Tableau7[[#This Row],[CDM]],'[1]Delta prod days sept. oct. nov.'!$A:$A,'[1]Delta prod days sept. oct. nov.'!$D:$D,"")</f>
        <v>-0.5</v>
      </c>
      <c r="E56" s="38">
        <v>-3.5</v>
      </c>
      <c r="F56" s="38">
        <f>_xlfn.XLOOKUP(Tableau7[[#This Row],[CDM]],'[2]TCD delta prod days'!$A:$A,'[2]TCD delta prod days'!$B:$B,"")</f>
        <v>0</v>
      </c>
      <c r="G56" s="38" t="str">
        <f>_xlfn.XLOOKUP(Tableau7[[#This Row],[CDM]],'TCD delta prod days'!A:A,'TCD delta prod days'!B:B,"")</f>
        <v/>
      </c>
      <c r="H56" s="39">
        <f>SUM(Tableau7[[#This Row],[Delta Octobre]:[Delta  février]])</f>
        <v>-4</v>
      </c>
    </row>
    <row r="57" spans="1:8">
      <c r="A57" s="37" t="s">
        <v>23</v>
      </c>
      <c r="B57" s="38" t="str">
        <f>_xlfn.XLOOKUP(Tableau7[[#This Row],[CDM]],Parametres!B:B,Parametres!C:C,"")</f>
        <v>Squad G</v>
      </c>
      <c r="C57" s="38">
        <v>0</v>
      </c>
      <c r="D57" s="38">
        <f>_xlfn.XLOOKUP(Tableau7[[#This Row],[CDM]],'[1]Delta prod days sept. oct. nov.'!$A:$A,'[1]Delta prod days sept. oct. nov.'!$D:$D,"")</f>
        <v>-1</v>
      </c>
      <c r="E57" s="38">
        <v>0.5</v>
      </c>
      <c r="F57" s="38">
        <f>_xlfn.XLOOKUP(Tableau7[[#This Row],[CDM]],'[2]TCD delta prod days'!$A:$A,'[2]TCD delta prod days'!$B:$B,"")</f>
        <v>-4.5</v>
      </c>
      <c r="G57" s="38" t="str">
        <f>_xlfn.XLOOKUP(Tableau7[[#This Row],[CDM]],'TCD delta prod days'!A:A,'TCD delta prod days'!B:B,"")</f>
        <v/>
      </c>
      <c r="H57" s="39">
        <f>SUM(Tableau7[[#This Row],[Delta Octobre]:[Delta  février]])</f>
        <v>-5</v>
      </c>
    </row>
    <row r="58" spans="1:8">
      <c r="A58" s="44" t="s">
        <v>1881</v>
      </c>
      <c r="B58" s="38" t="str">
        <f>_xlfn.XLOOKUP(Tableau7[[#This Row],[CDM]],Parametres!B:B,Parametres!C:C,"")</f>
        <v>Squad D</v>
      </c>
      <c r="C58" s="38">
        <v>2.5</v>
      </c>
      <c r="D58" s="38">
        <f>_xlfn.XLOOKUP(Tableau7[[#This Row],[CDM]],'[1]Delta prod days sept. oct. nov.'!$A:$A,'[1]Delta prod days sept. oct. nov.'!$D:$D,"")</f>
        <v>-5</v>
      </c>
      <c r="E58" s="38">
        <v>0</v>
      </c>
      <c r="F58" s="38" t="str">
        <f>_xlfn.XLOOKUP(Tableau7[[#This Row],[CDM]],'[2]TCD delta prod days'!$A:$A,'[2]TCD delta prod days'!$B:$B,"")</f>
        <v/>
      </c>
      <c r="G58" s="38" t="str">
        <f>_xlfn.XLOOKUP(Tableau7[[#This Row],[CDM]],'TCD delta prod days'!A:A,'TCD delta prod days'!B:B,"")</f>
        <v/>
      </c>
      <c r="H58" s="39">
        <f>SUM(Tableau7[[#This Row],[Delta Octobre]:[Delta  février]])</f>
        <v>-2.5</v>
      </c>
    </row>
    <row r="59" spans="1:8">
      <c r="A59" s="37" t="s">
        <v>73</v>
      </c>
      <c r="B59" s="38" t="str">
        <f>_xlfn.XLOOKUP(Tableau7[[#This Row],[CDM]],Parametres!B:B,Parametres!C:C,"")</f>
        <v>Squad H</v>
      </c>
      <c r="C59" s="38">
        <v>2.5</v>
      </c>
      <c r="D59" s="38">
        <f>_xlfn.XLOOKUP(Tableau7[[#This Row],[CDM]],'[1]Delta prod days sept. oct. nov.'!$A:$A,'[1]Delta prod days sept. oct. nov.'!$D:$D,"")</f>
        <v>0</v>
      </c>
      <c r="E59" s="38">
        <v>0</v>
      </c>
      <c r="F59" s="38">
        <f>_xlfn.XLOOKUP(Tableau7[[#This Row],[CDM]],'[2]TCD delta prod days'!$A:$A,'[2]TCD delta prod days'!$B:$B,"")</f>
        <v>0</v>
      </c>
      <c r="G59" s="38" t="str">
        <f>_xlfn.XLOOKUP(Tableau7[[#This Row],[CDM]],'TCD delta prod days'!A:A,'TCD delta prod days'!B:B,"")</f>
        <v/>
      </c>
      <c r="H59" s="39">
        <f>SUM(Tableau7[[#This Row],[Delta Octobre]:[Delta  février]])</f>
        <v>2.5</v>
      </c>
    </row>
    <row r="60" spans="1:8">
      <c r="A60" s="37" t="s">
        <v>84</v>
      </c>
      <c r="B60" s="38" t="str">
        <f>_xlfn.XLOOKUP(Tableau7[[#This Row],[CDM]],Parametres!B:B,Parametres!C:C,"")</f>
        <v>Squad C</v>
      </c>
      <c r="C60" s="38">
        <v>-4.5</v>
      </c>
      <c r="D60" s="38">
        <f>_xlfn.XLOOKUP(Tableau7[[#This Row],[CDM]],'[1]Delta prod days sept. oct. nov.'!$A:$A,'[1]Delta prod days sept. oct. nov.'!$D:$D,"")</f>
        <v>0</v>
      </c>
      <c r="E60" s="38">
        <v>-1.5</v>
      </c>
      <c r="F60" s="38">
        <f>_xlfn.XLOOKUP(Tableau7[[#This Row],[CDM]],'[2]TCD delta prod days'!$A:$A,'[2]TCD delta prod days'!$B:$B,"")</f>
        <v>0</v>
      </c>
      <c r="G60" s="38" t="str">
        <f>_xlfn.XLOOKUP(Tableau7[[#This Row],[CDM]],'TCD delta prod days'!A:A,'TCD delta prod days'!B:B,"")</f>
        <v/>
      </c>
      <c r="H60" s="39">
        <f>SUM(Tableau7[[#This Row],[Delta Octobre]:[Delta  février]])</f>
        <v>-6</v>
      </c>
    </row>
    <row r="61" spans="1:8">
      <c r="A61" s="37" t="s">
        <v>50</v>
      </c>
      <c r="B61" s="38" t="str">
        <f>_xlfn.XLOOKUP(Tableau7[[#This Row],[CDM]],Parametres!B:B,Parametres!C:C,"")</f>
        <v>Squad D</v>
      </c>
      <c r="C61" s="38" t="s">
        <v>1559</v>
      </c>
      <c r="D61" s="38">
        <f>_xlfn.XLOOKUP(Tableau7[[#This Row],[CDM]],'[1]Delta prod days sept. oct. nov.'!$A:$A,'[1]Delta prod days sept. oct. nov.'!$D:$D,"")</f>
        <v>0</v>
      </c>
      <c r="E61" s="38">
        <v>0</v>
      </c>
      <c r="F61" s="38">
        <f>_xlfn.XLOOKUP(Tableau7[[#This Row],[CDM]],'[2]TCD delta prod days'!$A:$A,'[2]TCD delta prod days'!$B:$B,"")</f>
        <v>-2.5</v>
      </c>
      <c r="G61" s="38" t="str">
        <f>_xlfn.XLOOKUP(Tableau7[[#This Row],[CDM]],'TCD delta prod days'!A:A,'TCD delta prod days'!B:B,"")</f>
        <v/>
      </c>
      <c r="H61" s="39">
        <f>SUM(Tableau7[[#This Row],[Delta Octobre]:[Delta  février]])</f>
        <v>-2.5</v>
      </c>
    </row>
    <row r="62" spans="1:8">
      <c r="A62" s="37" t="s">
        <v>72</v>
      </c>
      <c r="B62" s="38" t="str">
        <f>_xlfn.XLOOKUP(Tableau7[[#This Row],[CDM]],Parametres!B:B,Parametres!C:C,"")</f>
        <v>Squad F</v>
      </c>
      <c r="C62" s="38">
        <v>2</v>
      </c>
      <c r="D62" s="38">
        <f>_xlfn.XLOOKUP(Tableau7[[#This Row],[CDM]],'[1]Delta prod days sept. oct. nov.'!$A:$A,'[1]Delta prod days sept. oct. nov.'!$D:$D,"")</f>
        <v>-4</v>
      </c>
      <c r="E62" s="38">
        <v>-1</v>
      </c>
      <c r="F62" s="38">
        <f>_xlfn.XLOOKUP(Tableau7[[#This Row],[CDM]],'[2]TCD delta prod days'!$A:$A,'[2]TCD delta prod days'!$B:$B,"")</f>
        <v>2</v>
      </c>
      <c r="G62" s="38" t="str">
        <f>_xlfn.XLOOKUP(Tableau7[[#This Row],[CDM]],'TCD delta prod days'!A:A,'TCD delta prod days'!B:B,"")</f>
        <v/>
      </c>
      <c r="H62" s="39">
        <f>SUM(Tableau7[[#This Row],[Delta Octobre]:[Delta  février]])</f>
        <v>-1</v>
      </c>
    </row>
    <row r="63" spans="1:8">
      <c r="A63" s="44" t="s">
        <v>1880</v>
      </c>
      <c r="B63" s="38" t="str">
        <f>_xlfn.XLOOKUP(Tableau7[[#This Row],[CDM]],Parametres!B:B,Parametres!C:C,"")</f>
        <v>Squad D</v>
      </c>
      <c r="C63" s="38">
        <v>-1</v>
      </c>
      <c r="D63" s="38">
        <f>_xlfn.XLOOKUP(Tableau7[[#This Row],[CDM]],'[1]Delta prod days sept. oct. nov.'!$A:$A,'[1]Delta prod days sept. oct. nov.'!$D:$D,"")</f>
        <v>0</v>
      </c>
      <c r="E63" s="38">
        <v>-4</v>
      </c>
      <c r="F63" s="38" t="str">
        <f>_xlfn.XLOOKUP(Tableau7[[#This Row],[CDM]],'[2]TCD delta prod days'!$A:$A,'[2]TCD delta prod days'!$B:$B,"")</f>
        <v/>
      </c>
      <c r="G63" s="38" t="str">
        <f>_xlfn.XLOOKUP(Tableau7[[#This Row],[CDM]],'TCD delta prod days'!A:A,'TCD delta prod days'!B:B,"")</f>
        <v/>
      </c>
      <c r="H63" s="39">
        <f>SUM(Tableau7[[#This Row],[Delta Octobre]:[Delta  février]])</f>
        <v>-5</v>
      </c>
    </row>
    <row r="64" spans="1:8">
      <c r="A64" s="37" t="s">
        <v>69</v>
      </c>
      <c r="B64" s="38" t="str">
        <f>_xlfn.XLOOKUP(Tableau7[[#This Row],[CDM]],Parametres!B:B,Parametres!C:C,"")</f>
        <v>Squad H</v>
      </c>
      <c r="C64" s="38">
        <v>0</v>
      </c>
      <c r="D64" s="38">
        <f>_xlfn.XLOOKUP(Tableau7[[#This Row],[CDM]],'[1]Delta prod days sept. oct. nov.'!$A:$A,'[1]Delta prod days sept. oct. nov.'!$D:$D,"")</f>
        <v>0</v>
      </c>
      <c r="E64" s="38">
        <v>-0.5</v>
      </c>
      <c r="F64" s="38">
        <f>_xlfn.XLOOKUP(Tableau7[[#This Row],[CDM]],'[2]TCD delta prod days'!$A:$A,'[2]TCD delta prod days'!$B:$B,"")</f>
        <v>-0.5</v>
      </c>
      <c r="G64" s="38" t="str">
        <f>_xlfn.XLOOKUP(Tableau7[[#This Row],[CDM]],'TCD delta prod days'!A:A,'TCD delta prod days'!B:B,"")</f>
        <v/>
      </c>
      <c r="H64" s="39">
        <f>SUM(Tableau7[[#This Row],[Delta Octobre]:[Delta  février]])</f>
        <v>-1</v>
      </c>
    </row>
    <row r="65" spans="1:8">
      <c r="A65" s="37" t="s">
        <v>21</v>
      </c>
      <c r="B65" s="38" t="str">
        <f>_xlfn.XLOOKUP(Tableau7[[#This Row],[CDM]],Parametres!B:B,Parametres!C:C,"")</f>
        <v>Squad E</v>
      </c>
      <c r="C65" s="38">
        <v>-10.5</v>
      </c>
      <c r="D65" s="38">
        <f>_xlfn.XLOOKUP(Tableau7[[#This Row],[CDM]],'[1]Delta prod days sept. oct. nov.'!$A:$A,'[1]Delta prod days sept. oct. nov.'!$D:$D,"")</f>
        <v>7</v>
      </c>
      <c r="E65" s="38">
        <v>-3.5</v>
      </c>
      <c r="F65" s="38">
        <f>_xlfn.XLOOKUP(Tableau7[[#This Row],[CDM]],'[2]TCD delta prod days'!$A:$A,'[2]TCD delta prod days'!$B:$B,"")</f>
        <v>-2</v>
      </c>
      <c r="G65" s="38" t="str">
        <f>_xlfn.XLOOKUP(Tableau7[[#This Row],[CDM]],'TCD delta prod days'!A:A,'TCD delta prod days'!B:B,"")</f>
        <v/>
      </c>
      <c r="H65" s="39">
        <f>SUM(Tableau7[[#This Row],[Delta Octobre]:[Delta  février]])</f>
        <v>-9</v>
      </c>
    </row>
    <row r="66" spans="1:8">
      <c r="A66" s="44" t="s">
        <v>58</v>
      </c>
      <c r="B66" s="38" t="str">
        <f>_xlfn.XLOOKUP(Tableau7[[#This Row],[CDM]],Parametres!B:B,Parametres!C:C,"")</f>
        <v>Squad E</v>
      </c>
      <c r="C66" s="38">
        <v>7</v>
      </c>
      <c r="D66" s="38">
        <f>_xlfn.XLOOKUP(Tableau7[[#This Row],[CDM]],'[1]Delta prod days sept. oct. nov.'!$A:$A,'[1]Delta prod days sept. oct. nov.'!$D:$D,"")</f>
        <v>-2</v>
      </c>
      <c r="E66" s="38">
        <v>-4</v>
      </c>
      <c r="F66" s="38">
        <f>_xlfn.XLOOKUP(Tableau7[[#This Row],[CDM]],'[2]TCD delta prod days'!$A:$A,'[2]TCD delta prod days'!$B:$B,"")</f>
        <v>3.5</v>
      </c>
      <c r="G66" s="38" t="str">
        <f>_xlfn.XLOOKUP(Tableau7[[#This Row],[CDM]],'TCD delta prod days'!A:A,'TCD delta prod days'!B:B,"")</f>
        <v/>
      </c>
      <c r="H66" s="39">
        <f>SUM(Tableau7[[#This Row],[Delta Octobre]:[Delta  février]])</f>
        <v>4.5</v>
      </c>
    </row>
    <row r="67" spans="1:8">
      <c r="A67" s="44" t="s">
        <v>83</v>
      </c>
      <c r="B67" s="38" t="str">
        <f>_xlfn.XLOOKUP(Tableau7[[#This Row],[CDM]],Parametres!B:B,Parametres!C:C,"")</f>
        <v>Squad D</v>
      </c>
      <c r="C67" s="38">
        <v>-1.5</v>
      </c>
      <c r="D67" s="38">
        <f>_xlfn.XLOOKUP(Tableau7[[#This Row],[CDM]],'[1]Delta prod days sept. oct. nov.'!$A:$A,'[1]Delta prod days sept. oct. nov.'!$D:$D,"")</f>
        <v>-1.5</v>
      </c>
      <c r="E67" s="38">
        <v>0</v>
      </c>
      <c r="F67" s="38">
        <f>_xlfn.XLOOKUP(Tableau7[[#This Row],[CDM]],'[2]TCD delta prod days'!$A:$A,'[2]TCD delta prod days'!$B:$B,"")</f>
        <v>0</v>
      </c>
      <c r="G67" s="38" t="str">
        <f>_xlfn.XLOOKUP(Tableau7[[#This Row],[CDM]],'TCD delta prod days'!A:A,'TCD delta prod days'!B:B,"")</f>
        <v/>
      </c>
      <c r="H67" s="39">
        <f>SUM(Tableau7[[#This Row],[Delta Octobre]:[Delta  février]])</f>
        <v>-3</v>
      </c>
    </row>
    <row r="68" spans="1:8">
      <c r="A68" s="37" t="s">
        <v>85</v>
      </c>
      <c r="B68" s="38" t="str">
        <f>_xlfn.XLOOKUP(Tableau7[[#This Row],[CDM]],Parametres!B:B,Parametres!C:C,"")</f>
        <v>Squad G</v>
      </c>
      <c r="C68" s="38">
        <v>-2.5</v>
      </c>
      <c r="D68" s="38">
        <f>_xlfn.XLOOKUP(Tableau7[[#This Row],[CDM]],'[1]Delta prod days sept. oct. nov.'!$A:$A,'[1]Delta prod days sept. oct. nov.'!$D:$D,"")</f>
        <v>0</v>
      </c>
      <c r="E68" s="38">
        <v>7</v>
      </c>
      <c r="F68" s="38">
        <f>_xlfn.XLOOKUP(Tableau7[[#This Row],[CDM]],'[2]TCD delta prod days'!$A:$A,'[2]TCD delta prod days'!$B:$B,"")</f>
        <v>0.5</v>
      </c>
      <c r="G68" s="38" t="str">
        <f>_xlfn.XLOOKUP(Tableau7[[#This Row],[CDM]],'TCD delta prod days'!A:A,'TCD delta prod days'!B:B,"")</f>
        <v/>
      </c>
      <c r="H68" s="39">
        <f>SUM(Tableau7[[#This Row],[Delta Octobre]:[Delta  février]])</f>
        <v>5</v>
      </c>
    </row>
    <row r="69" spans="1:8">
      <c r="A69" s="37" t="s">
        <v>91</v>
      </c>
      <c r="B69" s="38" t="str">
        <f>_xlfn.XLOOKUP(Tableau7[[#This Row],[CDM]],Parametres!B:B,Parametres!C:C,"")</f>
        <v>Squad F</v>
      </c>
      <c r="C69" s="38">
        <v>0</v>
      </c>
      <c r="D69" s="38">
        <f>_xlfn.XLOOKUP(Tableau7[[#This Row],[CDM]],'[1]Delta prod days sept. oct. nov.'!$A:$A,'[1]Delta prod days sept. oct. nov.'!$D:$D,"")</f>
        <v>0.5</v>
      </c>
      <c r="E69" s="38">
        <v>0</v>
      </c>
      <c r="F69" s="38">
        <f>_xlfn.XLOOKUP(Tableau7[[#This Row],[CDM]],'[2]TCD delta prod days'!$A:$A,'[2]TCD delta prod days'!$B:$B,"")</f>
        <v>0</v>
      </c>
      <c r="G69" s="38" t="str">
        <f>_xlfn.XLOOKUP(Tableau7[[#This Row],[CDM]],'TCD delta prod days'!A:A,'TCD delta prod days'!B:B,"")</f>
        <v/>
      </c>
      <c r="H69" s="39">
        <f>SUM(Tableau7[[#This Row],[Delta Octobre]:[Delta  février]])</f>
        <v>0.5</v>
      </c>
    </row>
    <row r="70" spans="1:8">
      <c r="A70" s="37" t="s">
        <v>68</v>
      </c>
      <c r="B70" s="38" t="str">
        <f>_xlfn.XLOOKUP(Tableau7[[#This Row],[CDM]],Parametres!B:B,Parametres!C:C,"")</f>
        <v>Squad H</v>
      </c>
      <c r="C70" s="38" t="s">
        <v>1559</v>
      </c>
      <c r="D70" s="38" t="str">
        <f>_xlfn.XLOOKUP(Tableau7[[#This Row],[CDM]],'[1]Delta prod days sept. oct. nov.'!$A:$A,'[1]Delta prod days sept. oct. nov.'!$D:$D,"")</f>
        <v/>
      </c>
      <c r="E70" s="38" t="s">
        <v>1559</v>
      </c>
      <c r="F70" s="38">
        <f>_xlfn.XLOOKUP(Tableau7[[#This Row],[CDM]],'[2]TCD delta prod days'!$A:$A,'[2]TCD delta prod days'!$B:$B,"")</f>
        <v>-0.5</v>
      </c>
      <c r="G70" s="38" t="str">
        <f>_xlfn.XLOOKUP(Tableau7[[#This Row],[CDM]],'TCD delta prod days'!A:A,'TCD delta prod days'!B:B,"")</f>
        <v/>
      </c>
      <c r="H70" s="39">
        <f>SUM(Tableau7[[#This Row],[Delta Octobre]:[Delta  février]])</f>
        <v>-0.5</v>
      </c>
    </row>
    <row r="71" spans="1:8">
      <c r="A71" s="37" t="s">
        <v>637</v>
      </c>
      <c r="B71" s="38" t="str">
        <f>_xlfn.XLOOKUP(Tableau7[[#This Row],[CDM]],Parametres!B:B,Parametres!C:C,"")</f>
        <v>Squad F</v>
      </c>
      <c r="C71" s="38" t="s">
        <v>1559</v>
      </c>
      <c r="D71" s="38" t="str">
        <f>_xlfn.XLOOKUP(Tableau7[[#This Row],[CDM]],'[1]Delta prod days sept. oct. nov.'!$A:$A,'[1]Delta prod days sept. oct. nov.'!$D:$D,"")</f>
        <v/>
      </c>
      <c r="E71" s="38" t="s">
        <v>1559</v>
      </c>
      <c r="F71" s="38" t="str">
        <f>_xlfn.XLOOKUP(Tableau7[[#This Row],[CDM]],'[2]TCD delta prod days'!$A:$A,'[2]TCD delta prod days'!$B:$B,"")</f>
        <v/>
      </c>
      <c r="G71" s="38" t="str">
        <f>_xlfn.XLOOKUP(Tableau7[[#This Row],[CDM]],'TCD delta prod days'!A:A,'TCD delta prod days'!B:B,"")</f>
        <v/>
      </c>
      <c r="H71" s="39">
        <f>SUM(Tableau7[[#This Row],[Delta Octobre]:[Delta  février]])</f>
        <v>0</v>
      </c>
    </row>
    <row r="72" spans="1:8">
      <c r="A72" s="37" t="s">
        <v>93</v>
      </c>
      <c r="B72" s="38" t="str">
        <f>_xlfn.XLOOKUP(Tableau7[[#This Row],[CDM]],Parametres!B:B,Parametres!C:C,"")</f>
        <v>Squad H</v>
      </c>
      <c r="C72" s="38" t="s">
        <v>1559</v>
      </c>
      <c r="D72" s="38" t="str">
        <f>_xlfn.XLOOKUP(Tableau7[[#This Row],[CDM]],'[1]Delta prod days sept. oct. nov.'!$A:$A,'[1]Delta prod days sept. oct. nov.'!$D:$D,"")</f>
        <v/>
      </c>
      <c r="E72" s="38" t="s">
        <v>1559</v>
      </c>
      <c r="F72" s="38">
        <f>_xlfn.XLOOKUP(Tableau7[[#This Row],[CDM]],'[2]TCD delta prod days'!$A:$A,'[2]TCD delta prod days'!$B:$B,"")</f>
        <v>0</v>
      </c>
      <c r="G72" s="38" t="str">
        <f>_xlfn.XLOOKUP(Tableau7[[#This Row],[CDM]],'TCD delta prod days'!A:A,'TCD delta prod days'!B:B,"")</f>
        <v/>
      </c>
      <c r="H72" s="39">
        <f>SUM(Tableau7[[#This Row],[Delta Octobre]:[Delta  février]])</f>
        <v>0</v>
      </c>
    </row>
    <row r="73" spans="1:8">
      <c r="A73" s="37" t="s">
        <v>81</v>
      </c>
      <c r="B73" s="38" t="str">
        <f>_xlfn.XLOOKUP(Tableau7[[#This Row],[CDM]],Parametres!B:B,Parametres!C:C,"")</f>
        <v>Squad H</v>
      </c>
      <c r="C73" s="38" t="s">
        <v>1559</v>
      </c>
      <c r="D73" s="38" t="str">
        <f>_xlfn.XLOOKUP(Tableau7[[#This Row],[CDM]],'[1]Delta prod days sept. oct. nov.'!$A:$A,'[1]Delta prod days sept. oct. nov.'!$D:$D,"")</f>
        <v/>
      </c>
      <c r="E73" s="38" t="s">
        <v>1559</v>
      </c>
      <c r="F73" s="38">
        <f>_xlfn.XLOOKUP(Tableau7[[#This Row],[CDM]],'[2]TCD delta prod days'!$A:$A,'[2]TCD delta prod days'!$B:$B,"")</f>
        <v>0</v>
      </c>
      <c r="G73" s="38" t="str">
        <f>_xlfn.XLOOKUP(Tableau7[[#This Row],[CDM]],'TCD delta prod days'!A:A,'TCD delta prod days'!B:B,"")</f>
        <v/>
      </c>
      <c r="H73" s="39">
        <f>SUM(Tableau7[[#This Row],[Delta Octobre]:[Delta  février]])</f>
        <v>0</v>
      </c>
    </row>
    <row r="74" spans="1:8">
      <c r="A74" s="37" t="s">
        <v>97</v>
      </c>
      <c r="B74" s="38" t="str">
        <f>_xlfn.XLOOKUP(Tableau7[[#This Row],[CDM]],Parametres!B:B,Parametres!C:C,"")</f>
        <v>Squad D</v>
      </c>
      <c r="C74" s="38">
        <v>0</v>
      </c>
      <c r="D74" s="38">
        <f>_xlfn.XLOOKUP(Tableau7[[#This Row],[CDM]],'[1]Delta prod days sept. oct. nov.'!$A:$A,'[1]Delta prod days sept. oct. nov.'!$D:$D,"")</f>
        <v>0</v>
      </c>
      <c r="E74" s="38">
        <v>0</v>
      </c>
      <c r="F74" s="38">
        <f>_xlfn.XLOOKUP(Tableau7[[#This Row],[CDM]],'[2]TCD delta prod days'!$A:$A,'[2]TCD delta prod days'!$B:$B,"")</f>
        <v>0</v>
      </c>
      <c r="G74" s="38" t="str">
        <f>_xlfn.XLOOKUP(Tableau7[[#This Row],[CDM]],'TCD delta prod days'!A:A,'TCD delta prod days'!B:B,"")</f>
        <v/>
      </c>
      <c r="H74" s="39">
        <f>SUM(Tableau7[[#This Row],[Delta Octobre]:[Delta  février]])</f>
        <v>0</v>
      </c>
    </row>
    <row r="75" spans="1:8">
      <c r="A75" s="37" t="s">
        <v>92</v>
      </c>
      <c r="B75" s="38" t="str">
        <f>_xlfn.XLOOKUP(Tableau7[[#This Row],[CDM]],Parametres!B:B,Parametres!C:C,"")</f>
        <v>Squad D</v>
      </c>
      <c r="C75" s="38" t="s">
        <v>1559</v>
      </c>
      <c r="D75" s="38" t="str">
        <f>_xlfn.XLOOKUP(Tableau7[[#This Row],[CDM]],'[1]Delta prod days sept. oct. nov.'!$A:$A,'[1]Delta prod days sept. oct. nov.'!$D:$D,"")</f>
        <v/>
      </c>
      <c r="E75" s="38" t="s">
        <v>1559</v>
      </c>
      <c r="F75" s="38">
        <f>_xlfn.XLOOKUP(Tableau7[[#This Row],[CDM]],'[2]TCD delta prod days'!$A:$A,'[2]TCD delta prod days'!$B:$B,"")</f>
        <v>0</v>
      </c>
      <c r="G75" s="38" t="str">
        <f>_xlfn.XLOOKUP(Tableau7[[#This Row],[CDM]],'TCD delta prod days'!A:A,'TCD delta prod days'!B:B,"")</f>
        <v/>
      </c>
      <c r="H75" s="39">
        <f>SUM(Tableau7[[#This Row],[Delta Octobre]:[Delta  février]])</f>
        <v>0</v>
      </c>
    </row>
    <row r="76" spans="1:8">
      <c r="A76" s="37" t="s">
        <v>88</v>
      </c>
      <c r="B76" s="38" t="str">
        <f>_xlfn.XLOOKUP(Tableau7[[#This Row],[CDM]],Parametres!B:B,Parametres!C:C,"")</f>
        <v>Squad D</v>
      </c>
      <c r="C76" s="38" t="s">
        <v>1559</v>
      </c>
      <c r="D76" s="38">
        <f>_xlfn.XLOOKUP(Tableau7[[#This Row],[CDM]],'[1]Delta prod days sept. oct. nov.'!$A:$A,'[1]Delta prod days sept. oct. nov.'!$D:$D,"")</f>
        <v>0</v>
      </c>
      <c r="E76" s="38">
        <v>0</v>
      </c>
      <c r="F76" s="38">
        <f>_xlfn.XLOOKUP(Tableau7[[#This Row],[CDM]],'[2]TCD delta prod days'!$A:$A,'[2]TCD delta prod days'!$B:$B,"")</f>
        <v>0</v>
      </c>
      <c r="G76" s="38" t="str">
        <f>_xlfn.XLOOKUP(Tableau7[[#This Row],[CDM]],'TCD delta prod days'!A:A,'TCD delta prod days'!B:B,"")</f>
        <v/>
      </c>
      <c r="H76" s="39">
        <f>SUM(Tableau7[[#This Row],[Delta Octobre]:[Delta  février]])</f>
        <v>0</v>
      </c>
    </row>
    <row r="77" spans="1:8">
      <c r="A77" s="37" t="s">
        <v>89</v>
      </c>
      <c r="B77" s="38" t="str">
        <f>_xlfn.XLOOKUP(Tableau7[[#This Row],[CDM]],Parametres!B:B,Parametres!C:C,"")</f>
        <v>Squad A</v>
      </c>
      <c r="C77" s="38">
        <v>7</v>
      </c>
      <c r="D77" s="38">
        <f>_xlfn.XLOOKUP(Tableau7[[#This Row],[CDM]],'[1]Delta prod days sept. oct. nov.'!$A:$A,'[1]Delta prod days sept. oct. nov.'!$D:$D,"")</f>
        <v>1</v>
      </c>
      <c r="E77" s="38">
        <v>-1</v>
      </c>
      <c r="F77" s="38">
        <f>_xlfn.XLOOKUP(Tableau7[[#This Row],[CDM]],'[2]TCD delta prod days'!$A:$A,'[2]TCD delta prod days'!$B:$B,"")</f>
        <v>0</v>
      </c>
      <c r="G77" s="38" t="str">
        <f>_xlfn.XLOOKUP(Tableau7[[#This Row],[CDM]],'TCD delta prod days'!A:A,'TCD delta prod days'!B:B,"")</f>
        <v/>
      </c>
      <c r="H77" s="39">
        <f>SUM(Tableau7[[#This Row],[Delta Octobre]:[Delta  février]])</f>
        <v>7</v>
      </c>
    </row>
    <row r="78" spans="1:8">
      <c r="A78" s="37" t="s">
        <v>77</v>
      </c>
      <c r="B78" s="38" t="str">
        <f>_xlfn.XLOOKUP(Tableau7[[#This Row],[CDM]],Parametres!B:B,Parametres!C:C,"")</f>
        <v>Squad A</v>
      </c>
      <c r="C78" s="38" t="s">
        <v>1559</v>
      </c>
      <c r="D78" s="38" t="str">
        <f>_xlfn.XLOOKUP(Tableau7[[#This Row],[CDM]],'[1]Delta prod days sept. oct. nov.'!$A:$A,'[1]Delta prod days sept. oct. nov.'!$D:$D,"")</f>
        <v/>
      </c>
      <c r="E78" s="38" t="s">
        <v>1559</v>
      </c>
      <c r="F78" s="38">
        <f>_xlfn.XLOOKUP(Tableau7[[#This Row],[CDM]],'[2]TCD delta prod days'!$A:$A,'[2]TCD delta prod days'!$B:$B,"")</f>
        <v>0</v>
      </c>
      <c r="G78" s="38" t="str">
        <f>_xlfn.XLOOKUP(Tableau7[[#This Row],[CDM]],'TCD delta prod days'!A:A,'TCD delta prod days'!B:B,"")</f>
        <v/>
      </c>
      <c r="H78" s="39">
        <f>SUM(Tableau7[[#This Row],[Delta Octobre]:[Delta  février]])</f>
        <v>0</v>
      </c>
    </row>
    <row r="79" spans="1:8">
      <c r="A79" s="44" t="s">
        <v>1879</v>
      </c>
      <c r="B79" s="38" t="str">
        <f>_xlfn.XLOOKUP(Tableau7[[#This Row],[CDM]],Parametres!B:B,Parametres!C:C,"")</f>
        <v>Squad B</v>
      </c>
      <c r="C79" s="38">
        <v>0</v>
      </c>
      <c r="D79" s="38">
        <f>_xlfn.XLOOKUP(Tableau7[[#This Row],[CDM]],'[1]Delta prod days sept. oct. nov.'!$A:$A,'[1]Delta prod days sept. oct. nov.'!$D:$D,"")</f>
        <v>0</v>
      </c>
      <c r="E79" s="38" t="s">
        <v>1559</v>
      </c>
      <c r="F79" s="38" t="str">
        <f>_xlfn.XLOOKUP(Tableau7[[#This Row],[CDM]],'[2]TCD delta prod days'!$A:$A,'[2]TCD delta prod days'!$B:$B,"")</f>
        <v/>
      </c>
      <c r="G79" s="38" t="str">
        <f>_xlfn.XLOOKUP(Tableau7[[#This Row],[CDM]],'TCD delta prod days'!A:A,'TCD delta prod days'!B:B,"")</f>
        <v/>
      </c>
      <c r="H79" s="39">
        <f>SUM(Tableau7[[#This Row],[Delta Octobre]:[Delta  février]])</f>
        <v>0</v>
      </c>
    </row>
    <row r="80" spans="1:8">
      <c r="A80" s="44" t="s">
        <v>1898</v>
      </c>
      <c r="B80" s="38" t="str">
        <f>_xlfn.XLOOKUP(Tableau7[[#This Row],[CDM]],Parametres!B:B,Parametres!C:C,"")</f>
        <v/>
      </c>
      <c r="C80" s="38">
        <v>0</v>
      </c>
      <c r="D80" s="38">
        <f>_xlfn.XLOOKUP(Tableau7[[#This Row],[CDM]],'[1]Delta prod days sept. oct. nov.'!$A:$A,'[1]Delta prod days sept. oct. nov.'!$D:$D,"")</f>
        <v>0</v>
      </c>
      <c r="E80" s="38" t="s">
        <v>1559</v>
      </c>
      <c r="F80" s="38" t="str">
        <f>_xlfn.XLOOKUP(Tableau7[[#This Row],[CDM]],'[2]TCD delta prod days'!$A:$A,'[2]TCD delta prod days'!$B:$B,"")</f>
        <v/>
      </c>
      <c r="G80" s="38" t="str">
        <f>_xlfn.XLOOKUP(Tableau7[[#This Row],[CDM]],'TCD delta prod days'!A:A,'TCD delta prod days'!B:B,"")</f>
        <v/>
      </c>
      <c r="H80" s="39">
        <f>SUM(Tableau7[[#This Row],[Delta Octobre]:[Delta  février]])</f>
        <v>0</v>
      </c>
    </row>
    <row r="81" spans="1:8">
      <c r="A81" s="44" t="s">
        <v>143</v>
      </c>
      <c r="B81" s="38" t="str">
        <f>_xlfn.XLOOKUP(Tableau7[[#This Row],[CDM]],Parametres!B:B,Parametres!C:C,"")</f>
        <v>Squad A</v>
      </c>
      <c r="C81" s="38"/>
      <c r="D81" s="38">
        <f>_xlfn.XLOOKUP(Tableau7[[#This Row],[CDM]],'[1]Delta prod days sept. oct. nov.'!$A:$A,'[1]Delta prod days sept. oct. nov.'!$D:$D,"")</f>
        <v>0</v>
      </c>
      <c r="E81" s="38" t="s">
        <v>1559</v>
      </c>
      <c r="F81" s="38" t="str">
        <f>_xlfn.XLOOKUP(Tableau7[[#This Row],[CDM]],'[2]TCD delta prod days'!$A:$A,'[2]TCD delta prod days'!$B:$B,"")</f>
        <v/>
      </c>
      <c r="G81" s="38" t="str">
        <f>_xlfn.XLOOKUP(Tableau7[[#This Row],[CDM]],'TCD delta prod days'!A:A,'TCD delta prod days'!B:B,"")</f>
        <v/>
      </c>
      <c r="H81" s="39">
        <f>SUM(Tableau7[[#This Row],[Delta Octobre]:[Delta  février]])</f>
        <v>0</v>
      </c>
    </row>
    <row r="82" spans="1:8">
      <c r="A82" s="44" t="s">
        <v>74</v>
      </c>
      <c r="B82" s="38" t="str">
        <f>_xlfn.XLOOKUP(Tableau7[[#This Row],[CDM]],Parametres!B:B,Parametres!C:C,"")</f>
        <v/>
      </c>
      <c r="C82" s="38">
        <v>0</v>
      </c>
      <c r="D82" s="38">
        <f>_xlfn.XLOOKUP(Tableau7[[#This Row],[CDM]],'[1]Delta prod days sept. oct. nov.'!$A:$A,'[1]Delta prod days sept. oct. nov.'!$D:$D,"")</f>
        <v>0</v>
      </c>
      <c r="E82" s="38">
        <v>0</v>
      </c>
      <c r="F82" s="38">
        <f>_xlfn.XLOOKUP(Tableau7[[#This Row],[CDM]],'[2]TCD delta prod days'!$A:$A,'[2]TCD delta prod days'!$B:$B,"")</f>
        <v>0</v>
      </c>
      <c r="G82" s="38" t="str">
        <f>_xlfn.XLOOKUP(Tableau7[[#This Row],[CDM]],'TCD delta prod days'!A:A,'TCD delta prod days'!B:B,"")</f>
        <v/>
      </c>
      <c r="H82" s="39">
        <f>SUM(Tableau7[[#This Row],[Delta Octobre]:[Delta  février]])</f>
        <v>0</v>
      </c>
    </row>
    <row r="83" spans="1:8">
      <c r="A83" s="44" t="s">
        <v>577</v>
      </c>
      <c r="B83" s="38" t="str">
        <f>_xlfn.XLOOKUP(Tableau7[[#This Row],[CDM]],Parametres!B:B,Parametres!C:C,"")</f>
        <v>Squad E</v>
      </c>
      <c r="C83" s="38"/>
      <c r="D83" s="38">
        <f>_xlfn.XLOOKUP(Tableau7[[#This Row],[CDM]],'[1]Delta prod days sept. oct. nov.'!$A:$A,'[1]Delta prod days sept. oct. nov.'!$D:$D,"")</f>
        <v>0</v>
      </c>
      <c r="E83" s="38" t="s">
        <v>1559</v>
      </c>
      <c r="F83" s="38" t="str">
        <f>_xlfn.XLOOKUP(Tableau7[[#This Row],[CDM]],'[2]TCD delta prod days'!$A:$A,'[2]TCD delta prod days'!$B:$B,"")</f>
        <v/>
      </c>
      <c r="G83" s="38" t="str">
        <f>_xlfn.XLOOKUP(Tableau7[[#This Row],[CDM]],'TCD delta prod days'!A:A,'TCD delta prod days'!B:B,"")</f>
        <v/>
      </c>
      <c r="H83" s="39">
        <f>SUM(Tableau7[[#This Row],[Delta Octobre]:[Delta  février]])</f>
        <v>0</v>
      </c>
    </row>
    <row r="84" spans="1:8">
      <c r="A84" s="44" t="s">
        <v>543</v>
      </c>
      <c r="B84" s="38" t="str">
        <f>_xlfn.XLOOKUP(Tableau7[[#This Row],[CDM]],Parametres!B:B,Parametres!C:C,"")</f>
        <v>Squad G</v>
      </c>
      <c r="C84" s="38">
        <v>2</v>
      </c>
      <c r="D84" s="38">
        <f>_xlfn.XLOOKUP(Tableau7[[#This Row],[CDM]],'[1]Delta prod days sept. oct. nov.'!$A:$A,'[1]Delta prod days sept. oct. nov.'!$D:$D,"")</f>
        <v>0</v>
      </c>
      <c r="E84" s="38">
        <v>0</v>
      </c>
      <c r="F84" s="38" t="str">
        <f>_xlfn.XLOOKUP(Tableau7[[#This Row],[CDM]],'[2]TCD delta prod days'!$A:$A,'[2]TCD delta prod days'!$B:$B,"")</f>
        <v/>
      </c>
      <c r="G84" s="38" t="str">
        <f>_xlfn.XLOOKUP(Tableau7[[#This Row],[CDM]],'TCD delta prod days'!A:A,'TCD delta prod days'!B:B,"")</f>
        <v/>
      </c>
      <c r="H84" s="39">
        <f>SUM(Tableau7[[#This Row],[Delta Octobre]:[Delta  février]])</f>
        <v>2</v>
      </c>
    </row>
    <row r="85" spans="1:8">
      <c r="A85" s="44" t="s">
        <v>90</v>
      </c>
      <c r="B85" s="38" t="str">
        <f>_xlfn.XLOOKUP(Tableau7[[#This Row],[CDM]],Parametres!B:B,Parametres!C:C,"")</f>
        <v/>
      </c>
      <c r="C85" s="38">
        <v>0</v>
      </c>
      <c r="D85" s="38">
        <f>_xlfn.XLOOKUP(Tableau7[[#This Row],[CDM]],'[1]Delta prod days sept. oct. nov.'!$A:$A,'[1]Delta prod days sept. oct. nov.'!$D:$D,"")</f>
        <v>0</v>
      </c>
      <c r="E85" s="38">
        <v>0</v>
      </c>
      <c r="F85" s="38">
        <f>_xlfn.XLOOKUP(Tableau7[[#This Row],[CDM]],'[2]TCD delta prod days'!$A:$A,'[2]TCD delta prod days'!$B:$B,"")</f>
        <v>0</v>
      </c>
      <c r="G85" s="38" t="str">
        <f>_xlfn.XLOOKUP(Tableau7[[#This Row],[CDM]],'TCD delta prod days'!A:A,'TCD delta prod days'!B:B,"")</f>
        <v/>
      </c>
      <c r="H85" s="39">
        <f>SUM(Tableau7[[#This Row],[Delta Octobre]:[Delta  février]])</f>
        <v>0</v>
      </c>
    </row>
    <row r="86" spans="1:8">
      <c r="A86" s="44" t="s">
        <v>98</v>
      </c>
      <c r="B86" s="38" t="str">
        <f>_xlfn.XLOOKUP(Tableau7[[#This Row],[CDM]],Parametres!B:B,Parametres!C:C,"")</f>
        <v/>
      </c>
      <c r="C86" s="38" t="s">
        <v>1559</v>
      </c>
      <c r="D86" s="38">
        <f>_xlfn.XLOOKUP(Tableau7[[#This Row],[CDM]],'[1]Delta prod days sept. oct. nov.'!$A:$A,'[1]Delta prod days sept. oct. nov.'!$D:$D,"")</f>
        <v>0</v>
      </c>
      <c r="E86" s="38">
        <v>0</v>
      </c>
      <c r="F86" s="38">
        <f>_xlfn.XLOOKUP(Tableau7[[#This Row],[CDM]],'[2]TCD delta prod days'!$A:$A,'[2]TCD delta prod days'!$B:$B,"")</f>
        <v>1</v>
      </c>
      <c r="G86" s="38" t="str">
        <f>_xlfn.XLOOKUP(Tableau7[[#This Row],[CDM]],'TCD delta prod days'!A:A,'TCD delta prod days'!B:B,"")</f>
        <v/>
      </c>
      <c r="H86" s="39">
        <f>SUM(Tableau7[[#This Row],[Delta Octobre]:[Delta  février]])</f>
        <v>1</v>
      </c>
    </row>
    <row r="87" spans="1:8">
      <c r="A87" s="37" t="s">
        <v>80</v>
      </c>
      <c r="B87" s="38" t="str">
        <f>_xlfn.XLOOKUP(Tableau7[[#This Row],[CDM]],Parametres!B:B,Parametres!C:C,"")</f>
        <v>Squad A</v>
      </c>
      <c r="C87" s="38">
        <v>-1.5</v>
      </c>
      <c r="D87" s="38">
        <f>_xlfn.XLOOKUP(Tableau7[[#This Row],[CDM]],'[1]Delta prod days sept. oct. nov.'!$A:$A,'[1]Delta prod days sept. oct. nov.'!$D:$D,"")</f>
        <v>2.5</v>
      </c>
      <c r="E87" s="38">
        <v>3.5</v>
      </c>
      <c r="F87" s="38">
        <f>_xlfn.XLOOKUP(Tableau7[[#This Row],[CDM]],'[2]TCD delta prod days'!$A:$A,'[2]TCD delta prod days'!$B:$B,"")</f>
        <v>0</v>
      </c>
      <c r="G87" s="38" t="str">
        <f>_xlfn.XLOOKUP(Tableau7[[#This Row],[CDM]],'TCD delta prod days'!A:A,'TCD delta prod days'!B:B,"")</f>
        <v/>
      </c>
      <c r="H87" s="39">
        <f>SUM(Tableau7[[#This Row],[Delta Octobre]:[Delta  février]])</f>
        <v>4.5</v>
      </c>
    </row>
    <row r="88" spans="1:8">
      <c r="A88" s="44" t="s">
        <v>87</v>
      </c>
      <c r="B88" s="38" t="str">
        <f>_xlfn.XLOOKUP(Tableau7[[#This Row],[CDM]],Parametres!B:B,Parametres!C:C,"")</f>
        <v/>
      </c>
      <c r="C88" s="38">
        <v>-1</v>
      </c>
      <c r="D88" s="38">
        <f>_xlfn.XLOOKUP(Tableau7[[#This Row],[CDM]],'[1]Delta prod days sept. oct. nov.'!$A:$A,'[1]Delta prod days sept. oct. nov.'!$D:$D,"")</f>
        <v>2</v>
      </c>
      <c r="E88" s="38" t="s">
        <v>1559</v>
      </c>
      <c r="F88" s="38">
        <f>_xlfn.XLOOKUP(Tableau7[[#This Row],[CDM]],'[2]TCD delta prod days'!$A:$A,'[2]TCD delta prod days'!$B:$B,"")</f>
        <v>0</v>
      </c>
      <c r="G88" s="38" t="str">
        <f>_xlfn.XLOOKUP(Tableau7[[#This Row],[CDM]],'TCD delta prod days'!A:A,'TCD delta prod days'!B:B,"")</f>
        <v/>
      </c>
      <c r="H88" s="39">
        <f>SUM(Tableau7[[#This Row],[Delta Octobre]:[Delta  février]])</f>
        <v>1</v>
      </c>
    </row>
    <row r="89" spans="1:8">
      <c r="A89" s="44" t="s">
        <v>1882</v>
      </c>
      <c r="B89" s="38" t="str">
        <f>_xlfn.XLOOKUP(Tableau7[[#This Row],[CDM]],Parametres!B:B,Parametres!C:C,"")</f>
        <v>Squad D</v>
      </c>
      <c r="C89" s="38">
        <v>0</v>
      </c>
      <c r="D89" s="38">
        <f>_xlfn.XLOOKUP(Tableau7[[#This Row],[CDM]],'[1]Delta prod days sept. oct. nov.'!$A:$A,'[1]Delta prod days sept. oct. nov.'!$D:$D,"")</f>
        <v>0.5</v>
      </c>
      <c r="E89" s="38">
        <v>2</v>
      </c>
      <c r="F89" s="38" t="str">
        <f>_xlfn.XLOOKUP(Tableau7[[#This Row],[CDM]],'[2]TCD delta prod days'!$A:$A,'[2]TCD delta prod days'!$B:$B,"")</f>
        <v/>
      </c>
      <c r="G89" s="38" t="str">
        <f>_xlfn.XLOOKUP(Tableau7[[#This Row],[CDM]],'TCD delta prod days'!A:A,'TCD delta prod days'!B:B,"")</f>
        <v/>
      </c>
      <c r="H89" s="39">
        <f>SUM(Tableau7[[#This Row],[Delta Octobre]:[Delta  février]])</f>
        <v>2.5</v>
      </c>
    </row>
    <row r="90" spans="1:8">
      <c r="A90" s="37" t="s">
        <v>71</v>
      </c>
      <c r="B90" s="38" t="str">
        <f>_xlfn.XLOOKUP(Tableau7[[#This Row],[CDM]],Parametres!B:B,Parametres!C:C,"")</f>
        <v>Squad B</v>
      </c>
      <c r="C90" s="38" t="s">
        <v>1559</v>
      </c>
      <c r="D90" s="38">
        <f>_xlfn.XLOOKUP(Tableau7[[#This Row],[CDM]],'[1]Delta prod days sept. oct. nov.'!$A:$A,'[1]Delta prod days sept. oct. nov.'!$D:$D,"")</f>
        <v>0</v>
      </c>
      <c r="E90" s="38">
        <v>-2</v>
      </c>
      <c r="F90" s="38">
        <f>_xlfn.XLOOKUP(Tableau7[[#This Row],[CDM]],'[2]TCD delta prod days'!$A:$A,'[2]TCD delta prod days'!$B:$B,"")</f>
        <v>2</v>
      </c>
      <c r="G90" s="38" t="str">
        <f>_xlfn.XLOOKUP(Tableau7[[#This Row],[CDM]],'TCD delta prod days'!A:A,'TCD delta prod days'!B:B,"")</f>
        <v/>
      </c>
      <c r="H90" s="39">
        <f>SUM(Tableau7[[#This Row],[Delta Octobre]:[Delta  février]])</f>
        <v>0</v>
      </c>
    </row>
    <row r="91" spans="1:8">
      <c r="A91" s="40" t="s">
        <v>43</v>
      </c>
      <c r="B91" s="38" t="str">
        <f>_xlfn.XLOOKUP(Tableau7[[#This Row],[CDM]],Parametres!B:B,Parametres!C:C,"")</f>
        <v>Squad C</v>
      </c>
      <c r="C91" s="38">
        <v>-1</v>
      </c>
      <c r="D91" s="38">
        <f>_xlfn.XLOOKUP(Tableau7[[#This Row],[CDM]],'[1]Delta prod days sept. oct. nov.'!$A:$A,'[1]Delta prod days sept. oct. nov.'!$D:$D,"")</f>
        <v>6.5</v>
      </c>
      <c r="E91" s="38">
        <v>4</v>
      </c>
      <c r="F91" s="38">
        <f>_xlfn.XLOOKUP(Tableau7[[#This Row],[CDM]],'[2]TCD delta prod days'!$A:$A,'[2]TCD delta prod days'!$B:$B,"")</f>
        <v>-0.5</v>
      </c>
      <c r="G91" s="38" t="str">
        <f>_xlfn.XLOOKUP(Tableau7[[#This Row],[CDM]],'TCD delta prod days'!A:A,'TCD delta prod days'!B:B,"")</f>
        <v/>
      </c>
      <c r="H91" s="39">
        <f>SUM(Tableau7[[#This Row],[Delta Octobre]:[Delta  février]])</f>
        <v>9</v>
      </c>
    </row>
    <row r="92" spans="1:8">
      <c r="A92" s="37" t="s">
        <v>75</v>
      </c>
      <c r="B92" s="38" t="str">
        <f>_xlfn.XLOOKUP(Tableau7[[#This Row],[CDM]],Parametres!B:B,Parametres!C:C,"")</f>
        <v>Squad A</v>
      </c>
      <c r="C92" s="41">
        <v>-5</v>
      </c>
      <c r="D92" s="41">
        <f>_xlfn.XLOOKUP(Tableau7[[#This Row],[CDM]],'[1]Delta prod days sept. oct. nov.'!$A:$A,'[1]Delta prod days sept. oct. nov.'!$D:$D,"")</f>
        <v>4</v>
      </c>
      <c r="E92" s="38">
        <v>-3</v>
      </c>
      <c r="F92" s="38">
        <f>_xlfn.XLOOKUP(Tableau7[[#This Row],[CDM]],'[2]TCD delta prod days'!$A:$A,'[2]TCD delta prod days'!$B:$B,"")</f>
        <v>2</v>
      </c>
      <c r="G92" s="38" t="str">
        <f>_xlfn.XLOOKUP(Tableau7[[#This Row],[CDM]],'TCD delta prod days'!A:A,'TCD delta prod days'!B:B,"")</f>
        <v/>
      </c>
      <c r="H92" s="39">
        <f>SUM(Tableau7[[#This Row],[Delta Octobre]:[Delta  février]])</f>
        <v>-2</v>
      </c>
    </row>
    <row r="93" spans="1:8">
      <c r="A93" s="37" t="s">
        <v>70</v>
      </c>
      <c r="B93" s="38" t="str">
        <f>_xlfn.XLOOKUP(Tableau7[[#This Row],[CDM]],Parametres!B:B,Parametres!C:C,"")</f>
        <v>Squad C</v>
      </c>
      <c r="C93" s="38">
        <v>4.5</v>
      </c>
      <c r="D93" s="38">
        <f>_xlfn.XLOOKUP(Tableau7[[#This Row],[CDM]],'[1]Delta prod days sept. oct. nov.'!$A:$A,'[1]Delta prod days sept. oct. nov.'!$D:$D,"")</f>
        <v>0</v>
      </c>
      <c r="E93" s="38">
        <v>-13</v>
      </c>
      <c r="F93" s="38">
        <f>_xlfn.XLOOKUP(Tableau7[[#This Row],[CDM]],'[2]TCD delta prod days'!$A:$A,'[2]TCD delta prod days'!$B:$B,"")</f>
        <v>16.5</v>
      </c>
      <c r="G93" s="38" t="str">
        <f>_xlfn.XLOOKUP(Tableau7[[#This Row],[CDM]],'TCD delta prod days'!A:A,'TCD delta prod days'!B:B,"")</f>
        <v/>
      </c>
      <c r="H93" s="39">
        <f>SUM(Tableau7[[#This Row],[Delta Octobre]:[Delta  février]])</f>
        <v>8</v>
      </c>
    </row>
    <row r="94" spans="1:8">
      <c r="A94" s="37" t="s">
        <v>60</v>
      </c>
      <c r="B94" s="38" t="str">
        <f>_xlfn.XLOOKUP(Tableau7[[#This Row],[CDM]],Parametres!B:B,Parametres!C:C,"")</f>
        <v>Squad A</v>
      </c>
      <c r="C94" s="38">
        <v>-0.5</v>
      </c>
      <c r="D94" s="38">
        <f>_xlfn.XLOOKUP(Tableau7[[#This Row],[CDM]],'[1]Delta prod days sept. oct. nov.'!$A:$A,'[1]Delta prod days sept. oct. nov.'!$D:$D,"")</f>
        <v>4.5</v>
      </c>
      <c r="E94" s="38">
        <v>2</v>
      </c>
      <c r="F94" s="38">
        <f>_xlfn.XLOOKUP(Tableau7[[#This Row],[CDM]],'[2]TCD delta prod days'!$A:$A,'[2]TCD delta prod days'!$B:$B,"")</f>
        <v>3.5</v>
      </c>
      <c r="G94" s="38" t="str">
        <f>_xlfn.XLOOKUP(Tableau7[[#This Row],[CDM]],'TCD delta prod days'!A:A,'TCD delta prod days'!B:B,"")</f>
        <v/>
      </c>
      <c r="H94" s="39">
        <f>SUM(Tableau7[[#This Row],[Delta Octobre]:[Delta  février]])</f>
        <v>9.5</v>
      </c>
    </row>
    <row r="95" spans="1:8">
      <c r="A95" s="37" t="s">
        <v>57</v>
      </c>
      <c r="B95" s="38" t="str">
        <f>_xlfn.XLOOKUP(Tableau7[[#This Row],[CDM]],Parametres!B:B,Parametres!C:C,"")</f>
        <v>Squad C</v>
      </c>
      <c r="C95" s="38">
        <v>-4</v>
      </c>
      <c r="D95" s="38">
        <f>_xlfn.XLOOKUP(Tableau7[[#This Row],[CDM]],'[1]Delta prod days sept. oct. nov.'!$A:$A,'[1]Delta prod days sept. oct. nov.'!$D:$D,"")</f>
        <v>-11.5</v>
      </c>
      <c r="E95" s="38">
        <v>1</v>
      </c>
      <c r="F95" s="38">
        <f>_xlfn.XLOOKUP(Tableau7[[#This Row],[CDM]],'[2]TCD delta prod days'!$A:$A,'[2]TCD delta prod days'!$B:$B,"")</f>
        <v>-1</v>
      </c>
      <c r="G95" s="38" t="str">
        <f>_xlfn.XLOOKUP(Tableau7[[#This Row],[CDM]],'TCD delta prod days'!A:A,'TCD delta prod days'!B:B,"")</f>
        <v/>
      </c>
      <c r="H95" s="39">
        <f>SUM(Tableau7[[#This Row],[Delta Octobre]:[Delta  février]])</f>
        <v>-15.5</v>
      </c>
    </row>
    <row r="96" spans="1:8">
      <c r="A96" s="37" t="s">
        <v>95</v>
      </c>
      <c r="B96" s="38" t="str">
        <f>_xlfn.XLOOKUP(Tableau7[[#This Row],[CDM]],Parametres!B:B,Parametres!C:C,"")</f>
        <v>Squad G</v>
      </c>
      <c r="C96" s="38">
        <v>-3</v>
      </c>
      <c r="D96" s="38">
        <f>_xlfn.XLOOKUP(Tableau7[[#This Row],[CDM]],'[1]Delta prod days sept. oct. nov.'!$A:$A,'[1]Delta prod days sept. oct. nov.'!$D:$D,"")</f>
        <v>-1.5</v>
      </c>
      <c r="E96" s="38">
        <v>0</v>
      </c>
      <c r="F96" s="38">
        <f>_xlfn.XLOOKUP(Tableau7[[#This Row],[CDM]],'[2]TCD delta prod days'!$A:$A,'[2]TCD delta prod days'!$B:$B,"")</f>
        <v>10</v>
      </c>
      <c r="G96" s="38" t="str">
        <f>_xlfn.XLOOKUP(Tableau7[[#This Row],[CDM]],'TCD delta prod days'!A:A,'TCD delta prod days'!B:B,"")</f>
        <v/>
      </c>
      <c r="H96" s="39">
        <f>SUM(Tableau7[[#This Row],[Delta Octobre]:[Delta  février]])</f>
        <v>5.5</v>
      </c>
    </row>
    <row r="97" spans="1:8">
      <c r="A97" s="37" t="s">
        <v>10</v>
      </c>
      <c r="B97" s="38" t="str">
        <f>_xlfn.XLOOKUP(Tableau7[[#This Row],[CDM]],Parametres!B:B,Parametres!C:C,"")</f>
        <v>Squad A</v>
      </c>
      <c r="C97" s="38">
        <v>0</v>
      </c>
      <c r="D97" s="38">
        <f>_xlfn.XLOOKUP(Tableau7[[#This Row],[CDM]],'[1]Delta prod days sept. oct. nov.'!$A:$A,'[1]Delta prod days sept. oct. nov.'!$D:$D,"")</f>
        <v>15.5</v>
      </c>
      <c r="E97" s="38">
        <v>6</v>
      </c>
      <c r="F97" s="38">
        <f>_xlfn.XLOOKUP(Tableau7[[#This Row],[CDM]],'[2]TCD delta prod days'!$A:$A,'[2]TCD delta prod days'!$B:$B,"")</f>
        <v>-10.5</v>
      </c>
      <c r="G97" s="38" t="str">
        <f>_xlfn.XLOOKUP(Tableau7[[#This Row],[CDM]],'TCD delta prod days'!A:A,'TCD delta prod days'!B:B,"")</f>
        <v/>
      </c>
      <c r="H97" s="39">
        <f>SUM(Tableau7[[#This Row],[Delta Octobre]:[Delta  février]])</f>
        <v>11</v>
      </c>
    </row>
    <row r="98" spans="1:8">
      <c r="A98" s="37" t="s">
        <v>47</v>
      </c>
      <c r="B98" s="38" t="str">
        <f>_xlfn.XLOOKUP(Tableau7[[#This Row],[CDM]],Parametres!B:B,Parametres!C:C,"")</f>
        <v>Squad D</v>
      </c>
      <c r="C98" s="38">
        <v>0</v>
      </c>
      <c r="D98" s="38">
        <f>_xlfn.XLOOKUP(Tableau7[[#This Row],[CDM]],'[1]Delta prod days sept. oct. nov.'!$A:$A,'[1]Delta prod days sept. oct. nov.'!$D:$D,"")</f>
        <v>15.5</v>
      </c>
      <c r="E98" s="38">
        <v>0</v>
      </c>
      <c r="F98" s="38">
        <f>_xlfn.XLOOKUP(Tableau7[[#This Row],[CDM]],'[2]TCD delta prod days'!$A:$A,'[2]TCD delta prod days'!$B:$B,"")</f>
        <v>-3</v>
      </c>
      <c r="G98" s="38" t="str">
        <f>_xlfn.XLOOKUP(Tableau7[[#This Row],[CDM]],'TCD delta prod days'!A:A,'TCD delta prod days'!B:B,"")</f>
        <v/>
      </c>
      <c r="H98" s="39">
        <f>SUM(Tableau7[[#This Row],[Delta Octobre]:[Delta  février]])</f>
        <v>12.5</v>
      </c>
    </row>
    <row r="99" spans="1:8">
      <c r="A99" s="37" t="s">
        <v>37</v>
      </c>
      <c r="B99" s="38" t="str">
        <f>_xlfn.XLOOKUP(Tableau7[[#This Row],[CDM]],Parametres!B:B,Parametres!C:C,"")</f>
        <v>Squad H</v>
      </c>
      <c r="C99" s="38">
        <v>0</v>
      </c>
      <c r="D99" s="38">
        <f>_xlfn.XLOOKUP(Tableau7[[#This Row],[CDM]],'[1]Delta prod days sept. oct. nov.'!$A:$A,'[1]Delta prod days sept. oct. nov.'!$D:$D,"")</f>
        <v>0</v>
      </c>
      <c r="E99" s="38">
        <v>0</v>
      </c>
      <c r="F99" s="38">
        <f>_xlfn.XLOOKUP(Tableau7[[#This Row],[CDM]],'[2]TCD delta prod days'!$A:$A,'[2]TCD delta prod days'!$B:$B,"")</f>
        <v>5</v>
      </c>
      <c r="G99" s="38" t="str">
        <f>_xlfn.XLOOKUP(Tableau7[[#This Row],[CDM]],'TCD delta prod days'!A:A,'TCD delta prod days'!B:B,"")</f>
        <v/>
      </c>
      <c r="H99" s="39">
        <f>SUM(Tableau7[[#This Row],[Delta Octobre]:[Delta  février]])</f>
        <v>5</v>
      </c>
    </row>
    <row r="100" spans="1:8">
      <c r="A100" s="37" t="s">
        <v>6</v>
      </c>
      <c r="B100" s="38" t="str">
        <f>_xlfn.XLOOKUP(Tableau7[[#This Row],[CDM]],Parametres!B:B,Parametres!C:C,"")</f>
        <v>Squad A</v>
      </c>
      <c r="C100" s="38">
        <v>4.5</v>
      </c>
      <c r="D100" s="38">
        <f>_xlfn.XLOOKUP(Tableau7[[#This Row],[CDM]],'[1]Delta prod days sept. oct. nov.'!$A:$A,'[1]Delta prod days sept. oct. nov.'!$D:$D,"")</f>
        <v>8</v>
      </c>
      <c r="E100" s="38">
        <v>3</v>
      </c>
      <c r="F100" s="38">
        <f>_xlfn.XLOOKUP(Tableau7[[#This Row],[CDM]],'[2]TCD delta prod days'!$A:$A,'[2]TCD delta prod days'!$B:$B,"")</f>
        <v>-8.5</v>
      </c>
      <c r="G100" s="38" t="str">
        <f>_xlfn.XLOOKUP(Tableau7[[#This Row],[CDM]],'TCD delta prod days'!A:A,'TCD delta prod days'!B:B,"")</f>
        <v/>
      </c>
      <c r="H100" s="39">
        <f>SUM(Tableau7[[#This Row],[Delta Octobre]:[Delta  février]])</f>
        <v>7</v>
      </c>
    </row>
    <row r="101" spans="1:8">
      <c r="A101" s="44" t="s">
        <v>40</v>
      </c>
      <c r="B101" s="38" t="str">
        <f>_xlfn.XLOOKUP(Tableau7[[#This Row],[CDM]],Parametres!B:B,Parametres!C:C,"")</f>
        <v/>
      </c>
      <c r="C101" s="38"/>
      <c r="D101" s="38">
        <f>_xlfn.XLOOKUP(Tableau7[[#This Row],[CDM]],'[1]Delta prod days sept. oct. nov.'!$A:$A,'[1]Delta prod days sept. oct. nov.'!$D:$D,"")</f>
        <v>0</v>
      </c>
      <c r="E101" s="38" t="s">
        <v>1559</v>
      </c>
      <c r="F101" s="38">
        <f>_xlfn.XLOOKUP(Tableau7[[#This Row],[CDM]],'[2]TCD delta prod days'!$A:$A,'[2]TCD delta prod days'!$B:$B,"")</f>
        <v>12</v>
      </c>
      <c r="G101" s="38" t="str">
        <f>_xlfn.XLOOKUP(Tableau7[[#This Row],[CDM]],'TCD delta prod days'!A:A,'TCD delta prod days'!B:B,"")</f>
        <v/>
      </c>
      <c r="H101" s="39">
        <f>SUM(Tableau7[[#This Row],[Delta Octobre]:[Delta  février]])</f>
        <v>12</v>
      </c>
    </row>
    <row r="102" spans="1:8">
      <c r="A102" s="37" t="s">
        <v>76</v>
      </c>
      <c r="B102" s="38" t="str">
        <f>_xlfn.XLOOKUP(Tableau7[[#This Row],[CDM]],Parametres!B:B,Parametres!C:C,"")</f>
        <v>Squad D</v>
      </c>
      <c r="C102" s="38">
        <v>-2</v>
      </c>
      <c r="D102" s="38">
        <f>_xlfn.XLOOKUP(Tableau7[[#This Row],[CDM]],'[1]Delta prod days sept. oct. nov.'!$A:$A,'[1]Delta prod days sept. oct. nov.'!$D:$D,"")</f>
        <v>0.5</v>
      </c>
      <c r="E102" s="38">
        <v>3</v>
      </c>
      <c r="F102" s="38">
        <f>_xlfn.XLOOKUP(Tableau7[[#This Row],[CDM]],'[2]TCD delta prod days'!$A:$A,'[2]TCD delta prod days'!$B:$B,"")</f>
        <v>1</v>
      </c>
      <c r="G102" s="38" t="str">
        <f>_xlfn.XLOOKUP(Tableau7[[#This Row],[CDM]],'TCD delta prod days'!A:A,'TCD delta prod days'!B:B,"")</f>
        <v/>
      </c>
      <c r="H102" s="39">
        <f>SUM(Tableau7[[#This Row],[Delta Octobre]:[Delta  février]])</f>
        <v>2.5</v>
      </c>
    </row>
    <row r="103" spans="1:8">
      <c r="A103" s="37" t="s">
        <v>78</v>
      </c>
      <c r="B103" s="38" t="str">
        <f>_xlfn.XLOOKUP(Tableau7[[#This Row],[CDM]],Parametres!B:B,Parametres!C:C,"")</f>
        <v>Squad G</v>
      </c>
      <c r="C103" s="38">
        <v>0</v>
      </c>
      <c r="D103" s="38">
        <f>_xlfn.XLOOKUP(Tableau7[[#This Row],[CDM]],'[1]Delta prod days sept. oct. nov.'!$A:$A,'[1]Delta prod days sept. oct. nov.'!$D:$D,"")</f>
        <v>0</v>
      </c>
      <c r="E103" s="38">
        <v>-3</v>
      </c>
      <c r="F103" s="38">
        <f>_xlfn.XLOOKUP(Tableau7[[#This Row],[CDM]],'[2]TCD delta prod days'!$A:$A,'[2]TCD delta prod days'!$B:$B,"")</f>
        <v>12</v>
      </c>
      <c r="G103" s="38" t="str">
        <f>_xlfn.XLOOKUP(Tableau7[[#This Row],[CDM]],'TCD delta prod days'!A:A,'TCD delta prod days'!B:B,"")</f>
        <v/>
      </c>
      <c r="H103" s="39">
        <f>SUM(Tableau7[[#This Row],[Delta Octobre]:[Delta  février]])</f>
        <v>9</v>
      </c>
    </row>
    <row r="104" spans="1:8">
      <c r="A104" s="37" t="s">
        <v>56</v>
      </c>
      <c r="B104" s="38" t="str">
        <f>_xlfn.XLOOKUP(Tableau7[[#This Row],[CDM]],Parametres!B:B,Parametres!C:C,"")</f>
        <v>Squad G</v>
      </c>
      <c r="C104" s="38">
        <v>-3</v>
      </c>
      <c r="D104" s="38">
        <f>_xlfn.XLOOKUP(Tableau7[[#This Row],[CDM]],'[1]Delta prod days sept. oct. nov.'!$A:$A,'[1]Delta prod days sept. oct. nov.'!$D:$D,"")</f>
        <v>1.5</v>
      </c>
      <c r="E104" s="38">
        <v>2.5</v>
      </c>
      <c r="F104" s="38">
        <f>_xlfn.XLOOKUP(Tableau7[[#This Row],[CDM]],'[2]TCD delta prod days'!$A:$A,'[2]TCD delta prod days'!$B:$B,"")</f>
        <v>20</v>
      </c>
      <c r="G104" s="38" t="str">
        <f>_xlfn.XLOOKUP(Tableau7[[#This Row],[CDM]],'TCD delta prod days'!A:A,'TCD delta prod days'!B:B,"")</f>
        <v/>
      </c>
      <c r="H104" s="39">
        <f>SUM(Tableau7[[#This Row],[Delta Octobre]:[Delta  février]])</f>
        <v>21</v>
      </c>
    </row>
    <row r="105" spans="1:8">
      <c r="A105" s="37" t="s">
        <v>49</v>
      </c>
      <c r="B105" s="38" t="str">
        <f>_xlfn.XLOOKUP(Tableau7[[#This Row],[CDM]],Parametres!B:B,Parametres!C:C,"")</f>
        <v>Squad F</v>
      </c>
      <c r="C105" s="38">
        <v>-2.5</v>
      </c>
      <c r="D105" s="38">
        <f>_xlfn.XLOOKUP(Tableau7[[#This Row],[CDM]],'[1]Delta prod days sept. oct. nov.'!$A:$A,'[1]Delta prod days sept. oct. nov.'!$D:$D,"")</f>
        <v>14.5</v>
      </c>
      <c r="E105" s="38">
        <v>-1</v>
      </c>
      <c r="F105" s="38">
        <f>_xlfn.XLOOKUP(Tableau7[[#This Row],[CDM]],'[2]TCD delta prod days'!$A:$A,'[2]TCD delta prod days'!$B:$B,"")</f>
        <v>-1.5</v>
      </c>
      <c r="G105" s="38" t="str">
        <f>_xlfn.XLOOKUP(Tableau7[[#This Row],[CDM]],'TCD delta prod days'!A:A,'TCD delta prod days'!B:B,"")</f>
        <v/>
      </c>
      <c r="H105" s="39">
        <f>SUM(Tableau7[[#This Row],[Delta Octobre]:[Delta  février]])</f>
        <v>9.5</v>
      </c>
    </row>
    <row r="106" spans="1:8">
      <c r="A106" s="37" t="s">
        <v>96</v>
      </c>
      <c r="B106" s="38" t="str">
        <f>_xlfn.XLOOKUP(Tableau7[[#This Row],[CDM]],Parametres!B:B,Parametres!C:C,"")</f>
        <v>Squad G</v>
      </c>
      <c r="C106" s="38" t="s">
        <v>1559</v>
      </c>
      <c r="D106" s="38">
        <f>_xlfn.XLOOKUP(Tableau7[[#This Row],[CDM]],'[1]Delta prod days sept. oct. nov.'!$A:$A,'[1]Delta prod days sept. oct. nov.'!$D:$D,"")</f>
        <v>18</v>
      </c>
      <c r="E106" s="38">
        <v>0</v>
      </c>
      <c r="F106" s="38">
        <f>_xlfn.XLOOKUP(Tableau7[[#This Row],[CDM]],'[2]TCD delta prod days'!$A:$A,'[2]TCD delta prod days'!$B:$B,"")</f>
        <v>0</v>
      </c>
      <c r="G106" s="38" t="str">
        <f>_xlfn.XLOOKUP(Tableau7[[#This Row],[CDM]],'TCD delta prod days'!A:A,'TCD delta prod days'!B:B,"")</f>
        <v/>
      </c>
      <c r="H106" s="39">
        <f>SUM(Tableau7[[#This Row],[Delta Octobre]:[Delta  février]])</f>
        <v>18</v>
      </c>
    </row>
    <row r="107" spans="1:8">
      <c r="A107" s="37" t="s">
        <v>86</v>
      </c>
      <c r="B107" s="38" t="str">
        <f>_xlfn.XLOOKUP(Tableau7[[#This Row],[CDM]],Parametres!B:B,Parametres!C:C,"")</f>
        <v>Squad G</v>
      </c>
      <c r="C107" s="38">
        <v>2.5</v>
      </c>
      <c r="D107" s="38">
        <f>_xlfn.XLOOKUP(Tableau7[[#This Row],[CDM]],'[1]Delta prod days sept. oct. nov.'!$A:$A,'[1]Delta prod days sept. oct. nov.'!$D:$D,"")</f>
        <v>4.5</v>
      </c>
      <c r="E107" s="38">
        <v>0.5</v>
      </c>
      <c r="F107" s="38">
        <f>_xlfn.XLOOKUP(Tableau7[[#This Row],[CDM]],'[2]TCD delta prod days'!$A:$A,'[2]TCD delta prod days'!$B:$B,"")</f>
        <v>10</v>
      </c>
      <c r="G107" s="38" t="str">
        <f>_xlfn.XLOOKUP(Tableau7[[#This Row],[CDM]],'TCD delta prod days'!A:A,'TCD delta prod days'!B:B,"")</f>
        <v/>
      </c>
      <c r="H107" s="39">
        <f>SUM(Tableau7[[#This Row],[Delta Octobre]:[Delta  février]])</f>
        <v>17.5</v>
      </c>
    </row>
    <row r="108" spans="1:8">
      <c r="A108" s="37" t="s">
        <v>24</v>
      </c>
      <c r="B108" s="38" t="str">
        <f>_xlfn.XLOOKUP(Tableau7[[#This Row],[CDM]],Parametres!B:B,Parametres!C:C,"")</f>
        <v>Squad E</v>
      </c>
      <c r="C108" s="38" t="s">
        <v>1559</v>
      </c>
      <c r="D108" s="38">
        <f>_xlfn.XLOOKUP(Tableau7[[#This Row],[CDM]],'[1]Delta prod days sept. oct. nov.'!$A:$A,'[1]Delta prod days sept. oct. nov.'!$D:$D,"")</f>
        <v>17</v>
      </c>
      <c r="E108" s="38">
        <v>10</v>
      </c>
      <c r="F108" s="38">
        <f>_xlfn.XLOOKUP(Tableau7[[#This Row],[CDM]],'[2]TCD delta prod days'!$A:$A,'[2]TCD delta prod days'!$B:$B,"")</f>
        <v>-4</v>
      </c>
      <c r="G108" s="38" t="str">
        <f>_xlfn.XLOOKUP(Tableau7[[#This Row],[CDM]],'TCD delta prod days'!A:A,'TCD delta prod days'!B:B,"")</f>
        <v/>
      </c>
      <c r="H108" s="39">
        <f>SUM(Tableau7[[#This Row],[Delta Octobre]:[Delta  février]])</f>
        <v>23</v>
      </c>
    </row>
    <row r="109" spans="1:8">
      <c r="A109" s="37" t="s">
        <v>31</v>
      </c>
      <c r="B109" s="38" t="str">
        <f>_xlfn.XLOOKUP(Tableau7[[#This Row],[CDM]],Parametres!B:B,Parametres!C:C,"")</f>
        <v>Squad C</v>
      </c>
      <c r="C109" s="38">
        <v>-14</v>
      </c>
      <c r="D109" s="38">
        <f>_xlfn.XLOOKUP(Tableau7[[#This Row],[CDM]],'[1]Delta prod days sept. oct. nov.'!$A:$A,'[1]Delta prod days sept. oct. nov.'!$D:$D,"")</f>
        <v>2</v>
      </c>
      <c r="E109" s="38">
        <v>-5</v>
      </c>
      <c r="F109" s="38">
        <f>_xlfn.XLOOKUP(Tableau7[[#This Row],[CDM]],'[2]TCD delta prod days'!$A:$A,'[2]TCD delta prod days'!$B:$B,"")</f>
        <v>11</v>
      </c>
      <c r="G109" s="38" t="str">
        <f>_xlfn.XLOOKUP(Tableau7[[#This Row],[CDM]],'TCD delta prod days'!A:A,'TCD delta prod days'!B:B,"")</f>
        <v/>
      </c>
      <c r="H109" s="39">
        <f>SUM(Tableau7[[#This Row],[Delta Octobre]:[Delta  février]])</f>
        <v>-6</v>
      </c>
    </row>
    <row r="110" spans="1:8">
      <c r="A110" s="37" t="s">
        <v>63</v>
      </c>
      <c r="B110" s="38" t="str">
        <f>_xlfn.XLOOKUP(Tableau7[[#This Row],[CDM]],Parametres!B:B,Parametres!C:C,"")</f>
        <v>Squad B</v>
      </c>
      <c r="C110" s="38">
        <v>10.5</v>
      </c>
      <c r="D110" s="38">
        <f>_xlfn.XLOOKUP(Tableau7[[#This Row],[CDM]],'[1]Delta prod days sept. oct. nov.'!$A:$A,'[1]Delta prod days sept. oct. nov.'!$D:$D,"")</f>
        <v>14.5</v>
      </c>
      <c r="E110" s="38">
        <v>11.5</v>
      </c>
      <c r="F110" s="38">
        <f>_xlfn.XLOOKUP(Tableau7[[#This Row],[CDM]],'[2]TCD delta prod days'!$A:$A,'[2]TCD delta prod days'!$B:$B,"")</f>
        <v>18</v>
      </c>
      <c r="G110" s="38" t="str">
        <f>_xlfn.XLOOKUP(Tableau7[[#This Row],[CDM]],'TCD delta prod days'!A:A,'TCD delta prod days'!B:B,"")</f>
        <v/>
      </c>
      <c r="H110" s="39">
        <f>SUM(Tableau7[[#This Row],[Delta Octobre]:[Delta  février]])</f>
        <v>54.5</v>
      </c>
    </row>
  </sheetData>
  <autoFilter ref="K4:Q14" xr:uid="{3FFB85AC-A25A-4170-8919-0CBC6346848F}"/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1E8E391CDD26445A4E86F1CDB718876" ma:contentTypeVersion="15" ma:contentTypeDescription="Crée un document." ma:contentTypeScope="" ma:versionID="3b30659ed352a4393474516e2df5e7b8">
  <xsd:schema xmlns:xsd="http://www.w3.org/2001/XMLSchema" xmlns:xs="http://www.w3.org/2001/XMLSchema" xmlns:p="http://schemas.microsoft.com/office/2006/metadata/properties" xmlns:ns2="07ecbd7c-2611-4921-ad89-1c3bdb482245" xmlns:ns3="1865dee7-574d-4a84-9470-2a9c3f3f6a5c" targetNamespace="http://schemas.microsoft.com/office/2006/metadata/properties" ma:root="true" ma:fieldsID="1ef1e4f2899d9b276a93e82df59874b3" ns2:_="" ns3:_="">
    <xsd:import namespace="07ecbd7c-2611-4921-ad89-1c3bdb482245"/>
    <xsd:import namespace="1865dee7-574d-4a84-9470-2a9c3f3f6a5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ecbd7c-2611-4921-ad89-1c3bdb48224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Balises d’images" ma:readOnly="false" ma:fieldId="{5cf76f15-5ced-4ddc-b409-7134ff3c332f}" ma:taxonomyMulti="true" ma:sspId="f9efb03f-e9de-4143-b61f-0d56fef76e3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5dee7-574d-4a84-9470-2a9c3f3f6a5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ac496063-b2da-498e-8b58-786a75c70bc1}" ma:internalName="TaxCatchAll" ma:showField="CatchAllData" ma:web="1865dee7-574d-4a84-9470-2a9c3f3f6a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865dee7-574d-4a84-9470-2a9c3f3f6a5c" xsi:nil="true"/>
    <lcf76f155ced4ddcb4097134ff3c332f xmlns="07ecbd7c-2611-4921-ad89-1c3bdb48224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08CB706-0DA1-4F30-8BDF-F97630746C1F}"/>
</file>

<file path=customXml/itemProps2.xml><?xml version="1.0" encoding="utf-8"?>
<ds:datastoreItem xmlns:ds="http://schemas.openxmlformats.org/officeDocument/2006/customXml" ds:itemID="{FC49E9C9-1CAA-4B0A-92AE-5D59EA3468A9}"/>
</file>

<file path=customXml/itemProps3.xml><?xml version="1.0" encoding="utf-8"?>
<ds:datastoreItem xmlns:ds="http://schemas.openxmlformats.org/officeDocument/2006/customXml" ds:itemID="{3CC6BC63-EEE0-4488-8451-01E6BE39AD96}"/>
</file>

<file path=customXml/itemProps4.xml><?xml version="1.0" encoding="utf-8"?>
<ds:datastoreItem xmlns:ds="http://schemas.openxmlformats.org/officeDocument/2006/customXml" ds:itemID="{8326347E-9342-4E5C-99DB-973C4BD98B4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COUZINET Hélène</dc:creator>
  <cp:keywords/>
  <dc:description/>
  <cp:lastModifiedBy>BELLOT Martin</cp:lastModifiedBy>
  <cp:revision/>
  <dcterms:created xsi:type="dcterms:W3CDTF">2019-11-28T06:43:54Z</dcterms:created>
  <dcterms:modified xsi:type="dcterms:W3CDTF">2025-07-11T07:06:49Z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0x01010031E8E391CDD26445A4E86F1CDB718876</vt:lpwstr>
  </property>
  <property fmtid="{D5CDD505-2E9C-101B-9397-08002B2CF9AE}" pid="3" name="ComplianceAssetId">
    <vt:lpwstr/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MediaServiceImageTags">
    <vt:lpwstr/>
  </property>
  <property fmtid="{D5CDD505-2E9C-101B-9397-08002B2CF9AE}" pid="7" name="MSIP_Label_aa56c84a-c06d-4947-abf3-939e8bbae422_Enabled">
    <vt:lpwstr>true</vt:lpwstr>
  </property>
  <property fmtid="{D5CDD505-2E9C-101B-9397-08002B2CF9AE}" pid="8" name="MSIP_Label_aa56c84a-c06d-4947-abf3-939e8bbae422_SetDate">
    <vt:lpwstr>2023-02-25T12:37:09Z</vt:lpwstr>
  </property>
  <property fmtid="{D5CDD505-2E9C-101B-9397-08002B2CF9AE}" pid="9" name="MSIP_Label_aa56c84a-c06d-4947-abf3-939e8bbae422_Method">
    <vt:lpwstr>Privileged</vt:lpwstr>
  </property>
  <property fmtid="{D5CDD505-2E9C-101B-9397-08002B2CF9AE}" pid="10" name="MSIP_Label_aa56c84a-c06d-4947-abf3-939e8bbae422_Name">
    <vt:lpwstr>aa56c84a-c06d-4947-abf3-939e8bbae422</vt:lpwstr>
  </property>
  <property fmtid="{D5CDD505-2E9C-101B-9397-08002B2CF9AE}" pid="11" name="MSIP_Label_aa56c84a-c06d-4947-abf3-939e8bbae422_SiteId">
    <vt:lpwstr>5de96c96-c87c-4dce-aad9-f5c557b52ac1</vt:lpwstr>
  </property>
  <property fmtid="{D5CDD505-2E9C-101B-9397-08002B2CF9AE}" pid="12" name="MSIP_Label_aa56c84a-c06d-4947-abf3-939e8bbae422_ActionId">
    <vt:lpwstr>54649b6c-84d9-4e2b-8abc-932059bfafdc</vt:lpwstr>
  </property>
  <property fmtid="{D5CDD505-2E9C-101B-9397-08002B2CF9AE}" pid="13" name="MSIP_Label_aa56c84a-c06d-4947-abf3-939e8bbae422_ContentBits">
    <vt:lpwstr>0</vt:lpwstr>
  </property>
</Properties>
</file>